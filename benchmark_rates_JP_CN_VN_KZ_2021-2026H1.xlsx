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_2025.12" sheetId="1" state="visible" r:id="rId3"/>
    <sheet name="월별" sheetId="2" state="visible" r:id="rId4"/>
    <sheet name="분기·연도별" sheetId="3" state="visible" r:id="rId5"/>
    <sheet name="VN_은행채발행" sheetId="4" state="visible" r:id="rId6"/>
    <sheet name="정책금리_결정" sheetId="5" state="visible" r:id="rId7"/>
    <sheet name="JP_국채일별" sheetId="6" state="visible" r:id="rId8"/>
    <sheet name="JP_등급별회사채" sheetId="7" state="visible" r:id="rId9"/>
    <sheet name="CN_일별" sheetId="8" state="visible" r:id="rId10"/>
    <sheet name="VN_국채일별" sheetId="9" state="visible" r:id="rId11"/>
    <sheet name="KZ_일별" sheetId="10" state="visible" r:id="rId12"/>
    <sheet name="출처·방법론" sheetId="11" state="visible" r:id="rId13"/>
  </sheets>
  <definedNames>
    <definedName function="false" hidden="true" localSheetId="3" name="_xlnm._FilterDatabase" vbProcedure="false">VN_은행채발행!$A$3:$Z$712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WenQuanYi Zen Hei"/>
            <family val="2"/>
          </rPr>
          <t xml:space="preserve">기준월을 바꾸면 아래 표가 해당 월 기준으로 다시 계산됩니다 </t>
        </r>
        <r>
          <rPr>
            <sz val="10"/>
            <rFont val="Arial"/>
            <family val="2"/>
          </rPr>
          <t xml:space="preserve">(2021-01 ~ 2026-06).</t>
        </r>
      </text>
    </comment>
  </commentList>
</comments>
</file>

<file path=xl/sharedStrings.xml><?xml version="1.0" encoding="utf-8"?>
<sst xmlns="http://schemas.openxmlformats.org/spreadsheetml/2006/main" count="5893" uniqueCount="1295">
  <si>
    <r>
      <rPr>
        <b val="true"/>
        <sz val="14"/>
        <rFont val="WenQuanYi Zen Hei"/>
        <family val="2"/>
      </rPr>
      <t xml:space="preserve">해외 은행 자회사 순자산 기회비용 – 벤치마크 금리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최상위 은행채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현지통화</t>
    </r>
    <r>
      <rPr>
        <b val="true"/>
        <sz val="14"/>
        <rFont val="Arial"/>
        <family val="0"/>
        <charset val="1"/>
      </rPr>
      <t xml:space="preserve">)</t>
    </r>
  </si>
  <si>
    <t xml:space="preserve">기준월</t>
  </si>
  <si>
    <r>
      <rPr>
        <i val="true"/>
        <sz val="9"/>
        <color rgb="FF595959"/>
        <rFont val="WenQuanYi Zen Hei"/>
        <family val="2"/>
      </rPr>
      <t xml:space="preserve">← 변경 가능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노란 셀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</si>
  <si>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기준분기</t>
  </si>
  <si>
    <r>
      <rPr>
        <i val="true"/>
        <sz val="9"/>
        <color rgb="FF595959"/>
        <rFont val="WenQuanYi Zen Hei"/>
        <family val="2"/>
      </rPr>
      <t xml:space="preserve">베트남 은행채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발행 희소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기준분기 발행액 가중값을 사용</t>
    </r>
  </si>
  <si>
    <t xml:space="preserve">국가</t>
  </si>
  <si>
    <t xml:space="preserve">통화</t>
  </si>
  <si>
    <r>
      <rPr>
        <b val="true"/>
        <sz val="10"/>
        <color rgb="FFFFFFFF"/>
        <rFont val="WenQuanYi Zen Hei"/>
        <family val="2"/>
      </rPr>
      <t xml:space="preserve">정책금리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기준월말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</si>
  <si>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국채 </t>
    </r>
    <r>
      <rPr>
        <b val="true"/>
        <sz val="10"/>
        <color rgb="FFFFFFFF"/>
        <rFont val="Arial"/>
        <family val="0"/>
        <charset val="1"/>
      </rPr>
      <t xml:space="preserve">3Y
(</t>
    </r>
    <r>
      <rPr>
        <b val="true"/>
        <sz val="10"/>
        <color rgb="FFFFFFFF"/>
        <rFont val="WenQuanYi Zen Hei"/>
        <family val="2"/>
      </rPr>
      <t xml:space="preserve">기준월 평균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</si>
  <si>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벤치마크 지표</t>
  </si>
  <si>
    <r>
      <rPr>
        <b val="true"/>
        <sz val="10"/>
        <color rgb="FFFFFFFF"/>
        <rFont val="WenQuanYi Zen Hei"/>
        <family val="2"/>
      </rPr>
      <t xml:space="preserve">은행채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회사채
수익률</t>
    </r>
  </si>
  <si>
    <r>
      <rPr>
        <b val="true"/>
        <sz val="10"/>
        <color rgb="FFFFFFFF"/>
        <rFont val="WenQuanYi Zen Hei"/>
        <family val="2"/>
      </rPr>
      <t xml:space="preserve">스프레드
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</si>
  <si>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WenQuanYi Zen Hei"/>
        <family val="2"/>
      </rPr>
      <t xml:space="preserve">권고 벤치마크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세전</t>
    </r>
    <r>
      <rPr>
        <b val="true"/>
        <sz val="10"/>
        <color rgb="FFFFFFFF"/>
        <rFont val="Arial"/>
        <family val="0"/>
        <charset val="1"/>
      </rPr>
      <t xml:space="preserve">)
=</t>
    </r>
    <r>
      <rPr>
        <b val="true"/>
        <sz val="10"/>
        <color rgb="FFFFFFFF"/>
        <rFont val="WenQuanYi Zen Hei"/>
        <family val="2"/>
      </rPr>
      <t xml:space="preserve">국채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스프레드</t>
    </r>
  </si>
  <si>
    <r>
      <rPr>
        <b val="true"/>
        <sz val="10"/>
        <color rgb="FFFFFFFF"/>
        <rFont val="WenQuanYi Zen Hei"/>
        <family val="2"/>
      </rPr>
      <t xml:space="preserve">법인세율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</si>
  <si>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세후 환산</t>
  </si>
  <si>
    <t xml:space="preserve">측정창</t>
  </si>
  <si>
    <t xml:space="preserve">비고</t>
  </si>
  <si>
    <t xml:space="preserve">일본</t>
  </si>
  <si>
    <t xml:space="preserve">JPY</t>
  </si>
  <si>
    <r>
      <rPr>
        <sz val="10"/>
        <rFont val="WenQuanYi Zen Hei"/>
        <family val="2"/>
      </rPr>
      <t xml:space="preserve">일본 회사채 </t>
    </r>
    <r>
      <rPr>
        <sz val="10"/>
        <rFont val="Arial"/>
        <family val="0"/>
        <charset val="1"/>
      </rPr>
      <t xml:space="preserve">R&amp;I AA </t>
    </r>
    <r>
      <rPr>
        <sz val="10"/>
        <rFont val="WenQuanYi Zen Hei"/>
        <family val="2"/>
      </rPr>
      <t xml:space="preserve">잔존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평균 </t>
    </r>
    <r>
      <rPr>
        <sz val="10"/>
        <rFont val="Arial"/>
        <family val="0"/>
        <charset val="1"/>
      </rPr>
      <t xml:space="preserve">(JSDA </t>
    </r>
    <r>
      <rPr>
        <sz val="10"/>
        <rFont val="WenQuanYi Zen Hei"/>
        <family val="2"/>
      </rPr>
      <t xml:space="preserve">格付マトリクス</t>
    </r>
    <r>
      <rPr>
        <sz val="10"/>
        <rFont val="Arial"/>
        <family val="0"/>
        <charset val="1"/>
      </rPr>
      <t xml:space="preserve">)</t>
    </r>
  </si>
  <si>
    <t xml:space="preserve">기준월 평균</t>
  </si>
  <si>
    <r>
      <rPr>
        <i val="true"/>
        <sz val="9"/>
        <color rgb="FF595959"/>
        <rFont val="Arial"/>
        <family val="0"/>
        <charset val="1"/>
      </rPr>
      <t xml:space="preserve">JSDA </t>
    </r>
    <r>
      <rPr>
        <i val="true"/>
        <sz val="9"/>
        <color rgb="FF595959"/>
        <rFont val="WenQuanYi Zen Hei"/>
        <family val="2"/>
      </rPr>
      <t xml:space="preserve">등급별 매트릭스는 전 업종 회사채 기준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은행 한정 아님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메가뱅크 국내 등급</t>
    </r>
    <r>
      <rPr>
        <i val="true"/>
        <sz val="9"/>
        <color rgb="FF595959"/>
        <rFont val="Arial"/>
        <family val="0"/>
        <charset val="1"/>
      </rPr>
      <t xml:space="preserve">(R&amp;I)</t>
    </r>
    <r>
      <rPr>
        <i val="true"/>
        <sz val="9"/>
        <color rgb="FF595959"/>
        <rFont val="WenQuanYi Zen Hei"/>
        <family val="2"/>
      </rPr>
      <t xml:space="preserve">은 대체로 </t>
    </r>
    <r>
      <rPr>
        <i val="true"/>
        <sz val="9"/>
        <color rgb="FF595959"/>
        <rFont val="Arial"/>
        <family val="0"/>
        <charset val="1"/>
      </rPr>
      <t xml:space="preserve">A+~AA- </t>
    </r>
    <r>
      <rPr>
        <i val="true"/>
        <sz val="9"/>
        <color rgb="FF595959"/>
        <rFont val="WenQuanYi Zen Hei"/>
        <family val="2"/>
      </rPr>
      <t xml:space="preserve">수준</t>
    </r>
    <r>
      <rPr>
        <i val="true"/>
        <sz val="9"/>
        <color rgb="FF595959"/>
        <rFont val="Arial"/>
        <family val="0"/>
        <charset val="1"/>
      </rPr>
      <t xml:space="preserve">. AAA</t>
    </r>
    <r>
      <rPr>
        <i val="true"/>
        <sz val="9"/>
        <color rgb="FF595959"/>
        <rFont val="WenQuanYi Zen Hei"/>
        <family val="2"/>
      </rPr>
      <t xml:space="preserve">는 표본 </t>
    </r>
    <r>
      <rPr>
        <i val="true"/>
        <sz val="9"/>
        <color rgb="FF595959"/>
        <rFont val="Arial"/>
        <family val="0"/>
        <charset val="1"/>
      </rPr>
      <t xml:space="preserve">3~5</t>
    </r>
    <r>
      <rPr>
        <i val="true"/>
        <sz val="9"/>
        <color rgb="FF595959"/>
        <rFont val="WenQuanYi Zen Hei"/>
        <family val="2"/>
      </rPr>
      <t xml:space="preserve">종목으로 적어 참고용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월별 시트 </t>
    </r>
    <r>
      <rPr>
        <i val="true"/>
        <sz val="9"/>
        <color rgb="FF595959"/>
        <rFont val="Arial"/>
        <family val="0"/>
        <charset val="1"/>
      </rPr>
      <t xml:space="preserve">H</t>
    </r>
    <r>
      <rPr>
        <i val="true"/>
        <sz val="9"/>
        <color rgb="FF595959"/>
        <rFont val="WenQuanYi Zen Hei"/>
        <family val="2"/>
      </rPr>
      <t xml:space="preserve">열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법인세율은 대기업 법정실효세율 가정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</si>
  <si>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중국</t>
  </si>
  <si>
    <t xml:space="preserve">CNY</t>
  </si>
  <si>
    <r>
      <rPr>
        <sz val="10"/>
        <rFont val="WenQuanYi Zen Hei"/>
        <family val="2"/>
      </rPr>
      <t xml:space="preserve">中债 商业银行普通债</t>
    </r>
    <r>
      <rPr>
        <sz val="10"/>
        <rFont val="Arial"/>
        <family val="0"/>
        <charset val="1"/>
      </rPr>
      <t xml:space="preserve">(AAA) 3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(ChinaBond)</t>
    </r>
  </si>
  <si>
    <r>
      <rPr>
        <i val="true"/>
        <sz val="9"/>
        <color rgb="FF595959"/>
        <rFont val="WenQuanYi Zen Hei"/>
        <family val="2"/>
      </rPr>
      <t xml:space="preserve">은행 선순위 일반채 </t>
    </r>
    <r>
      <rPr>
        <i val="true"/>
        <sz val="9"/>
        <color rgb="FF595959"/>
        <rFont val="Arial"/>
        <family val="0"/>
        <charset val="1"/>
      </rPr>
      <t xml:space="preserve">AAA </t>
    </r>
    <r>
      <rPr>
        <i val="true"/>
        <sz val="9"/>
        <color rgb="FF595959"/>
        <rFont val="WenQuanYi Zen Hei"/>
        <family val="2"/>
      </rPr>
      <t xml:space="preserve">커브 직접 사용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정책금리 열은 </t>
    </r>
    <r>
      <rPr>
        <i val="true"/>
        <sz val="9"/>
        <color rgb="FF595959"/>
        <rFont val="Arial"/>
        <family val="0"/>
        <charset val="1"/>
      </rPr>
      <t xml:space="preserve">LPR 1Y(BIS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국채 이자 비과세 </t>
    </r>
    <r>
      <rPr>
        <i val="true"/>
        <sz val="9"/>
        <color rgb="FF595959"/>
        <rFont val="Arial"/>
        <family val="0"/>
        <charset val="1"/>
      </rPr>
      <t xml:space="preserve">vs </t>
    </r>
    <r>
      <rPr>
        <i val="true"/>
        <sz val="9"/>
        <color rgb="FF595959"/>
        <rFont val="WenQuanYi Zen Hei"/>
        <family val="2"/>
      </rPr>
      <t xml:space="preserve">금융채 과세 차이가 스프레드에 일부 포함</t>
    </r>
    <r>
      <rPr>
        <i val="true"/>
        <sz val="9"/>
        <color rgb="FF595959"/>
        <rFont val="Arial"/>
        <family val="0"/>
        <charset val="1"/>
      </rPr>
      <t xml:space="preserve">. 2025.8.8 </t>
    </r>
    <r>
      <rPr>
        <i val="true"/>
        <sz val="9"/>
        <color rgb="FF595959"/>
        <rFont val="WenQuanYi Zen Hei"/>
        <family val="2"/>
      </rPr>
      <t xml:space="preserve">이후 신규 금융채 이자 </t>
    </r>
    <r>
      <rPr>
        <i val="true"/>
        <sz val="9"/>
        <color rgb="FF595959"/>
        <rFont val="Arial"/>
        <family val="0"/>
        <charset val="1"/>
      </rPr>
      <t xml:space="preserve">VAT </t>
    </r>
    <r>
      <rPr>
        <i val="true"/>
        <sz val="9"/>
        <color rgb="FF595959"/>
        <rFont val="WenQuanYi Zen Hei"/>
        <family val="2"/>
      </rPr>
      <t xml:space="preserve">부과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</si>
  <si>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베트남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권고</t>
    </r>
    <r>
      <rPr>
        <b val="true"/>
        <sz val="10"/>
        <rFont val="Arial"/>
        <family val="0"/>
        <charset val="1"/>
      </rPr>
      <t xml:space="preserve">)</t>
    </r>
  </si>
  <si>
    <t xml:space="preserve">VND</t>
  </si>
  <si>
    <r>
      <rPr>
        <sz val="10"/>
        <rFont val="Arial"/>
        <family val="0"/>
        <charset val="1"/>
      </rPr>
      <t xml:space="preserve">Big4(</t>
    </r>
    <r>
      <rPr>
        <sz val="10"/>
        <rFont val="WenQuanYi Zen Hei"/>
        <family val="2"/>
      </rPr>
      <t xml:space="preserve">국영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선순위 고정금리 은행채 발행 스프레드 </t>
    </r>
    <r>
      <rPr>
        <sz val="10"/>
        <rFont val="Arial"/>
        <family val="0"/>
        <charset val="1"/>
      </rPr>
      <t xml:space="preserve">(VBMA)</t>
    </r>
  </si>
  <si>
    <r>
      <rPr>
        <sz val="10"/>
        <rFont val="WenQuanYi Zen Hei"/>
        <family val="2"/>
      </rPr>
      <t xml:space="preserve">국채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기준월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스프레드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기준분기</t>
    </r>
  </si>
  <si>
    <r>
      <rPr>
        <i val="true"/>
        <sz val="9"/>
        <color rgb="FF595959"/>
        <rFont val="Arial"/>
        <family val="0"/>
        <charset val="1"/>
      </rPr>
      <t xml:space="preserve">Big4 </t>
    </r>
    <r>
      <rPr>
        <i val="true"/>
        <sz val="9"/>
        <color rgb="FF595959"/>
        <rFont val="WenQuanYi Zen Hei"/>
        <family val="2"/>
      </rPr>
      <t xml:space="preserve">고정금리 선순위 발행은 매우 드묾</t>
    </r>
    <r>
      <rPr>
        <i val="true"/>
        <sz val="9"/>
        <color rgb="FF595959"/>
        <rFont val="Arial"/>
        <family val="0"/>
        <charset val="1"/>
      </rPr>
      <t xml:space="preserve">(2025.4Q: Vietcombank 2</t>
    </r>
    <r>
      <rPr>
        <i val="true"/>
        <sz val="9"/>
        <color rgb="FF595959"/>
        <rFont val="WenQuanYi Zen Hei"/>
        <family val="2"/>
      </rPr>
      <t xml:space="preserve">년물 </t>
    </r>
    <r>
      <rPr>
        <i val="true"/>
        <sz val="9"/>
        <color rgb="FF595959"/>
        <rFont val="Arial"/>
        <family val="0"/>
        <charset val="1"/>
      </rPr>
      <t xml:space="preserve">5.8%, 2025.12.18 1</t>
    </r>
    <r>
      <rPr>
        <i val="true"/>
        <sz val="9"/>
        <color rgb="FF595959"/>
        <rFont val="WenQuanYi Zen Hei"/>
        <family val="2"/>
      </rPr>
      <t xml:space="preserve">건</t>
    </r>
    <r>
      <rPr>
        <i val="true"/>
        <sz val="9"/>
        <color rgb="FF595959"/>
        <rFont val="Arial"/>
        <family val="0"/>
        <charset val="1"/>
      </rPr>
      <t xml:space="preserve">). Big4</t>
    </r>
    <r>
      <rPr>
        <i val="true"/>
        <sz val="9"/>
        <color rgb="FF595959"/>
        <rFont val="WenQuanYi Zen Hei"/>
        <family val="2"/>
      </rPr>
      <t xml:space="preserve">는 대부분 변동금리</t>
    </r>
    <r>
      <rPr>
        <i val="true"/>
        <sz val="9"/>
        <color rgb="FF595959"/>
        <rFont val="Arial"/>
        <family val="0"/>
        <charset val="1"/>
      </rPr>
      <t xml:space="preserve">(12</t>
    </r>
    <r>
      <rPr>
        <i val="true"/>
        <sz val="9"/>
        <color rgb="FF595959"/>
        <rFont val="WenQuanYi Zen Hei"/>
        <family val="2"/>
      </rPr>
      <t xml:space="preserve">개월 예금금리</t>
    </r>
    <r>
      <rPr>
        <i val="true"/>
        <sz val="9"/>
        <color rgb="FF595959"/>
        <rFont val="Arial"/>
        <family val="0"/>
        <charset val="1"/>
      </rPr>
      <t xml:space="preserve">+α) </t>
    </r>
    <r>
      <rPr>
        <i val="true"/>
        <sz val="9"/>
        <color rgb="FF595959"/>
        <rFont val="WenQuanYi Zen Hei"/>
        <family val="2"/>
      </rPr>
      <t xml:space="preserve">후순위성 장기채 발행 → 표본 제약 명시 필요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</si>
  <si>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베트남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</si>
  <si>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은행 전체 선순위 고정 </t>
    </r>
    <r>
      <rPr>
        <sz val="10"/>
        <rFont val="Arial"/>
        <family val="0"/>
        <charset val="1"/>
      </rPr>
      <t xml:space="preserve">2~4</t>
    </r>
    <r>
      <rPr>
        <sz val="10"/>
        <rFont val="WenQuanYi Zen Hei"/>
        <family val="2"/>
      </rPr>
      <t xml:space="preserve">년 발행 스프레드 </t>
    </r>
    <r>
      <rPr>
        <sz val="10"/>
        <rFont val="Arial"/>
        <family val="0"/>
        <charset val="1"/>
      </rPr>
      <t xml:space="preserve">(VBMA)</t>
    </r>
  </si>
  <si>
    <r>
      <rPr>
        <i val="true"/>
        <sz val="9"/>
        <color rgb="FF595959"/>
        <rFont val="WenQuanYi Zen Hei"/>
        <family val="2"/>
      </rPr>
      <t xml:space="preserve">민간은행</t>
    </r>
    <r>
      <rPr>
        <i val="true"/>
        <sz val="9"/>
        <color rgb="FF595959"/>
        <rFont val="Arial"/>
        <family val="0"/>
        <charset val="1"/>
      </rPr>
      <t xml:space="preserve">(Techcombank, VPBank, VIB, OCB, HDBank </t>
    </r>
    <r>
      <rPr>
        <i val="true"/>
        <sz val="9"/>
        <color rgb="FF595959"/>
        <rFont val="WenQuanYi Zen Hei"/>
        <family val="2"/>
      </rPr>
      <t xml:space="preserve">등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중심 → 최상위 등급보다 높게 나옴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하한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최상위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과 범위 확인용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</si>
  <si>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카자흐스탄</t>
  </si>
  <si>
    <t xml:space="preserve">KZT</t>
  </si>
  <si>
    <r>
      <rPr>
        <sz val="10"/>
        <rFont val="Arial"/>
        <family val="0"/>
        <charset val="1"/>
      </rPr>
      <t xml:space="preserve">KASE </t>
    </r>
    <r>
      <rPr>
        <sz val="10"/>
        <rFont val="WenQuanYi Zen Hei"/>
        <family val="2"/>
      </rPr>
      <t xml:space="preserve">회사채 수익률지수 </t>
    </r>
    <r>
      <rPr>
        <sz val="10"/>
        <rFont val="Arial"/>
        <family val="0"/>
        <charset val="1"/>
      </rPr>
      <t xml:space="preserve">KASE_BMY (</t>
    </r>
    <r>
      <rPr>
        <sz val="10"/>
        <rFont val="WenQuanYi Zen Hei"/>
        <family val="2"/>
      </rPr>
      <t xml:space="preserve">주시장 회사채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</si>
  <si>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권고값 </t>
    </r>
    <r>
      <rPr>
        <i val="true"/>
        <sz val="9"/>
        <color rgb="FF595959"/>
        <rFont val="Arial"/>
        <family val="0"/>
        <charset val="1"/>
      </rPr>
      <t xml:space="preserve">= MAX(</t>
    </r>
    <r>
      <rPr>
        <i val="true"/>
        <sz val="9"/>
        <color rgb="FF595959"/>
        <rFont val="WenQuanYi Zen Hei"/>
        <family val="2"/>
      </rPr>
      <t xml:space="preserve">국채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회사채지수</t>
    </r>
    <r>
      <rPr>
        <i val="true"/>
        <sz val="9"/>
        <color rgb="FF595959"/>
        <rFont val="Arial"/>
        <family val="0"/>
        <charset val="1"/>
      </rPr>
      <t xml:space="preserve">): KZT </t>
    </r>
    <r>
      <rPr>
        <i val="true"/>
        <sz val="9"/>
        <color rgb="FF595959"/>
        <rFont val="WenQuanYi Zen Hei"/>
        <family val="2"/>
      </rPr>
      <t xml:space="preserve">우량 회사채는 준국영 발행 위주라 국채와 비슷하거나 낮게 거래됨</t>
    </r>
    <r>
      <rPr>
        <i val="true"/>
        <sz val="9"/>
        <color rgb="FF595959"/>
        <rFont val="Arial"/>
        <family val="0"/>
        <charset val="1"/>
      </rPr>
      <t xml:space="preserve">(2022~23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, 2025</t>
    </r>
    <r>
      <rPr>
        <i val="true"/>
        <sz val="9"/>
        <color rgb="FF595959"/>
        <rFont val="WenQuanYi Zen Hei"/>
        <family val="2"/>
      </rPr>
      <t xml:space="preserve">년 </t>
    </r>
    <r>
      <rPr>
        <i val="true"/>
        <sz val="9"/>
        <color rgb="FF595959"/>
        <rFont val="Arial"/>
        <family val="0"/>
        <charset val="1"/>
      </rPr>
      <t xml:space="preserve">2~3</t>
    </r>
    <r>
      <rPr>
        <i val="true"/>
        <sz val="9"/>
        <color rgb="FF595959"/>
        <rFont val="WenQuanYi Zen Hei"/>
        <family val="2"/>
      </rPr>
      <t xml:space="preserve">분기 스프레드 음수</t>
    </r>
    <r>
      <rPr>
        <i val="true"/>
        <sz val="9"/>
        <color rgb="FF595959"/>
        <rFont val="Arial"/>
        <family val="0"/>
        <charset val="1"/>
      </rPr>
      <t xml:space="preserve">) → </t>
    </r>
    <r>
      <rPr>
        <i val="true"/>
        <sz val="9"/>
        <color rgb="FF595959"/>
        <rFont val="WenQuanYi Zen Hei"/>
        <family val="2"/>
      </rPr>
      <t xml:space="preserve">하한 취지에 맞게 큰 값 적용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국채는 </t>
    </r>
    <r>
      <rPr>
        <i val="true"/>
        <sz val="9"/>
        <color rgb="FF595959"/>
        <rFont val="Arial"/>
        <family val="0"/>
        <charset val="1"/>
      </rPr>
      <t xml:space="preserve">KASE </t>
    </r>
    <r>
      <rPr>
        <i val="true"/>
        <sz val="9"/>
        <color rgb="FF595959"/>
        <rFont val="WenQuanYi Zen Hei"/>
        <family val="2"/>
      </rPr>
      <t xml:space="preserve">정부채 수익률지수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잔존 </t>
    </r>
    <r>
      <rPr>
        <i val="true"/>
        <sz val="9"/>
        <color rgb="FF595959"/>
        <rFont val="Arial"/>
        <family val="0"/>
        <charset val="1"/>
      </rPr>
      <t xml:space="preserve">1~5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은행채 개별 거래 희소</t>
    </r>
    <r>
      <rPr>
        <i val="true"/>
        <sz val="9"/>
        <color rgb="FF595959"/>
        <rFont val="Arial"/>
        <family val="0"/>
        <charset val="1"/>
      </rPr>
      <t xml:space="preserve">(Halyk KZT</t>
    </r>
    <r>
      <rPr>
        <i val="true"/>
        <sz val="9"/>
        <color rgb="FF595959"/>
        <rFont val="WenQuanYi Zen Hei"/>
        <family val="2"/>
      </rPr>
      <t xml:space="preserve">채 </t>
    </r>
    <r>
      <rPr>
        <i val="true"/>
        <sz val="9"/>
        <color rgb="FF595959"/>
        <rFont val="Arial"/>
        <family val="0"/>
        <charset val="1"/>
      </rPr>
      <t xml:space="preserve">2025.4Q </t>
    </r>
    <r>
      <rPr>
        <i val="true"/>
        <sz val="9"/>
        <color rgb="FF595959"/>
        <rFont val="WenQuanYi Zen Hei"/>
        <family val="2"/>
      </rPr>
      <t xml:space="preserve">거래 없음</t>
    </r>
    <r>
      <rPr>
        <i val="true"/>
        <sz val="9"/>
        <color rgb="FF595959"/>
        <rFont val="Arial"/>
        <family val="0"/>
        <charset val="1"/>
      </rPr>
      <t xml:space="preserve">) → </t>
    </r>
    <r>
      <rPr>
        <i val="true"/>
        <sz val="9"/>
        <color rgb="FF595959"/>
        <rFont val="WenQuanYi Zen Hei"/>
        <family val="2"/>
      </rPr>
      <t xml:space="preserve">회사채 지수 사용</t>
    </r>
    <r>
      <rPr>
        <i val="true"/>
        <sz val="9"/>
        <color rgb="FF595959"/>
        <rFont val="Arial"/>
        <family val="0"/>
        <charset val="1"/>
      </rPr>
      <t xml:space="preserve">. 2026.4</t>
    </r>
    <r>
      <rPr>
        <i val="true"/>
        <sz val="9"/>
        <color rgb="FF595959"/>
        <rFont val="WenQuanYi Zen Hei"/>
        <family val="2"/>
      </rPr>
      <t xml:space="preserve">부터 </t>
    </r>
    <r>
      <rPr>
        <i val="true"/>
        <sz val="9"/>
        <color rgb="FF595959"/>
        <rFont val="Arial"/>
        <family val="0"/>
        <charset val="1"/>
      </rPr>
      <t xml:space="preserve">BBB- </t>
    </r>
    <r>
      <rPr>
        <i val="true"/>
        <sz val="9"/>
        <color rgb="FF595959"/>
        <rFont val="WenQuanYi Zen Hei"/>
        <family val="2"/>
      </rPr>
      <t xml:space="preserve">이상 회사채 지표</t>
    </r>
    <r>
      <rPr>
        <i val="true"/>
        <sz val="9"/>
        <color rgb="FF595959"/>
        <rFont val="Arial"/>
        <family val="0"/>
        <charset val="1"/>
      </rPr>
      <t xml:space="preserve">(KASE_KZ3_Y, </t>
    </r>
    <r>
      <rPr>
        <i val="true"/>
        <sz val="9"/>
        <color rgb="FF595959"/>
        <rFont val="WenQuanYi Zen Hei"/>
        <family val="2"/>
      </rPr>
      <t xml:space="preserve">듀레이션 약 </t>
    </r>
    <r>
      <rPr>
        <i val="true"/>
        <sz val="9"/>
        <color rgb="FF595959"/>
        <rFont val="Arial"/>
        <family val="0"/>
        <charset val="1"/>
      </rPr>
      <t xml:space="preserve">2.7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제공 → 향후 대체 권고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</si>
  <si>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읽는 법</t>
  </si>
  <si>
    <r>
      <rPr>
        <sz val="10"/>
        <rFont val="WenQuanYi Zen Hei"/>
        <family val="2"/>
      </rPr>
      <t xml:space="preserve">• 권고 벤치마크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국채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기준월 평균</t>
    </r>
    <r>
      <rPr>
        <sz val="10"/>
        <rFont val="Arial"/>
        <family val="0"/>
        <charset val="1"/>
      </rPr>
      <t xml:space="preserve">) + </t>
    </r>
    <r>
      <rPr>
        <sz val="10"/>
        <rFont val="WenQuanYi Zen Hei"/>
        <family val="2"/>
      </rPr>
      <t xml:space="preserve">최상위 은행채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회사채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스프레드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중국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일본은 은행채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회사채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수익률과 같은 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베트남은 발행 희소로 스프레드를 분기 단위로 측정해 국채에 더함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카자흐는 국채와 회사채지수 중 큰 값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</si>
  <si>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세후 환산은 비교 대상 이익이 세후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당기순이익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일 때 사용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법인세율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노란 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가정치이므로 각 법인 실효세율로 바꿔 쓰세요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</si>
  <si>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2021~2026.6 </t>
    </r>
    <r>
      <rPr>
        <sz val="10"/>
        <rFont val="WenQuanYi Zen Hei"/>
        <family val="2"/>
      </rPr>
      <t xml:space="preserve">추이는 「월별」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「분기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연도별」 시트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원자료는 각 일별 시트와 「</t>
    </r>
    <r>
      <rPr>
        <sz val="10"/>
        <rFont val="Arial"/>
        <family val="0"/>
        <charset val="1"/>
      </rPr>
      <t xml:space="preserve">VN_</t>
    </r>
    <r>
      <rPr>
        <sz val="10"/>
        <rFont val="WenQuanYi Zen Hei"/>
        <family val="2"/>
      </rPr>
      <t xml:space="preserve">은행채발행」 시트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건별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필터 사용 가능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</si>
  <si>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• 색 구분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원자료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입력값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초록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 참조 수식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검정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계산 수식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노란 칸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기준월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핵심 결과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입력 가정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</si>
  <si>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월별 시계열 </t>
    </r>
    <r>
      <rPr>
        <b val="true"/>
        <sz val="14"/>
        <rFont val="Arial"/>
        <family val="0"/>
        <charset val="1"/>
      </rPr>
      <t xml:space="preserve">(2021.01 ~ 2026.06) – </t>
    </r>
    <r>
      <rPr>
        <b val="true"/>
        <sz val="14"/>
        <rFont val="WenQuanYi Zen Hei"/>
        <family val="2"/>
      </rPr>
      <t xml:space="preserve">국채 </t>
    </r>
    <r>
      <rPr>
        <b val="true"/>
        <sz val="14"/>
        <rFont val="Arial"/>
        <family val="0"/>
        <charset val="1"/>
      </rPr>
      <t xml:space="preserve">3Y · </t>
    </r>
    <r>
      <rPr>
        <b val="true"/>
        <sz val="14"/>
        <rFont val="WenQuanYi Zen Hei"/>
        <family val="2"/>
      </rPr>
      <t xml:space="preserve">최상위 은행채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회사채</t>
    </r>
    <r>
      <rPr>
        <b val="true"/>
        <sz val="14"/>
        <rFont val="Arial"/>
        <family val="0"/>
        <charset val="1"/>
      </rPr>
      <t xml:space="preserve">) 3Y · </t>
    </r>
    <r>
      <rPr>
        <b val="true"/>
        <sz val="14"/>
        <rFont val="WenQuanYi Zen Hei"/>
        <family val="2"/>
      </rPr>
      <t xml:space="preserve">스프레드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정책금리</t>
    </r>
  </si>
  <si>
    <r>
      <rPr>
        <i val="true"/>
        <sz val="9"/>
        <color rgb="FF595959"/>
        <rFont val="WenQuanYi Zen Hei"/>
        <family val="2"/>
      </rPr>
      <t xml:space="preserve">수익률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월중 영업일 단순평균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일별 시트 참조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정책금리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월말값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스프레드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은행채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회사채</t>
    </r>
    <r>
      <rPr>
        <i val="true"/>
        <sz val="9"/>
        <color rgb="FF595959"/>
        <rFont val="Arial"/>
        <family val="0"/>
        <charset val="1"/>
      </rPr>
      <t xml:space="preserve">) − </t>
    </r>
    <r>
      <rPr>
        <i val="true"/>
        <sz val="9"/>
        <color rgb="FF595959"/>
        <rFont val="WenQuanYi Zen Hei"/>
        <family val="2"/>
      </rPr>
      <t xml:space="preserve">국채 </t>
    </r>
    <r>
      <rPr>
        <i val="true"/>
        <sz val="9"/>
        <color rgb="FF595959"/>
        <rFont val="Arial"/>
        <family val="0"/>
        <charset val="1"/>
      </rPr>
      <t xml:space="preserve">(bp). </t>
    </r>
    <r>
      <rPr>
        <i val="true"/>
        <sz val="9"/>
        <color rgb="FF595959"/>
        <rFont val="WenQuanYi Zen Hei"/>
        <family val="2"/>
      </rPr>
      <t xml:space="preserve">베트남 은행채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해당월 발행 선순위 고정금리 </t>
    </r>
    <r>
      <rPr>
        <i val="true"/>
        <sz val="9"/>
        <color rgb="FF595959"/>
        <rFont val="Arial"/>
        <family val="0"/>
        <charset val="1"/>
      </rPr>
      <t xml:space="preserve">2~4</t>
    </r>
    <r>
      <rPr>
        <i val="true"/>
        <sz val="9"/>
        <color rgb="FF595959"/>
        <rFont val="WenQuanYi Zen Hei"/>
        <family val="2"/>
      </rPr>
      <t xml:space="preserve">년물 발행액 가중평균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발행 없는 달은 공란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</si>
  <si>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일본 </t>
    </r>
    <r>
      <rPr>
        <b val="true"/>
        <sz val="10"/>
        <rFont val="Arial"/>
        <family val="0"/>
        <charset val="1"/>
      </rPr>
      <t xml:space="preserve">(JPY)</t>
    </r>
  </si>
  <si>
    <r>
      <rPr>
        <b val="true"/>
        <sz val="10"/>
        <rFont val="WenQuanYi Zen Hei"/>
        <family val="2"/>
      </rPr>
      <t xml:space="preserve">중국 </t>
    </r>
    <r>
      <rPr>
        <b val="true"/>
        <sz val="10"/>
        <rFont val="Arial"/>
        <family val="0"/>
        <charset val="1"/>
      </rPr>
      <t xml:space="preserve">(CNY)</t>
    </r>
  </si>
  <si>
    <r>
      <rPr>
        <b val="true"/>
        <sz val="10"/>
        <rFont val="WenQuanYi Zen Hei"/>
        <family val="2"/>
      </rPr>
      <t xml:space="preserve">베트남 </t>
    </r>
    <r>
      <rPr>
        <b val="true"/>
        <sz val="10"/>
        <rFont val="Arial"/>
        <family val="0"/>
        <charset val="1"/>
      </rPr>
      <t xml:space="preserve">(VND)</t>
    </r>
  </si>
  <si>
    <r>
      <rPr>
        <b val="true"/>
        <sz val="10"/>
        <rFont val="WenQuanYi Zen Hei"/>
        <family val="2"/>
      </rPr>
      <t xml:space="preserve">카자흐스탄 </t>
    </r>
    <r>
      <rPr>
        <b val="true"/>
        <sz val="10"/>
        <rFont val="Arial"/>
        <family val="0"/>
        <charset val="1"/>
      </rPr>
      <t xml:space="preserve">(KZT)</t>
    </r>
  </si>
  <si>
    <t xml:space="preserve">월</t>
  </si>
  <si>
    <t xml:space="preserve">월말</t>
  </si>
  <si>
    <t xml:space="preserve">분기</t>
  </si>
  <si>
    <t xml:space="preserve">연도</t>
  </si>
  <si>
    <r>
      <rPr>
        <b val="true"/>
        <sz val="10"/>
        <color rgb="FFFFFFFF"/>
        <rFont val="WenQuanYi Zen Hei"/>
        <family val="2"/>
      </rPr>
      <t xml:space="preserve">정책금리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월말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</si>
  <si>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JGB 3Y</t>
  </si>
  <si>
    <r>
      <rPr>
        <b val="true"/>
        <sz val="10"/>
        <color rgb="FFFFFFFF"/>
        <rFont val="WenQuanYi Zen Hei"/>
        <family val="2"/>
      </rPr>
      <t xml:space="preserve">회사채 </t>
    </r>
    <r>
      <rPr>
        <b val="true"/>
        <sz val="10"/>
        <color rgb="FFFFFFFF"/>
        <rFont val="Arial"/>
        <family val="0"/>
        <charset val="1"/>
      </rPr>
      <t xml:space="preserve">R&amp;I AA
</t>
    </r>
    <r>
      <rPr>
        <b val="true"/>
        <sz val="10"/>
        <color rgb="FFFFFFFF"/>
        <rFont val="WenQuanYi Zen Hei"/>
        <family val="2"/>
      </rPr>
      <t xml:space="preserve">잔존</t>
    </r>
    <r>
      <rPr>
        <b val="true"/>
        <sz val="10"/>
        <color rgb="FFFFFFFF"/>
        <rFont val="Arial"/>
        <family val="0"/>
        <charset val="1"/>
      </rPr>
      <t xml:space="preserve">3Y</t>
    </r>
  </si>
  <si>
    <r>
      <rPr>
        <b val="true"/>
        <sz val="10"/>
        <color rgb="FFFFFFFF"/>
        <rFont val="WenQuanYi Zen Hei"/>
        <family val="2"/>
      </rPr>
      <t xml:space="preserve">회사채 </t>
    </r>
    <r>
      <rPr>
        <b val="true"/>
        <sz val="10"/>
        <color rgb="FFFFFFFF"/>
        <rFont val="Arial"/>
        <family val="0"/>
        <charset val="1"/>
      </rPr>
      <t xml:space="preserve">R&amp;I AAA
</t>
    </r>
    <r>
      <rPr>
        <b val="true"/>
        <sz val="10"/>
        <color rgb="FFFFFFFF"/>
        <rFont val="WenQuanYi Zen Hei"/>
        <family val="2"/>
      </rPr>
      <t xml:space="preserve">잔존</t>
    </r>
    <r>
      <rPr>
        <b val="true"/>
        <sz val="10"/>
        <color rgb="FFFFFFFF"/>
        <rFont val="Arial"/>
        <family val="0"/>
        <charset val="1"/>
      </rPr>
      <t xml:space="preserve">3Y(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</si>
  <si>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스프레드
</t>
    </r>
    <r>
      <rPr>
        <b val="true"/>
        <sz val="10"/>
        <color rgb="FFFFFFFF"/>
        <rFont val="Arial"/>
        <family val="0"/>
        <charset val="1"/>
      </rPr>
      <t xml:space="preserve">AA−JGB</t>
    </r>
  </si>
  <si>
    <r>
      <rPr>
        <b val="true"/>
        <sz val="10"/>
        <color rgb="FFFFFFFF"/>
        <rFont val="Arial"/>
        <family val="0"/>
        <charset val="1"/>
      </rPr>
      <t xml:space="preserve">LPR 1Y
(</t>
    </r>
    <r>
      <rPr>
        <b val="true"/>
        <sz val="10"/>
        <color rgb="FFFFFFFF"/>
        <rFont val="WenQuanYi Zen Hei"/>
        <family val="2"/>
      </rPr>
      <t xml:space="preserve">월말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</si>
  <si>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국채 </t>
    </r>
    <r>
      <rPr>
        <b val="true"/>
        <sz val="10"/>
        <color rgb="FFFFFFFF"/>
        <rFont val="Arial"/>
        <family val="0"/>
        <charset val="1"/>
      </rPr>
      <t xml:space="preserve">3Y</t>
    </r>
  </si>
  <si>
    <r>
      <rPr>
        <b val="true"/>
        <sz val="10"/>
        <color rgb="FFFFFFFF"/>
        <rFont val="WenQuanYi Zen Hei"/>
        <family val="2"/>
      </rPr>
      <t xml:space="preserve">상업은행채
</t>
    </r>
    <r>
      <rPr>
        <b val="true"/>
        <sz val="10"/>
        <color rgb="FFFFFFFF"/>
        <rFont val="Arial"/>
        <family val="0"/>
        <charset val="1"/>
      </rPr>
      <t xml:space="preserve">AAA 3Y</t>
    </r>
  </si>
  <si>
    <r>
      <rPr>
        <b val="true"/>
        <sz val="10"/>
        <color rgb="FFFFFFFF"/>
        <rFont val="Arial"/>
        <family val="0"/>
        <charset val="1"/>
      </rPr>
      <t xml:space="preserve">MTN AAA 3Y
(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</si>
  <si>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스프레드
은행</t>
    </r>
    <r>
      <rPr>
        <b val="true"/>
        <sz val="10"/>
        <color rgb="FFFFFFFF"/>
        <rFont val="Arial"/>
        <family val="0"/>
        <charset val="1"/>
      </rPr>
      <t xml:space="preserve">AAA−</t>
    </r>
    <r>
      <rPr>
        <b val="true"/>
        <sz val="10"/>
        <color rgb="FFFFFFFF"/>
        <rFont val="WenQuanYi Zen Hei"/>
        <family val="2"/>
      </rPr>
      <t xml:space="preserve">국채</t>
    </r>
  </si>
  <si>
    <r>
      <rPr>
        <b val="true"/>
        <sz val="10"/>
        <color rgb="FFFFFFFF"/>
        <rFont val="WenQuanYi Zen Hei"/>
        <family val="2"/>
      </rPr>
      <t xml:space="preserve">재할인율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월말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</si>
  <si>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VGB 3Y</t>
  </si>
  <si>
    <r>
      <rPr>
        <b val="true"/>
        <sz val="10"/>
        <color rgb="FFFFFFFF"/>
        <rFont val="WenQuanYi Zen Hei"/>
        <family val="2"/>
      </rPr>
      <t xml:space="preserve">은행채 발행금리
선순위고정</t>
    </r>
    <r>
      <rPr>
        <b val="true"/>
        <sz val="10"/>
        <color rgb="FFFFFFFF"/>
        <rFont val="Arial"/>
        <family val="0"/>
        <charset val="1"/>
      </rPr>
      <t xml:space="preserve">2~4Y
(</t>
    </r>
    <r>
      <rPr>
        <b val="true"/>
        <sz val="10"/>
        <color rgb="FFFFFFFF"/>
        <rFont val="WenQuanYi Zen Hei"/>
        <family val="2"/>
      </rPr>
      <t xml:space="preserve">가중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</si>
  <si>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발행
건수</t>
  </si>
  <si>
    <r>
      <rPr>
        <b val="true"/>
        <sz val="10"/>
        <color rgb="FFFFFFFF"/>
        <rFont val="WenQuanYi Zen Hei"/>
        <family val="2"/>
      </rPr>
      <t xml:space="preserve">스프레드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동일만기 국채대비</t>
    </r>
    <r>
      <rPr>
        <b val="true"/>
        <sz val="10"/>
        <color rgb="FFFFFFFF"/>
        <rFont val="Arial"/>
        <family val="0"/>
        <charset val="1"/>
      </rPr>
      <t xml:space="preserve">,
</t>
    </r>
    <r>
      <rPr>
        <b val="true"/>
        <sz val="10"/>
        <color rgb="FFFFFFFF"/>
        <rFont val="WenQuanYi Zen Hei"/>
        <family val="2"/>
      </rPr>
      <t xml:space="preserve">가중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</si>
  <si>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Big4 </t>
    </r>
    <r>
      <rPr>
        <b val="true"/>
        <sz val="10"/>
        <color rgb="FFFFFFFF"/>
        <rFont val="WenQuanYi Zen Hei"/>
        <family val="2"/>
      </rPr>
      <t xml:space="preserve">선순위
고정 발행금리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가중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</si>
  <si>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Big4
</t>
    </r>
    <r>
      <rPr>
        <b val="true"/>
        <sz val="10"/>
        <color rgb="FFFFFFFF"/>
        <rFont val="WenQuanYi Zen Hei"/>
        <family val="2"/>
      </rPr>
      <t xml:space="preserve">스프레드</t>
    </r>
  </si>
  <si>
    <r>
      <rPr>
        <b val="true"/>
        <sz val="10"/>
        <color rgb="FFFFFFFF"/>
        <rFont val="WenQuanYi Zen Hei"/>
        <family val="2"/>
      </rPr>
      <t xml:space="preserve">기준금리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월말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</si>
  <si>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국채지수
</t>
    </r>
    <r>
      <rPr>
        <b val="true"/>
        <sz val="10"/>
        <color rgb="FFFFFFFF"/>
        <rFont val="Arial"/>
        <family val="0"/>
        <charset val="1"/>
      </rPr>
      <t xml:space="preserve">1~5Y</t>
    </r>
  </si>
  <si>
    <r>
      <rPr>
        <b val="true"/>
        <sz val="10"/>
        <color rgb="FFFFFFFF"/>
        <rFont val="WenQuanYi Zen Hei"/>
        <family val="2"/>
      </rPr>
      <t xml:space="preserve">국채 </t>
    </r>
    <r>
      <rPr>
        <b val="true"/>
        <sz val="10"/>
        <color rgb="FFFFFFFF"/>
        <rFont val="Arial"/>
        <family val="0"/>
        <charset val="1"/>
      </rPr>
      <t xml:space="preserve">3Y
(WGB,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</si>
  <si>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회사채지수
</t>
    </r>
    <r>
      <rPr>
        <b val="true"/>
        <sz val="10"/>
        <color rgb="FFFFFFFF"/>
        <rFont val="Arial"/>
        <family val="0"/>
        <charset val="1"/>
      </rPr>
      <t xml:space="preserve">KASE_BMY</t>
    </r>
  </si>
  <si>
    <r>
      <rPr>
        <b val="true"/>
        <sz val="10"/>
        <color rgb="FFFFFFFF"/>
        <rFont val="Arial"/>
        <family val="0"/>
        <charset val="1"/>
      </rPr>
      <t xml:space="preserve">BBB-</t>
    </r>
    <r>
      <rPr>
        <b val="true"/>
        <sz val="10"/>
        <color rgb="FFFFFFFF"/>
        <rFont val="WenQuanYi Zen Hei"/>
        <family val="2"/>
      </rPr>
      <t xml:space="preserve">이상 회사채
</t>
    </r>
    <r>
      <rPr>
        <b val="true"/>
        <sz val="10"/>
        <color rgb="FFFFFFFF"/>
        <rFont val="Arial"/>
        <family val="0"/>
        <charset val="1"/>
      </rPr>
      <t xml:space="preserve">KASE_KZ3_Y</t>
    </r>
  </si>
  <si>
    <r>
      <rPr>
        <b val="true"/>
        <sz val="10"/>
        <color rgb="FFFFFFFF"/>
        <rFont val="WenQuanYi Zen Hei"/>
        <family val="2"/>
      </rPr>
      <t xml:space="preserve">스프레드
</t>
    </r>
    <r>
      <rPr>
        <b val="true"/>
        <sz val="10"/>
        <color rgb="FFFFFFFF"/>
        <rFont val="Arial"/>
        <family val="0"/>
        <charset val="1"/>
      </rPr>
      <t xml:space="preserve">BMY−</t>
    </r>
    <r>
      <rPr>
        <b val="true"/>
        <sz val="10"/>
        <color rgb="FFFFFFFF"/>
        <rFont val="WenQuanYi Zen Hei"/>
        <family val="2"/>
      </rPr>
      <t xml:space="preserve">국채</t>
    </r>
    <r>
      <rPr>
        <b val="true"/>
        <sz val="10"/>
        <color rgb="FFFFFFFF"/>
        <rFont val="Arial"/>
        <family val="0"/>
        <charset val="1"/>
      </rPr>
      <t xml:space="preserve">1~5Y</t>
    </r>
  </si>
  <si>
    <r>
      <rPr>
        <b val="true"/>
        <sz val="10"/>
        <color rgb="FFFFFFFF"/>
        <rFont val="Arial"/>
        <family val="0"/>
        <charset val="1"/>
      </rPr>
      <t xml:space="preserve">TONIA
(</t>
    </r>
    <r>
      <rPr>
        <b val="true"/>
        <sz val="10"/>
        <color rgb="FFFFFFFF"/>
        <rFont val="WenQuanYi Zen Hei"/>
        <family val="2"/>
      </rPr>
      <t xml:space="preserve">월평균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</si>
  <si>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노란 행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측정 기준월</t>
    </r>
    <r>
      <rPr>
        <i val="true"/>
        <sz val="9"/>
        <color rgb="FF595959"/>
        <rFont val="Arial"/>
        <family val="0"/>
        <charset val="1"/>
      </rPr>
      <t xml:space="preserve">(2025.12). </t>
    </r>
    <r>
      <rPr>
        <i val="true"/>
        <sz val="9"/>
        <color rgb="FF595959"/>
        <rFont val="WenQuanYi Zen Hei"/>
        <family val="2"/>
      </rPr>
      <t xml:space="preserve">일본 회사채 등급별 수익률은 월 </t>
    </r>
    <r>
      <rPr>
        <i val="true"/>
        <sz val="9"/>
        <color rgb="FF595959"/>
        <rFont val="Arial"/>
        <family val="0"/>
        <charset val="1"/>
      </rPr>
      <t xml:space="preserve">1~4</t>
    </r>
    <r>
      <rPr>
        <i val="true"/>
        <sz val="9"/>
        <color rgb="FF595959"/>
        <rFont val="WenQuanYi Zen Hei"/>
        <family val="2"/>
      </rPr>
      <t xml:space="preserve">영업일 샘플 평균</t>
    </r>
    <r>
      <rPr>
        <i val="true"/>
        <sz val="9"/>
        <color rgb="FF595959"/>
        <rFont val="Arial"/>
        <family val="0"/>
        <charset val="1"/>
      </rPr>
      <t xml:space="preserve">(2025.12</t>
    </r>
    <r>
      <rPr>
        <i val="true"/>
        <sz val="9"/>
        <color rgb="FF595959"/>
        <rFont val="WenQuanYi Zen Hei"/>
        <family val="2"/>
      </rPr>
      <t xml:space="preserve">는 전 영업일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카자흐 국채지수는 </t>
    </r>
    <r>
      <rPr>
        <i val="true"/>
        <sz val="9"/>
        <color rgb="FF595959"/>
        <rFont val="Arial"/>
        <family val="0"/>
        <charset val="1"/>
      </rPr>
      <t xml:space="preserve">2022.03</t>
    </r>
    <r>
      <rPr>
        <i val="true"/>
        <sz val="9"/>
        <color rgb="FF595959"/>
        <rFont val="WenQuanYi Zen Hei"/>
        <family val="2"/>
      </rPr>
      <t xml:space="preserve">부터</t>
    </r>
    <r>
      <rPr>
        <i val="true"/>
        <sz val="9"/>
        <color rgb="FF595959"/>
        <rFont val="Arial"/>
        <family val="0"/>
        <charset val="1"/>
      </rPr>
      <t xml:space="preserve">, KASE_KZ3_Y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Arial"/>
        <family val="0"/>
        <charset val="1"/>
      </rPr>
      <t xml:space="preserve">2026.04</t>
    </r>
    <r>
      <rPr>
        <i val="true"/>
        <sz val="9"/>
        <color rgb="FF595959"/>
        <rFont val="WenQuanYi Zen Hei"/>
        <family val="2"/>
      </rPr>
      <t xml:space="preserve">부터 제공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베트남 은행채는 발행이 없는 달 공란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</si>
  <si>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분기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연도별 평균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월별 시트의 월평균을 평균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정책금리는 기말값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베트남 은행채는 기간 발행액 가중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</si>
  <si>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분기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해당 분기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개월 월평균의 평균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연도 행의 </t>
    </r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은 상반기</t>
    </r>
    <r>
      <rPr>
        <i val="true"/>
        <sz val="9"/>
        <color rgb="FF595959"/>
        <rFont val="Arial"/>
        <family val="0"/>
        <charset val="1"/>
      </rPr>
      <t xml:space="preserve">(1~6</t>
    </r>
    <r>
      <rPr>
        <i val="true"/>
        <sz val="9"/>
        <color rgb="FF595959"/>
        <rFont val="WenQuanYi Zen Hei"/>
        <family val="2"/>
      </rPr>
      <t xml:space="preserve">월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</si>
  <si>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기간</t>
  </si>
  <si>
    <t xml:space="preserve">기말일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</si>
  <si>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</si>
  <si>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</si>
  <si>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</si>
  <si>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</si>
  <si>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</si>
  <si>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</si>
  <si>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</si>
  <si>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</si>
  <si>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</si>
  <si>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</si>
  <si>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</si>
  <si>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</si>
  <si>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</si>
  <si>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</si>
  <si>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</si>
  <si>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</si>
  <si>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</si>
  <si>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</si>
  <si>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</si>
  <si>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</si>
  <si>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</si>
  <si>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</si>
  <si>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연도별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</si>
  <si>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</si>
  <si>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</si>
  <si>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</si>
  <si>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</si>
  <si>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</si>
  <si>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0"/>
        <color rgb="FF0000FF"/>
        <rFont val="Arial"/>
        <family val="0"/>
        <charset val="1"/>
      </rPr>
      <t xml:space="preserve">2026(</t>
    </r>
    <r>
      <rPr>
        <sz val="10"/>
        <color rgb="FF0000FF"/>
        <rFont val="WenQuanYi Zen Hei"/>
        <family val="2"/>
      </rPr>
      <t xml:space="preserve">상반기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</si>
  <si>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베트남 은행채 발행 내역 </t>
    </r>
    <r>
      <rPr>
        <b val="true"/>
        <sz val="10"/>
        <rFont val="Arial"/>
        <family val="0"/>
        <charset val="1"/>
      </rPr>
      <t xml:space="preserve">(VBMA </t>
    </r>
    <r>
      <rPr>
        <b val="true"/>
        <sz val="10"/>
        <rFont val="WenQuanYi Zen Hei"/>
        <family val="2"/>
      </rPr>
      <t xml:space="preserve">월간보고서 부록 – 회사채 발행 목록 중 은행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</si>
  <si>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VBMA </t>
    </r>
    <r>
      <rPr>
        <i val="true"/>
        <sz val="9"/>
        <color rgb="FF595959"/>
        <rFont val="WenQuanYi Zen Hei"/>
        <family val="2"/>
      </rPr>
      <t xml:space="preserve">월간 채권시장 보고서 부록</t>
    </r>
    <r>
      <rPr>
        <i val="true"/>
        <sz val="9"/>
        <color rgb="FF595959"/>
        <rFont val="Arial"/>
        <family val="0"/>
        <charset val="1"/>
      </rPr>
      <t xml:space="preserve">(https://vbma.org.vn/vi/reports/monthly), HNX·SSC </t>
    </r>
    <r>
      <rPr>
        <i val="true"/>
        <sz val="9"/>
        <color rgb="FF595959"/>
        <rFont val="WenQuanYi Zen Hei"/>
        <family val="2"/>
      </rPr>
      <t xml:space="preserve">공시 집계</t>
    </r>
    <r>
      <rPr>
        <i val="true"/>
        <sz val="9"/>
        <color rgb="FF595959"/>
        <rFont val="Arial"/>
        <family val="0"/>
        <charset val="1"/>
      </rPr>
      <t xml:space="preserve">. 2021~2022</t>
    </r>
    <r>
      <rPr>
        <i val="true"/>
        <sz val="9"/>
        <color rgb="FF595959"/>
        <rFont val="WenQuanYi Zen Hei"/>
        <family val="2"/>
      </rPr>
      <t xml:space="preserve">년 일부 월은 보고서 양식 차이로 미수록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콜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후순위 추정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조기상환</t>
    </r>
    <r>
      <rPr>
        <i val="true"/>
        <sz val="9"/>
        <color rgb="FF595959"/>
        <rFont val="Arial"/>
        <family val="0"/>
        <charset val="1"/>
      </rPr>
      <t xml:space="preserve">(MUA LẠI) </t>
    </r>
    <r>
      <rPr>
        <i val="true"/>
        <sz val="9"/>
        <color rgb="FF595959"/>
        <rFont val="WenQuanYi Zen Hei"/>
        <family val="2"/>
      </rPr>
      <t xml:space="preserve">조건 또는 만기 </t>
    </r>
    <r>
      <rPr>
        <i val="true"/>
        <sz val="9"/>
        <color rgb="FF595959"/>
        <rFont val="Arial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년 이상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국채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보간</t>
    </r>
    <r>
      <rPr>
        <i val="true"/>
        <sz val="9"/>
        <color rgb="FF595959"/>
        <rFont val="Arial"/>
        <family val="0"/>
        <charset val="1"/>
      </rPr>
      <t xml:space="preserve">)=</t>
    </r>
    <r>
      <rPr>
        <i val="true"/>
        <sz val="9"/>
        <color rgb="FF595959"/>
        <rFont val="WenQuanYi Zen Hei"/>
        <family val="2"/>
      </rPr>
      <t xml:space="preserve">발행일 </t>
    </r>
    <r>
      <rPr>
        <i val="true"/>
        <sz val="9"/>
        <color rgb="FF595959"/>
        <rFont val="Arial"/>
        <family val="0"/>
        <charset val="1"/>
      </rPr>
      <t xml:space="preserve">VGB </t>
    </r>
    <r>
      <rPr>
        <i val="true"/>
        <sz val="9"/>
        <color rgb="FF595959"/>
        <rFont val="WenQuanYi Zen Hei"/>
        <family val="2"/>
      </rPr>
      <t xml:space="preserve">곡선을 만기에 선형보간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</si>
  <si>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보고월</t>
  </si>
  <si>
    <t xml:space="preserve">발행일</t>
  </si>
  <si>
    <t xml:space="preserve">발행월</t>
  </si>
  <si>
    <t xml:space="preserve">은행</t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</si>
  <si>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</si>
  <si>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발행사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</si>
  <si>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코드</t>
  </si>
  <si>
    <r>
      <rPr>
        <b val="true"/>
        <sz val="10"/>
        <color rgb="FFFFFFFF"/>
        <rFont val="WenQuanYi Zen Hei"/>
        <family val="2"/>
      </rPr>
      <t xml:space="preserve">발행액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십억</t>
    </r>
    <r>
      <rPr>
        <b val="true"/>
        <sz val="10"/>
        <color rgb="FFFFFFFF"/>
        <rFont val="Arial"/>
        <family val="0"/>
        <charset val="1"/>
      </rPr>
      <t xml:space="preserve">VND)</t>
    </r>
  </si>
  <si>
    <r>
      <rPr>
        <b val="true"/>
        <sz val="10"/>
        <color rgb="FFFFFFFF"/>
        <rFont val="WenQuanYi Zen Hei"/>
        <family val="2"/>
      </rPr>
      <t xml:space="preserve">만기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</si>
  <si>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금리유형</t>
  </si>
  <si>
    <t xml:space="preserve">고정금리</t>
  </si>
  <si>
    <t xml:space="preserve">변동 초기금리</t>
  </si>
  <si>
    <r>
      <rPr>
        <b val="true"/>
        <sz val="10"/>
        <color rgb="FFFFFFFF"/>
        <rFont val="WenQuanYi Zen Hei"/>
        <family val="2"/>
      </rPr>
      <t xml:space="preserve">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후순위 추정</t>
    </r>
  </si>
  <si>
    <r>
      <rPr>
        <b val="true"/>
        <sz val="10"/>
        <color rgb="FFFFFFFF"/>
        <rFont val="WenQuanYi Zen Hei"/>
        <family val="2"/>
      </rPr>
      <t xml:space="preserve">금리조건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</si>
  <si>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동일만기 국채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보간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</si>
  <si>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스프레드</t>
  </si>
  <si>
    <r>
      <rPr>
        <b val="true"/>
        <sz val="10"/>
        <color rgb="FFFFFFFF"/>
        <rFont val="WenQuanYi Zen Hei"/>
        <family val="2"/>
      </rPr>
      <t xml:space="preserve">선순위 고정 </t>
    </r>
    <r>
      <rPr>
        <b val="true"/>
        <sz val="10"/>
        <color rgb="FFFFFFFF"/>
        <rFont val="Arial"/>
        <family val="0"/>
        <charset val="1"/>
      </rPr>
      <t xml:space="preserve">2~4Y</t>
    </r>
  </si>
  <si>
    <t xml:space="preserve">가중금리 보조</t>
  </si>
  <si>
    <t xml:space="preserve">가중스프레드 보조</t>
  </si>
  <si>
    <r>
      <rPr>
        <b val="true"/>
        <sz val="10"/>
        <color rgb="FFFFFFFF"/>
        <rFont val="Arial"/>
        <family val="0"/>
        <charset val="1"/>
      </rPr>
      <t xml:space="preserve">Big4 </t>
    </r>
    <r>
      <rPr>
        <b val="true"/>
        <sz val="10"/>
        <color rgb="FFFFFFFF"/>
        <rFont val="WenQuanYi Zen Hei"/>
        <family val="2"/>
      </rPr>
      <t xml:space="preserve">선순위 고정</t>
    </r>
  </si>
  <si>
    <r>
      <rPr>
        <b val="true"/>
        <sz val="10"/>
        <color rgb="FFFFFFFF"/>
        <rFont val="Arial"/>
        <family val="0"/>
        <charset val="1"/>
      </rPr>
      <t xml:space="preserve">Big4 </t>
    </r>
    <r>
      <rPr>
        <b val="true"/>
        <sz val="10"/>
        <color rgb="FFFFFFFF"/>
        <rFont val="WenQuanYi Zen Hei"/>
        <family val="2"/>
      </rPr>
      <t xml:space="preserve">가중금리 보조</t>
    </r>
  </si>
  <si>
    <r>
      <rPr>
        <b val="true"/>
        <sz val="10"/>
        <color rgb="FFFFFFFF"/>
        <rFont val="Arial"/>
        <family val="0"/>
        <charset val="1"/>
      </rPr>
      <t xml:space="preserve">Big4 </t>
    </r>
    <r>
      <rPr>
        <b val="true"/>
        <sz val="10"/>
        <color rgb="FFFFFFFF"/>
        <rFont val="WenQuanYi Zen Hei"/>
        <family val="2"/>
      </rPr>
      <t xml:space="preserve">가중스프레드 보조</t>
    </r>
  </si>
  <si>
    <t xml:space="preserve">스프레드 분모 보조</t>
  </si>
  <si>
    <r>
      <rPr>
        <b val="true"/>
        <sz val="10"/>
        <color rgb="FFFFFFFF"/>
        <rFont val="Arial"/>
        <family val="0"/>
        <charset val="1"/>
      </rPr>
      <t xml:space="preserve">Big4 </t>
    </r>
    <r>
      <rPr>
        <b val="true"/>
        <sz val="10"/>
        <color rgb="FFFFFFFF"/>
        <rFont val="WenQuanYi Zen Hei"/>
        <family val="2"/>
      </rPr>
      <t xml:space="preserve">스프레드 분모 보조</t>
    </r>
  </si>
  <si>
    <t xml:space="preserve">2021-08</t>
  </si>
  <si>
    <t xml:space="preserve">BVBank</t>
  </si>
  <si>
    <t xml:space="preserve">민간</t>
  </si>
  <si>
    <t xml:space="preserve">NHTMCP BẢN VIỆT</t>
  </si>
  <si>
    <t xml:space="preserve">BVBLH2128001</t>
  </si>
  <si>
    <t xml:space="preserve">고정</t>
  </si>
  <si>
    <t xml:space="preserve">Y</t>
  </si>
  <si>
    <t xml:space="preserve">7.6%/NĂM</t>
  </si>
  <si>
    <t xml:space="preserve">MSB</t>
  </si>
  <si>
    <t xml:space="preserve">NHTMCP HÀNG HẢI VIỆT NAM</t>
  </si>
  <si>
    <t xml:space="preserve">MSBL2124005</t>
  </si>
  <si>
    <t xml:space="preserve">N</t>
  </si>
  <si>
    <t xml:space="preserve">3.7%/năm</t>
  </si>
  <si>
    <t xml:space="preserve">VIB</t>
  </si>
  <si>
    <t xml:space="preserve">NHTMCP QUỐC tế Việt Nam</t>
  </si>
  <si>
    <t xml:space="preserve">VIBL2128010</t>
  </si>
  <si>
    <r>
      <rPr>
        <sz val="10"/>
        <color rgb="FF0000FF"/>
        <rFont val="WenQuanYi Zen Hei"/>
        <family val="2"/>
      </rPr>
      <t xml:space="preserve">변동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혼합</t>
    </r>
  </si>
  <si>
    <t xml:space="preserve">TBC LSTK 12T (VCB, BID, CTG, AGR) + 2%/NĂM, TỪ NĂM THỨ 6 (NẾU KHÔNG MUA LẠI) = LSTC + 3.5%/NĂM (LSPH: 7.575%)</t>
  </si>
  <si>
    <t xml:space="preserve">BIDV</t>
  </si>
  <si>
    <r>
      <rPr>
        <sz val="10"/>
        <color rgb="FF0000FF"/>
        <rFont val="Arial"/>
        <family val="0"/>
        <charset val="1"/>
      </rPr>
      <t xml:space="preserve">Big4(</t>
    </r>
    <r>
      <rPr>
        <sz val="10"/>
        <color rgb="FF0000FF"/>
        <rFont val="WenQuanYi Zen Hei"/>
        <family val="2"/>
      </rPr>
      <t xml:space="preserve">국영</t>
    </r>
    <r>
      <rPr>
        <sz val="10"/>
        <color rgb="FF0000FF"/>
        <rFont val="Arial"/>
        <family val="0"/>
        <charset val="1"/>
      </rPr>
      <t xml:space="preserve">)</t>
    </r>
  </si>
  <si>
    <t xml:space="preserve">NHTMCP ĐẦU TƯ VÀ PHÁT TRIỂN VIỆT NAM</t>
  </si>
  <si>
    <t xml:space="preserve">BIDL2129026</t>
  </si>
  <si>
    <t xml:space="preserve">LSTK 12T 4 NH (AGRIBANK, BIDV, CTG, VCB) + 0.9%/NĂM, TỪ NĂM THỨ 6 (NẾU KHÔNG MUA LẠI): = LSTC + 2.57%/NĂM (LSPH: 6.45%)</t>
  </si>
  <si>
    <t xml:space="preserve">MB</t>
  </si>
  <si>
    <t xml:space="preserve">NHTMCP QUÂN ĐỘI</t>
  </si>
  <si>
    <t xml:space="preserve">MBBH2128002</t>
  </si>
  <si>
    <t xml:space="preserve">LS THẢ NỔI = TBC LSTK 12T 4 NH (BID, VCB, CTG, AGR) + 1.7%/năm.</t>
  </si>
  <si>
    <r>
      <rPr>
        <sz val="10"/>
        <color rgb="FF0000FF"/>
        <rFont val="WenQuanYi Zen Hei"/>
        <family val="2"/>
      </rPr>
      <t xml:space="preserve">보고월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일로 대체</t>
    </r>
  </si>
  <si>
    <t xml:space="preserve">BVBLH2128002</t>
  </si>
  <si>
    <t xml:space="preserve">ABBank</t>
  </si>
  <si>
    <t xml:space="preserve">NHTMCP AN BÌNH</t>
  </si>
  <si>
    <t xml:space="preserve">ABBL2123009</t>
  </si>
  <si>
    <t xml:space="preserve">3.5%/NĂM</t>
  </si>
  <si>
    <t xml:space="preserve">NHTMCP QUỐC TẾ VIỆT NAM</t>
  </si>
  <si>
    <t xml:space="preserve">VIB2128011</t>
  </si>
  <si>
    <t xml:space="preserve">5 NĂM ĐẦU: LSTK 12T 4 NH (CTG, BIDV, VCB, AGR) + 2.0%, TỪ NĂM THỨ 6, + 3.5%/NĂM (LSPH: 7.575%)</t>
  </si>
  <si>
    <t xml:space="preserve">VietinBank</t>
  </si>
  <si>
    <t xml:space="preserve">NHTMCP CÔNG THƯƠNG VIỆT NAM</t>
  </si>
  <si>
    <t xml:space="preserve">CTGL2129008</t>
  </si>
  <si>
    <t xml:space="preserve">LS THẢ NỔI = TBC LSTK 12T 4 NH (BID, VCB, CTG, AGR) + 0.9%/năm. (LSPH thực tế: 6.43%)</t>
  </si>
  <si>
    <t xml:space="preserve">BIDL2129025</t>
  </si>
  <si>
    <t xml:space="preserve">LS THẢ NỔI = TBC LSTK 12T 4 NH (BID, VCB, CTG, AGR) + 0.9%/năm. TỪ NĂM THỨ 6 (NẾU KHÔNG MUA LẠI) = LSTC + 2.57%/NĂM (LSPH thực tế: 6.43%)</t>
  </si>
  <si>
    <t xml:space="preserve">VIBL2128012</t>
  </si>
  <si>
    <t xml:space="preserve">LS THẢ NỔI = TBC LSTK 12T 4 NH (BID, VCB, CTG, AGR) + 2.0%/năm. TỪ NĂM THỨ 6 (NẾU KHÔNG MUA LẠI) = LSTC + 3.5%/NĂM (LSPH thực tế: 7.575%)</t>
  </si>
  <si>
    <t xml:space="preserve">OCB</t>
  </si>
  <si>
    <t xml:space="preserve">NHTMCP PHƯƠNG ĐÔNG</t>
  </si>
  <si>
    <t xml:space="preserve">OCBL2124006</t>
  </si>
  <si>
    <t xml:space="preserve">OCBL2124005</t>
  </si>
  <si>
    <t xml:space="preserve">VIB2125013</t>
  </si>
  <si>
    <t xml:space="preserve">3.8%/NĂM</t>
  </si>
  <si>
    <t xml:space="preserve">CTGL2128009</t>
  </si>
  <si>
    <t xml:space="preserve">LS THẢ NỔI = TBC LSTK 12T 4 NH (BID, VCB, CTG, AGR) + 0.6%/năm. (LSPH thực tế: 6.13%)</t>
  </si>
  <si>
    <t xml:space="preserve">NHTMCP QUốc tế Việt Nam</t>
  </si>
  <si>
    <t xml:space="preserve">VIBL2125014</t>
  </si>
  <si>
    <t xml:space="preserve">SHB</t>
  </si>
  <si>
    <t xml:space="preserve">NHTMCP SÀI GÒN HÀ NỘI</t>
  </si>
  <si>
    <t xml:space="preserve">SHBH2123006</t>
  </si>
  <si>
    <t xml:space="preserve">4.2%/NĂM</t>
  </si>
  <si>
    <t xml:space="preserve">SHBH2123007</t>
  </si>
  <si>
    <t xml:space="preserve">VPBank</t>
  </si>
  <si>
    <t xml:space="preserve">NHTMCP Việt Nam Thịnh Vượng</t>
  </si>
  <si>
    <t xml:space="preserve">VPBL2125022</t>
  </si>
  <si>
    <t xml:space="preserve">4%/năm</t>
  </si>
  <si>
    <t xml:space="preserve">BIDL2136027</t>
  </si>
  <si>
    <t xml:space="preserve">6.9%/năm (nếu năm 11 chưa mua lại, ls = 7.9%/năm)</t>
  </si>
  <si>
    <t xml:space="preserve">VPBL2124023</t>
  </si>
  <si>
    <t xml:space="preserve">3.9%/NĂM</t>
  </si>
  <si>
    <t xml:space="preserve">MBBL2128003</t>
  </si>
  <si>
    <t xml:space="preserve">7.1%/NĂM: 5 NĂM ĐẦU, TỪ NĂM THỨ 6 (NẾU KHÔNG MUA LẠI) = 7.8%/NĂM</t>
  </si>
  <si>
    <t xml:space="preserve">MBBL2128001</t>
  </si>
  <si>
    <t xml:space="preserve">LS THẢ NỔI = TBC LSTK 12T 4 NH (BID, VCB, CTG, AGR) + 1.7%/năm. (LSPH thực tế: 7.225%)</t>
  </si>
  <si>
    <t xml:space="preserve">2021-11</t>
  </si>
  <si>
    <t xml:space="preserve">NHTM CP QUÂN ĐỘI</t>
  </si>
  <si>
    <t xml:space="preserve">MBBL2128012</t>
  </si>
  <si>
    <t xml:space="preserve">5 NĂM ĐẦU = LSTK VND 12T (VCB, BIDV, VIETIN, AGRI) + 1.5%/NĂM, NĂM THỨ 6,7 = LSTK VND 12T (VCB, BIDV, VIETIN, AGRI) + 2.2%/NĂM</t>
  </si>
  <si>
    <t xml:space="preserve">NH TMCP QUỐC TẾ VIỆT NAM</t>
  </si>
  <si>
    <t xml:space="preserve">VIBL2125018</t>
  </si>
  <si>
    <t xml:space="preserve">VIBL2125019</t>
  </si>
  <si>
    <t xml:space="preserve">Nam A Bank</t>
  </si>
  <si>
    <t xml:space="preserve">NH TMCP ĐÔNG NAM Á</t>
  </si>
  <si>
    <t xml:space="preserve">SSBH2124008</t>
  </si>
  <si>
    <t xml:space="preserve">3.7%/NĂM</t>
  </si>
  <si>
    <t xml:space="preserve">SSBH2124009</t>
  </si>
  <si>
    <t xml:space="preserve">NH TMCP QUÂN ĐỘI</t>
  </si>
  <si>
    <t xml:space="preserve">MBBL2128013</t>
  </si>
  <si>
    <t xml:space="preserve">LSTK VND 12T (VCB, BIDV, AGRI, VIETIN) + 1.5%/NĂM, NẾU MUA LẠI TRƯỚC HẠN: LS CHO NĂM THỨ 6 VÀ THỨ 7 = LSTK VND 12T (VCB, BIDV, AGRI, VIETIN) + 2.2%/NĂM</t>
  </si>
  <si>
    <t xml:space="preserve">VietBank</t>
  </si>
  <si>
    <t xml:space="preserve">NH TMCP VIỆT NAM THƯƠNG TÍN</t>
  </si>
  <si>
    <t xml:space="preserve">VBBL2128004</t>
  </si>
  <si>
    <t xml:space="preserve">5 NĂM ĐẦU = LSTK VND 12T (VCB, BIDV, AGRI, VIETIN) + 2.5%/NĂM, 2 NĂM CUỐI = LSTK VND 12T (VCB, BIDV, AGRI, VIETIN) + 3.5%/NĂM</t>
  </si>
  <si>
    <t xml:space="preserve">NH TMCP AN BÌNH</t>
  </si>
  <si>
    <t xml:space="preserve">ABBL2124014</t>
  </si>
  <si>
    <t xml:space="preserve">3%/NĂM</t>
  </si>
  <si>
    <t xml:space="preserve">Vietcombank</t>
  </si>
  <si>
    <t xml:space="preserve">NH TMCP NGOẠI THƯƠNG VIỆT NAM</t>
  </si>
  <si>
    <t xml:space="preserve">VCBH2131001</t>
  </si>
  <si>
    <t xml:space="preserve">5 NĂM ĐẦU = 6.7%/NĂM, 5 NĂM SAU = 6.9%/NĂM</t>
  </si>
  <si>
    <t xml:space="preserve">2021-12</t>
  </si>
  <si>
    <t xml:space="preserve">NH TMCP PHƯƠNG ĐÔNG</t>
  </si>
  <si>
    <t xml:space="preserve">OCBL2124009</t>
  </si>
  <si>
    <t xml:space="preserve">3.2%/NĂM</t>
  </si>
  <si>
    <t xml:space="preserve">VCBH2128006</t>
  </si>
  <si>
    <t xml:space="preserve">0.6% + LSTC</t>
  </si>
  <si>
    <t xml:space="preserve">VCBH2131007</t>
  </si>
  <si>
    <t xml:space="preserve">1% + LSTC</t>
  </si>
  <si>
    <t xml:space="preserve">LPBank</t>
  </si>
  <si>
    <t xml:space="preserve">NH TMCP BƯU ĐIỆN LIÊN VIỆT</t>
  </si>
  <si>
    <t xml:space="preserve">LPBH2123013</t>
  </si>
  <si>
    <t xml:space="preserve">OCBL2124010</t>
  </si>
  <si>
    <t xml:space="preserve">MBBL2128015</t>
  </si>
  <si>
    <t xml:space="preserve">7.1%/NĂM, NẾU KHÔNG MUA LẠI TRƯỚC HẠN THÌ LÃI SUẤT CHO NĂM THỨ 6 VÀ 7 = 7.8%/NĂM</t>
  </si>
  <si>
    <t xml:space="preserve">HDBank</t>
  </si>
  <si>
    <t xml:space="preserve">NH TMCP PHÁT TRIỂN THÀNH PHỐ HỒ CHÍ MINH</t>
  </si>
  <si>
    <t xml:space="preserve">HDBL2125010</t>
  </si>
  <si>
    <t xml:space="preserve">LPBH2124014</t>
  </si>
  <si>
    <t xml:space="preserve">3.3%/NĂM</t>
  </si>
  <si>
    <t xml:space="preserve">VIBL2128020</t>
  </si>
  <si>
    <t xml:space="preserve">ACB</t>
  </si>
  <si>
    <t xml:space="preserve">NH TMCP Á CHÂU</t>
  </si>
  <si>
    <t xml:space="preserve">ACBH2123014</t>
  </si>
  <si>
    <t xml:space="preserve">3.1%/NĂM</t>
  </si>
  <si>
    <t xml:space="preserve">ABBL2123015</t>
  </si>
  <si>
    <t xml:space="preserve">2.8%/NĂM</t>
  </si>
  <si>
    <t xml:space="preserve">NH TMCP CỔ PHẦN PHÁT TRIỂN HỒ CHÍ MINH</t>
  </si>
  <si>
    <t xml:space="preserve">HDBL2128011</t>
  </si>
  <si>
    <t xml:space="preserve">1.6%/NĂM + LSTC, NẾU KHÔNG MUA LẠI THÌ NĂM 6 VÀ 7 = 2.6%/NĂM + LSTC</t>
  </si>
  <si>
    <t xml:space="preserve">SSBL2123013</t>
  </si>
  <si>
    <t xml:space="preserve">LPBH2124015</t>
  </si>
  <si>
    <t xml:space="preserve">SSBL2124014</t>
  </si>
  <si>
    <t xml:space="preserve">3.6%/NĂM</t>
  </si>
  <si>
    <t xml:space="preserve">OCBL2124011</t>
  </si>
  <si>
    <t xml:space="preserve">HDBL2124012</t>
  </si>
  <si>
    <t xml:space="preserve">SSBH2124015</t>
  </si>
  <si>
    <t xml:space="preserve">ABBL2123016</t>
  </si>
  <si>
    <t xml:space="preserve">MBBL2128018</t>
  </si>
  <si>
    <t xml:space="preserve">NH TMCP BẢN VIỆT</t>
  </si>
  <si>
    <t xml:space="preserve">BVBLH2124005</t>
  </si>
  <si>
    <t xml:space="preserve">MBBL2128019</t>
  </si>
  <si>
    <t xml:space="preserve">NH TMCP SÀI GÒN-HÀ NỘI</t>
  </si>
  <si>
    <t xml:space="preserve">SHBH2123017</t>
  </si>
  <si>
    <t xml:space="preserve">ACBH2122015</t>
  </si>
  <si>
    <t xml:space="preserve">2.45%/NĂM</t>
  </si>
  <si>
    <t xml:space="preserve">VBBL2128006</t>
  </si>
  <si>
    <t xml:space="preserve">5 NĂM ĐẦU = 2.5%/NĂM + LSTK VND 12T (BIDV, VCB, AGRI, VIETIN), 2 NĂM SAU = 7%/NĂM + LSTK VND 12T (BIDV, VCB, AGRI, VIETIN)</t>
  </si>
  <si>
    <t xml:space="preserve">VIBL2124024</t>
  </si>
  <si>
    <t xml:space="preserve">LPBH2124016</t>
  </si>
  <si>
    <t xml:space="preserve">SHBH2123018</t>
  </si>
  <si>
    <t xml:space="preserve">MBBL2128021</t>
  </si>
  <si>
    <t xml:space="preserve">Agribank</t>
  </si>
  <si>
    <t xml:space="preserve">NH Nông nghiệp và Phát triển Nông thôn Việt Nam</t>
  </si>
  <si>
    <t xml:space="preserve">VBACLH2128007</t>
  </si>
  <si>
    <t xml:space="preserve">HDBL2125017</t>
  </si>
  <si>
    <t xml:space="preserve">MBBL2128017</t>
  </si>
  <si>
    <t xml:space="preserve">VIBL2124025</t>
  </si>
  <si>
    <t xml:space="preserve">HDBL2124016</t>
  </si>
  <si>
    <t xml:space="preserve">NH TMCP SÀI GÒN - HÀ NỘI</t>
  </si>
  <si>
    <t xml:space="preserve">SHBH2123019</t>
  </si>
  <si>
    <t xml:space="preserve">VCBH2131008</t>
  </si>
  <si>
    <t xml:space="preserve">5 NĂM ĐẦU: 6.7%/NĂM, 5 NĂM SAU: 6.9%/NĂM</t>
  </si>
  <si>
    <t xml:space="preserve">VIBL2124026</t>
  </si>
  <si>
    <t xml:space="preserve">VIBL2128027</t>
  </si>
  <si>
    <t xml:space="preserve">NH TMCP VIỆT NAM THỊNH VƯỢNG</t>
  </si>
  <si>
    <t xml:space="preserve">VPBL2124030</t>
  </si>
  <si>
    <t xml:space="preserve">2.4%/NĂM</t>
  </si>
  <si>
    <t xml:space="preserve">NH TMCP SÀI GÒN- HÀ NỘI</t>
  </si>
  <si>
    <t xml:space="preserve">SHBH2123020</t>
  </si>
  <si>
    <t xml:space="preserve">MBBL2128025</t>
  </si>
  <si>
    <t xml:space="preserve">2022-06</t>
  </si>
  <si>
    <t xml:space="preserve">MBBL2229014</t>
  </si>
  <si>
    <t xml:space="preserve">LSTC +1.3%/NĂM, NẾU TCPH KHÔNG MUA LẠI SAU 2 NĂM, LÃI SUẤT ÁP DỤNG CHO KỲ THANH TOÁN THỨ 6 VÀ 7 LÀ LSTC + 2%/NĂM</t>
  </si>
  <si>
    <t xml:space="preserve">Techcombank</t>
  </si>
  <si>
    <t xml:space="preserve">NHTMCP KỸ THƯƠNG VIỆT NAM</t>
  </si>
  <si>
    <t xml:space="preserve">TCBL2225005</t>
  </si>
  <si>
    <t xml:space="preserve">4.3%/NĂM</t>
  </si>
  <si>
    <t xml:space="preserve">MBBL2229016</t>
  </si>
  <si>
    <t xml:space="preserve">7.05%/NĂM</t>
  </si>
  <si>
    <t xml:space="preserve">MBBL2227015</t>
  </si>
  <si>
    <t xml:space="preserve">LSTC + 1.4%/NĂM</t>
  </si>
  <si>
    <t xml:space="preserve">TCBL2225006</t>
  </si>
  <si>
    <t xml:space="preserve">Nhtmcp Đầu Tư Và</t>
  </si>
  <si>
    <t xml:space="preserve">NHTMCP ĐẦU TƯ VÀ</t>
  </si>
  <si>
    <t xml:space="preserve">TRUNG BÌNH CỘNG LSTK</t>
  </si>
  <si>
    <t xml:space="preserve">NGÂN HÀNG TMCP PHƯƠNG ĐÔNG</t>
  </si>
  <si>
    <t xml:space="preserve">OCBL2225005</t>
  </si>
  <si>
    <t xml:space="preserve">4.4%/NĂM</t>
  </si>
  <si>
    <t xml:space="preserve">TCBL2225007</t>
  </si>
  <si>
    <t xml:space="preserve">Bac A Bank</t>
  </si>
  <si>
    <t xml:space="preserve">NHTMCP BẮC Á</t>
  </si>
  <si>
    <t xml:space="preserve">BABL2225004</t>
  </si>
  <si>
    <t xml:space="preserve">4.7%/NĂM</t>
  </si>
  <si>
    <t xml:space="preserve">MSBL2225003</t>
  </si>
  <si>
    <t xml:space="preserve">BIDLH2230009</t>
  </si>
  <si>
    <t xml:space="preserve">TRUNG BÌNH CỘNG LSTK 12T (VCB, BIDV, AGRI, VIETIN) + 0.9%/NĂM, NẾU KHÔNG MUA LẠI VÀO NGÀY THỰC HIỆN QUYỀN MUA LẠI, LÃI SUẤT = LSTC + 2.57%/NĂM</t>
  </si>
  <si>
    <t xml:space="preserve">BIDLH2232010</t>
  </si>
  <si>
    <t xml:space="preserve">TRUNG BÌNH CỘNG LSTK 12T (VCB, BIDV, AGRI, VIETIN) + 1%/NĂM, NẾU KHÔNG MUA LẠI VÀO NGÀY THỰC HIỆN QUYỀN MUA LẠI, LÃI SUẤT = LSTC + 2%/NĂM</t>
  </si>
  <si>
    <t xml:space="preserve">OCBL2225006</t>
  </si>
  <si>
    <t xml:space="preserve">NHTMCP QUỐC TẾ</t>
  </si>
  <si>
    <t xml:space="preserve">VIBL2225006</t>
  </si>
  <si>
    <t xml:space="preserve">OCBL2225007</t>
  </si>
  <si>
    <t xml:space="preserve">CTGL2237002</t>
  </si>
  <si>
    <t xml:space="preserve">6.8%/NĂM</t>
  </si>
  <si>
    <t xml:space="preserve">2022-08</t>
  </si>
  <si>
    <t xml:space="preserve">NHTMCP Á CHÂU</t>
  </si>
  <si>
    <t xml:space="preserve">ACBH2223008</t>
  </si>
  <si>
    <t xml:space="preserve">CTGL2230009</t>
  </si>
  <si>
    <t xml:space="preserve">BÌNH QUẦN LSTK CÁ NHÂN VNĐ 12T (VCB, BIDV, VIETIN, AGRI) + 0.9%/NĂM</t>
  </si>
  <si>
    <t xml:space="preserve">ACBH2223009</t>
  </si>
  <si>
    <t xml:space="preserve">BVBL2229007</t>
  </si>
  <si>
    <t xml:space="preserve">NHTMCP NGOẠI THƯƠNG VIỆT NAM</t>
  </si>
  <si>
    <t xml:space="preserve">VCBH2230005</t>
  </si>
  <si>
    <t xml:space="preserve">5 NĂM ĐẦU: BÌNH QUÂN LSTK CÁ NHÂN VNĐ 12T (VCB, BIDV, VIETIN, AGRI) + 0.9%/NĂM, 3 NĂM TIẾP THEO = LSTC + 2.57%/NĂM</t>
  </si>
  <si>
    <t xml:space="preserve">NGÂN HÀNG NÔNG NGHIỆP VÀ PHÁT TRIỂN NÔNG THÔN VIỆT NAM</t>
  </si>
  <si>
    <t xml:space="preserve">VBACLH2232009</t>
  </si>
  <si>
    <t xml:space="preserve">BÌNH QUÂN LSTK CÁ NHÂN 12T VND (VCB, BIDV, AGRI, VIETIN) + BIÊN ĐỘ</t>
  </si>
  <si>
    <t xml:space="preserve">VCBH2232006</t>
  </si>
  <si>
    <t xml:space="preserve">CTGL2237010</t>
  </si>
  <si>
    <t xml:space="preserve">Sacombank</t>
  </si>
  <si>
    <t xml:space="preserve">NHTMCP SÀI GÒN THƯƠNG TÍN</t>
  </si>
  <si>
    <t xml:space="preserve">STBL2225005</t>
  </si>
  <si>
    <t xml:space="preserve">ACBH2223010</t>
  </si>
  <si>
    <t xml:space="preserve">CTGL2230011</t>
  </si>
  <si>
    <t xml:space="preserve">MBBL2225019</t>
  </si>
  <si>
    <t xml:space="preserve">STBL2225006</t>
  </si>
  <si>
    <t xml:space="preserve">OCBL2225010</t>
  </si>
  <si>
    <t xml:space="preserve">NHTMCP PHÁT TRIỂN THÀNH PHỐ HỒ CHÍ MINH</t>
  </si>
  <si>
    <t xml:space="preserve">HDBL2225011</t>
  </si>
  <si>
    <t xml:space="preserve">2022-09</t>
  </si>
  <si>
    <t xml:space="preserve">VPBL2223002</t>
  </si>
  <si>
    <t xml:space="preserve">TPBank</t>
  </si>
  <si>
    <t xml:space="preserve">NHTMCP TIÊN PHONG</t>
  </si>
  <si>
    <t xml:space="preserve">TPBL2225010</t>
  </si>
  <si>
    <t xml:space="preserve">NHTMCP ĐÔNG NAM Á</t>
  </si>
  <si>
    <t xml:space="preserve">SSBH2227005</t>
  </si>
  <si>
    <t xml:space="preserve">CTGL2232013</t>
  </si>
  <si>
    <t xml:space="preserve">OCBL2225015</t>
  </si>
  <si>
    <t xml:space="preserve">BIDL2237028</t>
  </si>
  <si>
    <t xml:space="preserve">ABBL2225002</t>
  </si>
  <si>
    <t xml:space="preserve">OCBL2225017</t>
  </si>
  <si>
    <t xml:space="preserve">OCBL2225016</t>
  </si>
  <si>
    <t xml:space="preserve">BIDL2229029</t>
  </si>
  <si>
    <t xml:space="preserve">CTGL2230014</t>
  </si>
  <si>
    <t xml:space="preserve">LSTK 12T VNĐ (VCB, BIDV, VIETIN, AGRI) + 1.1%/NĂM</t>
  </si>
  <si>
    <t xml:space="preserve">VBACLH2232013</t>
  </si>
  <si>
    <t xml:space="preserve">VBACLH2228010</t>
  </si>
  <si>
    <t xml:space="preserve">MBBL2229020</t>
  </si>
  <si>
    <t xml:space="preserve">2022-12</t>
  </si>
  <si>
    <t xml:space="preserve">BIDL2242033</t>
  </si>
  <si>
    <t xml:space="preserve">8.5%/NĂM</t>
  </si>
  <si>
    <t xml:space="preserve">NGÂN HÀNG TMCP QUÂN ĐỘI</t>
  </si>
  <si>
    <t xml:space="preserve">MBBL2229021</t>
  </si>
  <si>
    <t xml:space="preserve">8.8%/NĂM</t>
  </si>
  <si>
    <t xml:space="preserve">2023-06</t>
  </si>
  <si>
    <t xml:space="preserve">BIDLH2329001</t>
  </si>
  <si>
    <t xml:space="preserve">BÌNH QUÂN LSTK 12T VNĐ (VCB, BIDV, VIETIN, AGRI) +0.4%/NĂM, NẾU TCPH KHÔNG MUA LẠI THÌ LS NĂM CUỐI = 5.4%/NĂM</t>
  </si>
  <si>
    <t xml:space="preserve">NHTMCP NAM Á</t>
  </si>
  <si>
    <t xml:space="preserve">NABL2329001</t>
  </si>
  <si>
    <t xml:space="preserve">BÌNH QUÂN LSTK 12T VNĐ (VCB, BIDV, VIETIN, AGRI) +2.7%/NĂM</t>
  </si>
  <si>
    <t xml:space="preserve">OCBL2328001</t>
  </si>
  <si>
    <t xml:space="preserve">KỲ ĐẦU: 8.1%/NĂM, CÁC KỲ SAU = BÌNH QUÂN LSTK 12T VNĐ (VCB, BIDV, VIETIN, AGRI) - 0.1%/NĂM</t>
  </si>
  <si>
    <t xml:space="preserve">OCBL2325002</t>
  </si>
  <si>
    <t xml:space="preserve">7.3%/NĂM</t>
  </si>
  <si>
    <t xml:space="preserve">OCBL2326003</t>
  </si>
  <si>
    <t xml:space="preserve">7.7%/NĂM</t>
  </si>
  <si>
    <t xml:space="preserve">2023-07</t>
  </si>
  <si>
    <t xml:space="preserve">BIDLH2330002</t>
  </si>
  <si>
    <t xml:space="preserve">BÌNH QUÂN LSTK 12T (VCB, BIDV, VIETIN, AGRI) + 0.7%/NĂM, NẾU BIDV KHÔNG MUA LẠI VÀO NGÀY THỰC HIỆN QUYỀN MUA LẠI, LS 2 NĂM CUỐI = LSTC + 3.2%/NĂM</t>
  </si>
  <si>
    <t xml:space="preserve">CTGL2333002</t>
  </si>
  <si>
    <t xml:space="preserve">7.5%/NĂM</t>
  </si>
  <si>
    <t xml:space="preserve">OCBL2326004</t>
  </si>
  <si>
    <t xml:space="preserve">CTG2232T2/01</t>
  </si>
  <si>
    <t xml:space="preserve">BÌNH QUÂN LSTK VND 12T (VCB, AGRI, BIDV, VIETIN) + 1.3%/NĂM</t>
  </si>
  <si>
    <t xml:space="preserve">CTG2230T2/01</t>
  </si>
  <si>
    <t xml:space="preserve">BÌNH QUÂN LSTK VND 12T (VCB, AGRI, BIDV, VIETIN) + 1.2%/NĂM</t>
  </si>
  <si>
    <t xml:space="preserve">HDBL2330002</t>
  </si>
  <si>
    <t xml:space="preserve">LSTC + 2.8%/NĂM</t>
  </si>
  <si>
    <t xml:space="preserve">BIDL2338003</t>
  </si>
  <si>
    <t xml:space="preserve">2023-08</t>
  </si>
  <si>
    <t xml:space="preserve">BIDL2343005</t>
  </si>
  <si>
    <t xml:space="preserve">MSBL2326002</t>
  </si>
  <si>
    <t xml:space="preserve">ACBL2325001</t>
  </si>
  <si>
    <t xml:space="preserve">6.5%/NĂM</t>
  </si>
  <si>
    <t xml:space="preserve">ACBL2325002</t>
  </si>
  <si>
    <t xml:space="preserve">BABL2326001</t>
  </si>
  <si>
    <t xml:space="preserve">ACBL2325003</t>
  </si>
  <si>
    <t xml:space="preserve">OCBL2326006</t>
  </si>
  <si>
    <t xml:space="preserve">6.6%/NĂM</t>
  </si>
  <si>
    <t xml:space="preserve">ABBL2325001</t>
  </si>
  <si>
    <t xml:space="preserve">6.4%/NĂM</t>
  </si>
  <si>
    <t xml:space="preserve">ABBL2326002</t>
  </si>
  <si>
    <t xml:space="preserve">2023-09</t>
  </si>
  <si>
    <t xml:space="preserve">BABL2326002</t>
  </si>
  <si>
    <t xml:space="preserve">ACBL2325005</t>
  </si>
  <si>
    <t xml:space="preserve">BIDLH2331010</t>
  </si>
  <si>
    <t xml:space="preserve">BÌNH QUÂN LSTK 12T VND (VCB, BIDV, VIETIN, AGRI) + 1.2%/NĂM, NẾU TCPH KHÔNG THỰC HIỆN MUA LẠI VÀO NGÀY THỰC HIỆN QUYỀN MUA LẠI, LS = LSTC + 2.87%/NĂM</t>
  </si>
  <si>
    <t xml:space="preserve">ACBL2325006</t>
  </si>
  <si>
    <t xml:space="preserve">MBBL2330001</t>
  </si>
  <si>
    <t xml:space="preserve">OCBL2326008</t>
  </si>
  <si>
    <t xml:space="preserve">Nhtmcp Xăng Dầu Petrolimex</t>
  </si>
  <si>
    <t xml:space="preserve">NHTMCP XĂNG DẦU PETROLIMEX</t>
  </si>
  <si>
    <t xml:space="preserve">PGBL2325001</t>
  </si>
  <si>
    <t xml:space="preserve">2023-10</t>
  </si>
  <si>
    <t xml:space="preserve">ACBL2326007</t>
  </si>
  <si>
    <t xml:space="preserve">6.3%/NĂM</t>
  </si>
  <si>
    <t xml:space="preserve">ABBL2325003</t>
  </si>
  <si>
    <t xml:space="preserve">MBBL2330003</t>
  </si>
  <si>
    <t xml:space="preserve">LSTK 12T VND (VCB, BIDV, VIETIN, AGRI) + 1.5%/NĂM</t>
  </si>
  <si>
    <t xml:space="preserve">BABL2330003</t>
  </si>
  <si>
    <t xml:space="preserve">BÌNH QUÂN LSTK 12T VND (VCB, BIDV, VIETIN, AGRI) + 2.8%/NĂM, NẾU TCPH KHÔNG MUA LẠI VÀO NGÀY THỰC HIỆN MUA LẠI, LS = LSTC + 3.8%/NĂM</t>
  </si>
  <si>
    <t xml:space="preserve">ACBL2325008</t>
  </si>
  <si>
    <t xml:space="preserve">MBBL2330004</t>
  </si>
  <si>
    <t xml:space="preserve">LSTK 12T VNĐ (VCB, BIDV, VIETIN, AGRI) + 1.8%/NĂM, NẾU TCPH KHÔNG MUA LẠI, LS CHO NĂM THỨ 6 VÀ 7 = LSTC + 2.5%/NĂM</t>
  </si>
  <si>
    <t xml:space="preserve">VIBL2326002</t>
  </si>
  <si>
    <t xml:space="preserve">6%/NĂM</t>
  </si>
  <si>
    <t xml:space="preserve">VIBL2326003</t>
  </si>
  <si>
    <t xml:space="preserve">5.8%/NĂM</t>
  </si>
  <si>
    <t xml:space="preserve">ACBL2325009</t>
  </si>
  <si>
    <t xml:space="preserve">2023-11</t>
  </si>
  <si>
    <t xml:space="preserve">ABBL2326004</t>
  </si>
  <si>
    <t xml:space="preserve">7%/NĂM</t>
  </si>
  <si>
    <t xml:space="preserve">HDBL2331004</t>
  </si>
  <si>
    <t xml:space="preserve">CTGL2333007</t>
  </si>
  <si>
    <t xml:space="preserve">7.1%/NĂM</t>
  </si>
  <si>
    <t xml:space="preserve">TPBL2333003</t>
  </si>
  <si>
    <t xml:space="preserve">LSTC + 1.8%/NĂM</t>
  </si>
  <si>
    <t xml:space="preserve">TPBL2333004</t>
  </si>
  <si>
    <t xml:space="preserve">OCBL2326012</t>
  </si>
  <si>
    <t xml:space="preserve">MBBL2330006</t>
  </si>
  <si>
    <t xml:space="preserve">LSTK 12T (VCB, BIDV, CTG, AGR) + 1.7%/NĂM, NẾU TCPH KHÔNG MUA LẠI TẠI NGÀY THỰC HIỆN QUYỀN MUA LẠI, LS KỂ TỪ NĂM THỨ 6,7 = LSTC + 2.2%/NĂM</t>
  </si>
  <si>
    <t xml:space="preserve">TPBL2333005</t>
  </si>
  <si>
    <t xml:space="preserve">OCBL2326013</t>
  </si>
  <si>
    <t xml:space="preserve">6.1%/NĂM</t>
  </si>
  <si>
    <t xml:space="preserve">TPBL2333006</t>
  </si>
  <si>
    <t xml:space="preserve">TPBL2333007</t>
  </si>
  <si>
    <t xml:space="preserve">VIBL2330004</t>
  </si>
  <si>
    <t xml:space="preserve">8%/NĂM, TRƯỜNG HỢP TCPH KHÔNG MUA LẠI VÀO NGÀY THỰC HIỆN MUA LẠI, LS CHO KỲ 6 VÀ KY 7 = 9.5%/NĂM</t>
  </si>
  <si>
    <t xml:space="preserve">NHTMCP Hàng Hải Việt Nam</t>
  </si>
  <si>
    <t xml:space="preserve">MSBL2326003</t>
  </si>
  <si>
    <t xml:space="preserve">OCBL2326014</t>
  </si>
  <si>
    <t xml:space="preserve">ABBL2325005</t>
  </si>
  <si>
    <t xml:space="preserve">2023-12</t>
  </si>
  <si>
    <t xml:space="preserve">NABL2330004</t>
  </si>
  <si>
    <t xml:space="preserve">MSBL2326004</t>
  </si>
  <si>
    <t xml:space="preserve">TPBL2333015</t>
  </si>
  <si>
    <t xml:space="preserve">LSTC +1.8%/NĂM</t>
  </si>
  <si>
    <t xml:space="preserve">TPBL2325016</t>
  </si>
  <si>
    <t xml:space="preserve">KỲ ĐẦU: 5.8%/NĂM, CÁC KỲ SAU = LSTC + 1.05%/NĂM NHƯNG KHÔNG THẤP HƠN 5.8%</t>
  </si>
  <si>
    <t xml:space="preserve">TPBL2333017</t>
  </si>
  <si>
    <t xml:space="preserve">ABBL2325007</t>
  </si>
  <si>
    <t xml:space="preserve">6.2%/NĂM</t>
  </si>
  <si>
    <t xml:space="preserve">CTGL2331010</t>
  </si>
  <si>
    <t xml:space="preserve">LSTC + 1.2%/NĂM</t>
  </si>
  <si>
    <t xml:space="preserve">TPBL2333018</t>
  </si>
  <si>
    <t xml:space="preserve">MBBL2330007</t>
  </si>
  <si>
    <t xml:space="preserve">LSTK 12T VND (VCB, BIDV, VIETIN, AGRI) + 1.7%/NĂM, LS KỲ 6 VÀ 7 = LSTC + 2.2%/NĂM</t>
  </si>
  <si>
    <t xml:space="preserve">TPBL2333020</t>
  </si>
  <si>
    <t xml:space="preserve">TPBL2333019</t>
  </si>
  <si>
    <t xml:space="preserve">HDBL2331006</t>
  </si>
  <si>
    <t xml:space="preserve">BÌNH QUÂN LSTK 12T VNĐ (VCB, BIDV, VIETIN, AGRI) + 2.8%/NĂM</t>
  </si>
  <si>
    <t xml:space="preserve">TPBL2325021</t>
  </si>
  <si>
    <t xml:space="preserve">BIDLH2331022</t>
  </si>
  <si>
    <t xml:space="preserve">BÌNH QUÂN LSTK 12T VNĐ (VCB, BIDV, VIETIN, AGRI) + 1.3%/NĂM, LS 2 NĂM CUỐI = LSTC + 2.97%/NĂM</t>
  </si>
  <si>
    <t xml:space="preserve">BIDLH2330021</t>
  </si>
  <si>
    <t xml:space="preserve">BÌNH QUÂN LSTK 12T VNĐ (VCB, BIDV, VIETIN, AGRI) + 1.1%/NĂM, LS 2 NĂM CUỐI = LSTC + 3.6%/NĂM</t>
  </si>
  <si>
    <t xml:space="preserve">MBBL2328008</t>
  </si>
  <si>
    <t xml:space="preserve">BÌNH QUÂN LSTK 12T VND (VCB, BIDV, VIETIN, AGRI) + 1.5%/NĂM</t>
  </si>
  <si>
    <t xml:space="preserve">TPBL2333022</t>
  </si>
  <si>
    <t xml:space="preserve">VIBL2330005</t>
  </si>
  <si>
    <t xml:space="preserve">8%/NĂM, NẾU TCPH KHÔNG MUA LẠI VÀO NGÀY THỰC HIỆN MUA LẠI, LS KỲ 6 VÀ 7 = 9.5%/NĂM</t>
  </si>
  <si>
    <t xml:space="preserve">ABBL2325008</t>
  </si>
  <si>
    <t xml:space="preserve">BIDLH2338023</t>
  </si>
  <si>
    <t xml:space="preserve">6.88%/NĂM, NẾU TCPH KHÔNG MUA LẠI VÀO NGÀY THỰC HIỆN MUA LẠI, LS 5 NĂM CUỐI = 7.88%/NĂM</t>
  </si>
  <si>
    <t xml:space="preserve">TPBL2333023</t>
  </si>
  <si>
    <t xml:space="preserve">OCBL2326015</t>
  </si>
  <si>
    <t xml:space="preserve">5.1%/NĂM</t>
  </si>
  <si>
    <t xml:space="preserve">TPBL2333024</t>
  </si>
  <si>
    <t xml:space="preserve">NABL2330005</t>
  </si>
  <si>
    <t xml:space="preserve">BIDLH2329024</t>
  </si>
  <si>
    <t xml:space="preserve">BÌNH QUÂN LSTK 12T VNĐ (VCB, BIDV, VIETIN, AGRI) + 0.8%/NĂM, NẾU TCPH KHÔNG MUA LẠI VÀO NGÀY THỰC HIỆN MUA LẠI, LS KỲ NĂM CUỐI = LSTC + 5.8%/NĂM</t>
  </si>
  <si>
    <t xml:space="preserve">HDBL2331007</t>
  </si>
  <si>
    <t xml:space="preserve">TPBL2333026</t>
  </si>
  <si>
    <t xml:space="preserve">TPBL2326025</t>
  </si>
  <si>
    <t xml:space="preserve">NĂM ĐẦU: 5.7%/NĂM, CÁC KỲ SAU = LS TIỀN GỬI TỐI ĐA VNĐ 1-6 THÁNG SBV + 0.95%/NĂM</t>
  </si>
  <si>
    <t xml:space="preserve">MBBL2330009</t>
  </si>
  <si>
    <t xml:space="preserve">BÌNH QUÂN LSTK 12T VNĐ (VCB, BIDV, VIETIN, AGRI) + 1.8%/NĂM, NẾU TCPH KHÔNG MUA LẠI, LS KỲ 6 VÀ 7 = LSTC + 2.5%/NĂM</t>
  </si>
  <si>
    <t xml:space="preserve">TCBL2325008</t>
  </si>
  <si>
    <t xml:space="preserve">TCBL2325009</t>
  </si>
  <si>
    <t xml:space="preserve">BIDLH2330026</t>
  </si>
  <si>
    <t xml:space="preserve">BÌNH QUÂN LSTK 12T VNĐ (VCB, BIDV, VIETIN, AGRI) + 1.1%/NĂM, NẾU TCPH KHÔNG MUA LẠI VÀO NGÀY THỰC HIỆN MUA LẠI, LS CÁC KỲ SAU = LSTC + 3.6%/NĂM</t>
  </si>
  <si>
    <t xml:space="preserve">BIDL2333025</t>
  </si>
  <si>
    <t xml:space="preserve">BÌNH QUÂN LSTK 12T VNĐ (VCB, BIDV, VIETIN, AGRI) + 1.5%/NĂM, NẾU TCPH KHÔNG MUA LẠI VÀO NGÀY THỰC HIỆN MUA LẠI, LS CÁC KỲ SAU = LSTC + 2.5%/NĂM</t>
  </si>
  <si>
    <t xml:space="preserve">ABBL2325009</t>
  </si>
  <si>
    <t xml:space="preserve">BIDLH2329027</t>
  </si>
  <si>
    <t xml:space="preserve">OCBL2326016</t>
  </si>
  <si>
    <t xml:space="preserve">5%/NĂM</t>
  </si>
  <si>
    <t xml:space="preserve">TPBL2333027</t>
  </si>
  <si>
    <t xml:space="preserve">HDBL2331008</t>
  </si>
  <si>
    <t xml:space="preserve">VCBL2329002</t>
  </si>
  <si>
    <t xml:space="preserve">LSTC + 1.25%/NĂM</t>
  </si>
  <si>
    <t xml:space="preserve">VCBL2329001</t>
  </si>
  <si>
    <t xml:space="preserve">5 NĂM ĐẦU: LSTC + 0.65%/NĂM, 6 THÁNG CUỐI = LSTC + 3.5%/NĂM</t>
  </si>
  <si>
    <t xml:space="preserve">TCBL2326010</t>
  </si>
  <si>
    <t xml:space="preserve">5.2%/NĂM</t>
  </si>
  <si>
    <t xml:space="preserve">TCBL2325011</t>
  </si>
  <si>
    <t xml:space="preserve">OCBL2325017</t>
  </si>
  <si>
    <t xml:space="preserve">OCBL2326018</t>
  </si>
  <si>
    <t xml:space="preserve">2024-04</t>
  </si>
  <si>
    <t xml:space="preserve">MBBL2432004</t>
  </si>
  <si>
    <t xml:space="preserve">BÌNH QUÂN LSTK 12T VNĐ (VCB, BIDV, VIETIN, AGRI) + 1.6%/NĂM, NẾU TCPH KHÔNG MUA LẠI TP THEO ĐK 9.2 THÌ LS KỲ THỨ 6, 7 VÀ 8 = LSTC + 2.10%/NĂM</t>
  </si>
  <si>
    <t xml:space="preserve">MBBL2431006</t>
  </si>
  <si>
    <t xml:space="preserve">BÌNH QUÂN LSTK 12T VNĐ (VCB, BIDV, VIETIN, AGRI) + 1.5%/NĂM, NẾU TCPH KHÔNG MUA LẠI TP THEO ĐK 9.2 THÌ LS KỲ THỨ 6 VÀ 7 = LSTC + 2%/NĂM</t>
  </si>
  <si>
    <t xml:space="preserve">MBBL2431005</t>
  </si>
  <si>
    <t xml:space="preserve">MBBL2431007</t>
  </si>
  <si>
    <t xml:space="preserve">TCBL2427001</t>
  </si>
  <si>
    <t xml:space="preserve">MSBL2427001</t>
  </si>
  <si>
    <t xml:space="preserve">MBBL2434008</t>
  </si>
  <si>
    <t xml:space="preserve">4 KỲ ĐẦU = 1.8%/NĂM + LSTC, NẾU TCPH KHÔNG MUA LẠI TP THEO ĐK 9.2 THÌ LS KỲ 6, 7, 8, 9 VÀ 10 = LSTC + 2.3%/NĂM</t>
  </si>
  <si>
    <t xml:space="preserve">MSBL2427002</t>
  </si>
  <si>
    <t xml:space="preserve">MBBL2431009</t>
  </si>
  <si>
    <t xml:space="preserve">2024-05</t>
  </si>
  <si>
    <t xml:space="preserve">HDBL2427001</t>
  </si>
  <si>
    <t xml:space="preserve">4.8%/NĂM</t>
  </si>
  <si>
    <t xml:space="preserve">TCBL2427002</t>
  </si>
  <si>
    <t xml:space="preserve">BIDLH2431001</t>
  </si>
  <si>
    <t xml:space="preserve">BÌNH QUÂN LSTK 12T VNĐ (VCB, BIDV, VIETIN, AGRI) + 1.1%/NĂM, NẾU TCPH KHÔNG MUA LẠI VÀO NGÀY THỰC HIỆN MUA LẠI, LS 2 KỲ CUỐI = LSTC + 3.6%/NĂM</t>
  </si>
  <si>
    <t xml:space="preserve">BABL2427002</t>
  </si>
  <si>
    <t xml:space="preserve">MSBL2427003</t>
  </si>
  <si>
    <t xml:space="preserve">BABL2427003</t>
  </si>
  <si>
    <t xml:space="preserve">BIDL2439002</t>
  </si>
  <si>
    <t xml:space="preserve">BIDLH2432004</t>
  </si>
  <si>
    <t xml:space="preserve">LSTC + 1.25%/NĂM, NẾU TCPH KHÔNG MUA LẠI TP TỪ KỲ THỨ 6 = LSTC + 2.92%/NĂM</t>
  </si>
  <si>
    <t xml:space="preserve">BIDLH2431003</t>
  </si>
  <si>
    <t xml:space="preserve">LSTC + 1.1%/NĂM, NẾU TCPH KHÔNG MUA LẠI TP TỪ KỲ THỨ 6 = LSTC + 3.6%/NĂM</t>
  </si>
  <si>
    <t xml:space="preserve">MBBL2431011</t>
  </si>
  <si>
    <t xml:space="preserve">LSTC + 1.5%/NĂM, NẾU TCPH KHÔNG MUA LẠI TP THEO ĐK 9.2 THÌ LS KỲ THỨ 11, 12, 13 VÀ 14 = LSTC + 2.2%/NĂM</t>
  </si>
  <si>
    <t xml:space="preserve">Shinhan Bank Vietnam</t>
  </si>
  <si>
    <t xml:space="preserve">외국계</t>
  </si>
  <si>
    <t xml:space="preserve">NH TNHH MTV SHINHAN VIỆT NAM</t>
  </si>
  <si>
    <t xml:space="preserve">SBVCL2427001</t>
  </si>
  <si>
    <t xml:space="preserve">5.4%/NĂM</t>
  </si>
  <si>
    <t xml:space="preserve">SBVCL2427002</t>
  </si>
  <si>
    <t xml:space="preserve">2024-06</t>
  </si>
  <si>
    <t xml:space="preserve">ACBL2426001</t>
  </si>
  <si>
    <t xml:space="preserve">4.5%/NĂM</t>
  </si>
  <si>
    <t xml:space="preserve">SBVCL2426003</t>
  </si>
  <si>
    <t xml:space="preserve">MSBL2427004</t>
  </si>
  <si>
    <t xml:space="preserve">5.3%/NĂM</t>
  </si>
  <si>
    <t xml:space="preserve">ACBL2426002</t>
  </si>
  <si>
    <t xml:space="preserve">BABL2427004</t>
  </si>
  <si>
    <t xml:space="preserve">BIDL2434012</t>
  </si>
  <si>
    <t xml:space="preserve">BÌNH QUÂN LSTK 12T VNĐ (VCB, BIDV, VIETIN, AGRI) + 1.4%/NĂM, NẾU TCPH KHÔNG MUA LẠI VÀO NGÀY THỰC HIỆN MUA LẠI, LS TỪ KỲ THỨ 6 = LSTC + 2.4%/NĂM</t>
  </si>
  <si>
    <t xml:space="preserve">HDBL2431002</t>
  </si>
  <si>
    <t xml:space="preserve">OCBL2427001</t>
  </si>
  <si>
    <t xml:space="preserve">SBVCL2426004</t>
  </si>
  <si>
    <t xml:space="preserve">BABL2427005</t>
  </si>
  <si>
    <t xml:space="preserve">5.5%/NĂM</t>
  </si>
  <si>
    <t xml:space="preserve">TCBL2427005</t>
  </si>
  <si>
    <t xml:space="preserve">4.6%/NĂM</t>
  </si>
  <si>
    <t xml:space="preserve">SBVCL2426005</t>
  </si>
  <si>
    <t xml:space="preserve">SBVCL2426006</t>
  </si>
  <si>
    <t xml:space="preserve">BAB201-08C</t>
  </si>
  <si>
    <t xml:space="preserve">LSTC +1.9%/NĂM, NẾU TCPH KHÔNG MUA LẠI VÀO NGÀY THỰC HIỆN MUA LẠI, LS TỪ KỲ THỨ 6 = LSTC + 3.2%/NĂM</t>
  </si>
  <si>
    <t xml:space="preserve">BAB201-07C</t>
  </si>
  <si>
    <t xml:space="preserve">LSTC +1.5%/NĂM, NẾU TCPH KHÔNG MUA LẠI VÀO NGÀY THỰC HIỆN MUA LẠI, LS TỪ KỲ THỨ 6 = LSTC + 3.1%/NĂM</t>
  </si>
  <si>
    <t xml:space="preserve">SBVCL2426007</t>
  </si>
  <si>
    <t xml:space="preserve">BIDLH2431013</t>
  </si>
  <si>
    <t xml:space="preserve">LSTC + 1.1%/NĂM, NẾU TCPH KHÔNG MUA LẠI VÀO NGÀY THỰC HIỆN MUA LẠI, LS TỪ KỲ THỨ 11 = LSTC + 3.6%/NĂM</t>
  </si>
  <si>
    <t xml:space="preserve">BIDLH2432014</t>
  </si>
  <si>
    <t xml:space="preserve">LSTC + 1.2%/NĂM, NẾU TCPH KHÔNG MUA LẠI VÀO NGÀY THỰC HIỆN MUA LẠI, LS TỪ KỲ THỨ 11 = LSTC + 2.87%/NĂM</t>
  </si>
  <si>
    <t xml:space="preserve">BAB201-07L</t>
  </si>
  <si>
    <t xml:space="preserve">LSTC +1.2%/NĂM, NẾU TCPH KHÔNG MUA LẠI VÀO NGÀY THỰC HIỆN MUA LẠI, LS TỪ KỲ THỨ 6 = LSTC + 3%/NĂM</t>
  </si>
  <si>
    <t xml:space="preserve">MBBL2426012</t>
  </si>
  <si>
    <t xml:space="preserve">5.28%/NĂM</t>
  </si>
  <si>
    <t xml:space="preserve">BABL2427006</t>
  </si>
  <si>
    <t xml:space="preserve">MBBL2431013</t>
  </si>
  <si>
    <t xml:space="preserve">LSTC + 1.5%/NĂM, NẾU TCPH KHÔNG MUA LẠI TP THEO ĐK 9.2 THÌ LS TỪ KỲ THỨ 21 = LSTC + 2.7%/NĂM</t>
  </si>
  <si>
    <t xml:space="preserve">MBBL2426014</t>
  </si>
  <si>
    <t xml:space="preserve">HDBL2431003</t>
  </si>
  <si>
    <t xml:space="preserve">2024-07</t>
  </si>
  <si>
    <t xml:space="preserve">HDBL2432005</t>
  </si>
  <si>
    <t xml:space="preserve">ACBL2427004</t>
  </si>
  <si>
    <t xml:space="preserve">CTGL2434001</t>
  </si>
  <si>
    <t xml:space="preserve">BÌNH QUÂN LSTK 12T VNĐ (VCB, BIDV, VIETIN, AGRI) + 1.4%/NĂM</t>
  </si>
  <si>
    <t xml:space="preserve">BIDL2432018</t>
  </si>
  <si>
    <t xml:space="preserve">LSTC + 1.2%/NĂM, NẾU TCPH KHÔNG MUA LẠI TP TỪ KỲ THỨ 11 = LSTC + 2.87%/NĂM</t>
  </si>
  <si>
    <t xml:space="preserve">BIDLH2432019</t>
  </si>
  <si>
    <t xml:space="preserve">NHTMCP SÀI GÒN- HÀ NỘI</t>
  </si>
  <si>
    <t xml:space="preserve">SHBL2427001</t>
  </si>
  <si>
    <t xml:space="preserve">BIDLH2432021</t>
  </si>
  <si>
    <t xml:space="preserve">BIDLH2431020</t>
  </si>
  <si>
    <t xml:space="preserve">LSTC + 1.1%/NĂM, NẾU TCPH KHÔNG MUA LẠI TP TỪ KỲ THỨ 11 = LSTC + 3.6%/NĂM</t>
  </si>
  <si>
    <t xml:space="preserve">OCBL2427005</t>
  </si>
  <si>
    <t xml:space="preserve">CTGL2439002</t>
  </si>
  <si>
    <t xml:space="preserve">CTGL2432003</t>
  </si>
  <si>
    <t xml:space="preserve">NABL2430003</t>
  </si>
  <si>
    <t xml:space="preserve">MBBH2430001</t>
  </si>
  <si>
    <t xml:space="preserve">ACBL2427006</t>
  </si>
  <si>
    <t xml:space="preserve">SHBL2427002</t>
  </si>
  <si>
    <t xml:space="preserve">CTGL2439004</t>
  </si>
  <si>
    <t xml:space="preserve">BIDLH2431022</t>
  </si>
  <si>
    <t xml:space="preserve">BIDLH2432023</t>
  </si>
  <si>
    <t xml:space="preserve">OCBL2427006</t>
  </si>
  <si>
    <t xml:space="preserve">MBBL2427015</t>
  </si>
  <si>
    <t xml:space="preserve">5.45%/NĂM</t>
  </si>
  <si>
    <t xml:space="preserve">ACBL2429007</t>
  </si>
  <si>
    <t xml:space="preserve">MBBL2427016</t>
  </si>
  <si>
    <t xml:space="preserve">CTGL2434005</t>
  </si>
  <si>
    <t xml:space="preserve">VIBL2427001</t>
  </si>
  <si>
    <t xml:space="preserve">MBBL2426018</t>
  </si>
  <si>
    <t xml:space="preserve">MBBL2427017</t>
  </si>
  <si>
    <t xml:space="preserve">MBBL2426019</t>
  </si>
  <si>
    <t xml:space="preserve">HDBL2432006</t>
  </si>
  <si>
    <t xml:space="preserve">HDBL2427007</t>
  </si>
  <si>
    <t xml:space="preserve">5.7%/NĂM</t>
  </si>
  <si>
    <t xml:space="preserve">2024-08</t>
  </si>
  <si>
    <t xml:space="preserve">MBBL2427020</t>
  </si>
  <si>
    <t xml:space="preserve">HDBL2426011</t>
  </si>
  <si>
    <t xml:space="preserve">CTGL2432006</t>
  </si>
  <si>
    <t xml:space="preserve">BÌNH QUÂN LSTK 12T VNĐ (VCB, BIDV, VIETIN, AGRI) + 1.2%/NĂM</t>
  </si>
  <si>
    <t xml:space="preserve">MBBL2427021</t>
  </si>
  <si>
    <t xml:space="preserve">SHBL2427003</t>
  </si>
  <si>
    <t xml:space="preserve">CTGL2439007</t>
  </si>
  <si>
    <t xml:space="preserve">HDBC7Y202302</t>
  </si>
  <si>
    <t xml:space="preserve">OCBL2426007</t>
  </si>
  <si>
    <t xml:space="preserve">5.6%/NĂM</t>
  </si>
  <si>
    <t xml:space="preserve">OCBL2427009</t>
  </si>
  <si>
    <t xml:space="preserve">BIDLH2430025</t>
  </si>
  <si>
    <t xml:space="preserve">LSTC + 0.9%/NĂM</t>
  </si>
  <si>
    <t xml:space="preserve">OCBL2427008</t>
  </si>
  <si>
    <t xml:space="preserve">TPBL2434008</t>
  </si>
  <si>
    <t xml:space="preserve">BÌNH QUÂN LSTK 12T VNĐ (VCB, BIDV, VIETIN, AGRI) + 2%/NĂM</t>
  </si>
  <si>
    <t xml:space="preserve">NABL2427005</t>
  </si>
  <si>
    <t xml:space="preserve">OCBL2426010</t>
  </si>
  <si>
    <t xml:space="preserve">AGRIBANK243401</t>
  </si>
  <si>
    <t xml:space="preserve">LSTC + 2%/NĂM, NẾU TCPH KHÔNG MUA LẠI TP TỪ KỲ THỨ 5 = LSTC + 3%/NĂM</t>
  </si>
  <si>
    <t xml:space="preserve">CTGL2432008</t>
  </si>
  <si>
    <t xml:space="preserve">BÌNH QUÂN LSTK 12T VNĐ (VCB, BIDV, VIETIN, AGRI) + 1.1%/NĂM</t>
  </si>
  <si>
    <t xml:space="preserve">NHTMCP VIỆT NAM THỊNH VƯỢNG</t>
  </si>
  <si>
    <t xml:space="preserve">VPBB2427001</t>
  </si>
  <si>
    <t xml:space="preserve">BIDL2429026</t>
  </si>
  <si>
    <t xml:space="preserve">5.68%/NĂM</t>
  </si>
  <si>
    <t xml:space="preserve">CTGL2432009</t>
  </si>
  <si>
    <t xml:space="preserve">BÌNH QUÂN LSTK 12T VNĐ (VCB, BIDV, VIETIN, AGRI) + 1.2%/NĂM, NẾU TCPH KHÔNG MUA LẠI VÀO NGÀY THỰC HIỆN MUA LẠI, LS TỪ KỲ 11 = LSTC + 2.87%/NĂM</t>
  </si>
  <si>
    <t xml:space="preserve">BIDLH2432029</t>
  </si>
  <si>
    <t xml:space="preserve">BIDLH2431028</t>
  </si>
  <si>
    <t xml:space="preserve">OCBL2427011</t>
  </si>
  <si>
    <t xml:space="preserve">HDBL2431012</t>
  </si>
  <si>
    <t xml:space="preserve">VIBL2427002</t>
  </si>
  <si>
    <t xml:space="preserve">ACBL2426008</t>
  </si>
  <si>
    <t xml:space="preserve">TPBL2434009</t>
  </si>
  <si>
    <t xml:space="preserve">NHTMCP LỘC PHÁT</t>
  </si>
  <si>
    <t xml:space="preserve">LPBL2431001</t>
  </si>
  <si>
    <t xml:space="preserve">BÌNH QUÂN LSTK 12T VNĐ (VCB, BIDV, VIETIN, AGRI) + 2.9%/NĂM</t>
  </si>
  <si>
    <t xml:space="preserve">CTGL2439010</t>
  </si>
  <si>
    <t xml:space="preserve">BaoVietBank</t>
  </si>
  <si>
    <t xml:space="preserve">NHTMCP BẢO VIỆT</t>
  </si>
  <si>
    <t xml:space="preserve">BVCCL2431002</t>
  </si>
  <si>
    <t xml:space="preserve">BÌNH QUÂN LSTK 12T VNĐ (VCB, BIDV, VIETIN, AGRI) + 3%/NĂM</t>
  </si>
  <si>
    <t xml:space="preserve">TPBL2427010</t>
  </si>
  <si>
    <t xml:space="preserve">MSBL2427006</t>
  </si>
  <si>
    <t xml:space="preserve">OCBL2427012</t>
  </si>
  <si>
    <t xml:space="preserve">VIBL2427003</t>
  </si>
  <si>
    <t xml:space="preserve">2024-09</t>
  </si>
  <si>
    <t xml:space="preserve">TPBL2434014</t>
  </si>
  <si>
    <t xml:space="preserve">BIDLH2432039</t>
  </si>
  <si>
    <t xml:space="preserve">TPBL2434015</t>
  </si>
  <si>
    <t xml:space="preserve">ACBL2427009</t>
  </si>
  <si>
    <t xml:space="preserve">BIDLH2431038</t>
  </si>
  <si>
    <t xml:space="preserve">STBL2426001</t>
  </si>
  <si>
    <t xml:space="preserve">KỲ ĐẦU: 6%/NĂM, CÁC KỲ SAU = LS TIỀN GỬI CAO NHẤT VNĐ (TRỪ TCTD, CHI NHÁNH NH NƯỚC NGOÀI) SBV KỲ HẠN 1- 6 THÁNG + 0.75%/NĂM NHƯNG KHÔNG THẤP HƠN 6%/NĂM</t>
  </si>
  <si>
    <t xml:space="preserve">MSBL2427008</t>
  </si>
  <si>
    <t xml:space="preserve">TPBL2434016</t>
  </si>
  <si>
    <t xml:space="preserve">KỲ ĐẦU: 7.9%/NĂM, CÁC KỲ SAU = BÌNH QUÂN LSTK 12T VNĐ (VCB, BIDV, VIETIN, AGRI) + 2.5%/NĂM</t>
  </si>
  <si>
    <t xml:space="preserve">CTGL2439011</t>
  </si>
  <si>
    <t xml:space="preserve">OCBL2427013</t>
  </si>
  <si>
    <t xml:space="preserve">TPBL2434017</t>
  </si>
  <si>
    <t xml:space="preserve">CTGL2434012</t>
  </si>
  <si>
    <t xml:space="preserve">OCBL2427014</t>
  </si>
  <si>
    <t xml:space="preserve">LPBL2431002</t>
  </si>
  <si>
    <t xml:space="preserve">TPBL2434018</t>
  </si>
  <si>
    <t xml:space="preserve">VIBL2427004</t>
  </si>
  <si>
    <t xml:space="preserve">HDBL2427013</t>
  </si>
  <si>
    <t xml:space="preserve">HDBL2432014</t>
  </si>
  <si>
    <t xml:space="preserve">HDBL2427015</t>
  </si>
  <si>
    <t xml:space="preserve">2024-10</t>
  </si>
  <si>
    <t xml:space="preserve">HDBL2426019</t>
  </si>
  <si>
    <t xml:space="preserve">TPBL2434021</t>
  </si>
  <si>
    <t xml:space="preserve">BÌNH QUÂN LSTK 12T VNĐ (VCB, BIDV, VIETIN, AGRI) + 2.2%/NĂM</t>
  </si>
  <si>
    <t xml:space="preserve">NHTMCP LỘC PHÁT VIỆT NAM</t>
  </si>
  <si>
    <t xml:space="preserve">LPBL2431005</t>
  </si>
  <si>
    <t xml:space="preserve">VIBL2427006</t>
  </si>
  <si>
    <t xml:space="preserve">LPBL2427006</t>
  </si>
  <si>
    <t xml:space="preserve">STBL2426003</t>
  </si>
  <si>
    <t xml:space="preserve">OCBL2427018</t>
  </si>
  <si>
    <t xml:space="preserve">CTGL2439013</t>
  </si>
  <si>
    <t xml:space="preserve">VIBL2427007</t>
  </si>
  <si>
    <t xml:space="preserve">5.05%/NĂM</t>
  </si>
  <si>
    <t xml:space="preserve">OCBL2427019</t>
  </si>
  <si>
    <t xml:space="preserve">TPBL2434022</t>
  </si>
  <si>
    <t xml:space="preserve">2024-11</t>
  </si>
  <si>
    <t xml:space="preserve">TPBL2434023</t>
  </si>
  <si>
    <t xml:space="preserve">ACBL2426013</t>
  </si>
  <si>
    <t xml:space="preserve">LSTK 1-6T ACB + 0.25%/NĂM, NHƯNG KHÔNG DƯỚI 4.75%/NĂM (NẾU LSTC KHÔNG CÒN LƯU HÀNH, LS = 5%/NĂM)</t>
  </si>
  <si>
    <t xml:space="preserve">BABL2427008</t>
  </si>
  <si>
    <t xml:space="preserve">HDBL2432020</t>
  </si>
  <si>
    <t xml:space="preserve">ACBL2426014</t>
  </si>
  <si>
    <t xml:space="preserve">TPBL2427024</t>
  </si>
  <si>
    <t xml:space="preserve">Eximbank</t>
  </si>
  <si>
    <t xml:space="preserve">NHTMCP XUẤT NHẬP KHẨU VIỆT NAM</t>
  </si>
  <si>
    <t xml:space="preserve">EIBL2426002</t>
  </si>
  <si>
    <t xml:space="preserve">LPBL2431008</t>
  </si>
  <si>
    <t xml:space="preserve">HDBL2431021</t>
  </si>
  <si>
    <t xml:space="preserve">TPBL2434025</t>
  </si>
  <si>
    <t xml:space="preserve">BÌNH QUÂN LSTK 12T VNĐ (VCB, BIDV, VIETIN, AGRI) + 1.32%/NĂM</t>
  </si>
  <si>
    <t xml:space="preserve">VCBL2426001</t>
  </si>
  <si>
    <t xml:space="preserve">4.9%/NĂM</t>
  </si>
  <si>
    <t xml:space="preserve">MSBL2427010</t>
  </si>
  <si>
    <t xml:space="preserve">TPBL2434026</t>
  </si>
  <si>
    <t xml:space="preserve">ABBL2427001</t>
  </si>
  <si>
    <t xml:space="preserve">ACBL2429015</t>
  </si>
  <si>
    <t xml:space="preserve">BABL2427009</t>
  </si>
  <si>
    <t xml:space="preserve">TPBL2434027</t>
  </si>
  <si>
    <t xml:space="preserve">HDBL2432022</t>
  </si>
  <si>
    <t xml:space="preserve">HDBL2432023</t>
  </si>
  <si>
    <t xml:space="preserve">HDBL2432024</t>
  </si>
  <si>
    <t xml:space="preserve">EIBH2429003</t>
  </si>
  <si>
    <t xml:space="preserve">HDBL2432025</t>
  </si>
  <si>
    <t xml:space="preserve">2024-12</t>
  </si>
  <si>
    <t xml:space="preserve">BABL2427010</t>
  </si>
  <si>
    <t xml:space="preserve">CTGL2432016</t>
  </si>
  <si>
    <t xml:space="preserve">VIBL2427008</t>
  </si>
  <si>
    <t xml:space="preserve">TPBL2427028</t>
  </si>
  <si>
    <t xml:space="preserve">3 THÁNG ĐẦU: 5.3%/NĂM, CÁC KỲ SAU = LSTC + 0.55%/NĂM NHƯNG KHÔNG DƯỚI 5%/NĂM</t>
  </si>
  <si>
    <t xml:space="preserve">OCBL2427022</t>
  </si>
  <si>
    <t xml:space="preserve">TPBL2434030</t>
  </si>
  <si>
    <t xml:space="preserve">BÌNH QUÂN LSTK 12T VNĐ (VCB, BIDV, VIETIN, AGRI) + 2.402%/NĂM</t>
  </si>
  <si>
    <t xml:space="preserve">TPBL2434029</t>
  </si>
  <si>
    <t xml:space="preserve">BÌNH QUÂN LSTK 12T VNĐ (VCB, BIDV, VIETIN, AGRI) + 2.322%/NĂM</t>
  </si>
  <si>
    <t xml:space="preserve">OCBL2427023</t>
  </si>
  <si>
    <t xml:space="preserve">TPBL2434031</t>
  </si>
  <si>
    <t xml:space="preserve">BÌNH QUÂN LSTK 12T VNĐ (VCB, BIDV, VIETIN, AGRI) + 1.52%/NĂM</t>
  </si>
  <si>
    <t xml:space="preserve">OCBL2427024</t>
  </si>
  <si>
    <t xml:space="preserve">VIBL2427009</t>
  </si>
  <si>
    <t xml:space="preserve">ABBL2426003</t>
  </si>
  <si>
    <t xml:space="preserve">LS HUY ĐỘNG 1-6T (SBV) + 0.9%/NĂM, NHƯNG KHÔNG DƯỚI 5.7%/NĂM</t>
  </si>
  <si>
    <t xml:space="preserve">TPBL2434032</t>
  </si>
  <si>
    <t xml:space="preserve">BÌNH QUÂN LSTK 12T VNĐ (VCB, BIDV, VIETIN, AGRI) + 2.4%/NĂM</t>
  </si>
  <si>
    <t xml:space="preserve">MBBL2432022</t>
  </si>
  <si>
    <t xml:space="preserve">ACBL2429016</t>
  </si>
  <si>
    <t xml:space="preserve">VIBL2431010</t>
  </si>
  <si>
    <t xml:space="preserve">BÌNH QUÂN LSTK 12T VNĐ (VCB, BIDV, VIETIN, AGRI) + 2.8%/NĂM, NẾU TCPH KHÔNG MUA LẠI THEO ĐK 4.7.3, LS CHO KỲ THỨ 6 VÀ 7 = LSTC + 3.8%/NĂM</t>
  </si>
  <si>
    <t xml:space="preserve">TPBL2434033</t>
  </si>
  <si>
    <t xml:space="preserve">BÌNH QUÂN LSTK 12T VNĐ (VCB, BIDV, VIETIN, AGRI) + 2.32%/NĂM</t>
  </si>
  <si>
    <t xml:space="preserve">MBBL2431023</t>
  </si>
  <si>
    <t xml:space="preserve">LSTC + 1.6%/NĂM, NẾU TCPH KHÔNG MUA LẠI THEO ĐK 9.2, LS CHO KỲ THỨ 6 VÀ 7 = LSTC + 2.6%/NĂM</t>
  </si>
  <si>
    <t xml:space="preserve">TPBL2427034</t>
  </si>
  <si>
    <t xml:space="preserve">MBBL2431024</t>
  </si>
  <si>
    <t xml:space="preserve">LSTC + 1.5%/NĂM, NẾU TCPH KHÔNG MUA LẠI THEO ĐK 9.2, LS TỪ "KỲ TÍNH LÃI" THỨ 21 = LSTC + 2.5%/NĂM</t>
  </si>
  <si>
    <t xml:space="preserve">TPBL2427037</t>
  </si>
  <si>
    <t xml:space="preserve">3 THÁNG ĐẦU: 5.6%/NĂM, CÁC KỲ SAU = LSTC + 0.85%/NĂM NHƯNG KHÔNG DƯỚI 5.5%/NĂM</t>
  </si>
  <si>
    <t xml:space="preserve">HDBL2426026</t>
  </si>
  <si>
    <t xml:space="preserve">MBBL2432025</t>
  </si>
  <si>
    <t xml:space="preserve">LSTC + 1.6%/NĂM, NẾU TCPH KHÔNG MUA LẠI THEO ĐK 1 &amp; 9.2, LS CHO KỲ THỨ 6, 7 VÀ 8 = LSTC + 2.6%/NĂM</t>
  </si>
  <si>
    <t xml:space="preserve">TPBL2434036</t>
  </si>
  <si>
    <t xml:space="preserve">MSBL2427012</t>
  </si>
  <si>
    <t xml:space="preserve">TPBL2427035</t>
  </si>
  <si>
    <t xml:space="preserve">TPBL2434038</t>
  </si>
  <si>
    <t xml:space="preserve">KienlongBank</t>
  </si>
  <si>
    <t xml:space="preserve">NHTMCP KIÊN LONG</t>
  </si>
  <si>
    <t xml:space="preserve">KLB7Y202401</t>
  </si>
  <si>
    <t xml:space="preserve">LSTK 12T VNĐ (KLB) + 1.6%/NĂM</t>
  </si>
  <si>
    <t xml:space="preserve">MBBL2432026</t>
  </si>
  <si>
    <t xml:space="preserve">LSTC + 1.6%/NĂM, NẾU TCPH KHÔNG MUA LẠI THEO ĐK 9.2, LS CHO KỲ THỨ 6, 7 VÀ 8 = LSTC + 2.6%/NĂM</t>
  </si>
  <si>
    <t xml:space="preserve">MSBL2427013</t>
  </si>
  <si>
    <t xml:space="preserve">HDBH2429027</t>
  </si>
  <si>
    <t xml:space="preserve">MBBL2432027</t>
  </si>
  <si>
    <t xml:space="preserve">HDBL2431029</t>
  </si>
  <si>
    <t xml:space="preserve">TCBL2429017</t>
  </si>
  <si>
    <t xml:space="preserve">ABBL2426004</t>
  </si>
  <si>
    <t xml:space="preserve">HDBL2427028</t>
  </si>
  <si>
    <t xml:space="preserve">2025-01</t>
  </si>
  <si>
    <t xml:space="preserve">KỲ ĐẦU: 8.2%/NĂM, CÁC KỲ SAU = BÌNH QUÂN LSTK 12T VNĐ (VCB, BIDV, VIETIN, AGRI) + 2.5%/NĂM</t>
  </si>
  <si>
    <t xml:space="preserve">CTG2432T2/01</t>
  </si>
  <si>
    <t xml:space="preserve">BÌNH QUÂN LSTK 12T VNĐ (VCB, BIDV, VIETIN, AGRI) + 1.05%/NĂM</t>
  </si>
  <si>
    <t xml:space="preserve">CTG2434T2/01</t>
  </si>
  <si>
    <t xml:space="preserve">BÌNH QUÂN LSTK 12T VNĐ (VCB, BIDV, VIETIN, AGRI) + 1.15%/NĂM</t>
  </si>
  <si>
    <t xml:space="preserve">2025-03</t>
  </si>
  <si>
    <t xml:space="preserve">LPB7Y202401</t>
  </si>
  <si>
    <t xml:space="preserve">LPB10Y202402</t>
  </si>
  <si>
    <t xml:space="preserve">BÌNH QUÂN LSTK 12T VNĐ (VCB, BIDV, VIETIN, AGRI) + 3.2%/NĂM</t>
  </si>
  <si>
    <t xml:space="preserve">MBBH2430003</t>
  </si>
  <si>
    <t xml:space="preserve">BÌNH QUÂN LSTK 12T VNĐ (VCB, BIDV, VIETIN, AGRI) + 1.5%/NĂM</t>
  </si>
  <si>
    <t xml:space="preserve">2025-04</t>
  </si>
  <si>
    <t xml:space="preserve">ACB12502</t>
  </si>
  <si>
    <t xml:space="preserve">NHTMCP THỊNH VƯỢNG VÀ PHÁT TRIỂN</t>
  </si>
  <si>
    <t xml:space="preserve">PGB12501</t>
  </si>
  <si>
    <t xml:space="preserve">CTG2432T2/02</t>
  </si>
  <si>
    <t xml:space="preserve">CTG2434T2/02</t>
  </si>
  <si>
    <t xml:space="preserve">MSB12501</t>
  </si>
  <si>
    <t xml:space="preserve">ACB12503</t>
  </si>
  <si>
    <t xml:space="preserve">KỲ ĐẦU: 5.8%/NĂM, CÁC KỲ SAU = BÌNH QUÂN LSTK 12T VNĐ (VCB, BIDV, VIETIN, AGRI) + 1%/NĂM</t>
  </si>
  <si>
    <t xml:space="preserve">TCB12502</t>
  </si>
  <si>
    <t xml:space="preserve">TCB12501</t>
  </si>
  <si>
    <t xml:space="preserve">TCB12503</t>
  </si>
  <si>
    <t xml:space="preserve">TCB12504</t>
  </si>
  <si>
    <t xml:space="preserve">MSB12503</t>
  </si>
  <si>
    <t xml:space="preserve">MSB12502</t>
  </si>
  <si>
    <t xml:space="preserve">ABB12501</t>
  </si>
  <si>
    <t xml:space="preserve">ABB12502</t>
  </si>
  <si>
    <t xml:space="preserve">2025-05</t>
  </si>
  <si>
    <t xml:space="preserve">MBB12503</t>
  </si>
  <si>
    <t xml:space="preserve">LSTC + 1.7%/NĂM, NẾU TCPH KHÔNG MUA LẠI THEO ĐK 9.2, LS TỪ KỲ THỨ 6 = LSTC + 2.7%/NĂM</t>
  </si>
  <si>
    <t xml:space="preserve">ACB12505</t>
  </si>
  <si>
    <t xml:space="preserve">TCB12507</t>
  </si>
  <si>
    <t xml:space="preserve">CTG12503</t>
  </si>
  <si>
    <t xml:space="preserve">VPB12501</t>
  </si>
  <si>
    <t xml:space="preserve">VPB12502</t>
  </si>
  <si>
    <t xml:space="preserve">MBB12504</t>
  </si>
  <si>
    <t xml:space="preserve">LSTC + 1.5%/NĂM, NẾU TCPH KHÔNG MUA LẠI THEO ĐK 9.2, LS TỪ KỲ THỨ 6 = LSTC + 2.5%/NĂM</t>
  </si>
  <si>
    <t xml:space="preserve">BAB12501</t>
  </si>
  <si>
    <t xml:space="preserve">BID12503</t>
  </si>
  <si>
    <t xml:space="preserve">5.9%/NĂM</t>
  </si>
  <si>
    <t xml:space="preserve">BID12502</t>
  </si>
  <si>
    <t xml:space="preserve">LSTC + 1.15%/NĂM, NẾU TCPH KHÔNG MUA LẠI VÀO NGÀY THỰC HIỆN MUA LẠI, LS TỪ "KỲ TÍNH LÃI" THỨ 6 = LSTC + 2.82%/NĂM</t>
  </si>
  <si>
    <t xml:space="preserve">BAB12502</t>
  </si>
  <si>
    <t xml:space="preserve">BID12501</t>
  </si>
  <si>
    <t xml:space="preserve">LSTC + 1%/NĂM, NẾU TCPH KHÔNG MUA LẠI VÀO NGÀY THỰC HIỆN MUA LẠI, LS TỪ "KỲ TÍNH LÃI" THỨ 6 = LSTC + 3.5%/NĂM</t>
  </si>
  <si>
    <t xml:space="preserve">ABB12505</t>
  </si>
  <si>
    <t xml:space="preserve">BID12505</t>
  </si>
  <si>
    <t xml:space="preserve">LSTC + 1.15%/NĂM, NẾU TCPH KHÔNG MUA LẠI VÀO NGÀY THỰC HIỆN MUA LẠI, LS TỪ "KỲ TÍNH LÃI" THỨ 11 = LSTC + 2.82%/NĂM</t>
  </si>
  <si>
    <t xml:space="preserve">BID12504</t>
  </si>
  <si>
    <t xml:space="preserve">LSTC + 1%/NĂM, NẾU TCPH KHÔNG MUA LẠI VÀO NGÀY THỰC HIỆN MUA LẠI, LS TỪ "KỲ TÍNH LÃI" THỨ 11 = LSTC + 3.5%/NĂM</t>
  </si>
  <si>
    <t xml:space="preserve">MSB12504</t>
  </si>
  <si>
    <t xml:space="preserve">BID12508</t>
  </si>
  <si>
    <t xml:space="preserve">LSTC + 1.15%/NĂM, NẾU TCPH KHÔNG MUA LẠI VÀO NGÀY THỰC HIỆN MUA LẠI, LS TỪ KỲ THỨ 6 = LSTC + 2.82%/NĂM</t>
  </si>
  <si>
    <t xml:space="preserve">BID12507</t>
  </si>
  <si>
    <t xml:space="preserve">LSTC + 1%/NĂM, NẾU TCPH KHÔNG MUA LẠI VÀO NGÀY THỰC HIỆN MUA LẠI, LS TỪ KỲ THỨ 6 = LSTC + 3.5%/NĂM</t>
  </si>
  <si>
    <t xml:space="preserve">BID12506</t>
  </si>
  <si>
    <t xml:space="preserve">6.26%/NĂM</t>
  </si>
  <si>
    <t xml:space="preserve">ABB12506</t>
  </si>
  <si>
    <t xml:space="preserve">VPB12504</t>
  </si>
  <si>
    <t xml:space="preserve">OCB12503</t>
  </si>
  <si>
    <t xml:space="preserve">VPB12503</t>
  </si>
  <si>
    <t xml:space="preserve">OCB12504</t>
  </si>
  <si>
    <t xml:space="preserve">VPB12505</t>
  </si>
  <si>
    <t xml:space="preserve">ABB12507</t>
  </si>
  <si>
    <t xml:space="preserve">ABB12508</t>
  </si>
  <si>
    <t xml:space="preserve">2025-06</t>
  </si>
  <si>
    <t xml:space="preserve">TCB12510</t>
  </si>
  <si>
    <t xml:space="preserve">OCB12508</t>
  </si>
  <si>
    <t xml:space="preserve">OCB12509</t>
  </si>
  <si>
    <t xml:space="preserve">BAB12503</t>
  </si>
  <si>
    <t xml:space="preserve">ACB12506</t>
  </si>
  <si>
    <t xml:space="preserve">TPB12506</t>
  </si>
  <si>
    <t xml:space="preserve">BÌNH QUÂN LSTK 12T VNĐ (VCB, BIDV, VIETIN, AGRI) + 2.6%/NĂM</t>
  </si>
  <si>
    <t xml:space="preserve">ACB12507</t>
  </si>
  <si>
    <t xml:space="preserve">4.95%/NĂM</t>
  </si>
  <si>
    <t xml:space="preserve">BID12514</t>
  </si>
  <si>
    <t xml:space="preserve">MBB12506</t>
  </si>
  <si>
    <t xml:space="preserve">ACB12508</t>
  </si>
  <si>
    <t xml:space="preserve">BID12517</t>
  </si>
  <si>
    <t xml:space="preserve">TCB12511</t>
  </si>
  <si>
    <t xml:space="preserve">BID12515</t>
  </si>
  <si>
    <t xml:space="preserve">BID12516</t>
  </si>
  <si>
    <t xml:space="preserve">TPB12507</t>
  </si>
  <si>
    <t xml:space="preserve">MSB12505</t>
  </si>
  <si>
    <t xml:space="preserve">TCB12512</t>
  </si>
  <si>
    <t xml:space="preserve">TPB12508</t>
  </si>
  <si>
    <t xml:space="preserve">ACB12509</t>
  </si>
  <si>
    <t xml:space="preserve">OCB12510</t>
  </si>
  <si>
    <t xml:space="preserve">TCB12513</t>
  </si>
  <si>
    <t xml:space="preserve">ABB12510</t>
  </si>
  <si>
    <t xml:space="preserve">TPB12510</t>
  </si>
  <si>
    <t xml:space="preserve">BÌNH QUÂN LSTK 12T VNĐ (VCB, BIDV, VIETIN, AGRI) + 2.1%/NĂM</t>
  </si>
  <si>
    <t xml:space="preserve">TPB12509</t>
  </si>
  <si>
    <t xml:space="preserve">BID12518</t>
  </si>
  <si>
    <t xml:space="preserve">BID12519</t>
  </si>
  <si>
    <t xml:space="preserve">BID12520</t>
  </si>
  <si>
    <t xml:space="preserve">ABB12511</t>
  </si>
  <si>
    <t xml:space="preserve">TPB12511</t>
  </si>
  <si>
    <t xml:space="preserve">ACB12510</t>
  </si>
  <si>
    <t xml:space="preserve">NHTMCP SÀI GÒN - HÀ NỘI</t>
  </si>
  <si>
    <t xml:space="preserve">SHB12501</t>
  </si>
  <si>
    <t xml:space="preserve">KỲ ĐẦU: 7.65%/NĂM, CÁC KỲ SAU = BÌNH QUÂN LSTK 12T VNĐ (VCB, BIDV, VIETIN, AGRI) + 3%/NĂM</t>
  </si>
  <si>
    <t xml:space="preserve">CTG12505</t>
  </si>
  <si>
    <t xml:space="preserve">MBB12507</t>
  </si>
  <si>
    <t xml:space="preserve">LSTC + 1.8%/NĂM, NẾU TCPH KHÔNG MUA LẠI THEO ĐK 9.2, LS TỪ KỲ THỨ 6 = LSTC + 3%/NĂM</t>
  </si>
  <si>
    <t xml:space="preserve">OCB12511</t>
  </si>
  <si>
    <t xml:space="preserve">MBB12508</t>
  </si>
  <si>
    <t xml:space="preserve">TPB12512</t>
  </si>
  <si>
    <t xml:space="preserve">TPB12513</t>
  </si>
  <si>
    <t xml:space="preserve">MBB12509</t>
  </si>
  <si>
    <t xml:space="preserve">BID12522</t>
  </si>
  <si>
    <t xml:space="preserve">TCB12514</t>
  </si>
  <si>
    <t xml:space="preserve">BID12521</t>
  </si>
  <si>
    <t xml:space="preserve">CTG12506</t>
  </si>
  <si>
    <t xml:space="preserve">BÌNH QUÂN LSTK 12T VNĐ (VCB, BIDV, VIETIN, AGRI) + 1.15%/NĂM, NẾU TCPH KHÔNG MUA LẠI VÀO NGÀY THỰC HIỆN MUA LẠI, LS TỪ "KỲ TÍNH LÃI" THỨ 6 = LSTC + 2.82%/NĂM</t>
  </si>
  <si>
    <t xml:space="preserve">TPB12514</t>
  </si>
  <si>
    <t xml:space="preserve">MBB12510</t>
  </si>
  <si>
    <t xml:space="preserve">MSB12506</t>
  </si>
  <si>
    <t xml:space="preserve">MBB12511</t>
  </si>
  <si>
    <t xml:space="preserve">MBB12512</t>
  </si>
  <si>
    <t xml:space="preserve">ACB12512</t>
  </si>
  <si>
    <t xml:space="preserve">ACB12513</t>
  </si>
  <si>
    <t xml:space="preserve">2025-07</t>
  </si>
  <si>
    <t xml:space="preserve">ACB12514</t>
  </si>
  <si>
    <t xml:space="preserve">BID12532</t>
  </si>
  <si>
    <t xml:space="preserve">BID12533</t>
  </si>
  <si>
    <t xml:space="preserve">MBB12513</t>
  </si>
  <si>
    <t xml:space="preserve">BID12534</t>
  </si>
  <si>
    <t xml:space="preserve">MSB12507</t>
  </si>
  <si>
    <t xml:space="preserve">SHB12502</t>
  </si>
  <si>
    <t xml:space="preserve">VBA12503</t>
  </si>
  <si>
    <t xml:space="preserve">NAB12503</t>
  </si>
  <si>
    <t xml:space="preserve">OCB12512</t>
  </si>
  <si>
    <t xml:space="preserve">5.35%/NĂM</t>
  </si>
  <si>
    <t xml:space="preserve">BID12535</t>
  </si>
  <si>
    <t xml:space="preserve">MBB12514</t>
  </si>
  <si>
    <t xml:space="preserve">6.48%/NĂM</t>
  </si>
  <si>
    <t xml:space="preserve">MBB12516</t>
  </si>
  <si>
    <t xml:space="preserve">MBB12515</t>
  </si>
  <si>
    <t xml:space="preserve">MBB12517</t>
  </si>
  <si>
    <t xml:space="preserve">LSTC + 1.7%/NĂM, NẾU TCPH KHÔNG MUA LẠI THEO ĐK 9.2, LS TỪ "KỲ TÍNH LÃI" THỨ 11 = LSTC + 3%/NĂM</t>
  </si>
  <si>
    <t xml:space="preserve">MBB12518</t>
  </si>
  <si>
    <t xml:space="preserve">OCB12513</t>
  </si>
  <si>
    <t xml:space="preserve">OCB12514</t>
  </si>
  <si>
    <t xml:space="preserve">SHBC7Y202402</t>
  </si>
  <si>
    <t xml:space="preserve">VPB12510</t>
  </si>
  <si>
    <t xml:space="preserve">2025-08</t>
  </si>
  <si>
    <t xml:space="preserve">BAB12504</t>
  </si>
  <si>
    <t xml:space="preserve">MBB12519</t>
  </si>
  <si>
    <t xml:space="preserve">BAB12505</t>
  </si>
  <si>
    <t xml:space="preserve">OCB12515</t>
  </si>
  <si>
    <t xml:space="preserve">MBB12520</t>
  </si>
  <si>
    <t xml:space="preserve">5.65%/NĂM</t>
  </si>
  <si>
    <t xml:space="preserve">ABB12512</t>
  </si>
  <si>
    <t xml:space="preserve">VietABank</t>
  </si>
  <si>
    <t xml:space="preserve">NHTMCP VIỆT Á</t>
  </si>
  <si>
    <t xml:space="preserve">TPVAB253201</t>
  </si>
  <si>
    <t xml:space="preserve">KỲ ĐẦU: 7.6%/NĂM, CÁC KỲ SAU = BÌNH QUÂN LSTK 12T VNĐ (VCB, BIDV, VIETIN, AGRI) + 2.8%/NĂM</t>
  </si>
  <si>
    <t xml:space="preserve">SHB12503</t>
  </si>
  <si>
    <t xml:space="preserve">LPB12502</t>
  </si>
  <si>
    <t xml:space="preserve">BAB12506</t>
  </si>
  <si>
    <t xml:space="preserve">TPB12523</t>
  </si>
  <si>
    <t xml:space="preserve">TPB12524</t>
  </si>
  <si>
    <t xml:space="preserve">HDBC8Y253302</t>
  </si>
  <si>
    <t xml:space="preserve">HDBC7Y253202</t>
  </si>
  <si>
    <t xml:space="preserve">BÌNH QUÂN LSTK 12T VNĐ (VCB, BIDV, VIETIN, AGRI) + 1.9%/NĂM</t>
  </si>
  <si>
    <t xml:space="preserve">NAB12504</t>
  </si>
  <si>
    <t xml:space="preserve">5 KỲ ĐẦU: LSTC + 2%/NĂM, CÁC KỲ SAU = LSTC + 2.5%/NĂM</t>
  </si>
  <si>
    <t xml:space="preserve">LPB12503</t>
  </si>
  <si>
    <t xml:space="preserve">ACB12516</t>
  </si>
  <si>
    <t xml:space="preserve">MBB12521</t>
  </si>
  <si>
    <t xml:space="preserve">LSTC + 1.6%/NĂM, NẾU TCPH KHÔNG MUA LẠI THEO ĐK 9.2, LS TỪ "KỲ TÍNH LÃI" THỨ 21 = LSTC + 2.6%/NĂM</t>
  </si>
  <si>
    <t xml:space="preserve">TPB12525</t>
  </si>
  <si>
    <t xml:space="preserve">SHB12504</t>
  </si>
  <si>
    <t xml:space="preserve">LPB12504</t>
  </si>
  <si>
    <t xml:space="preserve">OCB12516</t>
  </si>
  <si>
    <t xml:space="preserve">VPB12512</t>
  </si>
  <si>
    <t xml:space="preserve">BAB203-07L</t>
  </si>
  <si>
    <t xml:space="preserve">LSTK 12T (BAB) + 1.1%/NĂM, NẾU TCPH KHÔNG MUA LẠI VÀO NGÀY THỰC HIỆN MUA LẠI, LS TỪ KỲ 6 = LSTK 12T (BAB) + 3%/NĂM</t>
  </si>
  <si>
    <t xml:space="preserve">BAB203-07C</t>
  </si>
  <si>
    <t xml:space="preserve">LSTK 12T (BAB) + 1.3%/NĂM, NẾU TCPH KHÔNG MUA LẠI VÀO NGÀY THỰC HIỆN MUA LẠI, LS TỪ KỲ 6 = LSTK 12T (BAB) + 3.1%/NĂM</t>
  </si>
  <si>
    <t xml:space="preserve">MBB12522</t>
  </si>
  <si>
    <t xml:space="preserve">6.38%/NĂM</t>
  </si>
  <si>
    <t xml:space="preserve">HDB12501</t>
  </si>
  <si>
    <t xml:space="preserve">2025-09</t>
  </si>
  <si>
    <t xml:space="preserve">MBB12524</t>
  </si>
  <si>
    <t xml:space="preserve">5.85%/NĂM</t>
  </si>
  <si>
    <t xml:space="preserve">TPB12530</t>
  </si>
  <si>
    <t xml:space="preserve">MBB12525</t>
  </si>
  <si>
    <t xml:space="preserve">TPB12531</t>
  </si>
  <si>
    <t xml:space="preserve">TPB12532</t>
  </si>
  <si>
    <t xml:space="preserve">ACB12517</t>
  </si>
  <si>
    <t xml:space="preserve">BID12538</t>
  </si>
  <si>
    <t xml:space="preserve">LPB12506</t>
  </si>
  <si>
    <t xml:space="preserve">TPB12533</t>
  </si>
  <si>
    <t xml:space="preserve">LPB12507</t>
  </si>
  <si>
    <t xml:space="preserve">VIB12503</t>
  </si>
  <si>
    <t xml:space="preserve">BID12539</t>
  </si>
  <si>
    <t xml:space="preserve">TPB12534</t>
  </si>
  <si>
    <t xml:space="preserve">HDB12502</t>
  </si>
  <si>
    <t xml:space="preserve">BAB12507</t>
  </si>
  <si>
    <t xml:space="preserve">BID12541</t>
  </si>
  <si>
    <t xml:space="preserve">BID12540</t>
  </si>
  <si>
    <t xml:space="preserve">HDB12503</t>
  </si>
  <si>
    <t xml:space="preserve">2025-10</t>
  </si>
  <si>
    <t xml:space="preserve">OCB12525</t>
  </si>
  <si>
    <t xml:space="preserve">OCB12526</t>
  </si>
  <si>
    <t xml:space="preserve">HDB12504</t>
  </si>
  <si>
    <t xml:space="preserve">BID12545</t>
  </si>
  <si>
    <t xml:space="preserve">BID12546</t>
  </si>
  <si>
    <t xml:space="preserve">LSTC + 1.25%/NĂM, NẾU TCPH KHÔNG MUA LẠI VÀO NGÀY THỰC HIỆN MUA LẠI, LS TỪ KỲ THỨ 6 = LSTC + 2.25%/NĂM</t>
  </si>
  <si>
    <t xml:space="preserve">BID12547</t>
  </si>
  <si>
    <t xml:space="preserve">BID12548</t>
  </si>
  <si>
    <t xml:space="preserve">TPB12536</t>
  </si>
  <si>
    <t xml:space="preserve">OCB12527</t>
  </si>
  <si>
    <t xml:space="preserve">ACB12518</t>
  </si>
  <si>
    <t xml:space="preserve">KỲ ĐẦU 6.3%/NĂM, CÁC KỲ SAU = BÌNH QUÂN LSTK 12T VNĐ (VCB, BIDV, VIETIN, AGRI) + 1.5%/NĂM</t>
  </si>
  <si>
    <t xml:space="preserve">VIB12505</t>
  </si>
  <si>
    <t xml:space="preserve">BÌNH QUÂN LSTK 12T VNĐ (VCB, BIDV, VIETIN, AGRI) + 2.5%/NĂM, NẾU TCPH KHÔNG MUA LẠI THEO ĐK 10.3, LS TỪ KỲ THỨ 6 = LSTC + 3.5%/NĂM</t>
  </si>
  <si>
    <t xml:space="preserve">ACB12519</t>
  </si>
  <si>
    <t xml:space="preserve">MSB12509</t>
  </si>
  <si>
    <t xml:space="preserve">BÌNH QUÂN LSTK 12T VNĐ (VCB, BIDV, VIETIN, AGRI) + 2.12%/NĂM, NẾU TCPH KHÔNG MUA LẠI TOÀN BỘ TP TẠI KỲ THỨ 2, LS TỪ KỲ THỨ 6 = LSTC + 3.12%/NĂM</t>
  </si>
  <si>
    <t xml:space="preserve">LPB12509</t>
  </si>
  <si>
    <t xml:space="preserve">BÌNH QUÂN LSTK 12T VNĐ (VCB, BIDV, VIETIN, AGRI) + 2.5%/NĂM</t>
  </si>
  <si>
    <t xml:space="preserve">ABB12513</t>
  </si>
  <si>
    <t xml:space="preserve">LPB7Y202403</t>
  </si>
  <si>
    <t xml:space="preserve">BÌNH QUÂN LSTK 12T VNĐ (VCB, BIDV, VIETIN, AGRI) + 2.35%/NĂM</t>
  </si>
  <si>
    <t xml:space="preserve">LPB10Y202404</t>
  </si>
  <si>
    <t xml:space="preserve">TPVAB253202</t>
  </si>
  <si>
    <t xml:space="preserve">TCB12519</t>
  </si>
  <si>
    <t xml:space="preserve">TPB12537</t>
  </si>
  <si>
    <t xml:space="preserve">BÌNH QUÂN LSTK 12T VNĐ (VCB, BIDV, VIETIN, AGRI) + 2%/NĂM, NẾU TCPH KHÔNG MUA LẠI THEO ĐK 9.2, LS TỪ KỲ THỨ 6 = LSTC + 2.8%/NĂM</t>
  </si>
  <si>
    <t xml:space="preserve">TCB12520</t>
  </si>
  <si>
    <t xml:space="preserve">LPB12510</t>
  </si>
  <si>
    <t xml:space="preserve">BID12549</t>
  </si>
  <si>
    <t xml:space="preserve">BID12550</t>
  </si>
  <si>
    <t xml:space="preserve">BID12551</t>
  </si>
  <si>
    <t xml:space="preserve">TCB12521</t>
  </si>
  <si>
    <t xml:space="preserve">VIB12506</t>
  </si>
  <si>
    <t xml:space="preserve">SHB12506</t>
  </si>
  <si>
    <t xml:space="preserve">2025-11</t>
  </si>
  <si>
    <t xml:space="preserve">TPB12540</t>
  </si>
  <si>
    <t xml:space="preserve">TCB12522</t>
  </si>
  <si>
    <t xml:space="preserve">OCB12528</t>
  </si>
  <si>
    <t xml:space="preserve">TPB12541</t>
  </si>
  <si>
    <t xml:space="preserve">BÌNH QUÂN LSTK 12T VNĐ (VCB, BIDV, VIETIN, AGRI) + 2.7%/NĂM</t>
  </si>
  <si>
    <t xml:space="preserve">VPB12514</t>
  </si>
  <si>
    <t xml:space="preserve">BAB12508</t>
  </si>
  <si>
    <t xml:space="preserve">6.7%/NĂM</t>
  </si>
  <si>
    <t xml:space="preserve">MSB12510</t>
  </si>
  <si>
    <t xml:space="preserve">TPB12543</t>
  </si>
  <si>
    <t xml:space="preserve">VIB12507</t>
  </si>
  <si>
    <t xml:space="preserve">HDB12507</t>
  </si>
  <si>
    <t xml:space="preserve">OCB12529</t>
  </si>
  <si>
    <t xml:space="preserve">HDB12508</t>
  </si>
  <si>
    <t xml:space="preserve">2025-12</t>
  </si>
  <si>
    <t xml:space="preserve">VAB12501</t>
  </si>
  <si>
    <t xml:space="preserve">KỲ ĐẦU: 7.6%/NĂM, CÁC KỲ SAU = BÌNH QUÂN LSTK 12T VNĐ (VCB, BIDV, VIETIN, AGRI) + 2.8%/NĂM. NẾU TCPH KHÔNG MUA LẠI VÀO NGÀY THỰC HIỆN MUA LẠI, LS TỪ KỲ THỨ 11 = LSTC + 5.5%/NĂM</t>
  </si>
  <si>
    <t xml:space="preserve">BAB12510</t>
  </si>
  <si>
    <t xml:space="preserve">TPB12546</t>
  </si>
  <si>
    <t xml:space="preserve">BÌNH QUÂN LSTK 12T VNĐ (VCB, BIDV, VIETIN, AGRI) + 3.3%/NĂM</t>
  </si>
  <si>
    <t xml:space="preserve">VPB12515</t>
  </si>
  <si>
    <t xml:space="preserve">HDB12509</t>
  </si>
  <si>
    <t xml:space="preserve">TCB12524</t>
  </si>
  <si>
    <t xml:space="preserve">VIB12508</t>
  </si>
  <si>
    <t xml:space="preserve">6.9%/NĂM</t>
  </si>
  <si>
    <t xml:space="preserve">TPB12547</t>
  </si>
  <si>
    <t xml:space="preserve">BÌNH QUÂN LSTK 12T VNĐ (VCB, BIDV, VIETIN, AGRI) + 3.5%/NĂM</t>
  </si>
  <si>
    <t xml:space="preserve">TCB12525</t>
  </si>
  <si>
    <t xml:space="preserve">OCB12530</t>
  </si>
  <si>
    <t xml:space="preserve">VPB12516</t>
  </si>
  <si>
    <t xml:space="preserve">ABB12516</t>
  </si>
  <si>
    <t xml:space="preserve">ABB12517</t>
  </si>
  <si>
    <t xml:space="preserve">BID12558</t>
  </si>
  <si>
    <t xml:space="preserve">LSTC + 1.45%/NĂM, NẾU TCPH KHÔNG MUA LẠI VÀO NGÀY THỰC HIỆN MUA LẠI, LS TỪ KỲ THỨ 6 = LSTC + 3.95%/NĂM</t>
  </si>
  <si>
    <t xml:space="preserve">HDB12510</t>
  </si>
  <si>
    <t xml:space="preserve">HDB12511</t>
  </si>
  <si>
    <t xml:space="preserve">MBB12527</t>
  </si>
  <si>
    <t xml:space="preserve">LSTC + 2.35%/NĂM, NẾU TCPH KHÔNG MUA LẠI THEO ĐK 9.2, LS TỪ KỲ THỨ 11 = LSTC + 3%/NĂM</t>
  </si>
  <si>
    <t xml:space="preserve">OCB12531</t>
  </si>
  <si>
    <t xml:space="preserve">HDB12512</t>
  </si>
  <si>
    <t xml:space="preserve">VIB12509</t>
  </si>
  <si>
    <t xml:space="preserve">MBB12528</t>
  </si>
  <si>
    <t xml:space="preserve">LSTC + 2.6%/NĂM, NẾU TCPH KHÔNG MUA LẠI THEO ĐK 9, LS TỪ KỲ THỨ 6 = LSTC + 3%/NĂM</t>
  </si>
  <si>
    <t xml:space="preserve">MBB12529</t>
  </si>
  <si>
    <t xml:space="preserve">VCB12501</t>
  </si>
  <si>
    <t xml:space="preserve">TPB12548</t>
  </si>
  <si>
    <t xml:space="preserve">HDB12513</t>
  </si>
  <si>
    <t xml:space="preserve">HDB12514</t>
  </si>
  <si>
    <t xml:space="preserve">MBB12530</t>
  </si>
  <si>
    <t xml:space="preserve">TPB12549</t>
  </si>
  <si>
    <t xml:space="preserve">BAB12511</t>
  </si>
  <si>
    <t xml:space="preserve">VPB12517</t>
  </si>
  <si>
    <t xml:space="preserve">TCB12526</t>
  </si>
  <si>
    <t xml:space="preserve">7.2%/NĂM</t>
  </si>
  <si>
    <t xml:space="preserve">VIB12510</t>
  </si>
  <si>
    <t xml:space="preserve">HDB12515</t>
  </si>
  <si>
    <t xml:space="preserve">2026-01</t>
  </si>
  <si>
    <t xml:space="preserve">CTG2634T2/01</t>
  </si>
  <si>
    <t xml:space="preserve">BÌNH QUÂN LSTK 12T VNĐ (VCB, BIDV, VIETIN, AGRI) + 1.25%/NĂM</t>
  </si>
  <si>
    <t xml:space="preserve">2026-02</t>
  </si>
  <si>
    <t xml:space="preserve">BIDL2633001C</t>
  </si>
  <si>
    <t xml:space="preserve">BÌNH QUÂN LSTK 12T VNĐ (VCB, BIDV, VIETIN, AGRI) + 1.6%/NĂM, NẾU TCPH KHÔNG MUA LẠI VÀO NGÀY THỰC HIỆN MUA LẠI, LS TỪ KỲ THỨ 11 = LSTC + 4.1%/NĂM</t>
  </si>
  <si>
    <t xml:space="preserve">BIDL2634002C</t>
  </si>
  <si>
    <t xml:space="preserve">BÌNH QUÂN LSTK 12T VNĐ (VCB, BIDV, VIETIN, AGRI) + 1.65%/NĂM, NẾU TCPH KHÔNG MUA LẠI VÀO NGÀY THỰC HIỆN MUA LẠI, LS TỪ KỲ THỨ 11 = LSTC + 3.32%/NĂM</t>
  </si>
  <si>
    <t xml:space="preserve">BIDL2636003C</t>
  </si>
  <si>
    <t xml:space="preserve">BÌNH QUÂN LSTK 12T VNĐ (VCB, BIDV, VIETIN, AGRI) + 1.65%/NĂM, NẾU TCPH KHÔNG MUA LẠI VÀO NGÀY THỰC HIỆN MUA LẠI, LS TỪ KỲ THỨ 11 = LSTC + 2.65%/NĂM</t>
  </si>
  <si>
    <t xml:space="preserve">2026-03</t>
  </si>
  <si>
    <t xml:space="preserve">HDBC7Y263301</t>
  </si>
  <si>
    <t xml:space="preserve">HDBC8Y263401</t>
  </si>
  <si>
    <t xml:space="preserve">2026-04</t>
  </si>
  <si>
    <t xml:space="preserve">VPB12601</t>
  </si>
  <si>
    <t xml:space="preserve">8%/NĂM</t>
  </si>
  <si>
    <t xml:space="preserve">NHTMCP Nam Á</t>
  </si>
  <si>
    <t xml:space="preserve">NAB12602</t>
  </si>
  <si>
    <t xml:space="preserve">LSTC + 2.6%/NĂM</t>
  </si>
  <si>
    <t xml:space="preserve">BAB12601</t>
  </si>
  <si>
    <t xml:space="preserve">8.4%/NĂM</t>
  </si>
  <si>
    <t xml:space="preserve">MBB12601</t>
  </si>
  <si>
    <t xml:space="preserve">MBB12602</t>
  </si>
  <si>
    <t xml:space="preserve">MSB12601</t>
  </si>
  <si>
    <t xml:space="preserve">TCB12602</t>
  </si>
  <si>
    <t xml:space="preserve">TCB12603</t>
  </si>
  <si>
    <t xml:space="preserve">8.6%/NĂM</t>
  </si>
  <si>
    <t xml:space="preserve">TCB12601</t>
  </si>
  <si>
    <t xml:space="preserve">8.7%/NĂM</t>
  </si>
  <si>
    <t xml:space="preserve">TCB12604</t>
  </si>
  <si>
    <t xml:space="preserve">8.9%/NĂM</t>
  </si>
  <si>
    <t xml:space="preserve">2026-05</t>
  </si>
  <si>
    <t xml:space="preserve">BAB12602</t>
  </si>
  <si>
    <t xml:space="preserve">6 THÁNG ĐẦU: 8,6%/NĂM CÁC KỲ SAU: VNIBOR 3T + 0,8%/NĂM (XÁC ĐỊNH LẠI MỖI 3 THÁNG)</t>
  </si>
  <si>
    <t xml:space="preserve">MSB12602</t>
  </si>
  <si>
    <t xml:space="preserve">MBB12603</t>
  </si>
  <si>
    <t xml:space="preserve">BQLSTKCN 12T VNĐ (VCB, BIDV, CTG, AGRIBANK) + 2,3%/NĂM; TRƯỜNG HỢP KHÔNG MUA LẠI (NĂM 6-10): + 4,0%/NĂM</t>
  </si>
  <si>
    <t xml:space="preserve">BAB12603</t>
  </si>
  <si>
    <t xml:space="preserve">BAB12604</t>
  </si>
  <si>
    <t xml:space="preserve">MBB12606</t>
  </si>
  <si>
    <t xml:space="preserve">8.3%/NĂM</t>
  </si>
  <si>
    <t xml:space="preserve">MBB12604</t>
  </si>
  <si>
    <t xml:space="preserve">TCB12605</t>
  </si>
  <si>
    <t xml:space="preserve">MBB12607</t>
  </si>
  <si>
    <t xml:space="preserve">HDB12601</t>
  </si>
  <si>
    <t xml:space="preserve">LSTC + 2.7%/NĂM</t>
  </si>
  <si>
    <t xml:space="preserve">MSB12603</t>
  </si>
  <si>
    <t xml:space="preserve">8.45%/NĂM</t>
  </si>
  <si>
    <t xml:space="preserve">BIDL2633006C</t>
  </si>
  <si>
    <t xml:space="preserve">BQLSTKCN 12T VNĐ (AGRIBANK, VCB, CTG, BIDV - HN) + 1.9%/NĂM; TRƯỜNG HỢP KHÔNG MUA LẠI: + 2,9%/NĂM (05 NĂM CUỐI)</t>
  </si>
  <si>
    <t xml:space="preserve">BIDL2633005C</t>
  </si>
  <si>
    <t xml:space="preserve">BQLSTKCN 12T VNĐ (AGRIBANK, VCB, CTG, BIDV - HN) + 1.85%/NĂM; TRƯỜNG HỢP KHÔNG MUA LẠI: + 3.52%/NĂM (03 NĂM CUỐI)</t>
  </si>
  <si>
    <t xml:space="preserve">BIDL2633004C</t>
  </si>
  <si>
    <t xml:space="preserve">BQLSTKCN 12T VNĐ (AGRIBANK, VCB, CTG, BIDV - HN) + 1,8%/NĂM; TRƯỜNG HỢP KHÔNG MUA LẠI: + 4,3%/NĂM (02 NĂM CUỐI)</t>
  </si>
  <si>
    <t xml:space="preserve">MBB12608</t>
  </si>
  <si>
    <t xml:space="preserve">OCB12603</t>
  </si>
  <si>
    <t xml:space="preserve">TCB12606</t>
  </si>
  <si>
    <t xml:space="preserve">MBB12609</t>
  </si>
  <si>
    <t xml:space="preserve">OCB12604</t>
  </si>
  <si>
    <t xml:space="preserve">TCB12607</t>
  </si>
  <si>
    <t xml:space="preserve">OCB12605</t>
  </si>
  <si>
    <t xml:space="preserve">2026-06</t>
  </si>
  <si>
    <t xml:space="preserve">BID12603</t>
  </si>
  <si>
    <t xml:space="preserve">LSTC + 2,15%/NĂM; TRƯỜNG HỢP KHÔNG MUA LẠI: + 3,82%/NĂM (TỪ KỲ THỨ 06)</t>
  </si>
  <si>
    <t xml:space="preserve">VCB12601</t>
  </si>
  <si>
    <t xml:space="preserve">7.9%/NĂM</t>
  </si>
  <si>
    <t xml:space="preserve">LPB12603</t>
  </si>
  <si>
    <t xml:space="preserve">TCB12610</t>
  </si>
  <si>
    <t xml:space="preserve">02 KỲ ĐẦU: 8,4%/NĂM CÁC KỲ SAU: LSTC + 1,22%/NĂM</t>
  </si>
  <si>
    <t xml:space="preserve">BID12604</t>
  </si>
  <si>
    <t xml:space="preserve">LSTC + 2,1%/NĂM; TRƯỜNG HỢP KHÔNG MUA LẠI: + 7,1%/NĂM (TỪ KỲ THỨ 06)</t>
  </si>
  <si>
    <t xml:space="preserve">TCB12609</t>
  </si>
  <si>
    <t xml:space="preserve">TCB12612</t>
  </si>
  <si>
    <t xml:space="preserve">TCB12611</t>
  </si>
  <si>
    <t xml:space="preserve">HDB12603</t>
  </si>
  <si>
    <t xml:space="preserve">LSTC + 2,70%/NĂM</t>
  </si>
  <si>
    <t xml:space="preserve">MBB12613</t>
  </si>
  <si>
    <t xml:space="preserve">LSTC + 2,40%/NĂM; TRƯỜNG HỢP KHÔNG MUA LẠI: + 4,00%/NĂM (TỪ KỲ THỨ 06)</t>
  </si>
  <si>
    <t xml:space="preserve">MBB12612</t>
  </si>
  <si>
    <t xml:space="preserve">VPB12602</t>
  </si>
  <si>
    <t xml:space="preserve">HDB12604</t>
  </si>
  <si>
    <t xml:space="preserve">ACB12602</t>
  </si>
  <si>
    <t xml:space="preserve">LPB12604</t>
  </si>
  <si>
    <t xml:space="preserve">MBB12614</t>
  </si>
  <si>
    <t xml:space="preserve">BID12605</t>
  </si>
  <si>
    <t xml:space="preserve">LPB12605</t>
  </si>
  <si>
    <t xml:space="preserve">TPB12601</t>
  </si>
  <si>
    <t xml:space="preserve">BQLSTKCN 12T VNĐ (BIDV, VCB, CTG, AGRIBANK) + 3,1%/NĂM</t>
  </si>
  <si>
    <t xml:space="preserve">OCB12606</t>
  </si>
  <si>
    <t xml:space="preserve">MBB12615</t>
  </si>
  <si>
    <t xml:space="preserve">TPB12602</t>
  </si>
  <si>
    <t xml:space="preserve">BQLSTKCN 12T VNĐ (BIDV, VCB, CTG, AGRIBANK) + 3,4%/NĂM</t>
  </si>
  <si>
    <t xml:space="preserve">LPB12602</t>
  </si>
  <si>
    <t xml:space="preserve">BQLSTKCN 12T VNĐ (BIDV, VCB, CTG, AGRIBANK) + 2,6%/NĂM; TRƯỜNG HỢP KHÔNG MUA LẠI: + 3,6%/NĂM (TỪ NĂM THỨ 06)</t>
  </si>
  <si>
    <t xml:space="preserve">MBB12616</t>
  </si>
  <si>
    <t xml:space="preserve">OCB12607</t>
  </si>
  <si>
    <t xml:space="preserve">8.0%/NĂM</t>
  </si>
  <si>
    <t xml:space="preserve">VPB12603</t>
  </si>
  <si>
    <t xml:space="preserve">8,7%/NĂM</t>
  </si>
  <si>
    <r>
      <rPr>
        <b val="true"/>
        <sz val="10"/>
        <rFont val="WenQuanYi Zen Hei"/>
        <family val="2"/>
      </rPr>
      <t xml:space="preserve">정책금리 이력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월말값 산출용 – </t>
    </r>
    <r>
      <rPr>
        <b val="true"/>
        <sz val="10"/>
        <rFont val="Arial"/>
        <family val="0"/>
        <charset val="1"/>
      </rPr>
      <t xml:space="preserve">LOOKUP </t>
    </r>
    <r>
      <rPr>
        <b val="true"/>
        <sz val="10"/>
        <rFont val="WenQuanYi Zen Hei"/>
        <family val="2"/>
      </rPr>
      <t xml:space="preserve">기준표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</si>
  <si>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일본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중국</t>
    </r>
    <r>
      <rPr>
        <i val="true"/>
        <sz val="9"/>
        <color rgb="FF595959"/>
        <rFont val="Arial"/>
        <family val="0"/>
        <charset val="1"/>
      </rPr>
      <t xml:space="preserve">: BIS Central bank policy rates(WS_CBPOL) </t>
    </r>
    <r>
      <rPr>
        <i val="true"/>
        <sz val="9"/>
        <color rgb="FF595959"/>
        <rFont val="WenQuanYi Zen Hei"/>
        <family val="2"/>
      </rPr>
      <t xml:space="preserve">월말값 – 중국은 </t>
    </r>
    <r>
      <rPr>
        <i val="true"/>
        <sz val="9"/>
        <color rgb="FF595959"/>
        <rFont val="Arial"/>
        <family val="0"/>
        <charset val="1"/>
      </rPr>
      <t xml:space="preserve">BIS </t>
    </r>
    <r>
      <rPr>
        <i val="true"/>
        <sz val="9"/>
        <color rgb="FF595959"/>
        <rFont val="WenQuanYi Zen Hei"/>
        <family val="2"/>
      </rPr>
      <t xml:space="preserve">기준 </t>
    </r>
    <r>
      <rPr>
        <i val="true"/>
        <sz val="9"/>
        <color rgb="FF595959"/>
        <rFont val="Arial"/>
        <family val="0"/>
        <charset val="1"/>
      </rPr>
      <t xml:space="preserve">LPR 1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베트남</t>
    </r>
    <r>
      <rPr>
        <i val="true"/>
        <sz val="9"/>
        <color rgb="FF595959"/>
        <rFont val="Arial"/>
        <family val="0"/>
        <charset val="1"/>
      </rPr>
      <t xml:space="preserve">: SBV </t>
    </r>
    <r>
      <rPr>
        <i val="true"/>
        <sz val="9"/>
        <color rgb="FF595959"/>
        <rFont val="WenQuanYi Zen Hei"/>
        <family val="2"/>
      </rPr>
      <t xml:space="preserve">재할인율</t>
    </r>
    <r>
      <rPr>
        <i val="true"/>
        <sz val="9"/>
        <color rgb="FF595959"/>
        <rFont val="Arial"/>
        <family val="0"/>
        <charset val="1"/>
      </rPr>
      <t xml:space="preserve">(refinancing rate) </t>
    </r>
    <r>
      <rPr>
        <i val="true"/>
        <sz val="9"/>
        <color rgb="FF595959"/>
        <rFont val="WenQuanYi Zen Hei"/>
        <family val="2"/>
      </rPr>
      <t xml:space="preserve">결정일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카자흐</t>
    </r>
    <r>
      <rPr>
        <i val="true"/>
        <sz val="9"/>
        <color rgb="FF595959"/>
        <rFont val="Arial"/>
        <family val="0"/>
        <charset val="1"/>
      </rPr>
      <t xml:space="preserve">: NBK </t>
    </r>
    <r>
      <rPr>
        <i val="true"/>
        <sz val="9"/>
        <color rgb="FF595959"/>
        <rFont val="WenQuanYi Zen Hei"/>
        <family val="2"/>
      </rPr>
      <t xml:space="preserve">기준금리 결정일</t>
    </r>
    <r>
      <rPr>
        <i val="true"/>
        <sz val="9"/>
        <color rgb="FF595959"/>
        <rFont val="Arial"/>
        <family val="0"/>
        <charset val="1"/>
      </rPr>
      <t xml:space="preserve">(nationalbank.kz </t>
    </r>
    <r>
      <rPr>
        <i val="true"/>
        <sz val="9"/>
        <color rgb="FF595959"/>
        <rFont val="WenQuanYi Zen Hei"/>
        <family val="2"/>
      </rPr>
      <t xml:space="preserve">결정 일정표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동결 포함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</si>
  <si>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b val="true"/>
        <sz val="10"/>
        <color rgb="FFFFFFFF"/>
        <rFont val="WenQuanYi Zen Hei"/>
        <family val="2"/>
      </rPr>
      <t xml:space="preserve">일본 </t>
    </r>
    <r>
      <rPr>
        <b val="true"/>
        <sz val="10"/>
        <color rgb="FFFFFFFF"/>
        <rFont val="Arial"/>
        <family val="0"/>
        <charset val="1"/>
      </rPr>
      <t xml:space="preserve">BOJ </t>
    </r>
    <r>
      <rPr>
        <b val="true"/>
        <sz val="10"/>
        <color rgb="FFFFFFFF"/>
        <rFont val="WenQuanYi Zen Hei"/>
        <family val="2"/>
      </rPr>
      <t xml:space="preserve">정책금리
일자</t>
    </r>
  </si>
  <si>
    <t xml:space="preserve">금리</t>
  </si>
  <si>
    <r>
      <rPr>
        <b val="true"/>
        <sz val="10"/>
        <color rgb="FFFFFFFF"/>
        <rFont val="WenQuanYi Zen Hei"/>
        <family val="2"/>
      </rPr>
      <t xml:space="preserve">중국 </t>
    </r>
    <r>
      <rPr>
        <b val="true"/>
        <sz val="10"/>
        <color rgb="FFFFFFFF"/>
        <rFont val="Arial"/>
        <family val="0"/>
        <charset val="1"/>
      </rPr>
      <t xml:space="preserve">LPR 1Y
</t>
    </r>
    <r>
      <rPr>
        <b val="true"/>
        <sz val="10"/>
        <color rgb="FFFFFFFF"/>
        <rFont val="WenQuanYi Zen Hei"/>
        <family val="2"/>
      </rPr>
      <t xml:space="preserve">일자</t>
    </r>
  </si>
  <si>
    <r>
      <rPr>
        <b val="true"/>
        <sz val="10"/>
        <color rgb="FFFFFFFF"/>
        <rFont val="WenQuanYi Zen Hei"/>
        <family val="2"/>
      </rPr>
      <t xml:space="preserve">베트남 </t>
    </r>
    <r>
      <rPr>
        <b val="true"/>
        <sz val="10"/>
        <color rgb="FFFFFFFF"/>
        <rFont val="Arial"/>
        <family val="0"/>
        <charset val="1"/>
      </rPr>
      <t xml:space="preserve">SBV </t>
    </r>
    <r>
      <rPr>
        <b val="true"/>
        <sz val="10"/>
        <color rgb="FFFFFFFF"/>
        <rFont val="WenQuanYi Zen Hei"/>
        <family val="2"/>
      </rPr>
      <t xml:space="preserve">재할인율
일자</t>
    </r>
  </si>
  <si>
    <r>
      <rPr>
        <b val="true"/>
        <sz val="10"/>
        <color rgb="FFFFFFFF"/>
        <rFont val="WenQuanYi Zen Hei"/>
        <family val="2"/>
      </rPr>
      <t xml:space="preserve">카자흐 </t>
    </r>
    <r>
      <rPr>
        <b val="true"/>
        <sz val="10"/>
        <color rgb="FFFFFFFF"/>
        <rFont val="Arial"/>
        <family val="0"/>
        <charset val="1"/>
      </rPr>
      <t xml:space="preserve">NBK </t>
    </r>
    <r>
      <rPr>
        <b val="true"/>
        <sz val="10"/>
        <color rgb="FFFFFFFF"/>
        <rFont val="WenQuanYi Zen Hei"/>
        <family val="2"/>
      </rPr>
      <t xml:space="preserve">기준금리
일자</t>
    </r>
  </si>
  <si>
    <r>
      <rPr>
        <b val="true"/>
        <sz val="10"/>
        <rFont val="WenQuanYi Zen Hei"/>
        <family val="2"/>
      </rPr>
      <t xml:space="preserve">일본 국채</t>
    </r>
    <r>
      <rPr>
        <b val="true"/>
        <sz val="10"/>
        <rFont val="Arial"/>
        <family val="0"/>
        <charset val="1"/>
      </rPr>
      <t xml:space="preserve">(JGB) </t>
    </r>
    <r>
      <rPr>
        <b val="true"/>
        <sz val="10"/>
        <rFont val="WenQuanYi Zen Hei"/>
        <family val="2"/>
      </rPr>
      <t xml:space="preserve">일별 수익률 </t>
    </r>
    <r>
      <rPr>
        <b val="true"/>
        <sz val="10"/>
        <rFont val="Arial"/>
        <family val="0"/>
        <charset val="1"/>
      </rPr>
      <t xml:space="preserve">(%, </t>
    </r>
    <r>
      <rPr>
        <b val="true"/>
        <sz val="10"/>
        <rFont val="WenQuanYi Zen Hei"/>
        <family val="2"/>
      </rPr>
      <t xml:space="preserve">연복리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</si>
  <si>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일본 재무성 国債金利情報 </t>
    </r>
    <r>
      <rPr>
        <i val="true"/>
        <sz val="9"/>
        <color rgb="FF595959"/>
        <rFont val="Arial"/>
        <family val="0"/>
        <charset val="1"/>
      </rPr>
      <t xml:space="preserve">jgbcm_all.csv (https://www.mof.go.jp/jgbs/reference/interest_rate/)</t>
    </r>
  </si>
  <si>
    <t xml:space="preserve">일자</t>
  </si>
  <si>
    <t xml:space="preserve">JGB 2Y</t>
  </si>
  <si>
    <t xml:space="preserve">JGB 5Y</t>
  </si>
  <si>
    <r>
      <rPr>
        <b val="true"/>
        <sz val="10"/>
        <rFont val="WenQuanYi Zen Hei"/>
        <family val="2"/>
      </rPr>
      <t xml:space="preserve">일본 회사채 등급별 평균 복리수익률 – 잔존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 구간 </t>
    </r>
    <r>
      <rPr>
        <b val="true"/>
        <sz val="10"/>
        <rFont val="Arial"/>
        <family val="0"/>
        <charset val="1"/>
      </rPr>
      <t xml:space="preserve">(JSDA </t>
    </r>
    <r>
      <rPr>
        <b val="true"/>
        <sz val="10"/>
        <rFont val="WenQuanYi Zen Hei"/>
        <family val="2"/>
      </rPr>
      <t xml:space="preserve">格付マトリクス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</si>
  <si>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JSDA </t>
    </r>
    <r>
      <rPr>
        <i val="true"/>
        <sz val="9"/>
        <color rgb="FF595959"/>
        <rFont val="WenQuanYi Zen Hei"/>
        <family val="2"/>
      </rPr>
      <t xml:space="preserve">公社債店頭売買参考統計値／格付マトリクス表 </t>
    </r>
    <r>
      <rPr>
        <i val="true"/>
        <sz val="9"/>
        <color rgb="FF595959"/>
        <rFont val="Arial"/>
        <family val="0"/>
        <charset val="1"/>
      </rPr>
      <t xml:space="preserve">(https://market.jsda.or.jp/shijyo/saiken/baibai/baisanchi/). </t>
    </r>
    <r>
      <rPr>
        <i val="true"/>
        <sz val="9"/>
        <color rgb="FF595959"/>
        <rFont val="WenQuanYi Zen Hei"/>
        <family val="2"/>
      </rPr>
      <t xml:space="preserve">일자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발표일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 영업일 </t>
    </r>
    <r>
      <rPr>
        <i val="true"/>
        <sz val="9"/>
        <color rgb="FF595959"/>
        <rFont val="Arial"/>
        <family val="0"/>
        <charset val="1"/>
      </rPr>
      <t xml:space="preserve">15</t>
    </r>
    <r>
      <rPr>
        <i val="true"/>
        <sz val="9"/>
        <color rgb="FF595959"/>
        <rFont val="WenQuanYi Zen Hei"/>
        <family val="2"/>
      </rPr>
      <t xml:space="preserve">시 기준 호가</t>
    </r>
    <r>
      <rPr>
        <i val="true"/>
        <sz val="9"/>
        <color rgb="FF595959"/>
        <rFont val="Arial"/>
        <family val="0"/>
        <charset val="1"/>
      </rPr>
      <t xml:space="preserve">). 2025</t>
    </r>
    <r>
      <rPr>
        <i val="true"/>
        <sz val="9"/>
        <color rgb="FF595959"/>
        <rFont val="WenQuanYi Zen Hei"/>
        <family val="2"/>
      </rPr>
      <t xml:space="preserve">년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월은 전 영업일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그 외 월은 월 </t>
    </r>
    <r>
      <rPr>
        <i val="true"/>
        <sz val="9"/>
        <color rgb="FF595959"/>
        <rFont val="Arial"/>
        <family val="0"/>
        <charset val="1"/>
      </rPr>
      <t xml:space="preserve">1~4</t>
    </r>
    <r>
      <rPr>
        <i val="true"/>
        <sz val="9"/>
        <color rgb="FF595959"/>
        <rFont val="WenQuanYi Zen Hei"/>
        <family val="2"/>
      </rPr>
      <t xml:space="preserve">영업일 샘플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전 업종 회사채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은행 한정 아님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</si>
  <si>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발표일</t>
  </si>
  <si>
    <t xml:space="preserve">R&amp;I AAA 3Y</t>
  </si>
  <si>
    <r>
      <rPr>
        <b val="true"/>
        <sz val="10"/>
        <color rgb="FFFFFFFF"/>
        <rFont val="Arial"/>
        <family val="0"/>
        <charset val="1"/>
      </rPr>
      <t xml:space="preserve">R&amp;I AAA </t>
    </r>
    <r>
      <rPr>
        <b val="true"/>
        <sz val="10"/>
        <color rgb="FFFFFFFF"/>
        <rFont val="WenQuanYi Zen Hei"/>
        <family val="2"/>
      </rPr>
      <t xml:space="preserve">종목수</t>
    </r>
  </si>
  <si>
    <t xml:space="preserve">R&amp;I AA 3Y</t>
  </si>
  <si>
    <r>
      <rPr>
        <b val="true"/>
        <sz val="10"/>
        <color rgb="FFFFFFFF"/>
        <rFont val="Arial"/>
        <family val="0"/>
        <charset val="1"/>
      </rPr>
      <t xml:space="preserve">R&amp;I AA </t>
    </r>
    <r>
      <rPr>
        <b val="true"/>
        <sz val="10"/>
        <color rgb="FFFFFFFF"/>
        <rFont val="WenQuanYi Zen Hei"/>
        <family val="2"/>
      </rPr>
      <t xml:space="preserve">종목수</t>
    </r>
  </si>
  <si>
    <t xml:space="preserve">R&amp;I A 3Y</t>
  </si>
  <si>
    <t xml:space="preserve">JCR AAA 3Y</t>
  </si>
  <si>
    <t xml:space="preserve">JCR AA 3Y</t>
  </si>
  <si>
    <r>
      <rPr>
        <b val="true"/>
        <sz val="10"/>
        <rFont val="WenQuanYi Zen Hei"/>
        <family val="2"/>
      </rPr>
      <t xml:space="preserve">중국 </t>
    </r>
    <r>
      <rPr>
        <b val="true"/>
        <sz val="10"/>
        <rFont val="Arial"/>
        <family val="0"/>
        <charset val="1"/>
      </rPr>
      <t xml:space="preserve">ChinaBond </t>
    </r>
    <r>
      <rPr>
        <b val="true"/>
        <sz val="10"/>
        <rFont val="WenQuanYi Zen Hei"/>
        <family val="2"/>
      </rPr>
      <t xml:space="preserve">수익률곡선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년물 </t>
    </r>
    <r>
      <rPr>
        <b val="true"/>
        <sz val="10"/>
        <rFont val="Arial"/>
        <family val="0"/>
        <charset val="1"/>
      </rPr>
      <t xml:space="preserve">(%, </t>
    </r>
    <r>
      <rPr>
        <b val="true"/>
        <sz val="10"/>
        <rFont val="WenQuanYi Zen Hei"/>
        <family val="2"/>
      </rPr>
      <t xml:space="preserve">일별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</si>
  <si>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中央国债登记结算</t>
    </r>
    <r>
      <rPr>
        <i val="true"/>
        <sz val="9"/>
        <color rgb="FF595959"/>
        <rFont val="Arial"/>
        <family val="0"/>
        <charset val="1"/>
      </rPr>
      <t xml:space="preserve">(CCDC) </t>
    </r>
    <r>
      <rPr>
        <i val="true"/>
        <sz val="9"/>
        <color rgb="FF595959"/>
        <rFont val="WenQuanYi Zen Hei"/>
        <family val="2"/>
      </rPr>
      <t xml:space="preserve">中债收益率曲线 – 中债国债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中债商业银行普通债</t>
    </r>
    <r>
      <rPr>
        <i val="true"/>
        <sz val="9"/>
        <color rgb="FF595959"/>
        <rFont val="Arial"/>
        <family val="0"/>
        <charset val="1"/>
      </rPr>
      <t xml:space="preserve">(AAA) / </t>
    </r>
    <r>
      <rPr>
        <i val="true"/>
        <sz val="9"/>
        <color rgb="FF595959"/>
        <rFont val="WenQuanYi Zen Hei"/>
        <family val="2"/>
      </rPr>
      <t xml:space="preserve">中债中短期票据</t>
    </r>
    <r>
      <rPr>
        <i val="true"/>
        <sz val="9"/>
        <color rgb="FF595959"/>
        <rFont val="Arial"/>
        <family val="0"/>
        <charset val="1"/>
      </rPr>
      <t xml:space="preserve">(AAA) (https://yield.chinabond.com.cn)</t>
    </r>
  </si>
  <si>
    <r>
      <rPr>
        <b val="true"/>
        <sz val="10"/>
        <color rgb="FFFFFFFF"/>
        <rFont val="WenQuanYi Zen Hei"/>
        <family val="2"/>
      </rPr>
      <t xml:space="preserve">중국국채 </t>
    </r>
    <r>
      <rPr>
        <b val="true"/>
        <sz val="10"/>
        <color rgb="FFFFFFFF"/>
        <rFont val="Arial"/>
        <family val="0"/>
        <charset val="1"/>
      </rPr>
      <t xml:space="preserve">3Y</t>
    </r>
  </si>
  <si>
    <r>
      <rPr>
        <b val="true"/>
        <sz val="10"/>
        <color rgb="FFFFFFFF"/>
        <rFont val="WenQuanYi Zen Hei"/>
        <family val="2"/>
      </rPr>
      <t xml:space="preserve">상업은행 일반채 </t>
    </r>
    <r>
      <rPr>
        <b val="true"/>
        <sz val="10"/>
        <color rgb="FFFFFFFF"/>
        <rFont val="Arial"/>
        <family val="0"/>
        <charset val="1"/>
      </rPr>
      <t xml:space="preserve">AAA 3Y</t>
    </r>
  </si>
  <si>
    <r>
      <rPr>
        <b val="true"/>
        <sz val="10"/>
        <color rgb="FFFFFFFF"/>
        <rFont val="Arial"/>
        <family val="0"/>
        <charset val="1"/>
      </rPr>
      <t xml:space="preserve">MTN AAA 3Y(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</si>
  <si>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베트남 국채</t>
    </r>
    <r>
      <rPr>
        <b val="true"/>
        <sz val="10"/>
        <rFont val="Arial"/>
        <family val="0"/>
        <charset val="1"/>
      </rPr>
      <t xml:space="preserve">(VGB) </t>
    </r>
    <r>
      <rPr>
        <b val="true"/>
        <sz val="10"/>
        <rFont val="WenQuanYi Zen Hei"/>
        <family val="2"/>
      </rPr>
      <t xml:space="preserve">일별 유통수익률 </t>
    </r>
    <r>
      <rPr>
        <b val="true"/>
        <sz val="10"/>
        <rFont val="Arial"/>
        <family val="0"/>
        <charset val="1"/>
      </rPr>
      <t xml:space="preserve">(%)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</si>
  <si>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worldgovernmentbonds.com </t>
    </r>
    <r>
      <rPr>
        <i val="true"/>
        <sz val="9"/>
        <color rgb="FF595959"/>
        <rFont val="WenQuanYi Zen Hei"/>
        <family val="2"/>
      </rPr>
      <t xml:space="preserve">일별 종가</t>
    </r>
    <r>
      <rPr>
        <i val="true"/>
        <sz val="9"/>
        <color rgb="FF595959"/>
        <rFont val="Arial"/>
        <family val="0"/>
        <charset val="1"/>
      </rPr>
      <t xml:space="preserve">(2</t>
    </r>
    <r>
      <rPr>
        <i val="true"/>
        <sz val="9"/>
        <color rgb="FF595959"/>
        <rFont val="WenQuanYi Zen Hei"/>
        <family val="2"/>
      </rPr>
      <t xml:space="preserve">차 집계 데이터</t>
    </r>
    <r>
      <rPr>
        <i val="true"/>
        <sz val="9"/>
        <color rgb="FF595959"/>
        <rFont val="Arial"/>
        <family val="0"/>
        <charset val="1"/>
      </rPr>
      <t xml:space="preserve">). VBMA </t>
    </r>
    <r>
      <rPr>
        <i val="true"/>
        <sz val="9"/>
        <color rgb="FF595959"/>
        <rFont val="WenQuanYi Zen Hei"/>
        <family val="2"/>
      </rPr>
      <t xml:space="preserve">정부채 수익률 원자료는 회원 로그인 필요 → 공개 대체자료 사용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주말 제외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</si>
  <si>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VGB 1Y</t>
  </si>
  <si>
    <t xml:space="preserve">VGB 2Y</t>
  </si>
  <si>
    <t xml:space="preserve">VGB 5Y</t>
  </si>
  <si>
    <t xml:space="preserve">VGB 7Y</t>
  </si>
  <si>
    <t xml:space="preserve">VGB 10Y</t>
  </si>
  <si>
    <r>
      <rPr>
        <b val="true"/>
        <sz val="10"/>
        <rFont val="WenQuanYi Zen Hei"/>
        <family val="2"/>
      </rPr>
      <t xml:space="preserve">카자흐스탄 </t>
    </r>
    <r>
      <rPr>
        <b val="true"/>
        <sz val="10"/>
        <rFont val="Arial"/>
        <family val="0"/>
        <charset val="1"/>
      </rPr>
      <t xml:space="preserve">KASE </t>
    </r>
    <r>
      <rPr>
        <b val="true"/>
        <sz val="10"/>
        <rFont val="WenQuanYi Zen Hei"/>
        <family val="2"/>
      </rPr>
      <t xml:space="preserve">지수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지표 일별 </t>
    </r>
    <r>
      <rPr>
        <b val="true"/>
        <sz val="10"/>
        <rFont val="Arial"/>
        <family val="0"/>
        <charset val="1"/>
      </rPr>
      <t xml:space="preserve">(%, </t>
    </r>
    <r>
      <rPr>
        <b val="true"/>
        <sz val="10"/>
        <rFont val="WenQuanYi Zen Hei"/>
        <family val="2"/>
      </rPr>
      <t xml:space="preserve">연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</si>
  <si>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KASE </t>
    </r>
    <r>
      <rPr>
        <i val="true"/>
        <sz val="9"/>
        <color rgb="FF595959"/>
        <rFont val="WenQuanYi Zen Hei"/>
        <family val="2"/>
      </rPr>
      <t xml:space="preserve">지수 </t>
    </r>
    <r>
      <rPr>
        <i val="true"/>
        <sz val="9"/>
        <color rgb="FF595959"/>
        <rFont val="Arial"/>
        <family val="0"/>
        <charset val="1"/>
      </rPr>
      <t xml:space="preserve">(https://kase.kz) – KZGB_Y*(</t>
    </r>
    <r>
      <rPr>
        <i val="true"/>
        <sz val="9"/>
        <color rgb="FF595959"/>
        <rFont val="WenQuanYi Zen Hei"/>
        <family val="2"/>
      </rPr>
      <t xml:space="preserve">정부채</t>
    </r>
    <r>
      <rPr>
        <i val="true"/>
        <sz val="9"/>
        <color rgb="FF595959"/>
        <rFont val="Arial"/>
        <family val="0"/>
        <charset val="1"/>
      </rPr>
      <t xml:space="preserve">, 2022.3~), KASE_BMY(</t>
    </r>
    <r>
      <rPr>
        <i val="true"/>
        <sz val="9"/>
        <color rgb="FF595959"/>
        <rFont val="WenQuanYi Zen Hei"/>
        <family val="2"/>
      </rPr>
      <t xml:space="preserve">회사채 주시장</t>
    </r>
    <r>
      <rPr>
        <i val="true"/>
        <sz val="9"/>
        <color rgb="FF595959"/>
        <rFont val="Arial"/>
        <family val="0"/>
        <charset val="1"/>
      </rPr>
      <t xml:space="preserve">), KASE_KZ3_Y(2026.4~), TONIA. </t>
    </r>
    <r>
      <rPr>
        <i val="true"/>
        <sz val="9"/>
        <color rgb="FF595959"/>
        <rFont val="WenQuanYi Zen Hei"/>
        <family val="2"/>
      </rPr>
      <t xml:space="preserve">국채 </t>
    </r>
    <r>
      <rPr>
        <i val="true"/>
        <sz val="9"/>
        <color rgb="FF595959"/>
        <rFont val="Arial"/>
        <family val="0"/>
        <charset val="1"/>
      </rPr>
      <t xml:space="preserve">3Y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Arial"/>
        <family val="0"/>
        <charset val="1"/>
      </rPr>
      <t xml:space="preserve">worldgovernmentbonds.com(2022.3~).</t>
    </r>
  </si>
  <si>
    <r>
      <rPr>
        <b val="true"/>
        <sz val="10"/>
        <color rgb="FFFFFFFF"/>
        <rFont val="WenQuanYi Zen Hei"/>
        <family val="2"/>
      </rPr>
      <t xml:space="preserve">국채지수 수익률 </t>
    </r>
    <r>
      <rPr>
        <b val="true"/>
        <sz val="10"/>
        <color rgb="FFFFFFFF"/>
        <rFont val="Arial"/>
        <family val="0"/>
        <charset val="1"/>
      </rPr>
      <t xml:space="preserve">1Y</t>
    </r>
    <r>
      <rPr>
        <b val="true"/>
        <sz val="10"/>
        <color rgb="FFFFFFFF"/>
        <rFont val="WenQuanYi Zen Hei"/>
        <family val="2"/>
      </rPr>
      <t xml:space="preserve">이하</t>
    </r>
  </si>
  <si>
    <r>
      <rPr>
        <b val="true"/>
        <sz val="10"/>
        <color rgb="FFFFFFFF"/>
        <rFont val="WenQuanYi Zen Hei"/>
        <family val="2"/>
      </rPr>
      <t xml:space="preserve">국채지수 수익률 </t>
    </r>
    <r>
      <rPr>
        <b val="true"/>
        <sz val="10"/>
        <color rgb="FFFFFFFF"/>
        <rFont val="Arial"/>
        <family val="0"/>
        <charset val="1"/>
      </rPr>
      <t xml:space="preserve">1~5Y</t>
    </r>
  </si>
  <si>
    <r>
      <rPr>
        <b val="true"/>
        <sz val="10"/>
        <color rgb="FFFFFFFF"/>
        <rFont val="WenQuanYi Zen Hei"/>
        <family val="2"/>
      </rPr>
      <t xml:space="preserve">국채지수 수익률 </t>
    </r>
    <r>
      <rPr>
        <b val="true"/>
        <sz val="10"/>
        <color rgb="FFFFFFFF"/>
        <rFont val="Arial"/>
        <family val="0"/>
        <charset val="1"/>
      </rPr>
      <t xml:space="preserve">5Y</t>
    </r>
    <r>
      <rPr>
        <b val="true"/>
        <sz val="10"/>
        <color rgb="FFFFFFFF"/>
        <rFont val="WenQuanYi Zen Hei"/>
        <family val="2"/>
      </rPr>
      <t xml:space="preserve">초과</t>
    </r>
  </si>
  <si>
    <r>
      <rPr>
        <b val="true"/>
        <sz val="10"/>
        <color rgb="FFFFFFFF"/>
        <rFont val="WenQuanYi Zen Hei"/>
        <family val="2"/>
      </rPr>
      <t xml:space="preserve">국채 </t>
    </r>
    <r>
      <rPr>
        <b val="true"/>
        <sz val="10"/>
        <color rgb="FFFFFFFF"/>
        <rFont val="Arial"/>
        <family val="0"/>
        <charset val="1"/>
      </rPr>
      <t xml:space="preserve">3Y(WGB,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</si>
  <si>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회사채 수익률지수 </t>
    </r>
    <r>
      <rPr>
        <b val="true"/>
        <sz val="10"/>
        <color rgb="FFFFFFFF"/>
        <rFont val="Arial"/>
        <family val="0"/>
        <charset val="1"/>
      </rPr>
      <t xml:space="preserve">KASE_BMY</t>
    </r>
  </si>
  <si>
    <r>
      <rPr>
        <b val="true"/>
        <sz val="10"/>
        <color rgb="FFFFFFFF"/>
        <rFont val="Arial"/>
        <family val="0"/>
        <charset val="1"/>
      </rPr>
      <t xml:space="preserve">BBB-</t>
    </r>
    <r>
      <rPr>
        <b val="true"/>
        <sz val="10"/>
        <color rgb="FFFFFFFF"/>
        <rFont val="WenQuanYi Zen Hei"/>
        <family val="2"/>
      </rPr>
      <t xml:space="preserve">이상 텡게 회사채 </t>
    </r>
    <r>
      <rPr>
        <b val="true"/>
        <sz val="10"/>
        <color rgb="FFFFFFFF"/>
        <rFont val="Arial"/>
        <family val="0"/>
        <charset val="1"/>
      </rPr>
      <t xml:space="preserve">KASE_KZ3_Y</t>
    </r>
  </si>
  <si>
    <r>
      <rPr>
        <b val="true"/>
        <sz val="10"/>
        <color rgb="FFFFFFFF"/>
        <rFont val="Arial"/>
        <family val="0"/>
        <charset val="1"/>
      </rPr>
      <t xml:space="preserve">TONIA(</t>
    </r>
    <r>
      <rPr>
        <b val="true"/>
        <sz val="10"/>
        <color rgb="FFFFFFFF"/>
        <rFont val="WenQuanYi Zen Hei"/>
        <family val="2"/>
      </rPr>
      <t xml:space="preserve">익일물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</si>
  <si>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데이터 출처 및 방법론</t>
  </si>
  <si>
    <r>
      <rPr>
        <b val="true"/>
        <sz val="10"/>
        <color rgb="FFFFFFFF"/>
        <rFont val="WenQuanYi Zen Hei"/>
        <family val="2"/>
      </rPr>
      <t xml:space="preserve">국가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항목</t>
    </r>
  </si>
  <si>
    <t xml:space="preserve">지표</t>
  </si>
  <si>
    <r>
      <rPr>
        <b val="true"/>
        <sz val="10"/>
        <color rgb="FFFFFFFF"/>
        <rFont val="WenQuanYi Zen Hei"/>
        <family val="2"/>
      </rPr>
      <t xml:space="preserve">출처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</si>
  <si>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일본 국채</t>
  </si>
  <si>
    <r>
      <rPr>
        <sz val="10"/>
        <rFont val="Arial"/>
        <family val="0"/>
        <charset val="1"/>
      </rPr>
      <t xml:space="preserve">JGB 2·3·5</t>
    </r>
    <r>
      <rPr>
        <sz val="10"/>
        <rFont val="WenQuanYi Zen Hei"/>
        <family val="2"/>
      </rPr>
      <t xml:space="preserve">년 일별</t>
    </r>
  </si>
  <si>
    <r>
      <rPr>
        <sz val="10"/>
        <rFont val="WenQuanYi Zen Hei"/>
        <family val="2"/>
      </rPr>
      <t xml:space="preserve">일본 재무성 国債金利情報 </t>
    </r>
    <r>
      <rPr>
        <sz val="10"/>
        <rFont val="Arial"/>
        <family val="0"/>
        <charset val="1"/>
      </rPr>
      <t xml:space="preserve">(https://www.mof.go.jp/jgbs/reference/interest_rate/data/jgbcm_all.csv)</t>
    </r>
  </si>
  <si>
    <t xml:space="preserve">일본 회사채</t>
  </si>
  <si>
    <r>
      <rPr>
        <sz val="10"/>
        <rFont val="Arial"/>
        <family val="0"/>
        <charset val="1"/>
      </rPr>
      <t xml:space="preserve">R&amp;I/JCR </t>
    </r>
    <r>
      <rPr>
        <sz val="10"/>
        <rFont val="WenQuanYi Zen Hei"/>
        <family val="2"/>
      </rPr>
      <t xml:space="preserve">등급별 잔존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평균 복리수익률</t>
    </r>
  </si>
  <si>
    <r>
      <rPr>
        <sz val="10"/>
        <rFont val="Arial"/>
        <family val="0"/>
        <charset val="1"/>
      </rPr>
      <t xml:space="preserve">JSDA </t>
    </r>
    <r>
      <rPr>
        <sz val="10"/>
        <rFont val="WenQuanYi Zen Hei"/>
        <family val="2"/>
      </rPr>
      <t xml:space="preserve">公社債店頭売買参考統計値／格付マトリクス表 일별 </t>
    </r>
    <r>
      <rPr>
        <sz val="10"/>
        <rFont val="Arial"/>
        <family val="0"/>
        <charset val="1"/>
      </rPr>
      <t xml:space="preserve">CSV. </t>
    </r>
    <r>
      <rPr>
        <sz val="10"/>
        <rFont val="WenQuanYi Zen Hei"/>
        <family val="2"/>
      </rPr>
      <t xml:space="preserve">서버 요청 제한으로 </t>
    </r>
    <r>
      <rPr>
        <sz val="10"/>
        <rFont val="Arial"/>
        <family val="0"/>
        <charset val="1"/>
      </rPr>
      <t xml:space="preserve">2025.12 </t>
    </r>
    <r>
      <rPr>
        <sz val="10"/>
        <rFont val="WenQuanYi Zen Hei"/>
        <family val="2"/>
      </rPr>
      <t xml:space="preserve">전 영업일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그 외 월 </t>
    </r>
    <r>
      <rPr>
        <sz val="10"/>
        <rFont val="Arial"/>
        <family val="0"/>
        <charset val="1"/>
      </rPr>
      <t xml:space="preserve">1~4</t>
    </r>
    <r>
      <rPr>
        <sz val="10"/>
        <rFont val="WenQuanYi Zen Hei"/>
        <family val="2"/>
      </rPr>
      <t xml:space="preserve">영업일 샘플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전 업종 회사채 대상</t>
    </r>
    <r>
      <rPr>
        <sz val="10"/>
        <rFont val="Arial"/>
        <family val="0"/>
        <charset val="1"/>
      </rPr>
      <t xml:space="preserve">.</t>
    </r>
  </si>
  <si>
    <t xml:space="preserve">일본 정책금리</t>
  </si>
  <si>
    <r>
      <rPr>
        <sz val="10"/>
        <rFont val="Arial"/>
        <family val="0"/>
        <charset val="1"/>
      </rPr>
      <t xml:space="preserve">BOJ </t>
    </r>
    <r>
      <rPr>
        <sz val="10"/>
        <rFont val="WenQuanYi Zen Hei"/>
        <family val="2"/>
      </rPr>
      <t xml:space="preserve">무담보콜 유도목표</t>
    </r>
  </si>
  <si>
    <r>
      <rPr>
        <sz val="10"/>
        <rFont val="Arial"/>
        <family val="0"/>
        <charset val="1"/>
      </rPr>
      <t xml:space="preserve">BIS WS_CBPOL </t>
    </r>
    <r>
      <rPr>
        <sz val="10"/>
        <rFont val="WenQuanYi Zen Hei"/>
        <family val="2"/>
      </rPr>
      <t xml:space="preserve">월말값 </t>
    </r>
    <r>
      <rPr>
        <sz val="10"/>
        <rFont val="Arial"/>
        <family val="0"/>
        <charset val="1"/>
      </rPr>
      <t xml:space="preserve">(https://data.bis.org). 2024.3 </t>
    </r>
    <r>
      <rPr>
        <sz val="10"/>
        <rFont val="WenQuanYi Zen Hei"/>
        <family val="2"/>
      </rPr>
      <t xml:space="preserve">마이너스 금리 해제</t>
    </r>
    <r>
      <rPr>
        <sz val="10"/>
        <rFont val="Arial"/>
        <family val="0"/>
        <charset val="1"/>
      </rPr>
      <t xml:space="preserve">, 2024.7 0.25%, 2025.1 0.5%, 2025.12.19 0.75%, 2026.6.16 1.0%.</t>
    </r>
  </si>
  <si>
    <r>
      <rPr>
        <sz val="10"/>
        <rFont val="WenQuanYi Zen Hei"/>
        <family val="2"/>
      </rPr>
      <t xml:space="preserve">中债 국채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商业银行普通债</t>
    </r>
    <r>
      <rPr>
        <sz val="10"/>
        <rFont val="Arial"/>
        <family val="0"/>
        <charset val="1"/>
      </rPr>
      <t xml:space="preserve">(AAA) / </t>
    </r>
    <r>
      <rPr>
        <sz val="10"/>
        <rFont val="WenQuanYi Zen Hei"/>
        <family val="2"/>
      </rPr>
      <t xml:space="preserve">中短期票据</t>
    </r>
    <r>
      <rPr>
        <sz val="10"/>
        <rFont val="Arial"/>
        <family val="0"/>
        <charset val="1"/>
      </rPr>
      <t xml:space="preserve">(AAA) 3</t>
    </r>
    <r>
      <rPr>
        <sz val="10"/>
        <rFont val="WenQuanYi Zen Hei"/>
        <family val="2"/>
      </rPr>
      <t xml:space="preserve">년</t>
    </r>
  </si>
  <si>
    <r>
      <rPr>
        <sz val="10"/>
        <rFont val="Arial"/>
        <family val="0"/>
        <charset val="1"/>
      </rPr>
      <t xml:space="preserve">ChinaBond </t>
    </r>
    <r>
      <rPr>
        <sz val="10"/>
        <rFont val="WenQuanYi Zen Hei"/>
        <family val="2"/>
      </rPr>
      <t xml:space="preserve">历史数据 </t>
    </r>
    <r>
      <rPr>
        <sz val="10"/>
        <rFont val="Arial"/>
        <family val="0"/>
        <charset val="1"/>
      </rPr>
      <t xml:space="preserve">(https://yield.chinabond.com.cn/cbweb-pbc-web) </t>
    </r>
    <r>
      <rPr>
        <sz val="10"/>
        <rFont val="WenQuanYi Zen Hei"/>
        <family val="2"/>
      </rPr>
      <t xml:space="preserve">일별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정책금리는 </t>
    </r>
    <r>
      <rPr>
        <sz val="10"/>
        <rFont val="Arial"/>
        <family val="0"/>
        <charset val="1"/>
      </rPr>
      <t xml:space="preserve">BIS </t>
    </r>
    <r>
      <rPr>
        <sz val="10"/>
        <rFont val="WenQuanYi Zen Hei"/>
        <family val="2"/>
      </rPr>
      <t xml:space="preserve">기준 </t>
    </r>
    <r>
      <rPr>
        <sz val="10"/>
        <rFont val="Arial"/>
        <family val="0"/>
        <charset val="1"/>
      </rPr>
      <t xml:space="preserve">LPR 1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.</t>
    </r>
  </si>
  <si>
    <t xml:space="preserve">베트남 국채</t>
  </si>
  <si>
    <r>
      <rPr>
        <sz val="10"/>
        <rFont val="Arial"/>
        <family val="0"/>
        <charset val="1"/>
      </rPr>
      <t xml:space="preserve">VGB 1·2·3·5·7·10</t>
    </r>
    <r>
      <rPr>
        <sz val="10"/>
        <rFont val="WenQuanYi Zen Hei"/>
        <family val="2"/>
      </rPr>
      <t xml:space="preserve">년 일별</t>
    </r>
  </si>
  <si>
    <r>
      <rPr>
        <sz val="10"/>
        <rFont val="Arial"/>
        <family val="0"/>
        <charset val="1"/>
      </rPr>
      <t xml:space="preserve">worldgovernmentbonds.com </t>
    </r>
    <r>
      <rPr>
        <sz val="10"/>
        <rFont val="WenQuanYi Zen Hei"/>
        <family val="2"/>
      </rPr>
      <t xml:space="preserve">일별 종가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차 집계</t>
    </r>
    <r>
      <rPr>
        <sz val="10"/>
        <rFont val="Arial"/>
        <family val="0"/>
        <charset val="1"/>
      </rPr>
      <t xml:space="preserve">). VBMA·HNX </t>
    </r>
    <r>
      <rPr>
        <sz val="10"/>
        <rFont val="WenQuanYi Zen Hei"/>
        <family val="2"/>
      </rPr>
      <t xml:space="preserve">원자료는 로그인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접속 제한</t>
    </r>
    <r>
      <rPr>
        <sz val="10"/>
        <rFont val="Arial"/>
        <family val="0"/>
        <charset val="1"/>
      </rPr>
      <t xml:space="preserve">.</t>
    </r>
  </si>
  <si>
    <t xml:space="preserve">베트남 은행채</t>
  </si>
  <si>
    <r>
      <rPr>
        <sz val="10"/>
        <rFont val="WenQuanYi Zen Hei"/>
        <family val="2"/>
      </rPr>
      <t xml:space="preserve">은행 발행 건별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발행일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만기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</si>
  <si>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VBMA </t>
    </r>
    <r>
      <rPr>
        <sz val="10"/>
        <rFont val="WenQuanYi Zen Hei"/>
        <family val="2"/>
      </rPr>
      <t xml:space="preserve">월간 채권시장 보고서 부록 – </t>
    </r>
    <r>
      <rPr>
        <sz val="10"/>
        <rFont val="Arial"/>
        <family val="0"/>
        <charset val="1"/>
      </rPr>
      <t xml:space="preserve">HNX·SSC </t>
    </r>
    <r>
      <rPr>
        <sz val="10"/>
        <rFont val="WenQuanYi Zen Hei"/>
        <family val="2"/>
      </rPr>
      <t xml:space="preserve">공시 집계 </t>
    </r>
    <r>
      <rPr>
        <sz val="10"/>
        <rFont val="Arial"/>
        <family val="0"/>
        <charset val="1"/>
      </rPr>
      <t xml:space="preserve">(https://vbma.org.vn/vi/reports/monthly). 2021~2022</t>
    </r>
    <r>
      <rPr>
        <sz val="10"/>
        <rFont val="WenQuanYi Zen Hei"/>
        <family val="2"/>
      </rPr>
      <t xml:space="preserve">년 일부 월은 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양식 차이로 미추출</t>
    </r>
    <r>
      <rPr>
        <sz val="10"/>
        <rFont val="Arial"/>
        <family val="0"/>
        <charset val="1"/>
      </rPr>
      <t xml:space="preserve">.</t>
    </r>
  </si>
  <si>
    <t xml:space="preserve">베트남 정책금리</t>
  </si>
  <si>
    <r>
      <rPr>
        <sz val="10"/>
        <rFont val="Arial"/>
        <family val="0"/>
        <charset val="1"/>
      </rPr>
      <t xml:space="preserve">SBV </t>
    </r>
    <r>
      <rPr>
        <sz val="10"/>
        <rFont val="WenQuanYi Zen Hei"/>
        <family val="2"/>
      </rPr>
      <t xml:space="preserve">재할인율</t>
    </r>
  </si>
  <si>
    <r>
      <rPr>
        <sz val="10"/>
        <rFont val="Arial"/>
        <family val="0"/>
        <charset val="1"/>
      </rPr>
      <t xml:space="preserve">SBV </t>
    </r>
    <r>
      <rPr>
        <sz val="10"/>
        <rFont val="WenQuanYi Zen Hei"/>
        <family val="2"/>
      </rPr>
      <t xml:space="preserve">결정</t>
    </r>
    <r>
      <rPr>
        <sz val="10"/>
        <rFont val="Arial"/>
        <family val="0"/>
        <charset val="1"/>
      </rPr>
      <t xml:space="preserve">: 2022.9.23 5.0%, 2022.10.25 6.0%, 2023.4.3 5.5%, 2023.5.25 5.0%, 2023.6.19 4.5% (</t>
    </r>
    <r>
      <rPr>
        <sz val="10"/>
        <rFont val="WenQuanYi Zen Hei"/>
        <family val="2"/>
      </rPr>
      <t xml:space="preserve">이후 </t>
    </r>
    <r>
      <rPr>
        <sz val="10"/>
        <rFont val="Arial"/>
        <family val="0"/>
        <charset val="1"/>
      </rPr>
      <t xml:space="preserve">2026.6</t>
    </r>
    <r>
      <rPr>
        <sz val="10"/>
        <rFont val="WenQuanYi Zen Hei"/>
        <family val="2"/>
      </rPr>
      <t xml:space="preserve">까지 동결</t>
    </r>
    <r>
      <rPr>
        <sz val="10"/>
        <rFont val="Arial"/>
        <family val="0"/>
        <charset val="1"/>
      </rPr>
      <t xml:space="preserve">).</t>
    </r>
  </si>
  <si>
    <t xml:space="preserve">카자흐</t>
  </si>
  <si>
    <t xml:space="preserve">KZGB_Ys/Ym/Yl, KASE_BMY, KASE_KZ3_Y, TONIA</t>
  </si>
  <si>
    <r>
      <rPr>
        <sz val="10"/>
        <rFont val="Arial"/>
        <family val="0"/>
        <charset val="1"/>
      </rPr>
      <t xml:space="preserve">KASE </t>
    </r>
    <r>
      <rPr>
        <sz val="10"/>
        <rFont val="WenQuanYi Zen Hei"/>
        <family val="2"/>
      </rPr>
      <t xml:space="preserve">지수 시계열 </t>
    </r>
    <r>
      <rPr>
        <sz val="10"/>
        <rFont val="Arial"/>
        <family val="0"/>
        <charset val="1"/>
      </rPr>
      <t xml:space="preserve">(https://kase.kz, </t>
    </r>
    <r>
      <rPr>
        <sz val="10"/>
        <rFont val="WenQuanYi Zen Hei"/>
        <family val="2"/>
      </rPr>
      <t xml:space="preserve">지수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지표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국채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참고치는 </t>
    </r>
    <r>
      <rPr>
        <sz val="10"/>
        <rFont val="Arial"/>
        <family val="0"/>
        <charset val="1"/>
      </rPr>
      <t xml:space="preserve">worldgovernmentbonds.com.</t>
    </r>
  </si>
  <si>
    <t xml:space="preserve">카자흐 정책금리</t>
  </si>
  <si>
    <r>
      <rPr>
        <sz val="10"/>
        <rFont val="Arial"/>
        <family val="0"/>
        <charset val="1"/>
      </rPr>
      <t xml:space="preserve">NBK </t>
    </r>
    <r>
      <rPr>
        <sz val="10"/>
        <rFont val="WenQuanYi Zen Hei"/>
        <family val="2"/>
      </rPr>
      <t xml:space="preserve">기준금리</t>
    </r>
  </si>
  <si>
    <r>
      <rPr>
        <sz val="10"/>
        <rFont val="Arial"/>
        <family val="0"/>
        <charset val="1"/>
      </rPr>
      <t xml:space="preserve">NBK </t>
    </r>
    <r>
      <rPr>
        <sz val="10"/>
        <rFont val="WenQuanYi Zen Hei"/>
        <family val="2"/>
      </rPr>
      <t xml:space="preserve">기준금리 결정 일정표 </t>
    </r>
    <r>
      <rPr>
        <sz val="10"/>
        <rFont val="Arial"/>
        <family val="0"/>
        <charset val="1"/>
      </rPr>
      <t xml:space="preserve">(https://nationalbank.kz/en/news/grafik-prinyatiya-resheniy-po-bazovoy-stavke) – </t>
    </r>
    <r>
      <rPr>
        <sz val="10"/>
        <rFont val="WenQuanYi Zen Hei"/>
        <family val="2"/>
      </rPr>
      <t xml:space="preserve">연도별 페이지</t>
    </r>
    <r>
      <rPr>
        <sz val="10"/>
        <rFont val="Arial"/>
        <family val="0"/>
        <charset val="1"/>
      </rPr>
      <t xml:space="preserve">.</t>
    </r>
  </si>
  <si>
    <t xml:space="preserve">방법론</t>
  </si>
  <si>
    <t xml:space="preserve">월평균</t>
  </si>
  <si>
    <r>
      <rPr>
        <sz val="10"/>
        <rFont val="WenQuanYi Zen Hei"/>
        <family val="2"/>
      </rPr>
      <t xml:space="preserve">각 월 영업일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데이터 존재일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단순평균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연도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월평균의 평균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정책금리는 기말값</t>
    </r>
    <r>
      <rPr>
        <sz val="10"/>
        <rFont val="Arial"/>
        <family val="0"/>
        <charset val="1"/>
      </rPr>
      <t xml:space="preserve">.</t>
    </r>
  </si>
  <si>
    <t xml:space="preserve">베트남 스프레드</t>
  </si>
  <si>
    <r>
      <rPr>
        <sz val="10"/>
        <rFont val="WenQuanYi Zen Hei"/>
        <family val="2"/>
      </rPr>
      <t xml:space="preserve">건별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발행금리 − 발행일 국채곡선을 해당 만기로 선형보간한 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발행액 가중평균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고정금리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후순위 추정 아님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만기 </t>
    </r>
    <r>
      <rPr>
        <sz val="10"/>
        <rFont val="Arial"/>
        <family val="0"/>
        <charset val="1"/>
      </rPr>
      <t xml:space="preserve">2~4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(Big4</t>
    </r>
    <r>
      <rPr>
        <sz val="10"/>
        <rFont val="WenQuanYi Zen Hei"/>
        <family val="2"/>
      </rPr>
      <t xml:space="preserve">는 만기 제한 없음</t>
    </r>
    <r>
      <rPr>
        <sz val="10"/>
        <rFont val="Arial"/>
        <family val="0"/>
        <charset val="1"/>
      </rPr>
      <t xml:space="preserve">).</t>
    </r>
  </si>
  <si>
    <t xml:space="preserve">한계</t>
  </si>
  <si>
    <t xml:space="preserve">등급 정합성</t>
  </si>
  <si>
    <r>
      <rPr>
        <sz val="10"/>
        <rFont val="WenQuanYi Zen Hei"/>
        <family val="2"/>
      </rPr>
      <t xml:space="preserve">일본은 은행 한정 아님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 업종 등급별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카자흐는 회사채 전체 지수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베트남은 발행 표본 희소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각 국가 비고 참조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</si>
</sst>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"/>
    <numFmt numFmtId="166" formatCode="0.00%;\-0.00%;\-"/>
    <numFmt numFmtId="167" formatCode="0&quot; bp&quot;;\-0&quot; bp&quot;;0&quot; bp&quot;"/>
    <numFmt numFmtId="168" formatCode="0.0%"/>
    <numFmt numFmtId="169" formatCode="yyyy\-mm\-dd"/>
    <numFmt numFmtId="170" formatCode="0"/>
    <numFmt numFmtId="171" formatCode="0;\-0;\-"/>
    <numFmt numFmtId="172" formatCode="#,##0.0"/>
    <numFmt numFmtId="173" formatCode="0.0"/>
    <numFmt numFmtId="174" formatCode="#,##0.00"/>
    <numFmt numFmtId="175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WenQuanYi Zen He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5F9FD"/>
        <bgColor rgb="FFF7FBF4"/>
      </patternFill>
    </fill>
    <fill>
      <patternFill patternType="solid">
        <fgColor rgb="FFFEF8F4"/>
        <bgColor rgb="FFFFFCF2"/>
      </patternFill>
    </fill>
    <fill>
      <patternFill patternType="solid">
        <fgColor rgb="FFF7FBF4"/>
        <bgColor rgb="FFF5F9FD"/>
      </patternFill>
    </fill>
    <fill>
      <patternFill patternType="solid">
        <fgColor rgb="FFFFFCF2"/>
        <bgColor rgb="FFFEF8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7FB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D"/>
      <rgbColor rgb="FFE2EFDA"/>
      <rgbColor rgb="FFFFFCF2"/>
      <rgbColor rgb="FFFEF8F4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60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45992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str">
        <f aca="false">YEAR(B3)&amp;"Q"&amp;ROUNDUP(MONTH(B3)/3,0)</f>
        <v>2025Q4</v>
      </c>
      <c r="C4" s="4" t="s">
        <v>4</v>
      </c>
    </row>
    <row r="6" customFormat="false" ht="57.7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</row>
    <row r="7" customFormat="false" ht="66" hidden="false" customHeight="true" outlineLevel="0" collapsed="false">
      <c r="A7" s="7" t="s">
        <v>17</v>
      </c>
      <c r="B7" s="8" t="s">
        <v>18</v>
      </c>
      <c r="C7" s="9" t="n">
        <f aca="false">INDEX(월별!$E$5:$E$70,MATCH($B$3,월별!$A$5:$A$70,0))</f>
        <v>0.0075</v>
      </c>
      <c r="D7" s="9" t="n">
        <f aca="false">INDEX(월별!$F$5:$F$70,MATCH($B$3,월별!$A$5:$A$70,0))</f>
        <v>0.0118568181818182</v>
      </c>
      <c r="E7" s="10" t="s">
        <v>19</v>
      </c>
      <c r="F7" s="9" t="n">
        <f aca="false">IFERROR(INDEX(월별!$G$5:$G$70,MATCH($B$3,월별!$A$5:$A$70,0)),"")</f>
        <v>0.015895</v>
      </c>
      <c r="G7" s="11" t="n">
        <f aca="false">IFERROR((INDEX(월별!$G$5:$G$70,MATCH($B$3,월별!$A$5:$A$70,0))-INDEX(월별!$F$5:$F$70,MATCH($B$3,월별!$A$5:$A$70,0)))*10000,"")</f>
        <v>40.3818181818182</v>
      </c>
      <c r="H7" s="12" t="n">
        <f aca="false">IFERROR(D7+G7/10000,"")</f>
        <v>0.015895</v>
      </c>
      <c r="I7" s="13" t="n">
        <v>0.3062</v>
      </c>
      <c r="J7" s="14" t="n">
        <f aca="false">IFERROR(H7*(1-I7),"")</f>
        <v>0.011027951</v>
      </c>
      <c r="K7" s="10" t="s">
        <v>20</v>
      </c>
      <c r="L7" s="15" t="s">
        <v>21</v>
      </c>
    </row>
    <row r="8" customFormat="false" ht="66" hidden="false" customHeight="true" outlineLevel="0" collapsed="false">
      <c r="A8" s="16" t="s">
        <v>22</v>
      </c>
      <c r="B8" s="8" t="s">
        <v>23</v>
      </c>
      <c r="C8" s="9" t="n">
        <f aca="false">INDEX(월별!$J$5:$J$70,MATCH($B$3,월별!$A$5:$A$70,0))</f>
        <v>0.03</v>
      </c>
      <c r="D8" s="9" t="n">
        <f aca="false">INDEX(월별!$K$5:$K$70,MATCH($B$3,월별!$A$5:$A$70,0))</f>
        <v>0.0140452173913043</v>
      </c>
      <c r="E8" s="10" t="s">
        <v>24</v>
      </c>
      <c r="F8" s="9" t="n">
        <f aca="false">IFERROR(INDEX(월별!$L$5:$L$70,MATCH($B$3,월별!$A$5:$A$70,0)),"")</f>
        <v>0.018408</v>
      </c>
      <c r="G8" s="11" t="n">
        <f aca="false">IFERROR((INDEX(월별!$L$5:$L$70,MATCH($B$3,월별!$A$5:$A$70,0))-INDEX(월별!$K$5:$K$70,MATCH($B$3,월별!$A$5:$A$70,0)))*10000,"")</f>
        <v>43.6278260869565</v>
      </c>
      <c r="H8" s="12" t="n">
        <f aca="false">IFERROR(D8+G8/10000,"")</f>
        <v>0.018408</v>
      </c>
      <c r="I8" s="13" t="n">
        <v>0.25</v>
      </c>
      <c r="J8" s="14" t="n">
        <f aca="false">IFERROR(H8*(1-I8),"")</f>
        <v>0.013806</v>
      </c>
      <c r="K8" s="10" t="s">
        <v>20</v>
      </c>
      <c r="L8" s="17" t="s">
        <v>25</v>
      </c>
    </row>
    <row r="9" customFormat="false" ht="66" hidden="false" customHeight="true" outlineLevel="0" collapsed="false">
      <c r="A9" s="18" t="s">
        <v>26</v>
      </c>
      <c r="B9" s="8" t="s">
        <v>27</v>
      </c>
      <c r="C9" s="9" t="n">
        <f aca="false">INDEX(월별!$O$5:$O$70,MATCH($B$3,월별!$A$5:$A$70,0))</f>
        <v>0.045</v>
      </c>
      <c r="D9" s="9" t="n">
        <f aca="false">INDEX(월별!$P$5:$P$70,MATCH($B$3,월별!$A$5:$A$70,0))</f>
        <v>0.0316869565217391</v>
      </c>
      <c r="E9" s="19" t="s">
        <v>28</v>
      </c>
      <c r="F9" s="14" t="n">
        <f aca="false">IFERROR(D9+G9/10000,"")</f>
        <v>0.0584869565217391</v>
      </c>
      <c r="G9" s="11" t="n">
        <f aca="false">IFERROR(INDEX(분기·연도별!$S$5:$S$40,MATCH($B$4,분기·연도별!$A$5:$A$40,0)),"")</f>
        <v>268</v>
      </c>
      <c r="H9" s="12" t="n">
        <f aca="false">IFERROR(D9+G9/10000,"")</f>
        <v>0.0584869565217391</v>
      </c>
      <c r="I9" s="13" t="n">
        <v>0.2</v>
      </c>
      <c r="J9" s="14" t="n">
        <f aca="false">IFERROR(H9*(1-I9),"")</f>
        <v>0.0467895652173913</v>
      </c>
      <c r="K9" s="10" t="s">
        <v>29</v>
      </c>
      <c r="L9" s="15" t="s">
        <v>30</v>
      </c>
    </row>
    <row r="10" customFormat="false" ht="66" hidden="false" customHeight="true" outlineLevel="0" collapsed="false">
      <c r="A10" s="18" t="s">
        <v>31</v>
      </c>
      <c r="B10" s="8" t="s">
        <v>27</v>
      </c>
      <c r="C10" s="9" t="n">
        <f aca="false">INDEX(월별!$O$5:$O$70,MATCH($B$3,월별!$A$5:$A$70,0))</f>
        <v>0.045</v>
      </c>
      <c r="D10" s="9" t="n">
        <f aca="false">INDEX(월별!$P$5:$P$70,MATCH($B$3,월별!$A$5:$A$70,0))</f>
        <v>0.0316869565217391</v>
      </c>
      <c r="E10" s="10" t="s">
        <v>32</v>
      </c>
      <c r="F10" s="14" t="n">
        <f aca="false">IFERROR(D10+G10/10000,"")</f>
        <v>0.0666827961915197</v>
      </c>
      <c r="G10" s="11" t="n">
        <f aca="false">IFERROR(INDEX(분기·연도별!$Q$5:$Q$40,MATCH($B$4,분기·연도별!$A$5:$A$40,0)),"")</f>
        <v>349.958396697806</v>
      </c>
      <c r="H10" s="12" t="n">
        <f aca="false">IFERROR(D10+G10/10000,"")</f>
        <v>0.0666827961915197</v>
      </c>
      <c r="I10" s="13" t="n">
        <v>0.2</v>
      </c>
      <c r="J10" s="14" t="n">
        <f aca="false">IFERROR(H10*(1-I10),"")</f>
        <v>0.0533462369532158</v>
      </c>
      <c r="K10" s="10" t="s">
        <v>29</v>
      </c>
      <c r="L10" s="17" t="s">
        <v>33</v>
      </c>
    </row>
    <row r="11" customFormat="false" ht="66" hidden="false" customHeight="true" outlineLevel="0" collapsed="false">
      <c r="A11" s="20" t="s">
        <v>34</v>
      </c>
      <c r="B11" s="8" t="s">
        <v>35</v>
      </c>
      <c r="C11" s="9" t="n">
        <f aca="false">INDEX(월별!$V$5:$V$70,MATCH($B$3,월별!$A$5:$A$70,0))</f>
        <v>0.18</v>
      </c>
      <c r="D11" s="9" t="n">
        <f aca="false">INDEX(월별!$W$5:$W$70,MATCH($B$3,월별!$A$5:$A$70,0))</f>
        <v>0.165613636363636</v>
      </c>
      <c r="E11" s="19" t="s">
        <v>36</v>
      </c>
      <c r="F11" s="9" t="n">
        <f aca="false">IFERROR(INDEX(월별!$Y$5:$Y$70,MATCH($B$3,월별!$A$5:$A$70,0)),"")</f>
        <v>0.168290909090909</v>
      </c>
      <c r="G11" s="11" t="n">
        <f aca="false">IFERROR((INDEX(월별!$Y$5:$Y$70,MATCH($B$3,월별!$A$5:$A$70,0))-INDEX(월별!$W$5:$W$70,MATCH($B$3,월별!$A$5:$A$70,0)))*10000,"")</f>
        <v>26.7727272727272</v>
      </c>
      <c r="H11" s="12" t="n">
        <f aca="false">IFERROR(MAX(D11,F11),"")</f>
        <v>0.168290909090909</v>
      </c>
      <c r="I11" s="13" t="n">
        <v>0.2</v>
      </c>
      <c r="J11" s="14" t="n">
        <f aca="false">IFERROR(H11*(1-I11),"")</f>
        <v>0.134632727272727</v>
      </c>
      <c r="K11" s="10" t="s">
        <v>20</v>
      </c>
      <c r="L11" s="17" t="s">
        <v>37</v>
      </c>
    </row>
    <row r="13" customFormat="false" ht="15" hidden="false" customHeight="false" outlineLevel="0" collapsed="false">
      <c r="A13" s="2" t="s">
        <v>38</v>
      </c>
    </row>
    <row r="14" customFormat="false" ht="15" hidden="false" customHeight="false" outlineLevel="0" collapsed="false">
      <c r="A14" s="21" t="s">
        <v>39</v>
      </c>
    </row>
    <row r="15" customFormat="false" ht="15" hidden="false" customHeight="false" outlineLevel="0" collapsed="false">
      <c r="A15" s="21" t="s">
        <v>40</v>
      </c>
    </row>
    <row r="16" customFormat="false" ht="15" hidden="false" customHeight="false" outlineLevel="0" collapsed="false">
      <c r="A16" s="22" t="s">
        <v>41</v>
      </c>
    </row>
    <row r="17" customFormat="false" ht="15" hidden="false" customHeight="false" outlineLevel="0" collapsed="false">
      <c r="A17" s="2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4" min="12" style="0" width="10"/>
    <col collapsed="false" customWidth="true" hidden="false" outlineLevel="0" max="16" min="15" style="0" width="9"/>
    <col collapsed="false" customWidth="true" hidden="false" outlineLevel="0" max="17" min="17" style="0" width="12"/>
    <col collapsed="false" customWidth="true" hidden="false" outlineLevel="0" max="18" min="18" style="0" width="7"/>
    <col collapsed="false" customWidth="true" hidden="false" outlineLevel="0" max="20" min="19" style="0" width="11"/>
    <col collapsed="false" customWidth="true" hidden="false" outlineLevel="0" max="21" min="21" style="0" width="10"/>
    <col collapsed="false" customWidth="true" hidden="false" outlineLevel="0" max="24" min="22" style="0" width="9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8" min="28" style="0" width="9"/>
  </cols>
  <sheetData>
    <row r="1" customFormat="false" ht="19.4" hidden="false" customHeight="false" outlineLevel="0" collapsed="false">
      <c r="A1" s="1" t="s">
        <v>43</v>
      </c>
    </row>
    <row r="2" customFormat="false" ht="15" hidden="false" customHeight="false" outlineLevel="0" collapsed="false">
      <c r="A2" s="4" t="s">
        <v>44</v>
      </c>
    </row>
    <row r="3" customFormat="false" ht="15" hidden="false" customHeight="true" outlineLevel="0" collapsed="false">
      <c r="E3" s="23" t="s">
        <v>45</v>
      </c>
      <c r="F3" s="23"/>
      <c r="G3" s="23"/>
      <c r="H3" s="23"/>
      <c r="I3" s="23"/>
      <c r="J3" s="24" t="s">
        <v>46</v>
      </c>
      <c r="K3" s="24"/>
      <c r="L3" s="24"/>
      <c r="M3" s="24"/>
      <c r="N3" s="24"/>
      <c r="O3" s="25" t="s">
        <v>47</v>
      </c>
      <c r="P3" s="25"/>
      <c r="Q3" s="25"/>
      <c r="R3" s="25"/>
      <c r="S3" s="25"/>
      <c r="T3" s="25"/>
      <c r="U3" s="25"/>
      <c r="V3" s="26" t="s">
        <v>48</v>
      </c>
      <c r="W3" s="26"/>
      <c r="X3" s="26"/>
      <c r="Y3" s="26"/>
      <c r="Z3" s="26"/>
      <c r="AA3" s="26"/>
      <c r="AB3" s="26"/>
    </row>
    <row r="4" customFormat="false" ht="54" hidden="false" customHeight="true" outlineLevel="0" collapsed="false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  <c r="F4" s="27" t="s">
        <v>54</v>
      </c>
      <c r="G4" s="6" t="s">
        <v>55</v>
      </c>
      <c r="H4" s="6" t="s">
        <v>56</v>
      </c>
      <c r="I4" s="6" t="s">
        <v>57</v>
      </c>
      <c r="J4" s="27" t="s">
        <v>58</v>
      </c>
      <c r="K4" s="6" t="s">
        <v>59</v>
      </c>
      <c r="L4" s="6" t="s">
        <v>60</v>
      </c>
      <c r="M4" s="27" t="s">
        <v>61</v>
      </c>
      <c r="N4" s="6" t="s">
        <v>62</v>
      </c>
      <c r="O4" s="6" t="s">
        <v>63</v>
      </c>
      <c r="P4" s="27" t="s">
        <v>64</v>
      </c>
      <c r="Q4" s="6" t="s">
        <v>65</v>
      </c>
      <c r="R4" s="6" t="s">
        <v>66</v>
      </c>
      <c r="S4" s="6" t="s">
        <v>67</v>
      </c>
      <c r="T4" s="27" t="s">
        <v>68</v>
      </c>
      <c r="U4" s="27" t="s">
        <v>69</v>
      </c>
      <c r="V4" s="6" t="s">
        <v>70</v>
      </c>
      <c r="W4" s="6" t="s">
        <v>71</v>
      </c>
      <c r="X4" s="6" t="s">
        <v>72</v>
      </c>
      <c r="Y4" s="6" t="s">
        <v>73</v>
      </c>
      <c r="Z4" s="27" t="s">
        <v>74</v>
      </c>
      <c r="AA4" s="6" t="s">
        <v>75</v>
      </c>
      <c r="AB4" s="27" t="s">
        <v>76</v>
      </c>
    </row>
    <row r="5" customFormat="false" ht="15" hidden="false" customHeight="false" outlineLevel="0" collapsed="false">
      <c r="A5" s="28" t="n">
        <v>44197</v>
      </c>
      <c r="B5" s="29" t="n">
        <f aca="false">EOMONTH(A5,0)</f>
        <v>44227</v>
      </c>
      <c r="C5" s="5" t="str">
        <f aca="false">YEAR(A5)&amp;"Q"&amp;ROUNDUP(MONTH(A5)/3,0)</f>
        <v>2021Q1</v>
      </c>
      <c r="D5" s="30" t="n">
        <f aca="false">YEAR(A5)</f>
        <v>2021</v>
      </c>
      <c r="E5" s="31" t="n">
        <f aca="false">LOOKUP($B5,정책금리_결정!$A$4:$A$70,정책금리_결정!$B$4:$B$70)</f>
        <v>-0.001</v>
      </c>
      <c r="F5" s="31" t="n">
        <f aca="false">IFERROR(AVERAGEIFS(JP_국채일별!$C$4:$C$1345,JP_국채일별!$A$4:$A$1345,"&gt;="&amp;$A5,JP_국채일별!$A$4:$A$1345,"&lt;="&amp;$B5),"")</f>
        <v>-0.00127684210526316</v>
      </c>
      <c r="G5" s="31" t="n">
        <f aca="false">IFERROR(AVERAGEIFS(JP_등급별회사채!$D$4:$D$158,JP_등급별회사채!$A$4:$A$158,"&gt;="&amp;$A5,JP_등급별회사채!$A$4:$A$158,"&lt;="&amp;$B5),"")</f>
        <v>0.00135909090909091</v>
      </c>
      <c r="H5" s="31" t="n">
        <f aca="false">IFERROR(AVERAGEIFS(JP_등급별회사채!$B$4:$B$158,JP_등급별회사채!$A$4:$A$158,"&gt;="&amp;$A5,JP_등급별회사채!$A$4:$A$158,"&lt;="&amp;$B5),"")</f>
        <v>0.00142909090909091</v>
      </c>
      <c r="I5" s="32" t="n">
        <f aca="false">IF(OR(G5="",F5=""),"",(G5-F5)*10000)</f>
        <v>26.3593301435407</v>
      </c>
      <c r="J5" s="33" t="n">
        <f aca="false">LOOKUP($B5,정책금리_결정!$D$4:$D$70,정책금리_결정!$E$4:$E$70)</f>
        <v>0.0385</v>
      </c>
      <c r="K5" s="33" t="n">
        <f aca="false">IFERROR(AVERAGEIFS(CN_일별!$B$4:$B$1372,CN_일별!$A$4:$A$1372,"&gt;="&amp;$A5,CN_일별!$A$4:$A$1372,"&lt;="&amp;$B5),"")</f>
        <v>0.02802725</v>
      </c>
      <c r="L5" s="33" t="n">
        <f aca="false">IFERROR(AVERAGEIFS(CN_일별!$C$4:$C$1372,CN_일별!$A$4:$A$1372,"&gt;="&amp;$A5,CN_일별!$A$4:$A$1372,"&lt;="&amp;$B5),"")</f>
        <v>0.03343065</v>
      </c>
      <c r="M5" s="33" t="n">
        <f aca="false">IFERROR(AVERAGEIFS(CN_일별!$D$4:$D$1372,CN_일별!$A$4:$A$1372,"&gt;="&amp;$A5,CN_일별!$A$4:$A$1372,"&lt;="&amp;$B5),"")</f>
        <v>0.0352797</v>
      </c>
      <c r="N5" s="34" t="n">
        <f aca="false">IF(OR(L5="",K5=""),"",(L5-K5)*10000)</f>
        <v>54.034</v>
      </c>
      <c r="O5" s="35" t="n">
        <f aca="false">LOOKUP($B5,정책금리_결정!$G$4:$G$9,정책금리_결정!$H$4:$H$9)</f>
        <v>0.04</v>
      </c>
      <c r="P5" s="35" t="n">
        <f aca="false">IFERROR(AVERAGEIFS(VN_국채일별!$D$4:$D$1436,VN_국채일별!$A$4:$A$1436,"&gt;="&amp;$A5,VN_국채일별!$A$4:$A$1436,"&lt;="&amp;$B5),"")</f>
        <v>0.00578095238095238</v>
      </c>
      <c r="Q5" s="35" t="str">
        <f aca="false">IFERROR(SUMIFS(VN_은행채발행!$T$4:$T$712,VN_은행채발행!$C$4:$C$712,$A5)/SUMIFS(VN_은행채발행!$I$4:$I$712,VN_은행채발행!$C$4:$C$712,$A5,VN_은행채발행!$S$4:$S$712,1),"")</f>
        <v/>
      </c>
      <c r="R5" s="36" t="n">
        <f aca="false">COUNTIFS(VN_은행채발행!$C$4:$C$712,$A5,VN_은행채발행!$S$4:$S$712,1)</f>
        <v>0</v>
      </c>
      <c r="S5" s="37" t="str">
        <f aca="false">IFERROR(SUMIFS(VN_은행채발행!$U$4:$U$712,VN_은행채발행!$C$4:$C$712,$A5)/SUMIFS(VN_은행채발행!$Y$4:$Y$712,VN_은행채발행!$C$4:$C$712,$A5),"")</f>
        <v/>
      </c>
      <c r="T5" s="35" t="str">
        <f aca="false">IFERROR(SUMIFS(VN_은행채발행!$W$4:$W$712,VN_은행채발행!$C$4:$C$712,$A5)/SUMIFS(VN_은행채발행!$I$4:$I$712,VN_은행채발행!$C$4:$C$712,$A5,VN_은행채발행!$V$4:$V$712,1),"")</f>
        <v/>
      </c>
      <c r="U5" s="37" t="str">
        <f aca="false">IFERROR(SUMIFS(VN_은행채발행!$X$4:$X$712,VN_은행채발행!$C$4:$C$712,$A5)/SUMIFS(VN_은행채발행!$Z$4:$Z$712,VN_은행채발행!$C$4:$C$712,$A5),"")</f>
        <v/>
      </c>
      <c r="V5" s="38" t="n">
        <f aca="false">LOOKUP($B5,정책금리_결정!$J$4:$J$49,정책금리_결정!$K$4:$K$49)</f>
        <v>0.09</v>
      </c>
      <c r="W5" s="38" t="str">
        <f aca="false">IFERROR(AVERAGEIFS(KZ_일별!$C$4:$C$1352,KZ_일별!$A$4:$A$1352,"&gt;="&amp;$A5,KZ_일별!$A$4:$A$1352,"&lt;="&amp;$B5),"")</f>
        <v/>
      </c>
      <c r="X5" s="38" t="str">
        <f aca="false">IFERROR(AVERAGEIFS(KZ_일별!$E$4:$E$1352,KZ_일별!$A$4:$A$1352,"&gt;="&amp;$A5,KZ_일별!$A$4:$A$1352,"&lt;="&amp;$B5),"")</f>
        <v/>
      </c>
      <c r="Y5" s="38" t="n">
        <f aca="false">IFERROR(AVERAGEIFS(KZ_일별!$F$4:$F$1352,KZ_일별!$A$4:$A$1352,"&gt;="&amp;$A5,KZ_일별!$A$4:$A$1352,"&lt;="&amp;$B5),"")</f>
        <v>0.107672222222222</v>
      </c>
      <c r="Z5" s="38" t="str">
        <f aca="false">IFERROR(AVERAGEIFS(KZ_일별!$G$4:$G$1352,KZ_일별!$A$4:$A$1352,"&gt;="&amp;$A5,KZ_일별!$A$4:$A$1352,"&lt;="&amp;$B5),"")</f>
        <v/>
      </c>
      <c r="AA5" s="39" t="str">
        <f aca="false">IF(OR(Y5="",W5=""),"",(Y5-W5)*10000)</f>
        <v/>
      </c>
      <c r="AB5" s="38" t="n">
        <f aca="false">IFERROR(AVERAGEIFS(KZ_일별!$H$4:$H$1352,KZ_일별!$A$4:$A$1352,"&gt;="&amp;$A5,KZ_일별!$A$4:$A$1352,"&lt;="&amp;$B5),"")</f>
        <v>0.0822</v>
      </c>
    </row>
    <row r="6" customFormat="false" ht="15" hidden="false" customHeight="false" outlineLevel="0" collapsed="false">
      <c r="A6" s="28" t="n">
        <v>44228</v>
      </c>
      <c r="B6" s="29" t="n">
        <f aca="false">EOMONTH(A6,0)</f>
        <v>44255</v>
      </c>
      <c r="C6" s="5" t="str">
        <f aca="false">YEAR(A6)&amp;"Q"&amp;ROUNDUP(MONTH(A6)/3,0)</f>
        <v>2021Q1</v>
      </c>
      <c r="D6" s="30" t="n">
        <f aca="false">YEAR(A6)</f>
        <v>2021</v>
      </c>
      <c r="E6" s="31" t="n">
        <f aca="false">LOOKUP($B6,정책금리_결정!$A$4:$A$70,정책금리_결정!$B$4:$B$70)</f>
        <v>-0.001</v>
      </c>
      <c r="F6" s="31" t="n">
        <f aca="false">IFERROR(AVERAGEIFS(JP_국채일별!$C$4:$C$1345,JP_국채일별!$A$4:$A$1345,"&gt;="&amp;$A6,JP_국채일별!$A$4:$A$1345,"&lt;="&amp;$B6),"")</f>
        <v>-0.001225</v>
      </c>
      <c r="G6" s="31" t="n">
        <f aca="false">IFERROR(AVERAGEIFS(JP_등급별회사채!$D$4:$D$158,JP_등급별회사채!$A$4:$A$158,"&gt;="&amp;$A6,JP_등급별회사채!$A$4:$A$158,"&lt;="&amp;$B6),"")</f>
        <v>0.0014</v>
      </c>
      <c r="H6" s="31" t="n">
        <f aca="false">IFERROR(AVERAGEIFS(JP_등급별회사채!$B$4:$B$158,JP_등급별회사채!$A$4:$A$158,"&gt;="&amp;$A6,JP_등급별회사채!$A$4:$A$158,"&lt;="&amp;$B6),"")</f>
        <v>0.001412</v>
      </c>
      <c r="I6" s="32" t="n">
        <f aca="false">IF(OR(G6="",F6=""),"",(G6-F6)*10000)</f>
        <v>26.25</v>
      </c>
      <c r="J6" s="33" t="n">
        <f aca="false">LOOKUP($B6,정책금리_결정!$D$4:$D$70,정책금리_결정!$E$4:$E$70)</f>
        <v>0.0385</v>
      </c>
      <c r="K6" s="33" t="n">
        <f aca="false">IFERROR(AVERAGEIFS(CN_일별!$B$4:$B$1372,CN_일별!$A$4:$A$1372,"&gt;="&amp;$A6,CN_일별!$A$4:$A$1372,"&lt;="&amp;$B6),"")</f>
        <v>0.0289135882352941</v>
      </c>
      <c r="L6" s="33" t="n">
        <f aca="false">IFERROR(AVERAGEIFS(CN_일별!$C$4:$C$1372,CN_일별!$A$4:$A$1372,"&gt;="&amp;$A6,CN_일별!$A$4:$A$1372,"&lt;="&amp;$B6),"")</f>
        <v>0.0345552941176471</v>
      </c>
      <c r="M6" s="33" t="n">
        <f aca="false">IFERROR(AVERAGEIFS(CN_일별!$D$4:$D$1372,CN_일별!$A$4:$A$1372,"&gt;="&amp;$A6,CN_일별!$A$4:$A$1372,"&lt;="&amp;$B6),"")</f>
        <v>0.0370105294117647</v>
      </c>
      <c r="N6" s="34" t="n">
        <f aca="false">IF(OR(L6="",K6=""),"",(L6-K6)*10000)</f>
        <v>56.4170588235294</v>
      </c>
      <c r="O6" s="35" t="n">
        <f aca="false">LOOKUP($B6,정책금리_결정!$G$4:$G$9,정책금리_결정!$H$4:$H$9)</f>
        <v>0.04</v>
      </c>
      <c r="P6" s="35" t="n">
        <f aca="false">IFERROR(AVERAGEIFS(VN_국채일별!$D$4:$D$1436,VN_국채일별!$A$4:$A$1436,"&gt;="&amp;$A6,VN_국채일별!$A$4:$A$1436,"&lt;="&amp;$B6),"")</f>
        <v>0.0068425</v>
      </c>
      <c r="Q6" s="35" t="str">
        <f aca="false">IFERROR(SUMIFS(VN_은행채발행!$T$4:$T$712,VN_은행채발행!$C$4:$C$712,$A6)/SUMIFS(VN_은행채발행!$I$4:$I$712,VN_은행채발행!$C$4:$C$712,$A6,VN_은행채발행!$S$4:$S$712,1),"")</f>
        <v/>
      </c>
      <c r="R6" s="36" t="n">
        <f aca="false">COUNTIFS(VN_은행채발행!$C$4:$C$712,$A6,VN_은행채발행!$S$4:$S$712,1)</f>
        <v>0</v>
      </c>
      <c r="S6" s="37" t="str">
        <f aca="false">IFERROR(SUMIFS(VN_은행채발행!$U$4:$U$712,VN_은행채발행!$C$4:$C$712,$A6)/SUMIFS(VN_은행채발행!$Y$4:$Y$712,VN_은행채발행!$C$4:$C$712,$A6),"")</f>
        <v/>
      </c>
      <c r="T6" s="35" t="str">
        <f aca="false">IFERROR(SUMIFS(VN_은행채발행!$W$4:$W$712,VN_은행채발행!$C$4:$C$712,$A6)/SUMIFS(VN_은행채발행!$I$4:$I$712,VN_은행채발행!$C$4:$C$712,$A6,VN_은행채발행!$V$4:$V$712,1),"")</f>
        <v/>
      </c>
      <c r="U6" s="37" t="str">
        <f aca="false">IFERROR(SUMIFS(VN_은행채발행!$X$4:$X$712,VN_은행채발행!$C$4:$C$712,$A6)/SUMIFS(VN_은행채발행!$Z$4:$Z$712,VN_은행채발행!$C$4:$C$712,$A6),"")</f>
        <v/>
      </c>
      <c r="V6" s="38" t="n">
        <f aca="false">LOOKUP($B6,정책금리_결정!$J$4:$J$49,정책금리_결정!$K$4:$K$49)</f>
        <v>0.09</v>
      </c>
      <c r="W6" s="38" t="str">
        <f aca="false">IFERROR(AVERAGEIFS(KZ_일별!$C$4:$C$1352,KZ_일별!$A$4:$A$1352,"&gt;="&amp;$A6,KZ_일별!$A$4:$A$1352,"&lt;="&amp;$B6),"")</f>
        <v/>
      </c>
      <c r="X6" s="38" t="str">
        <f aca="false">IFERROR(AVERAGEIFS(KZ_일별!$E$4:$E$1352,KZ_일별!$A$4:$A$1352,"&gt;="&amp;$A6,KZ_일별!$A$4:$A$1352,"&lt;="&amp;$B6),"")</f>
        <v/>
      </c>
      <c r="Y6" s="38" t="n">
        <f aca="false">IFERROR(AVERAGEIFS(KZ_일별!$F$4:$F$1352,KZ_일별!$A$4:$A$1352,"&gt;="&amp;$A6,KZ_일별!$A$4:$A$1352,"&lt;="&amp;$B6),"")</f>
        <v>0.107155</v>
      </c>
      <c r="Z6" s="38" t="str">
        <f aca="false">IFERROR(AVERAGEIFS(KZ_일별!$G$4:$G$1352,KZ_일별!$A$4:$A$1352,"&gt;="&amp;$A6,KZ_일별!$A$4:$A$1352,"&lt;="&amp;$B6),"")</f>
        <v/>
      </c>
      <c r="AA6" s="39" t="str">
        <f aca="false">IF(OR(Y6="",W6=""),"",(Y6-W6)*10000)</f>
        <v/>
      </c>
      <c r="AB6" s="38" t="n">
        <f aca="false">IFERROR(AVERAGEIFS(KZ_일별!$H$4:$H$1352,KZ_일별!$A$4:$A$1352,"&gt;="&amp;$A6,KZ_일별!$A$4:$A$1352,"&lt;="&amp;$B6),"")</f>
        <v>0.08711</v>
      </c>
    </row>
    <row r="7" customFormat="false" ht="15" hidden="false" customHeight="false" outlineLevel="0" collapsed="false">
      <c r="A7" s="28" t="n">
        <v>44256</v>
      </c>
      <c r="B7" s="29" t="n">
        <f aca="false">EOMONTH(A7,0)</f>
        <v>44286</v>
      </c>
      <c r="C7" s="5" t="str">
        <f aca="false">YEAR(A7)&amp;"Q"&amp;ROUNDUP(MONTH(A7)/3,0)</f>
        <v>2021Q1</v>
      </c>
      <c r="D7" s="30" t="n">
        <f aca="false">YEAR(A7)</f>
        <v>2021</v>
      </c>
      <c r="E7" s="31" t="n">
        <f aca="false">LOOKUP($B7,정책금리_결정!$A$4:$A$70,정책금리_결정!$B$4:$B$70)</f>
        <v>-0.001</v>
      </c>
      <c r="F7" s="31" t="n">
        <f aca="false">IFERROR(AVERAGEIFS(JP_국채일별!$C$4:$C$1345,JP_국채일별!$A$4:$A$1345,"&gt;="&amp;$A7,JP_국채일별!$A$4:$A$1345,"&lt;="&amp;$B7),"")</f>
        <v>-0.00128</v>
      </c>
      <c r="G7" s="31" t="n">
        <f aca="false">IFERROR(AVERAGEIFS(JP_등급별회사채!$D$4:$D$158,JP_등급별회사채!$A$4:$A$158,"&gt;="&amp;$A7,JP_등급별회사채!$A$4:$A$158,"&lt;="&amp;$B7),"")</f>
        <v>0.001355</v>
      </c>
      <c r="H7" s="31" t="n">
        <f aca="false">IFERROR(AVERAGEIFS(JP_등급별회사채!$B$4:$B$158,JP_등급별회사채!$A$4:$A$158,"&gt;="&amp;$A7,JP_등급별회사채!$A$4:$A$158,"&lt;="&amp;$B7),"")</f>
        <v>0.0012125</v>
      </c>
      <c r="I7" s="32" t="n">
        <f aca="false">IF(OR(G7="",F7=""),"",(G7-F7)*10000)</f>
        <v>26.35</v>
      </c>
      <c r="J7" s="33" t="n">
        <f aca="false">LOOKUP($B7,정책금리_결정!$D$4:$D$70,정책금리_결정!$E$4:$E$70)</f>
        <v>0.0385</v>
      </c>
      <c r="K7" s="33" t="n">
        <f aca="false">IFERROR(AVERAGEIFS(CN_일별!$B$4:$B$1372,CN_일별!$A$4:$A$1372,"&gt;="&amp;$A7,CN_일별!$A$4:$A$1372,"&lt;="&amp;$B7),"")</f>
        <v>0.029181</v>
      </c>
      <c r="L7" s="33" t="n">
        <f aca="false">IFERROR(AVERAGEIFS(CN_일별!$C$4:$C$1372,CN_일별!$A$4:$A$1372,"&gt;="&amp;$A7,CN_일별!$A$4:$A$1372,"&lt;="&amp;$B7),"")</f>
        <v>0.0341363043478261</v>
      </c>
      <c r="M7" s="33" t="n">
        <f aca="false">IFERROR(AVERAGEIFS(CN_일별!$D$4:$D$1372,CN_일별!$A$4:$A$1372,"&gt;="&amp;$A7,CN_일별!$A$4:$A$1372,"&lt;="&amp;$B7),"")</f>
        <v>0.0363145217391304</v>
      </c>
      <c r="N7" s="34" t="n">
        <f aca="false">IF(OR(L7="",K7=""),"",(L7-K7)*10000)</f>
        <v>49.5530434782609</v>
      </c>
      <c r="O7" s="35" t="n">
        <f aca="false">LOOKUP($B7,정책금리_결정!$G$4:$G$9,정책금리_결정!$H$4:$H$9)</f>
        <v>0.04</v>
      </c>
      <c r="P7" s="35" t="n">
        <f aca="false">IFERROR(AVERAGEIFS(VN_국채일별!$D$4:$D$1436,VN_국채일별!$A$4:$A$1436,"&gt;="&amp;$A7,VN_국채일별!$A$4:$A$1436,"&lt;="&amp;$B7),"")</f>
        <v>0.0062995652173913</v>
      </c>
      <c r="Q7" s="35" t="str">
        <f aca="false">IFERROR(SUMIFS(VN_은행채발행!$T$4:$T$712,VN_은행채발행!$C$4:$C$712,$A7)/SUMIFS(VN_은행채발행!$I$4:$I$712,VN_은행채발행!$C$4:$C$712,$A7,VN_은행채발행!$S$4:$S$712,1),"")</f>
        <v/>
      </c>
      <c r="R7" s="36" t="n">
        <f aca="false">COUNTIFS(VN_은행채발행!$C$4:$C$712,$A7,VN_은행채발행!$S$4:$S$712,1)</f>
        <v>0</v>
      </c>
      <c r="S7" s="37" t="str">
        <f aca="false">IFERROR(SUMIFS(VN_은행채발행!$U$4:$U$712,VN_은행채발행!$C$4:$C$712,$A7)/SUMIFS(VN_은행채발행!$Y$4:$Y$712,VN_은행채발행!$C$4:$C$712,$A7),"")</f>
        <v/>
      </c>
      <c r="T7" s="35" t="str">
        <f aca="false">IFERROR(SUMIFS(VN_은행채발행!$W$4:$W$712,VN_은행채발행!$C$4:$C$712,$A7)/SUMIFS(VN_은행채발행!$I$4:$I$712,VN_은행채발행!$C$4:$C$712,$A7,VN_은행채발행!$V$4:$V$712,1),"")</f>
        <v/>
      </c>
      <c r="U7" s="37" t="str">
        <f aca="false">IFERROR(SUMIFS(VN_은행채발행!$X$4:$X$712,VN_은행채발행!$C$4:$C$712,$A7)/SUMIFS(VN_은행채발행!$Z$4:$Z$712,VN_은행채발행!$C$4:$C$712,$A7),"")</f>
        <v/>
      </c>
      <c r="V7" s="38" t="n">
        <f aca="false">LOOKUP($B7,정책금리_결정!$J$4:$J$49,정책금리_결정!$K$4:$K$49)</f>
        <v>0.09</v>
      </c>
      <c r="W7" s="38" t="str">
        <f aca="false">IFERROR(AVERAGEIFS(KZ_일별!$C$4:$C$1352,KZ_일별!$A$4:$A$1352,"&gt;="&amp;$A7,KZ_일별!$A$4:$A$1352,"&lt;="&amp;$B7),"")</f>
        <v/>
      </c>
      <c r="X7" s="38" t="str">
        <f aca="false">IFERROR(AVERAGEIFS(KZ_일별!$E$4:$E$1352,KZ_일별!$A$4:$A$1352,"&gt;="&amp;$A7,KZ_일별!$A$4:$A$1352,"&lt;="&amp;$B7),"")</f>
        <v/>
      </c>
      <c r="Y7" s="38" t="n">
        <f aca="false">IFERROR(AVERAGEIFS(KZ_일별!$F$4:$F$1352,KZ_일별!$A$4:$A$1352,"&gt;="&amp;$A7,KZ_일별!$A$4:$A$1352,"&lt;="&amp;$B7),"")</f>
        <v>0.106436842105263</v>
      </c>
      <c r="Z7" s="38" t="str">
        <f aca="false">IFERROR(AVERAGEIFS(KZ_일별!$G$4:$G$1352,KZ_일별!$A$4:$A$1352,"&gt;="&amp;$A7,KZ_일별!$A$4:$A$1352,"&lt;="&amp;$B7),"")</f>
        <v/>
      </c>
      <c r="AA7" s="39" t="str">
        <f aca="false">IF(OR(Y7="",W7=""),"",(Y7-W7)*10000)</f>
        <v/>
      </c>
      <c r="AB7" s="38" t="n">
        <f aca="false">IFERROR(AVERAGEIFS(KZ_일별!$H$4:$H$1352,KZ_일별!$A$4:$A$1352,"&gt;="&amp;$A7,KZ_일별!$A$4:$A$1352,"&lt;="&amp;$B7),"")</f>
        <v>0.0917421052631579</v>
      </c>
    </row>
    <row r="8" customFormat="false" ht="15" hidden="false" customHeight="false" outlineLevel="0" collapsed="false">
      <c r="A8" s="28" t="n">
        <v>44287</v>
      </c>
      <c r="B8" s="29" t="n">
        <f aca="false">EOMONTH(A8,0)</f>
        <v>44316</v>
      </c>
      <c r="C8" s="5" t="str">
        <f aca="false">YEAR(A8)&amp;"Q"&amp;ROUNDUP(MONTH(A8)/3,0)</f>
        <v>2021Q2</v>
      </c>
      <c r="D8" s="30" t="n">
        <f aca="false">YEAR(A8)</f>
        <v>2021</v>
      </c>
      <c r="E8" s="31" t="n">
        <f aca="false">LOOKUP($B8,정책금리_결정!$A$4:$A$70,정책금리_결정!$B$4:$B$70)</f>
        <v>-0.001</v>
      </c>
      <c r="F8" s="31" t="n">
        <f aca="false">IFERROR(AVERAGEIFS(JP_국채일별!$C$4:$C$1345,JP_국채일별!$A$4:$A$1345,"&gt;="&amp;$A8,JP_국채일별!$A$4:$A$1345,"&lt;="&amp;$B8),"")</f>
        <v>-0.00136238095238095</v>
      </c>
      <c r="G8" s="31" t="n">
        <f aca="false">IFERROR(AVERAGEIFS(JP_등급별회사채!$D$4:$D$158,JP_등급별회사채!$A$4:$A$158,"&gt;="&amp;$A8,JP_등급별회사채!$A$4:$A$158,"&lt;="&amp;$B8),"")</f>
        <v>0.0012475</v>
      </c>
      <c r="H8" s="31" t="n">
        <f aca="false">IFERROR(AVERAGEIFS(JP_등급별회사채!$B$4:$B$158,JP_등급별회사채!$A$4:$A$158,"&gt;="&amp;$A8,JP_등급별회사채!$A$4:$A$158,"&lt;="&amp;$B8),"")</f>
        <v>0.0008825</v>
      </c>
      <c r="I8" s="32" t="n">
        <f aca="false">IF(OR(G8="",F8=""),"",(G8-F8)*10000)</f>
        <v>26.0988095238095</v>
      </c>
      <c r="J8" s="33" t="n">
        <f aca="false">LOOKUP($B8,정책금리_결정!$D$4:$D$70,정책금리_결정!$E$4:$E$70)</f>
        <v>0.0385</v>
      </c>
      <c r="K8" s="33" t="n">
        <f aca="false">IFERROR(AVERAGEIFS(CN_일별!$B$4:$B$1372,CN_일별!$A$4:$A$1372,"&gt;="&amp;$A8,CN_일별!$A$4:$A$1372,"&lt;="&amp;$B8),"")</f>
        <v>0.0281498181818182</v>
      </c>
      <c r="L8" s="33" t="n">
        <f aca="false">IFERROR(AVERAGEIFS(CN_일별!$C$4:$C$1372,CN_일별!$A$4:$A$1372,"&gt;="&amp;$A8,CN_일별!$A$4:$A$1372,"&lt;="&amp;$B8),"")</f>
        <v>0.0336206363636364</v>
      </c>
      <c r="M8" s="33" t="n">
        <f aca="false">IFERROR(AVERAGEIFS(CN_일별!$D$4:$D$1372,CN_일별!$A$4:$A$1372,"&gt;="&amp;$A8,CN_일별!$A$4:$A$1372,"&lt;="&amp;$B8),"")</f>
        <v>0.0351723181818182</v>
      </c>
      <c r="N8" s="34" t="n">
        <f aca="false">IF(OR(L8="",K8=""),"",(L8-K8)*10000)</f>
        <v>54.7081818181819</v>
      </c>
      <c r="O8" s="35" t="n">
        <f aca="false">LOOKUP($B8,정책금리_결정!$G$4:$G$9,정책금리_결정!$H$4:$H$9)</f>
        <v>0.04</v>
      </c>
      <c r="P8" s="35" t="n">
        <f aca="false">IFERROR(AVERAGEIFS(VN_국채일별!$D$4:$D$1436,VN_국채일별!$A$4:$A$1436,"&gt;="&amp;$A8,VN_국채일별!$A$4:$A$1436,"&lt;="&amp;$B8),"")</f>
        <v>0.00624954545454546</v>
      </c>
      <c r="Q8" s="35" t="str">
        <f aca="false">IFERROR(SUMIFS(VN_은행채발행!$T$4:$T$712,VN_은행채발행!$C$4:$C$712,$A8)/SUMIFS(VN_은행채발행!$I$4:$I$712,VN_은행채발행!$C$4:$C$712,$A8,VN_은행채발행!$S$4:$S$712,1),"")</f>
        <v/>
      </c>
      <c r="R8" s="36" t="n">
        <f aca="false">COUNTIFS(VN_은행채발행!$C$4:$C$712,$A8,VN_은행채발행!$S$4:$S$712,1)</f>
        <v>0</v>
      </c>
      <c r="S8" s="37" t="str">
        <f aca="false">IFERROR(SUMIFS(VN_은행채발행!$U$4:$U$712,VN_은행채발행!$C$4:$C$712,$A8)/SUMIFS(VN_은행채발행!$Y$4:$Y$712,VN_은행채발행!$C$4:$C$712,$A8),"")</f>
        <v/>
      </c>
      <c r="T8" s="35" t="str">
        <f aca="false">IFERROR(SUMIFS(VN_은행채발행!$W$4:$W$712,VN_은행채발행!$C$4:$C$712,$A8)/SUMIFS(VN_은행채발행!$I$4:$I$712,VN_은행채발행!$C$4:$C$712,$A8,VN_은행채발행!$V$4:$V$712,1),"")</f>
        <v/>
      </c>
      <c r="U8" s="37" t="str">
        <f aca="false">IFERROR(SUMIFS(VN_은행채발행!$X$4:$X$712,VN_은행채발행!$C$4:$C$712,$A8)/SUMIFS(VN_은행채발행!$Z$4:$Z$712,VN_은행채발행!$C$4:$C$712,$A8),"")</f>
        <v/>
      </c>
      <c r="V8" s="38" t="n">
        <f aca="false">LOOKUP($B8,정책금리_결정!$J$4:$J$49,정책금리_결정!$K$4:$K$49)</f>
        <v>0.09</v>
      </c>
      <c r="W8" s="38" t="str">
        <f aca="false">IFERROR(AVERAGEIFS(KZ_일별!$C$4:$C$1352,KZ_일별!$A$4:$A$1352,"&gt;="&amp;$A8,KZ_일별!$A$4:$A$1352,"&lt;="&amp;$B8),"")</f>
        <v/>
      </c>
      <c r="X8" s="38" t="str">
        <f aca="false">IFERROR(AVERAGEIFS(KZ_일별!$E$4:$E$1352,KZ_일별!$A$4:$A$1352,"&gt;="&amp;$A8,KZ_일별!$A$4:$A$1352,"&lt;="&amp;$B8),"")</f>
        <v/>
      </c>
      <c r="Y8" s="38" t="n">
        <f aca="false">IFERROR(AVERAGEIFS(KZ_일별!$F$4:$F$1352,KZ_일별!$A$4:$A$1352,"&gt;="&amp;$A8,KZ_일별!$A$4:$A$1352,"&lt;="&amp;$B8),"")</f>
        <v>0.106209090909091</v>
      </c>
      <c r="Z8" s="38" t="str">
        <f aca="false">IFERROR(AVERAGEIFS(KZ_일별!$G$4:$G$1352,KZ_일별!$A$4:$A$1352,"&gt;="&amp;$A8,KZ_일별!$A$4:$A$1352,"&lt;="&amp;$B8),"")</f>
        <v/>
      </c>
      <c r="AA8" s="39" t="str">
        <f aca="false">IF(OR(Y8="",W8=""),"",(Y8-W8)*10000)</f>
        <v/>
      </c>
      <c r="AB8" s="38" t="n">
        <f aca="false">IFERROR(AVERAGEIFS(KZ_일별!$H$4:$H$1352,KZ_일별!$A$4:$A$1352,"&gt;="&amp;$A8,KZ_일별!$A$4:$A$1352,"&lt;="&amp;$B8),"")</f>
        <v>0.0869681818181818</v>
      </c>
    </row>
    <row r="9" customFormat="false" ht="15" hidden="false" customHeight="false" outlineLevel="0" collapsed="false">
      <c r="A9" s="28" t="n">
        <v>44317</v>
      </c>
      <c r="B9" s="29" t="n">
        <f aca="false">EOMONTH(A9,0)</f>
        <v>44347</v>
      </c>
      <c r="C9" s="5" t="str">
        <f aca="false">YEAR(A9)&amp;"Q"&amp;ROUNDUP(MONTH(A9)/3,0)</f>
        <v>2021Q2</v>
      </c>
      <c r="D9" s="30" t="n">
        <f aca="false">YEAR(A9)</f>
        <v>2021</v>
      </c>
      <c r="E9" s="31" t="n">
        <f aca="false">LOOKUP($B9,정책금리_결정!$A$4:$A$70,정책금리_결정!$B$4:$B$70)</f>
        <v>-0.001</v>
      </c>
      <c r="F9" s="31" t="n">
        <f aca="false">IFERROR(AVERAGEIFS(JP_국채일별!$C$4:$C$1345,JP_국채일별!$A$4:$A$1345,"&gt;="&amp;$A9,JP_국채일별!$A$4:$A$1345,"&lt;="&amp;$B9),"")</f>
        <v>-0.001345</v>
      </c>
      <c r="G9" s="31" t="n">
        <f aca="false">IFERROR(AVERAGEIFS(JP_등급별회사채!$D$4:$D$158,JP_등급별회사채!$A$4:$A$158,"&gt;="&amp;$A9,JP_등급별회사채!$A$4:$A$158,"&lt;="&amp;$B9),"")</f>
        <v>0.001245</v>
      </c>
      <c r="H9" s="31" t="n">
        <f aca="false">IFERROR(AVERAGEIFS(JP_등급별회사채!$B$4:$B$158,JP_등급별회사채!$A$4:$A$158,"&gt;="&amp;$A9,JP_등급별회사채!$A$4:$A$158,"&lt;="&amp;$B9),"")</f>
        <v>0.0008125</v>
      </c>
      <c r="I9" s="32" t="n">
        <f aca="false">IF(OR(G9="",F9=""),"",(G9-F9)*10000)</f>
        <v>25.9</v>
      </c>
      <c r="J9" s="33" t="n">
        <f aca="false">LOOKUP($B9,정책금리_결정!$D$4:$D$70,정책금리_결정!$E$4:$E$70)</f>
        <v>0.0385</v>
      </c>
      <c r="K9" s="33" t="n">
        <f aca="false">IFERROR(AVERAGEIFS(CN_일별!$B$4:$B$1372,CN_일별!$A$4:$A$1372,"&gt;="&amp;$A9,CN_일별!$A$4:$A$1372,"&lt;="&amp;$B9),"")</f>
        <v>0.0274203157894737</v>
      </c>
      <c r="L9" s="33" t="n">
        <f aca="false">IFERROR(AVERAGEIFS(CN_일별!$C$4:$C$1372,CN_일별!$A$4:$A$1372,"&gt;="&amp;$A9,CN_일별!$A$4:$A$1372,"&lt;="&amp;$B9),"")</f>
        <v>0.0322636842105263</v>
      </c>
      <c r="M9" s="33" t="n">
        <f aca="false">IFERROR(AVERAGEIFS(CN_일별!$D$4:$D$1372,CN_일별!$A$4:$A$1372,"&gt;="&amp;$A9,CN_일별!$A$4:$A$1372,"&lt;="&amp;$B9),"")</f>
        <v>0.0342294210526316</v>
      </c>
      <c r="N9" s="34" t="n">
        <f aca="false">IF(OR(L9="",K9=""),"",(L9-K9)*10000)</f>
        <v>48.4336842105263</v>
      </c>
      <c r="O9" s="35" t="n">
        <f aca="false">LOOKUP($B9,정책금리_결정!$G$4:$G$9,정책금리_결정!$H$4:$H$9)</f>
        <v>0.04</v>
      </c>
      <c r="P9" s="35" t="n">
        <f aca="false">IFERROR(AVERAGEIFS(VN_국채일별!$D$4:$D$1436,VN_국채일별!$A$4:$A$1436,"&gt;="&amp;$A9,VN_국채일별!$A$4:$A$1436,"&lt;="&amp;$B9),"")</f>
        <v>0.00741238095238095</v>
      </c>
      <c r="Q9" s="35" t="str">
        <f aca="false">IFERROR(SUMIFS(VN_은행채발행!$T$4:$T$712,VN_은행채발행!$C$4:$C$712,$A9)/SUMIFS(VN_은행채발행!$I$4:$I$712,VN_은행채발행!$C$4:$C$712,$A9,VN_은행채발행!$S$4:$S$712,1),"")</f>
        <v/>
      </c>
      <c r="R9" s="36" t="n">
        <f aca="false">COUNTIFS(VN_은행채발행!$C$4:$C$712,$A9,VN_은행채발행!$S$4:$S$712,1)</f>
        <v>0</v>
      </c>
      <c r="S9" s="37" t="str">
        <f aca="false">IFERROR(SUMIFS(VN_은행채발행!$U$4:$U$712,VN_은행채발행!$C$4:$C$712,$A9)/SUMIFS(VN_은행채발행!$Y$4:$Y$712,VN_은행채발행!$C$4:$C$712,$A9),"")</f>
        <v/>
      </c>
      <c r="T9" s="35" t="str">
        <f aca="false">IFERROR(SUMIFS(VN_은행채발행!$W$4:$W$712,VN_은행채발행!$C$4:$C$712,$A9)/SUMIFS(VN_은행채발행!$I$4:$I$712,VN_은행채발행!$C$4:$C$712,$A9,VN_은행채발행!$V$4:$V$712,1),"")</f>
        <v/>
      </c>
      <c r="U9" s="37" t="str">
        <f aca="false">IFERROR(SUMIFS(VN_은행채발행!$X$4:$X$712,VN_은행채발행!$C$4:$C$712,$A9)/SUMIFS(VN_은행채발행!$Z$4:$Z$712,VN_은행채발행!$C$4:$C$712,$A9),"")</f>
        <v/>
      </c>
      <c r="V9" s="38" t="n">
        <f aca="false">LOOKUP($B9,정책금리_결정!$J$4:$J$49,정책금리_결정!$K$4:$K$49)</f>
        <v>0.09</v>
      </c>
      <c r="W9" s="38" t="str">
        <f aca="false">IFERROR(AVERAGEIFS(KZ_일별!$C$4:$C$1352,KZ_일별!$A$4:$A$1352,"&gt;="&amp;$A9,KZ_일별!$A$4:$A$1352,"&lt;="&amp;$B9),"")</f>
        <v/>
      </c>
      <c r="X9" s="38" t="str">
        <f aca="false">IFERROR(AVERAGEIFS(KZ_일별!$E$4:$E$1352,KZ_일별!$A$4:$A$1352,"&gt;="&amp;$A9,KZ_일별!$A$4:$A$1352,"&lt;="&amp;$B9),"")</f>
        <v/>
      </c>
      <c r="Y9" s="38" t="n">
        <f aca="false">IFERROR(AVERAGEIFS(KZ_일별!$F$4:$F$1352,KZ_일별!$A$4:$A$1352,"&gt;="&amp;$A9,KZ_일별!$A$4:$A$1352,"&lt;="&amp;$B9),"")</f>
        <v>0.105572222222222</v>
      </c>
      <c r="Z9" s="38" t="str">
        <f aca="false">IFERROR(AVERAGEIFS(KZ_일별!$G$4:$G$1352,KZ_일별!$A$4:$A$1352,"&gt;="&amp;$A9,KZ_일별!$A$4:$A$1352,"&lt;="&amp;$B9),"")</f>
        <v/>
      </c>
      <c r="AA9" s="39" t="str">
        <f aca="false">IF(OR(Y9="",W9=""),"",(Y9-W9)*10000)</f>
        <v/>
      </c>
      <c r="AB9" s="38" t="n">
        <f aca="false">IFERROR(AVERAGEIFS(KZ_일별!$H$4:$H$1352,KZ_일별!$A$4:$A$1352,"&gt;="&amp;$A9,KZ_일별!$A$4:$A$1352,"&lt;="&amp;$B9),"")</f>
        <v>0.0811722222222222</v>
      </c>
    </row>
    <row r="10" customFormat="false" ht="15" hidden="false" customHeight="false" outlineLevel="0" collapsed="false">
      <c r="A10" s="28" t="n">
        <v>44348</v>
      </c>
      <c r="B10" s="29" t="n">
        <f aca="false">EOMONTH(A10,0)</f>
        <v>44377</v>
      </c>
      <c r="C10" s="5" t="str">
        <f aca="false">YEAR(A10)&amp;"Q"&amp;ROUNDUP(MONTH(A10)/3,0)</f>
        <v>2021Q2</v>
      </c>
      <c r="D10" s="30" t="n">
        <f aca="false">YEAR(A10)</f>
        <v>2021</v>
      </c>
      <c r="E10" s="31" t="n">
        <f aca="false">LOOKUP($B10,정책금리_결정!$A$4:$A$70,정책금리_결정!$B$4:$B$70)</f>
        <v>-0.001</v>
      </c>
      <c r="F10" s="31" t="n">
        <f aca="false">IFERROR(AVERAGEIFS(JP_국채일별!$C$4:$C$1345,JP_국채일별!$A$4:$A$1345,"&gt;="&amp;$A10,JP_국채일별!$A$4:$A$1345,"&lt;="&amp;$B10),"")</f>
        <v>-0.00130272727272727</v>
      </c>
      <c r="G10" s="31" t="n">
        <f aca="false">IFERROR(AVERAGEIFS(JP_등급별회사채!$D$4:$D$158,JP_등급별회사채!$A$4:$A$158,"&gt;="&amp;$A10,JP_등급별회사채!$A$4:$A$158,"&lt;="&amp;$B10),"")</f>
        <v>0.0011775</v>
      </c>
      <c r="H10" s="31" t="n">
        <f aca="false">IFERROR(AVERAGEIFS(JP_등급별회사채!$B$4:$B$158,JP_등급별회사채!$A$4:$A$158,"&gt;="&amp;$A10,JP_등급별회사채!$A$4:$A$158,"&lt;="&amp;$B10),"")</f>
        <v>0.00071</v>
      </c>
      <c r="I10" s="32" t="n">
        <f aca="false">IF(OR(G10="",F10=""),"",(G10-F10)*10000)</f>
        <v>24.8022727272727</v>
      </c>
      <c r="J10" s="33" t="n">
        <f aca="false">LOOKUP($B10,정책금리_결정!$D$4:$D$70,정책금리_결정!$E$4:$E$70)</f>
        <v>0.0385</v>
      </c>
      <c r="K10" s="33" t="n">
        <f aca="false">IFERROR(AVERAGEIFS(CN_일별!$B$4:$B$1372,CN_일별!$A$4:$A$1372,"&gt;="&amp;$A10,CN_일별!$A$4:$A$1372,"&lt;="&amp;$B10),"")</f>
        <v>0.0280866666666667</v>
      </c>
      <c r="L10" s="33" t="n">
        <f aca="false">IFERROR(AVERAGEIFS(CN_일별!$C$4:$C$1372,CN_일별!$A$4:$A$1372,"&gt;="&amp;$A10,CN_일별!$A$4:$A$1372,"&lt;="&amp;$B10),"")</f>
        <v>0.0322512380952381</v>
      </c>
      <c r="M10" s="33" t="n">
        <f aca="false">IFERROR(AVERAGEIFS(CN_일별!$D$4:$D$1372,CN_일별!$A$4:$A$1372,"&gt;="&amp;$A10,CN_일별!$A$4:$A$1372,"&lt;="&amp;$B10),"")</f>
        <v>0.0344378571428571</v>
      </c>
      <c r="N10" s="34" t="n">
        <f aca="false">IF(OR(L10="",K10=""),"",(L10-K10)*10000)</f>
        <v>41.6457142857143</v>
      </c>
      <c r="O10" s="35" t="n">
        <f aca="false">LOOKUP($B10,정책금리_결정!$G$4:$G$9,정책금리_결정!$H$4:$H$9)</f>
        <v>0.04</v>
      </c>
      <c r="P10" s="35" t="n">
        <f aca="false">IFERROR(AVERAGEIFS(VN_국채일별!$D$4:$D$1436,VN_국채일별!$A$4:$A$1436,"&gt;="&amp;$A10,VN_국채일별!$A$4:$A$1436,"&lt;="&amp;$B10),"")</f>
        <v>0.00811590909090909</v>
      </c>
      <c r="Q10" s="35" t="str">
        <f aca="false">IFERROR(SUMIFS(VN_은행채발행!$T$4:$T$712,VN_은행채발행!$C$4:$C$712,$A10)/SUMIFS(VN_은행채발행!$I$4:$I$712,VN_은행채발행!$C$4:$C$712,$A10,VN_은행채발행!$S$4:$S$712,1),"")</f>
        <v/>
      </c>
      <c r="R10" s="36" t="n">
        <f aca="false">COUNTIFS(VN_은행채발행!$C$4:$C$712,$A10,VN_은행채발행!$S$4:$S$712,1)</f>
        <v>0</v>
      </c>
      <c r="S10" s="37" t="str">
        <f aca="false">IFERROR(SUMIFS(VN_은행채발행!$U$4:$U$712,VN_은행채발행!$C$4:$C$712,$A10)/SUMIFS(VN_은행채발행!$Y$4:$Y$712,VN_은행채발행!$C$4:$C$712,$A10),"")</f>
        <v/>
      </c>
      <c r="T10" s="35" t="str">
        <f aca="false">IFERROR(SUMIFS(VN_은행채발행!$W$4:$W$712,VN_은행채발행!$C$4:$C$712,$A10)/SUMIFS(VN_은행채발행!$I$4:$I$712,VN_은행채발행!$C$4:$C$712,$A10,VN_은행채발행!$V$4:$V$712,1),"")</f>
        <v/>
      </c>
      <c r="U10" s="37" t="str">
        <f aca="false">IFERROR(SUMIFS(VN_은행채발행!$X$4:$X$712,VN_은행채발행!$C$4:$C$712,$A10)/SUMIFS(VN_은행채발행!$Z$4:$Z$712,VN_은행채발행!$C$4:$C$712,$A10),"")</f>
        <v/>
      </c>
      <c r="V10" s="38" t="n">
        <f aca="false">LOOKUP($B10,정책금리_결정!$J$4:$J$49,정책금리_결정!$K$4:$K$49)</f>
        <v>0.09</v>
      </c>
      <c r="W10" s="38" t="str">
        <f aca="false">IFERROR(AVERAGEIFS(KZ_일별!$C$4:$C$1352,KZ_일별!$A$4:$A$1352,"&gt;="&amp;$A10,KZ_일별!$A$4:$A$1352,"&lt;="&amp;$B10),"")</f>
        <v/>
      </c>
      <c r="X10" s="38" t="str">
        <f aca="false">IFERROR(AVERAGEIFS(KZ_일별!$E$4:$E$1352,KZ_일별!$A$4:$A$1352,"&gt;="&amp;$A10,KZ_일별!$A$4:$A$1352,"&lt;="&amp;$B10),"")</f>
        <v/>
      </c>
      <c r="Y10" s="38" t="n">
        <f aca="false">IFERROR(AVERAGEIFS(KZ_일별!$F$4:$F$1352,KZ_일별!$A$4:$A$1352,"&gt;="&amp;$A10,KZ_일별!$A$4:$A$1352,"&lt;="&amp;$B10),"")</f>
        <v>0.105218181818182</v>
      </c>
      <c r="Z10" s="38" t="str">
        <f aca="false">IFERROR(AVERAGEIFS(KZ_일별!$G$4:$G$1352,KZ_일별!$A$4:$A$1352,"&gt;="&amp;$A10,KZ_일별!$A$4:$A$1352,"&lt;="&amp;$B10),"")</f>
        <v/>
      </c>
      <c r="AA10" s="39" t="str">
        <f aca="false">IF(OR(Y10="",W10=""),"",(Y10-W10)*10000)</f>
        <v/>
      </c>
      <c r="AB10" s="38" t="n">
        <f aca="false">IFERROR(AVERAGEIFS(KZ_일별!$H$4:$H$1352,KZ_일별!$A$4:$A$1352,"&gt;="&amp;$A10,KZ_일별!$A$4:$A$1352,"&lt;="&amp;$B10),"")</f>
        <v>0.0834136363636364</v>
      </c>
    </row>
    <row r="11" customFormat="false" ht="15" hidden="false" customHeight="false" outlineLevel="0" collapsed="false">
      <c r="A11" s="28" t="n">
        <v>44378</v>
      </c>
      <c r="B11" s="29" t="n">
        <f aca="false">EOMONTH(A11,0)</f>
        <v>44408</v>
      </c>
      <c r="C11" s="5" t="str">
        <f aca="false">YEAR(A11)&amp;"Q"&amp;ROUNDUP(MONTH(A11)/3,0)</f>
        <v>2021Q3</v>
      </c>
      <c r="D11" s="30" t="n">
        <f aca="false">YEAR(A11)</f>
        <v>2021</v>
      </c>
      <c r="E11" s="31" t="n">
        <f aca="false">LOOKUP($B11,정책금리_결정!$A$4:$A$70,정책금리_결정!$B$4:$B$70)</f>
        <v>-0.001</v>
      </c>
      <c r="F11" s="31" t="n">
        <f aca="false">IFERROR(AVERAGEIFS(JP_국채일별!$C$4:$C$1345,JP_국채일별!$A$4:$A$1345,"&gt;="&amp;$A11,JP_국채일별!$A$4:$A$1345,"&lt;="&amp;$B11),"")</f>
        <v>-0.0013825</v>
      </c>
      <c r="G11" s="31" t="n">
        <f aca="false">IFERROR(AVERAGEIFS(JP_등급별회사채!$D$4:$D$158,JP_등급별회사채!$A$4:$A$158,"&gt;="&amp;$A11,JP_등급별회사채!$A$4:$A$158,"&lt;="&amp;$B11),"")</f>
        <v>0.00106</v>
      </c>
      <c r="H11" s="31" t="n">
        <f aca="false">IFERROR(AVERAGEIFS(JP_등급별회사채!$B$4:$B$158,JP_등급별회사채!$A$4:$A$158,"&gt;="&amp;$A11,JP_등급별회사채!$A$4:$A$158,"&lt;="&amp;$B11),"")</f>
        <v>0.0006375</v>
      </c>
      <c r="I11" s="32" t="n">
        <f aca="false">IF(OR(G11="",F11=""),"",(G11-F11)*10000)</f>
        <v>24.425</v>
      </c>
      <c r="J11" s="33" t="n">
        <f aca="false">LOOKUP($B11,정책금리_결정!$D$4:$D$70,정책금리_결정!$E$4:$E$70)</f>
        <v>0.0385</v>
      </c>
      <c r="K11" s="33" t="n">
        <f aca="false">IFERROR(AVERAGEIFS(CN_일별!$B$4:$B$1372,CN_일별!$A$4:$A$1372,"&gt;="&amp;$A11,CN_일별!$A$4:$A$1372,"&lt;="&amp;$B11),"")</f>
        <v>0.0264999090909091</v>
      </c>
      <c r="L11" s="33" t="n">
        <f aca="false">IFERROR(AVERAGEIFS(CN_일별!$C$4:$C$1372,CN_일별!$A$4:$A$1372,"&gt;="&amp;$A11,CN_일별!$A$4:$A$1372,"&lt;="&amp;$B11),"")</f>
        <v>0.0301363636363636</v>
      </c>
      <c r="M11" s="33" t="n">
        <f aca="false">IFERROR(AVERAGEIFS(CN_일별!$D$4:$D$1372,CN_일별!$A$4:$A$1372,"&gt;="&amp;$A11,CN_일별!$A$4:$A$1372,"&lt;="&amp;$B11),"")</f>
        <v>0.0320588181818182</v>
      </c>
      <c r="N11" s="34" t="n">
        <f aca="false">IF(OR(L11="",K11=""),"",(L11-K11)*10000)</f>
        <v>36.3645454545455</v>
      </c>
      <c r="O11" s="35" t="n">
        <f aca="false">LOOKUP($B11,정책금리_결정!$G$4:$G$9,정책금리_결정!$H$4:$H$9)</f>
        <v>0.04</v>
      </c>
      <c r="P11" s="35" t="n">
        <f aca="false">IFERROR(AVERAGEIFS(VN_국채일별!$D$4:$D$1436,VN_국채일별!$A$4:$A$1436,"&gt;="&amp;$A11,VN_국채일별!$A$4:$A$1436,"&lt;="&amp;$B11),"")</f>
        <v>0.00781818181818182</v>
      </c>
      <c r="Q11" s="35" t="str">
        <f aca="false">IFERROR(SUMIFS(VN_은행채발행!$T$4:$T$712,VN_은행채발행!$C$4:$C$712,$A11)/SUMIFS(VN_은행채발행!$I$4:$I$712,VN_은행채발행!$C$4:$C$712,$A11,VN_은행채발행!$S$4:$S$712,1),"")</f>
        <v/>
      </c>
      <c r="R11" s="36" t="n">
        <f aca="false">COUNTIFS(VN_은행채발행!$C$4:$C$712,$A11,VN_은행채발행!$S$4:$S$712,1)</f>
        <v>0</v>
      </c>
      <c r="S11" s="37" t="str">
        <f aca="false">IFERROR(SUMIFS(VN_은행채발행!$U$4:$U$712,VN_은행채발행!$C$4:$C$712,$A11)/SUMIFS(VN_은행채발행!$Y$4:$Y$712,VN_은행채발행!$C$4:$C$712,$A11),"")</f>
        <v/>
      </c>
      <c r="T11" s="35" t="str">
        <f aca="false">IFERROR(SUMIFS(VN_은행채발행!$W$4:$W$712,VN_은행채발행!$C$4:$C$712,$A11)/SUMIFS(VN_은행채발행!$I$4:$I$712,VN_은행채발행!$C$4:$C$712,$A11,VN_은행채발행!$V$4:$V$712,1),"")</f>
        <v/>
      </c>
      <c r="U11" s="37" t="str">
        <f aca="false">IFERROR(SUMIFS(VN_은행채발행!$X$4:$X$712,VN_은행채발행!$C$4:$C$712,$A11)/SUMIFS(VN_은행채발행!$Z$4:$Z$712,VN_은행채발행!$C$4:$C$712,$A11),"")</f>
        <v/>
      </c>
      <c r="V11" s="38" t="n">
        <f aca="false">LOOKUP($B11,정책금리_결정!$J$4:$J$49,정책금리_결정!$K$4:$K$49)</f>
        <v>0.0925</v>
      </c>
      <c r="W11" s="38" t="str">
        <f aca="false">IFERROR(AVERAGEIFS(KZ_일별!$C$4:$C$1352,KZ_일별!$A$4:$A$1352,"&gt;="&amp;$A11,KZ_일별!$A$4:$A$1352,"&lt;="&amp;$B11),"")</f>
        <v/>
      </c>
      <c r="X11" s="38" t="str">
        <f aca="false">IFERROR(AVERAGEIFS(KZ_일별!$E$4:$E$1352,KZ_일별!$A$4:$A$1352,"&gt;="&amp;$A11,KZ_일별!$A$4:$A$1352,"&lt;="&amp;$B11),"")</f>
        <v/>
      </c>
      <c r="Y11" s="38" t="n">
        <f aca="false">IFERROR(AVERAGEIFS(KZ_일별!$F$4:$F$1352,KZ_일별!$A$4:$A$1352,"&gt;="&amp;$A11,KZ_일별!$A$4:$A$1352,"&lt;="&amp;$B11),"")</f>
        <v>0.10438</v>
      </c>
      <c r="Z11" s="38" t="str">
        <f aca="false">IFERROR(AVERAGEIFS(KZ_일별!$G$4:$G$1352,KZ_일별!$A$4:$A$1352,"&gt;="&amp;$A11,KZ_일별!$A$4:$A$1352,"&lt;="&amp;$B11),"")</f>
        <v/>
      </c>
      <c r="AA11" s="39" t="str">
        <f aca="false">IF(OR(Y11="",W11=""),"",(Y11-W11)*10000)</f>
        <v/>
      </c>
      <c r="AB11" s="38" t="n">
        <f aca="false">IFERROR(AVERAGEIFS(KZ_일별!$H$4:$H$1352,KZ_일별!$A$4:$A$1352,"&gt;="&amp;$A11,KZ_일별!$A$4:$A$1352,"&lt;="&amp;$B11),"")</f>
        <v>0.08439</v>
      </c>
    </row>
    <row r="12" customFormat="false" ht="15" hidden="false" customHeight="false" outlineLevel="0" collapsed="false">
      <c r="A12" s="28" t="n">
        <v>44409</v>
      </c>
      <c r="B12" s="29" t="n">
        <f aca="false">EOMONTH(A12,0)</f>
        <v>44439</v>
      </c>
      <c r="C12" s="5" t="str">
        <f aca="false">YEAR(A12)&amp;"Q"&amp;ROUNDUP(MONTH(A12)/3,0)</f>
        <v>2021Q3</v>
      </c>
      <c r="D12" s="30" t="n">
        <f aca="false">YEAR(A12)</f>
        <v>2021</v>
      </c>
      <c r="E12" s="31" t="n">
        <f aca="false">LOOKUP($B12,정책금리_결정!$A$4:$A$70,정책금리_결정!$B$4:$B$70)</f>
        <v>-0.001</v>
      </c>
      <c r="F12" s="31" t="n">
        <f aca="false">IFERROR(AVERAGEIFS(JP_국채일별!$C$4:$C$1345,JP_국채일별!$A$4:$A$1345,"&gt;="&amp;$A12,JP_국채일별!$A$4:$A$1345,"&lt;="&amp;$B12),"")</f>
        <v>-0.00136047619047619</v>
      </c>
      <c r="G12" s="31" t="n">
        <f aca="false">IFERROR(AVERAGEIFS(JP_등급별회사채!$D$4:$D$158,JP_등급별회사채!$A$4:$A$158,"&gt;="&amp;$A12,JP_등급별회사채!$A$4:$A$158,"&lt;="&amp;$B12),"")</f>
        <v>0.0010675</v>
      </c>
      <c r="H12" s="31" t="n">
        <f aca="false">IFERROR(AVERAGEIFS(JP_등급별회사채!$B$4:$B$158,JP_등급별회사채!$A$4:$A$158,"&gt;="&amp;$A12,JP_등급별회사채!$A$4:$A$158,"&lt;="&amp;$B12),"")</f>
        <v>0.000645</v>
      </c>
      <c r="I12" s="32" t="n">
        <f aca="false">IF(OR(G12="",F12=""),"",(G12-F12)*10000)</f>
        <v>24.2797619047619</v>
      </c>
      <c r="J12" s="33" t="n">
        <f aca="false">LOOKUP($B12,정책금리_결정!$D$4:$D$70,정책금리_결정!$E$4:$E$70)</f>
        <v>0.0385</v>
      </c>
      <c r="K12" s="33" t="n">
        <f aca="false">IFERROR(AVERAGEIFS(CN_일별!$B$4:$B$1372,CN_일별!$A$4:$A$1372,"&gt;="&amp;$A12,CN_일별!$A$4:$A$1372,"&lt;="&amp;$B12),"")</f>
        <v>0.0256897727272727</v>
      </c>
      <c r="L12" s="33" t="n">
        <f aca="false">IFERROR(AVERAGEIFS(CN_일별!$C$4:$C$1372,CN_일별!$A$4:$A$1372,"&gt;="&amp;$A12,CN_일별!$A$4:$A$1372,"&lt;="&amp;$B12),"")</f>
        <v>0.0292057727272727</v>
      </c>
      <c r="M12" s="33" t="n">
        <f aca="false">IFERROR(AVERAGEIFS(CN_일별!$D$4:$D$1372,CN_일별!$A$4:$A$1372,"&gt;="&amp;$A12,CN_일별!$A$4:$A$1372,"&lt;="&amp;$B12),"")</f>
        <v>0.0306484090909091</v>
      </c>
      <c r="N12" s="34" t="n">
        <f aca="false">IF(OR(L12="",K12=""),"",(L12-K12)*10000)</f>
        <v>35.16</v>
      </c>
      <c r="O12" s="35" t="n">
        <f aca="false">LOOKUP($B12,정책금리_결정!$G$4:$G$9,정책금리_결정!$H$4:$H$9)</f>
        <v>0.04</v>
      </c>
      <c r="P12" s="35" t="n">
        <f aca="false">IFERROR(AVERAGEIFS(VN_국채일별!$D$4:$D$1436,VN_국채일별!$A$4:$A$1436,"&gt;="&amp;$A12,VN_국채일별!$A$4:$A$1436,"&lt;="&amp;$B12),"")</f>
        <v>0.00690318181818182</v>
      </c>
      <c r="Q12" s="35" t="n">
        <f aca="false">IFERROR(SUMIFS(VN_은행채발행!$T$4:$T$712,VN_은행채발행!$C$4:$C$712,$A12)/SUMIFS(VN_은행채발행!$I$4:$I$712,VN_은행채발행!$C$4:$C$712,$A12,VN_은행채발행!$S$4:$S$712,1),"")</f>
        <v>0.0380269636576788</v>
      </c>
      <c r="R12" s="36" t="n">
        <f aca="false">COUNTIFS(VN_은행채발행!$C$4:$C$712,$A12,VN_은행채발행!$S$4:$S$712,1)</f>
        <v>10</v>
      </c>
      <c r="S12" s="37" t="n">
        <f aca="false">IFERROR(SUMIFS(VN_은행채발행!$U$4:$U$712,VN_은행채발행!$C$4:$C$712,$A12)/SUMIFS(VN_은행채발행!$Y$4:$Y$712,VN_은행채발행!$C$4:$C$712,$A12),"")</f>
        <v>314.391441969519</v>
      </c>
      <c r="T12" s="35" t="str">
        <f aca="false">IFERROR(SUMIFS(VN_은행채발행!$W$4:$W$712,VN_은행채발행!$C$4:$C$712,$A12)/SUMIFS(VN_은행채발행!$I$4:$I$712,VN_은행채발행!$C$4:$C$712,$A12,VN_은행채발행!$V$4:$V$712,1),"")</f>
        <v/>
      </c>
      <c r="U12" s="37" t="str">
        <f aca="false">IFERROR(SUMIFS(VN_은행채발행!$X$4:$X$712,VN_은행채발행!$C$4:$C$712,$A12)/SUMIFS(VN_은행채발행!$Z$4:$Z$712,VN_은행채발행!$C$4:$C$712,$A12),"")</f>
        <v/>
      </c>
      <c r="V12" s="38" t="n">
        <f aca="false">LOOKUP($B12,정책금리_결정!$J$4:$J$49,정책금리_결정!$K$4:$K$49)</f>
        <v>0.0925</v>
      </c>
      <c r="W12" s="38" t="str">
        <f aca="false">IFERROR(AVERAGEIFS(KZ_일별!$C$4:$C$1352,KZ_일별!$A$4:$A$1352,"&gt;="&amp;$A12,KZ_일별!$A$4:$A$1352,"&lt;="&amp;$B12),"")</f>
        <v/>
      </c>
      <c r="X12" s="38" t="str">
        <f aca="false">IFERROR(AVERAGEIFS(KZ_일별!$E$4:$E$1352,KZ_일별!$A$4:$A$1352,"&gt;="&amp;$A12,KZ_일별!$A$4:$A$1352,"&lt;="&amp;$B12),"")</f>
        <v/>
      </c>
      <c r="Y12" s="38" t="n">
        <f aca="false">IFERROR(AVERAGEIFS(KZ_일별!$F$4:$F$1352,KZ_일별!$A$4:$A$1352,"&gt;="&amp;$A12,KZ_일별!$A$4:$A$1352,"&lt;="&amp;$B12),"")</f>
        <v>0.102909523809524</v>
      </c>
      <c r="Z12" s="38" t="str">
        <f aca="false">IFERROR(AVERAGEIFS(KZ_일별!$G$4:$G$1352,KZ_일별!$A$4:$A$1352,"&gt;="&amp;$A12,KZ_일별!$A$4:$A$1352,"&lt;="&amp;$B12),"")</f>
        <v/>
      </c>
      <c r="AA12" s="39" t="str">
        <f aca="false">IF(OR(Y12="",W12=""),"",(Y12-W12)*10000)</f>
        <v/>
      </c>
      <c r="AB12" s="38" t="n">
        <f aca="false">IFERROR(AVERAGEIFS(KZ_일별!$H$4:$H$1352,KZ_일별!$A$4:$A$1352,"&gt;="&amp;$A12,KZ_일별!$A$4:$A$1352,"&lt;="&amp;$B12),"")</f>
        <v>0.0901238095238095</v>
      </c>
    </row>
    <row r="13" customFormat="false" ht="15" hidden="false" customHeight="false" outlineLevel="0" collapsed="false">
      <c r="A13" s="28" t="n">
        <v>44440</v>
      </c>
      <c r="B13" s="29" t="n">
        <f aca="false">EOMONTH(A13,0)</f>
        <v>44469</v>
      </c>
      <c r="C13" s="5" t="str">
        <f aca="false">YEAR(A13)&amp;"Q"&amp;ROUNDUP(MONTH(A13)/3,0)</f>
        <v>2021Q3</v>
      </c>
      <c r="D13" s="30" t="n">
        <f aca="false">YEAR(A13)</f>
        <v>2021</v>
      </c>
      <c r="E13" s="31" t="n">
        <f aca="false">LOOKUP($B13,정책금리_결정!$A$4:$A$70,정책금리_결정!$B$4:$B$70)</f>
        <v>-0.001</v>
      </c>
      <c r="F13" s="31" t="n">
        <f aca="false">IFERROR(AVERAGEIFS(JP_국채일별!$C$4:$C$1345,JP_국채일별!$A$4:$A$1345,"&gt;="&amp;$A13,JP_국채일별!$A$4:$A$1345,"&lt;="&amp;$B13),"")</f>
        <v>-0.001211</v>
      </c>
      <c r="G13" s="31" t="n">
        <f aca="false">IFERROR(AVERAGEIFS(JP_등급별회사채!$D$4:$D$158,JP_등급별회사채!$A$4:$A$158,"&gt;="&amp;$A13,JP_등급별회사채!$A$4:$A$158,"&lt;="&amp;$B13),"")</f>
        <v>0.001135</v>
      </c>
      <c r="H13" s="31" t="n">
        <f aca="false">IFERROR(AVERAGEIFS(JP_등급별회사채!$B$4:$B$158,JP_등급별회사채!$A$4:$A$158,"&gt;="&amp;$A13,JP_등급별회사채!$A$4:$A$158,"&lt;="&amp;$B13),"")</f>
        <v>0.0007575</v>
      </c>
      <c r="I13" s="32" t="n">
        <f aca="false">IF(OR(G13="",F13=""),"",(G13-F13)*10000)</f>
        <v>23.46</v>
      </c>
      <c r="J13" s="33" t="n">
        <f aca="false">LOOKUP($B13,정책금리_결정!$D$4:$D$70,정책금리_결정!$E$4:$E$70)</f>
        <v>0.0385</v>
      </c>
      <c r="K13" s="33" t="n">
        <f aca="false">IFERROR(AVERAGEIFS(CN_일별!$B$4:$B$1372,CN_일별!$A$4:$A$1372,"&gt;="&amp;$A13,CN_일별!$A$4:$A$1372,"&lt;="&amp;$B13),"")</f>
        <v>0.0255678181818182</v>
      </c>
      <c r="L13" s="33" t="n">
        <f aca="false">IFERROR(AVERAGEIFS(CN_일별!$C$4:$C$1372,CN_일별!$A$4:$A$1372,"&gt;="&amp;$A13,CN_일별!$A$4:$A$1372,"&lt;="&amp;$B13),"")</f>
        <v>0.0296400454545455</v>
      </c>
      <c r="M13" s="33" t="n">
        <f aca="false">IFERROR(AVERAGEIFS(CN_일별!$D$4:$D$1372,CN_일별!$A$4:$A$1372,"&gt;="&amp;$A13,CN_일별!$A$4:$A$1372,"&lt;="&amp;$B13),"")</f>
        <v>0.0311981818181818</v>
      </c>
      <c r="N13" s="34" t="n">
        <f aca="false">IF(OR(L13="",K13=""),"",(L13-K13)*10000)</f>
        <v>40.7222727272728</v>
      </c>
      <c r="O13" s="35" t="n">
        <f aca="false">LOOKUP($B13,정책금리_결정!$G$4:$G$9,정책금리_결정!$H$4:$H$9)</f>
        <v>0.04</v>
      </c>
      <c r="P13" s="35" t="n">
        <f aca="false">IFERROR(AVERAGEIFS(VN_국채일별!$D$4:$D$1436,VN_국채일별!$A$4:$A$1436,"&gt;="&amp;$A13,VN_국채일별!$A$4:$A$1436,"&lt;="&amp;$B13),"")</f>
        <v>0.00687590909090909</v>
      </c>
      <c r="Q13" s="35" t="str">
        <f aca="false">IFERROR(SUMIFS(VN_은행채발행!$T$4:$T$712,VN_은행채발행!$C$4:$C$712,$A13)/SUMIFS(VN_은행채발행!$I$4:$I$712,VN_은행채발행!$C$4:$C$712,$A13,VN_은행채발행!$S$4:$S$712,1),"")</f>
        <v/>
      </c>
      <c r="R13" s="36" t="n">
        <f aca="false">COUNTIFS(VN_은행채발행!$C$4:$C$712,$A13,VN_은행채발행!$S$4:$S$712,1)</f>
        <v>0</v>
      </c>
      <c r="S13" s="37" t="str">
        <f aca="false">IFERROR(SUMIFS(VN_은행채발행!$U$4:$U$712,VN_은행채발행!$C$4:$C$712,$A13)/SUMIFS(VN_은행채발행!$Y$4:$Y$712,VN_은행채발행!$C$4:$C$712,$A13),"")</f>
        <v/>
      </c>
      <c r="T13" s="35" t="str">
        <f aca="false">IFERROR(SUMIFS(VN_은행채발행!$W$4:$W$712,VN_은행채발행!$C$4:$C$712,$A13)/SUMIFS(VN_은행채발행!$I$4:$I$712,VN_은행채발행!$C$4:$C$712,$A13,VN_은행채발행!$V$4:$V$712,1),"")</f>
        <v/>
      </c>
      <c r="U13" s="37" t="str">
        <f aca="false">IFERROR(SUMIFS(VN_은행채발행!$X$4:$X$712,VN_은행채발행!$C$4:$C$712,$A13)/SUMIFS(VN_은행채발행!$Z$4:$Z$712,VN_은행채발행!$C$4:$C$712,$A13),"")</f>
        <v/>
      </c>
      <c r="V13" s="38" t="n">
        <f aca="false">LOOKUP($B13,정책금리_결정!$J$4:$J$49,정책금리_결정!$K$4:$K$49)</f>
        <v>0.095</v>
      </c>
      <c r="W13" s="38" t="str">
        <f aca="false">IFERROR(AVERAGEIFS(KZ_일별!$C$4:$C$1352,KZ_일별!$A$4:$A$1352,"&gt;="&amp;$A13,KZ_일별!$A$4:$A$1352,"&lt;="&amp;$B13),"")</f>
        <v/>
      </c>
      <c r="X13" s="38" t="str">
        <f aca="false">IFERROR(AVERAGEIFS(KZ_일별!$E$4:$E$1352,KZ_일별!$A$4:$A$1352,"&gt;="&amp;$A13,KZ_일별!$A$4:$A$1352,"&lt;="&amp;$B13),"")</f>
        <v/>
      </c>
      <c r="Y13" s="38" t="n">
        <f aca="false">IFERROR(AVERAGEIFS(KZ_일별!$F$4:$F$1352,KZ_일별!$A$4:$A$1352,"&gt;="&amp;$A13,KZ_일별!$A$4:$A$1352,"&lt;="&amp;$B13),"")</f>
        <v>0.102613636363636</v>
      </c>
      <c r="Z13" s="38" t="str">
        <f aca="false">IFERROR(AVERAGEIFS(KZ_일별!$G$4:$G$1352,KZ_일별!$A$4:$A$1352,"&gt;="&amp;$A13,KZ_일별!$A$4:$A$1352,"&lt;="&amp;$B13),"")</f>
        <v/>
      </c>
      <c r="AA13" s="39" t="str">
        <f aca="false">IF(OR(Y13="",W13=""),"",(Y13-W13)*10000)</f>
        <v/>
      </c>
      <c r="AB13" s="38" t="n">
        <f aca="false">IFERROR(AVERAGEIFS(KZ_일별!$H$4:$H$1352,KZ_일별!$A$4:$A$1352,"&gt;="&amp;$A13,KZ_일별!$A$4:$A$1352,"&lt;="&amp;$B13),"")</f>
        <v>0.0891954545454545</v>
      </c>
    </row>
    <row r="14" customFormat="false" ht="15" hidden="false" customHeight="false" outlineLevel="0" collapsed="false">
      <c r="A14" s="28" t="n">
        <v>44470</v>
      </c>
      <c r="B14" s="29" t="n">
        <f aca="false">EOMONTH(A14,0)</f>
        <v>44500</v>
      </c>
      <c r="C14" s="5" t="str">
        <f aca="false">YEAR(A14)&amp;"Q"&amp;ROUNDUP(MONTH(A14)/3,0)</f>
        <v>2021Q4</v>
      </c>
      <c r="D14" s="30" t="n">
        <f aca="false">YEAR(A14)</f>
        <v>2021</v>
      </c>
      <c r="E14" s="31" t="n">
        <f aca="false">LOOKUP($B14,정책금리_결정!$A$4:$A$70,정책금리_결정!$B$4:$B$70)</f>
        <v>-0.001</v>
      </c>
      <c r="F14" s="31" t="n">
        <f aca="false">IFERROR(AVERAGEIFS(JP_국채일별!$C$4:$C$1345,JP_국채일별!$A$4:$A$1345,"&gt;="&amp;$A14,JP_국채일별!$A$4:$A$1345,"&lt;="&amp;$B14),"")</f>
        <v>-0.0011052380952381</v>
      </c>
      <c r="G14" s="31" t="n">
        <f aca="false">IFERROR(AVERAGEIFS(JP_등급별회사채!$D$4:$D$158,JP_등급별회사채!$A$4:$A$158,"&gt;="&amp;$A14,JP_등급별회사채!$A$4:$A$158,"&lt;="&amp;$B14),"")</f>
        <v>0.0012325</v>
      </c>
      <c r="H14" s="31" t="n">
        <f aca="false">IFERROR(AVERAGEIFS(JP_등급별회사채!$B$4:$B$158,JP_등급별회사채!$A$4:$A$158,"&gt;="&amp;$A14,JP_등급별회사채!$A$4:$A$158,"&lt;="&amp;$B14),"")</f>
        <v>0.0008975</v>
      </c>
      <c r="I14" s="32" t="n">
        <f aca="false">IF(OR(G14="",F14=""),"",(G14-F14)*10000)</f>
        <v>23.377380952381</v>
      </c>
      <c r="J14" s="33" t="n">
        <f aca="false">LOOKUP($B14,정책금리_결정!$D$4:$D$70,정책금리_결정!$E$4:$E$70)</f>
        <v>0.0385</v>
      </c>
      <c r="K14" s="33" t="n">
        <f aca="false">IFERROR(AVERAGEIFS(CN_일별!$B$4:$B$1372,CN_일별!$A$4:$A$1372,"&gt;="&amp;$A14,CN_일별!$A$4:$A$1372,"&lt;="&amp;$B14),"")</f>
        <v>0.0264599411764706</v>
      </c>
      <c r="L14" s="33" t="n">
        <f aca="false">IFERROR(AVERAGEIFS(CN_일별!$C$4:$C$1372,CN_일별!$A$4:$A$1372,"&gt;="&amp;$A14,CN_일별!$A$4:$A$1372,"&lt;="&amp;$B14),"")</f>
        <v>0.0305995882352941</v>
      </c>
      <c r="M14" s="33" t="n">
        <f aca="false">IFERROR(AVERAGEIFS(CN_일별!$D$4:$D$1372,CN_일별!$A$4:$A$1372,"&gt;="&amp;$A14,CN_일별!$A$4:$A$1372,"&lt;="&amp;$B14),"")</f>
        <v>0.0326430588235294</v>
      </c>
      <c r="N14" s="34" t="n">
        <f aca="false">IF(OR(L14="",K14=""),"",(L14-K14)*10000)</f>
        <v>41.3964705882353</v>
      </c>
      <c r="O14" s="35" t="n">
        <f aca="false">LOOKUP($B14,정책금리_결정!$G$4:$G$9,정책금리_결정!$H$4:$H$9)</f>
        <v>0.04</v>
      </c>
      <c r="P14" s="35" t="n">
        <f aca="false">IFERROR(AVERAGEIFS(VN_국채일별!$D$4:$D$1436,VN_국채일별!$A$4:$A$1436,"&gt;="&amp;$A14,VN_국채일별!$A$4:$A$1436,"&lt;="&amp;$B14),"")</f>
        <v>0.00740380952380952</v>
      </c>
      <c r="Q14" s="35" t="str">
        <f aca="false">IFERROR(SUMIFS(VN_은행채발행!$T$4:$T$712,VN_은행채발행!$C$4:$C$712,$A14)/SUMIFS(VN_은행채발행!$I$4:$I$712,VN_은행채발행!$C$4:$C$712,$A14,VN_은행채발행!$S$4:$S$712,1),"")</f>
        <v/>
      </c>
      <c r="R14" s="36" t="n">
        <f aca="false">COUNTIFS(VN_은행채발행!$C$4:$C$712,$A14,VN_은행채발행!$S$4:$S$712,1)</f>
        <v>0</v>
      </c>
      <c r="S14" s="37" t="str">
        <f aca="false">IFERROR(SUMIFS(VN_은행채발행!$U$4:$U$712,VN_은행채발행!$C$4:$C$712,$A14)/SUMIFS(VN_은행채발행!$Y$4:$Y$712,VN_은행채발행!$C$4:$C$712,$A14),"")</f>
        <v/>
      </c>
      <c r="T14" s="35" t="str">
        <f aca="false">IFERROR(SUMIFS(VN_은행채발행!$W$4:$W$712,VN_은행채발행!$C$4:$C$712,$A14)/SUMIFS(VN_은행채발행!$I$4:$I$712,VN_은행채발행!$C$4:$C$712,$A14,VN_은행채발행!$V$4:$V$712,1),"")</f>
        <v/>
      </c>
      <c r="U14" s="37" t="str">
        <f aca="false">IFERROR(SUMIFS(VN_은행채발행!$X$4:$X$712,VN_은행채발행!$C$4:$C$712,$A14)/SUMIFS(VN_은행채발행!$Z$4:$Z$712,VN_은행채발행!$C$4:$C$712,$A14),"")</f>
        <v/>
      </c>
      <c r="V14" s="38" t="n">
        <f aca="false">LOOKUP($B14,정책금리_결정!$J$4:$J$49,정책금리_결정!$K$4:$K$49)</f>
        <v>0.0975</v>
      </c>
      <c r="W14" s="38" t="str">
        <f aca="false">IFERROR(AVERAGEIFS(KZ_일별!$C$4:$C$1352,KZ_일별!$A$4:$A$1352,"&gt;="&amp;$A14,KZ_일별!$A$4:$A$1352,"&lt;="&amp;$B14),"")</f>
        <v/>
      </c>
      <c r="X14" s="38" t="str">
        <f aca="false">IFERROR(AVERAGEIFS(KZ_일별!$E$4:$E$1352,KZ_일별!$A$4:$A$1352,"&gt;="&amp;$A14,KZ_일별!$A$4:$A$1352,"&lt;="&amp;$B14),"")</f>
        <v/>
      </c>
      <c r="Y14" s="38" t="n">
        <f aca="false">IFERROR(AVERAGEIFS(KZ_일별!$F$4:$F$1352,KZ_일별!$A$4:$A$1352,"&gt;="&amp;$A14,KZ_일별!$A$4:$A$1352,"&lt;="&amp;$B14),"")</f>
        <v>0.102919047619048</v>
      </c>
      <c r="Z14" s="38" t="str">
        <f aca="false">IFERROR(AVERAGEIFS(KZ_일별!$G$4:$G$1352,KZ_일별!$A$4:$A$1352,"&gt;="&amp;$A14,KZ_일별!$A$4:$A$1352,"&lt;="&amp;$B14),"")</f>
        <v/>
      </c>
      <c r="AA14" s="39" t="str">
        <f aca="false">IF(OR(Y14="",W14=""),"",(Y14-W14)*10000)</f>
        <v/>
      </c>
      <c r="AB14" s="38" t="n">
        <f aca="false">IFERROR(AVERAGEIFS(KZ_일별!$H$4:$H$1352,KZ_일별!$A$4:$A$1352,"&gt;="&amp;$A14,KZ_일별!$A$4:$A$1352,"&lt;="&amp;$B14),"")</f>
        <v>0.0903380952380953</v>
      </c>
    </row>
    <row r="15" customFormat="false" ht="15" hidden="false" customHeight="false" outlineLevel="0" collapsed="false">
      <c r="A15" s="28" t="n">
        <v>44501</v>
      </c>
      <c r="B15" s="29" t="n">
        <f aca="false">EOMONTH(A15,0)</f>
        <v>44530</v>
      </c>
      <c r="C15" s="5" t="str">
        <f aca="false">YEAR(A15)&amp;"Q"&amp;ROUNDUP(MONTH(A15)/3,0)</f>
        <v>2021Q4</v>
      </c>
      <c r="D15" s="30" t="n">
        <f aca="false">YEAR(A15)</f>
        <v>2021</v>
      </c>
      <c r="E15" s="31" t="n">
        <f aca="false">LOOKUP($B15,정책금리_결정!$A$4:$A$70,정책금리_결정!$B$4:$B$70)</f>
        <v>-0.001</v>
      </c>
      <c r="F15" s="31" t="n">
        <f aca="false">IFERROR(AVERAGEIFS(JP_국채일별!$C$4:$C$1345,JP_국채일별!$A$4:$A$1345,"&gt;="&amp;$A15,JP_국채일별!$A$4:$A$1345,"&lt;="&amp;$B15),"")</f>
        <v>-0.001166</v>
      </c>
      <c r="G15" s="31" t="n">
        <f aca="false">IFERROR(AVERAGEIFS(JP_등급별회사채!$D$4:$D$158,JP_등급별회사채!$A$4:$A$158,"&gt;="&amp;$A15,JP_등급별회사채!$A$4:$A$158,"&lt;="&amp;$B15),"")</f>
        <v>0.00117</v>
      </c>
      <c r="H15" s="31" t="n">
        <f aca="false">IFERROR(AVERAGEIFS(JP_등급별회사채!$B$4:$B$158,JP_등급별회사채!$A$4:$A$158,"&gt;="&amp;$A15,JP_등급별회사채!$A$4:$A$158,"&lt;="&amp;$B15),"")</f>
        <v>0.000875</v>
      </c>
      <c r="I15" s="32" t="n">
        <f aca="false">IF(OR(G15="",F15=""),"",(G15-F15)*10000)</f>
        <v>23.36</v>
      </c>
      <c r="J15" s="33" t="n">
        <f aca="false">LOOKUP($B15,정책금리_결정!$D$4:$D$70,정책금리_결정!$E$4:$E$70)</f>
        <v>0.0385</v>
      </c>
      <c r="K15" s="33" t="n">
        <f aca="false">IFERROR(AVERAGEIFS(CN_일별!$B$4:$B$1372,CN_일별!$A$4:$A$1372,"&gt;="&amp;$A15,CN_일별!$A$4:$A$1372,"&lt;="&amp;$B15),"")</f>
        <v>0.0261323181818182</v>
      </c>
      <c r="L15" s="33" t="n">
        <f aca="false">IFERROR(AVERAGEIFS(CN_일별!$C$4:$C$1372,CN_일별!$A$4:$A$1372,"&gt;="&amp;$A15,CN_일별!$A$4:$A$1372,"&lt;="&amp;$B15),"")</f>
        <v>0.0293071363636364</v>
      </c>
      <c r="M15" s="33" t="n">
        <f aca="false">IFERROR(AVERAGEIFS(CN_일별!$D$4:$D$1372,CN_일별!$A$4:$A$1372,"&gt;="&amp;$A15,CN_일별!$A$4:$A$1372,"&lt;="&amp;$B15),"")</f>
        <v>0.0311913636363636</v>
      </c>
      <c r="N15" s="34" t="n">
        <f aca="false">IF(OR(L15="",K15=""),"",(L15-K15)*10000)</f>
        <v>31.7481818181819</v>
      </c>
      <c r="O15" s="35" t="n">
        <f aca="false">LOOKUP($B15,정책금리_결정!$G$4:$G$9,정책금리_결정!$H$4:$H$9)</f>
        <v>0.04</v>
      </c>
      <c r="P15" s="35" t="n">
        <f aca="false">IFERROR(AVERAGEIFS(VN_국채일별!$D$4:$D$1436,VN_국채일별!$A$4:$A$1436,"&gt;="&amp;$A15,VN_국채일별!$A$4:$A$1436,"&lt;="&amp;$B15),"")</f>
        <v>0.00675136363636364</v>
      </c>
      <c r="Q15" s="35" t="n">
        <f aca="false">IFERROR(SUMIFS(VN_은행채발행!$T$4:$T$712,VN_은행채발행!$C$4:$C$712,$A15)/SUMIFS(VN_은행채발행!$I$4:$I$712,VN_은행채발행!$C$4:$C$712,$A15,VN_은행채발행!$S$4:$S$712,1),"")</f>
        <v>0.0362539682539683</v>
      </c>
      <c r="R15" s="36" t="n">
        <f aca="false">COUNTIFS(VN_은행채발행!$C$4:$C$712,$A15,VN_은행채발행!$S$4:$S$712,1)</f>
        <v>5</v>
      </c>
      <c r="S15" s="37" t="n">
        <f aca="false">IFERROR(SUMIFS(VN_은행채발행!$U$4:$U$712,VN_은행채발행!$C$4:$C$712,$A15)/SUMIFS(VN_은행채발행!$Y$4:$Y$712,VN_은행채발행!$C$4:$C$712,$A15),"")</f>
        <v>294.076190476191</v>
      </c>
      <c r="T15" s="35" t="str">
        <f aca="false">IFERROR(SUMIFS(VN_은행채발행!$W$4:$W$712,VN_은행채발행!$C$4:$C$712,$A15)/SUMIFS(VN_은행채발행!$I$4:$I$712,VN_은행채발행!$C$4:$C$712,$A15,VN_은행채발행!$V$4:$V$712,1),"")</f>
        <v/>
      </c>
      <c r="U15" s="37" t="str">
        <f aca="false">IFERROR(SUMIFS(VN_은행채발행!$X$4:$X$712,VN_은행채발행!$C$4:$C$712,$A15)/SUMIFS(VN_은행채발행!$Z$4:$Z$712,VN_은행채발행!$C$4:$C$712,$A15),"")</f>
        <v/>
      </c>
      <c r="V15" s="38" t="n">
        <f aca="false">LOOKUP($B15,정책금리_결정!$J$4:$J$49,정책금리_결정!$K$4:$K$49)</f>
        <v>0.0975</v>
      </c>
      <c r="W15" s="38" t="str">
        <f aca="false">IFERROR(AVERAGEIFS(KZ_일별!$C$4:$C$1352,KZ_일별!$A$4:$A$1352,"&gt;="&amp;$A15,KZ_일별!$A$4:$A$1352,"&lt;="&amp;$B15),"")</f>
        <v/>
      </c>
      <c r="X15" s="38" t="str">
        <f aca="false">IFERROR(AVERAGEIFS(KZ_일별!$E$4:$E$1352,KZ_일별!$A$4:$A$1352,"&gt;="&amp;$A15,KZ_일별!$A$4:$A$1352,"&lt;="&amp;$B15),"")</f>
        <v/>
      </c>
      <c r="Y15" s="38" t="n">
        <f aca="false">IFERROR(AVERAGEIFS(KZ_일별!$F$4:$F$1352,KZ_일별!$A$4:$A$1352,"&gt;="&amp;$A15,KZ_일별!$A$4:$A$1352,"&lt;="&amp;$B15),"")</f>
        <v>0.102409090909091</v>
      </c>
      <c r="Z15" s="38" t="str">
        <f aca="false">IFERROR(AVERAGEIFS(KZ_일별!$G$4:$G$1352,KZ_일별!$A$4:$A$1352,"&gt;="&amp;$A15,KZ_일별!$A$4:$A$1352,"&lt;="&amp;$B15),"")</f>
        <v/>
      </c>
      <c r="AA15" s="39" t="str">
        <f aca="false">IF(OR(Y15="",W15=""),"",(Y15-W15)*10000)</f>
        <v/>
      </c>
      <c r="AB15" s="38" t="n">
        <f aca="false">IFERROR(AVERAGEIFS(KZ_일별!$H$4:$H$1352,KZ_일별!$A$4:$A$1352,"&gt;="&amp;$A15,KZ_일별!$A$4:$A$1352,"&lt;="&amp;$B15),"")</f>
        <v>0.0935863636363636</v>
      </c>
    </row>
    <row r="16" customFormat="false" ht="15" hidden="false" customHeight="false" outlineLevel="0" collapsed="false">
      <c r="A16" s="28" t="n">
        <v>44531</v>
      </c>
      <c r="B16" s="29" t="n">
        <f aca="false">EOMONTH(A16,0)</f>
        <v>44561</v>
      </c>
      <c r="C16" s="5" t="str">
        <f aca="false">YEAR(A16)&amp;"Q"&amp;ROUNDUP(MONTH(A16)/3,0)</f>
        <v>2021Q4</v>
      </c>
      <c r="D16" s="30" t="n">
        <f aca="false">YEAR(A16)</f>
        <v>2021</v>
      </c>
      <c r="E16" s="31" t="n">
        <f aca="false">LOOKUP($B16,정책금리_결정!$A$4:$A$70,정책금리_결정!$B$4:$B$70)</f>
        <v>-0.001</v>
      </c>
      <c r="F16" s="31" t="n">
        <f aca="false">IFERROR(AVERAGEIFS(JP_국채일별!$C$4:$C$1345,JP_국채일별!$A$4:$A$1345,"&gt;="&amp;$A16,JP_국채일별!$A$4:$A$1345,"&lt;="&amp;$B16),"")</f>
        <v>-0.00111636363636364</v>
      </c>
      <c r="G16" s="31" t="n">
        <f aca="false">IFERROR(AVERAGEIFS(JP_등급별회사채!$D$4:$D$158,JP_등급별회사채!$A$4:$A$158,"&gt;="&amp;$A16,JP_등급별회사채!$A$4:$A$158,"&lt;="&amp;$B16),"")</f>
        <v>0.0011025</v>
      </c>
      <c r="H16" s="31" t="n">
        <f aca="false">IFERROR(AVERAGEIFS(JP_등급별회사채!$B$4:$B$158,JP_등급별회사채!$A$4:$A$158,"&gt;="&amp;$A16,JP_등급별회사채!$A$4:$A$158,"&lt;="&amp;$B16),"")</f>
        <v>0.00086</v>
      </c>
      <c r="I16" s="32" t="n">
        <f aca="false">IF(OR(G16="",F16=""),"",(G16-F16)*10000)</f>
        <v>22.1886363636364</v>
      </c>
      <c r="J16" s="33" t="n">
        <f aca="false">LOOKUP($B16,정책금리_결정!$D$4:$D$70,정책금리_결정!$E$4:$E$70)</f>
        <v>0.038</v>
      </c>
      <c r="K16" s="33" t="n">
        <f aca="false">IFERROR(AVERAGEIFS(CN_일별!$B$4:$B$1372,CN_일별!$A$4:$A$1372,"&gt;="&amp;$A16,CN_일별!$A$4:$A$1372,"&lt;="&amp;$B16),"")</f>
        <v>0.0256903913043478</v>
      </c>
      <c r="L16" s="33" t="n">
        <f aca="false">IFERROR(AVERAGEIFS(CN_일별!$C$4:$C$1372,CN_일별!$A$4:$A$1372,"&gt;="&amp;$A16,CN_일별!$A$4:$A$1372,"&lt;="&amp;$B16),"")</f>
        <v>0.0289065652173913</v>
      </c>
      <c r="M16" s="33" t="n">
        <f aca="false">IFERROR(AVERAGEIFS(CN_일별!$D$4:$D$1372,CN_일별!$A$4:$A$1372,"&gt;="&amp;$A16,CN_일별!$A$4:$A$1372,"&lt;="&amp;$B16),"")</f>
        <v>0.0300220434782609</v>
      </c>
      <c r="N16" s="34" t="n">
        <f aca="false">IF(OR(L16="",K16=""),"",(L16-K16)*10000)</f>
        <v>32.1617391304347</v>
      </c>
      <c r="O16" s="35" t="n">
        <f aca="false">LOOKUP($B16,정책금리_결정!$G$4:$G$9,정책금리_결정!$H$4:$H$9)</f>
        <v>0.04</v>
      </c>
      <c r="P16" s="35" t="n">
        <f aca="false">IFERROR(AVERAGEIFS(VN_국채일별!$D$4:$D$1436,VN_국채일별!$A$4:$A$1436,"&gt;="&amp;$A16,VN_국채일별!$A$4:$A$1436,"&lt;="&amp;$B16),"")</f>
        <v>0.00696217391304348</v>
      </c>
      <c r="Q16" s="35" t="n">
        <f aca="false">IFERROR(SUMIFS(VN_은행채발행!$T$4:$T$712,VN_은행채발행!$C$4:$C$712,$A16)/SUMIFS(VN_은행채발행!$I$4:$I$712,VN_은행채발행!$C$4:$C$712,$A16,VN_은행채발행!$S$4:$S$712,1),"")</f>
        <v>0.0322101910828026</v>
      </c>
      <c r="R16" s="36" t="n">
        <f aca="false">COUNTIFS(VN_은행채발행!$C$4:$C$712,$A16,VN_은행채발행!$S$4:$S$712,1)</f>
        <v>17</v>
      </c>
      <c r="S16" s="37" t="n">
        <f aca="false">IFERROR(SUMIFS(VN_은행채발행!$U$4:$U$712,VN_은행채발행!$C$4:$C$712,$A16)/SUMIFS(VN_은행채발행!$Y$4:$Y$712,VN_은행채발행!$C$4:$C$712,$A16),"")</f>
        <v>256.196815286624</v>
      </c>
      <c r="T16" s="35" t="str">
        <f aca="false">IFERROR(SUMIFS(VN_은행채발행!$W$4:$W$712,VN_은행채발행!$C$4:$C$712,$A16)/SUMIFS(VN_은행채발행!$I$4:$I$712,VN_은행채발행!$C$4:$C$712,$A16,VN_은행채발행!$V$4:$V$712,1),"")</f>
        <v/>
      </c>
      <c r="U16" s="37" t="str">
        <f aca="false">IFERROR(SUMIFS(VN_은행채발행!$X$4:$X$712,VN_은행채발행!$C$4:$C$712,$A16)/SUMIFS(VN_은행채발행!$Z$4:$Z$712,VN_은행채발행!$C$4:$C$712,$A16),"")</f>
        <v/>
      </c>
      <c r="V16" s="38" t="n">
        <f aca="false">LOOKUP($B16,정책금리_결정!$J$4:$J$49,정책금리_결정!$K$4:$K$49)</f>
        <v>0.0975</v>
      </c>
      <c r="W16" s="38" t="str">
        <f aca="false">IFERROR(AVERAGEIFS(KZ_일별!$C$4:$C$1352,KZ_일별!$A$4:$A$1352,"&gt;="&amp;$A16,KZ_일별!$A$4:$A$1352,"&lt;="&amp;$B16),"")</f>
        <v/>
      </c>
      <c r="X16" s="38" t="str">
        <f aca="false">IFERROR(AVERAGEIFS(KZ_일별!$E$4:$E$1352,KZ_일별!$A$4:$A$1352,"&gt;="&amp;$A16,KZ_일별!$A$4:$A$1352,"&lt;="&amp;$B16),"")</f>
        <v/>
      </c>
      <c r="Y16" s="38" t="n">
        <f aca="false">IFERROR(AVERAGEIFS(KZ_일별!$F$4:$F$1352,KZ_일별!$A$4:$A$1352,"&gt;="&amp;$A16,KZ_일별!$A$4:$A$1352,"&lt;="&amp;$B16),"")</f>
        <v>0.10511</v>
      </c>
      <c r="Z16" s="38" t="str">
        <f aca="false">IFERROR(AVERAGEIFS(KZ_일별!$G$4:$G$1352,KZ_일별!$A$4:$A$1352,"&gt;="&amp;$A16,KZ_일별!$A$4:$A$1352,"&lt;="&amp;$B16),"")</f>
        <v/>
      </c>
      <c r="AA16" s="39" t="str">
        <f aca="false">IF(OR(Y16="",W16=""),"",(Y16-W16)*10000)</f>
        <v/>
      </c>
      <c r="AB16" s="38" t="n">
        <f aca="false">IFERROR(AVERAGEIFS(KZ_일별!$H$4:$H$1352,KZ_일별!$A$4:$A$1352,"&gt;="&amp;$A16,KZ_일별!$A$4:$A$1352,"&lt;="&amp;$B16),"")</f>
        <v>0.104985</v>
      </c>
    </row>
    <row r="17" customFormat="false" ht="15" hidden="false" customHeight="false" outlineLevel="0" collapsed="false">
      <c r="A17" s="28" t="n">
        <v>44562</v>
      </c>
      <c r="B17" s="29" t="n">
        <f aca="false">EOMONTH(A17,0)</f>
        <v>44592</v>
      </c>
      <c r="C17" s="5" t="str">
        <f aca="false">YEAR(A17)&amp;"Q"&amp;ROUNDUP(MONTH(A17)/3,0)</f>
        <v>2022Q1</v>
      </c>
      <c r="D17" s="30" t="n">
        <f aca="false">YEAR(A17)</f>
        <v>2022</v>
      </c>
      <c r="E17" s="31" t="n">
        <f aca="false">LOOKUP($B17,정책금리_결정!$A$4:$A$70,정책금리_결정!$B$4:$B$70)</f>
        <v>-0.001</v>
      </c>
      <c r="F17" s="31" t="n">
        <f aca="false">IFERROR(AVERAGEIFS(JP_국채일별!$C$4:$C$1345,JP_국채일별!$A$4:$A$1345,"&gt;="&amp;$A17,JP_국채일별!$A$4:$A$1345,"&lt;="&amp;$B17),"")</f>
        <v>-0.000708947368421053</v>
      </c>
      <c r="G17" s="31" t="n">
        <f aca="false">IFERROR(AVERAGEIFS(JP_등급별회사채!$D$4:$D$158,JP_등급별회사채!$A$4:$A$158,"&gt;="&amp;$A17,JP_등급별회사채!$A$4:$A$158,"&lt;="&amp;$B17),"")</f>
        <v>0.0014725</v>
      </c>
      <c r="H17" s="31" t="n">
        <f aca="false">IFERROR(AVERAGEIFS(JP_등급별회사채!$B$4:$B$158,JP_등급별회사채!$A$4:$A$158,"&gt;="&amp;$A17,JP_등급별회사채!$A$4:$A$158,"&lt;="&amp;$B17),"")</f>
        <v>0.001165</v>
      </c>
      <c r="I17" s="32" t="n">
        <f aca="false">IF(OR(G17="",F17=""),"",(G17-F17)*10000)</f>
        <v>21.8144736842105</v>
      </c>
      <c r="J17" s="33" t="n">
        <f aca="false">LOOKUP($B17,정책금리_결정!$D$4:$D$70,정책금리_결정!$E$4:$E$70)</f>
        <v>0.037</v>
      </c>
      <c r="K17" s="33" t="n">
        <f aca="false">IFERROR(AVERAGEIFS(CN_일별!$B$4:$B$1372,CN_일별!$A$4:$A$1372,"&gt;="&amp;$A17,CN_일별!$A$4:$A$1372,"&lt;="&amp;$B17),"")</f>
        <v>0.0235244285714286</v>
      </c>
      <c r="L17" s="33" t="n">
        <f aca="false">IFERROR(AVERAGEIFS(CN_일별!$C$4:$C$1372,CN_일별!$A$4:$A$1372,"&gt;="&amp;$A17,CN_일별!$A$4:$A$1372,"&lt;="&amp;$B17),"")</f>
        <v>0.0274472857142857</v>
      </c>
      <c r="M17" s="33" t="n">
        <f aca="false">IFERROR(AVERAGEIFS(CN_일별!$D$4:$D$1372,CN_일별!$A$4:$A$1372,"&gt;="&amp;$A17,CN_일별!$A$4:$A$1372,"&lt;="&amp;$B17),"")</f>
        <v>0.0284335714285714</v>
      </c>
      <c r="N17" s="34" t="n">
        <f aca="false">IF(OR(L17="",K17=""),"",(L17-K17)*10000)</f>
        <v>39.2285714285715</v>
      </c>
      <c r="O17" s="35" t="n">
        <f aca="false">LOOKUP($B17,정책금리_결정!$G$4:$G$9,정책금리_결정!$H$4:$H$9)</f>
        <v>0.04</v>
      </c>
      <c r="P17" s="35" t="n">
        <f aca="false">IFERROR(AVERAGEIFS(VN_국채일별!$D$4:$D$1436,VN_국채일별!$A$4:$A$1436,"&gt;="&amp;$A17,VN_국채일별!$A$4:$A$1436,"&lt;="&amp;$B17),"")</f>
        <v>0.00722285714285714</v>
      </c>
      <c r="Q17" s="35" t="str">
        <f aca="false">IFERROR(SUMIFS(VN_은행채발행!$T$4:$T$712,VN_은행채발행!$C$4:$C$712,$A17)/SUMIFS(VN_은행채발행!$I$4:$I$712,VN_은행채발행!$C$4:$C$712,$A17,VN_은행채발행!$S$4:$S$712,1),"")</f>
        <v/>
      </c>
      <c r="R17" s="36" t="n">
        <f aca="false">COUNTIFS(VN_은행채발행!$C$4:$C$712,$A17,VN_은행채발행!$S$4:$S$712,1)</f>
        <v>0</v>
      </c>
      <c r="S17" s="37" t="str">
        <f aca="false">IFERROR(SUMIFS(VN_은행채발행!$U$4:$U$712,VN_은행채발행!$C$4:$C$712,$A17)/SUMIFS(VN_은행채발행!$Y$4:$Y$712,VN_은행채발행!$C$4:$C$712,$A17),"")</f>
        <v/>
      </c>
      <c r="T17" s="35" t="str">
        <f aca="false">IFERROR(SUMIFS(VN_은행채발행!$W$4:$W$712,VN_은행채발행!$C$4:$C$712,$A17)/SUMIFS(VN_은행채발행!$I$4:$I$712,VN_은행채발행!$C$4:$C$712,$A17,VN_은행채발행!$V$4:$V$712,1),"")</f>
        <v/>
      </c>
      <c r="U17" s="37" t="str">
        <f aca="false">IFERROR(SUMIFS(VN_은행채발행!$X$4:$X$712,VN_은행채발행!$C$4:$C$712,$A17)/SUMIFS(VN_은행채발행!$Z$4:$Z$712,VN_은행채발행!$C$4:$C$712,$A17),"")</f>
        <v/>
      </c>
      <c r="V17" s="38" t="n">
        <f aca="false">LOOKUP($B17,정책금리_결정!$J$4:$J$49,정책금리_결정!$K$4:$K$49)</f>
        <v>0.1025</v>
      </c>
      <c r="W17" s="38" t="str">
        <f aca="false">IFERROR(AVERAGEIFS(KZ_일별!$C$4:$C$1352,KZ_일별!$A$4:$A$1352,"&gt;="&amp;$A17,KZ_일별!$A$4:$A$1352,"&lt;="&amp;$B17),"")</f>
        <v/>
      </c>
      <c r="X17" s="38" t="str">
        <f aca="false">IFERROR(AVERAGEIFS(KZ_일별!$E$4:$E$1352,KZ_일별!$A$4:$A$1352,"&gt;="&amp;$A17,KZ_일별!$A$4:$A$1352,"&lt;="&amp;$B17),"")</f>
        <v/>
      </c>
      <c r="Y17" s="38" t="n">
        <f aca="false">IFERROR(AVERAGEIFS(KZ_일별!$F$4:$F$1352,KZ_일별!$A$4:$A$1352,"&gt;="&amp;$A17,KZ_일별!$A$4:$A$1352,"&lt;="&amp;$B17),"")</f>
        <v>0.105325</v>
      </c>
      <c r="Z17" s="38" t="str">
        <f aca="false">IFERROR(AVERAGEIFS(KZ_일별!$G$4:$G$1352,KZ_일별!$A$4:$A$1352,"&gt;="&amp;$A17,KZ_일별!$A$4:$A$1352,"&lt;="&amp;$B17),"")</f>
        <v/>
      </c>
      <c r="AA17" s="39" t="str">
        <f aca="false">IF(OR(Y17="",W17=""),"",(Y17-W17)*10000)</f>
        <v/>
      </c>
      <c r="AB17" s="38" t="n">
        <f aca="false">IFERROR(AVERAGEIFS(KZ_일별!$H$4:$H$1352,KZ_일별!$A$4:$A$1352,"&gt;="&amp;$A17,KZ_일별!$A$4:$A$1352,"&lt;="&amp;$B17),"")</f>
        <v>0.102870588235294</v>
      </c>
    </row>
    <row r="18" customFormat="false" ht="15" hidden="false" customHeight="false" outlineLevel="0" collapsed="false">
      <c r="A18" s="28" t="n">
        <v>44593</v>
      </c>
      <c r="B18" s="29" t="n">
        <f aca="false">EOMONTH(A18,0)</f>
        <v>44620</v>
      </c>
      <c r="C18" s="5" t="str">
        <f aca="false">YEAR(A18)&amp;"Q"&amp;ROUNDUP(MONTH(A18)/3,0)</f>
        <v>2022Q1</v>
      </c>
      <c r="D18" s="30" t="n">
        <f aca="false">YEAR(A18)</f>
        <v>2022</v>
      </c>
      <c r="E18" s="31" t="n">
        <f aca="false">LOOKUP($B18,정책금리_결정!$A$4:$A$70,정책금리_결정!$B$4:$B$70)</f>
        <v>-0.001</v>
      </c>
      <c r="F18" s="31" t="n">
        <f aca="false">IFERROR(AVERAGEIFS(JP_국채일별!$C$4:$C$1345,JP_국채일별!$A$4:$A$1345,"&gt;="&amp;$A18,JP_국채일별!$A$4:$A$1345,"&lt;="&amp;$B18),"")</f>
        <v>-0.000155555555555556</v>
      </c>
      <c r="G18" s="31" t="n">
        <f aca="false">IFERROR(AVERAGEIFS(JP_등급별회사채!$D$4:$D$158,JP_등급별회사채!$A$4:$A$158,"&gt;="&amp;$A18,JP_등급별회사채!$A$4:$A$158,"&lt;="&amp;$B18),"")</f>
        <v>0.0019125</v>
      </c>
      <c r="H18" s="31" t="n">
        <f aca="false">IFERROR(AVERAGEIFS(JP_등급별회사채!$B$4:$B$158,JP_등급별회사채!$A$4:$A$158,"&gt;="&amp;$A18,JP_등급별회사채!$A$4:$A$158,"&lt;="&amp;$B18),"")</f>
        <v>0.001655</v>
      </c>
      <c r="I18" s="32" t="n">
        <f aca="false">IF(OR(G18="",F18=""),"",(G18-F18)*10000)</f>
        <v>20.6805555555556</v>
      </c>
      <c r="J18" s="33" t="n">
        <f aca="false">LOOKUP($B18,정책금리_결정!$D$4:$D$70,정책금리_결정!$E$4:$E$70)</f>
        <v>0.037</v>
      </c>
      <c r="K18" s="33" t="n">
        <f aca="false">IFERROR(AVERAGEIFS(CN_일별!$B$4:$B$1372,CN_일별!$A$4:$A$1372,"&gt;="&amp;$A18,CN_일별!$A$4:$A$1372,"&lt;="&amp;$B18),"")</f>
        <v>0.023191375</v>
      </c>
      <c r="L18" s="33" t="n">
        <f aca="false">IFERROR(AVERAGEIFS(CN_일별!$C$4:$C$1372,CN_일별!$A$4:$A$1372,"&gt;="&amp;$A18,CN_일별!$A$4:$A$1372,"&lt;="&amp;$B18),"")</f>
        <v>0.027436625</v>
      </c>
      <c r="M18" s="33" t="n">
        <f aca="false">IFERROR(AVERAGEIFS(CN_일별!$D$4:$D$1372,CN_일별!$A$4:$A$1372,"&gt;="&amp;$A18,CN_일별!$A$4:$A$1372,"&lt;="&amp;$B18),"")</f>
        <v>0.028574375</v>
      </c>
      <c r="N18" s="34" t="n">
        <f aca="false">IF(OR(L18="",K18=""),"",(L18-K18)*10000)</f>
        <v>42.4525</v>
      </c>
      <c r="O18" s="35" t="n">
        <f aca="false">LOOKUP($B18,정책금리_결정!$G$4:$G$9,정책금리_결정!$H$4:$H$9)</f>
        <v>0.04</v>
      </c>
      <c r="P18" s="35" t="n">
        <f aca="false">IFERROR(AVERAGEIFS(VN_국채일별!$D$4:$D$1436,VN_국채일별!$A$4:$A$1436,"&gt;="&amp;$A18,VN_국채일별!$A$4:$A$1436,"&lt;="&amp;$B18),"")</f>
        <v>0.0091115</v>
      </c>
      <c r="Q18" s="35" t="str">
        <f aca="false">IFERROR(SUMIFS(VN_은행채발행!$T$4:$T$712,VN_은행채발행!$C$4:$C$712,$A18)/SUMIFS(VN_은행채발행!$I$4:$I$712,VN_은행채발행!$C$4:$C$712,$A18,VN_은행채발행!$S$4:$S$712,1),"")</f>
        <v/>
      </c>
      <c r="R18" s="36" t="n">
        <f aca="false">COUNTIFS(VN_은행채발행!$C$4:$C$712,$A18,VN_은행채발행!$S$4:$S$712,1)</f>
        <v>0</v>
      </c>
      <c r="S18" s="37" t="str">
        <f aca="false">IFERROR(SUMIFS(VN_은행채발행!$U$4:$U$712,VN_은행채발행!$C$4:$C$712,$A18)/SUMIFS(VN_은행채발행!$Y$4:$Y$712,VN_은행채발행!$C$4:$C$712,$A18),"")</f>
        <v/>
      </c>
      <c r="T18" s="35" t="str">
        <f aca="false">IFERROR(SUMIFS(VN_은행채발행!$W$4:$W$712,VN_은행채발행!$C$4:$C$712,$A18)/SUMIFS(VN_은행채발행!$I$4:$I$712,VN_은행채발행!$C$4:$C$712,$A18,VN_은행채발행!$V$4:$V$712,1),"")</f>
        <v/>
      </c>
      <c r="U18" s="37" t="str">
        <f aca="false">IFERROR(SUMIFS(VN_은행채발행!$X$4:$X$712,VN_은행채발행!$C$4:$C$712,$A18)/SUMIFS(VN_은행채발행!$Z$4:$Z$712,VN_은행채발행!$C$4:$C$712,$A18),"")</f>
        <v/>
      </c>
      <c r="V18" s="38" t="n">
        <f aca="false">LOOKUP($B18,정책금리_결정!$J$4:$J$49,정책금리_결정!$K$4:$K$49)</f>
        <v>0.135</v>
      </c>
      <c r="W18" s="38" t="str">
        <f aca="false">IFERROR(AVERAGEIFS(KZ_일별!$C$4:$C$1352,KZ_일별!$A$4:$A$1352,"&gt;="&amp;$A18,KZ_일별!$A$4:$A$1352,"&lt;="&amp;$B18),"")</f>
        <v/>
      </c>
      <c r="X18" s="38" t="str">
        <f aca="false">IFERROR(AVERAGEIFS(KZ_일별!$E$4:$E$1352,KZ_일별!$A$4:$A$1352,"&gt;="&amp;$A18,KZ_일별!$A$4:$A$1352,"&lt;="&amp;$B18),"")</f>
        <v/>
      </c>
      <c r="Y18" s="38" t="n">
        <f aca="false">IFERROR(AVERAGEIFS(KZ_일별!$F$4:$F$1352,KZ_일별!$A$4:$A$1352,"&gt;="&amp;$A18,KZ_일별!$A$4:$A$1352,"&lt;="&amp;$B18),"")</f>
        <v>0.10596</v>
      </c>
      <c r="Z18" s="38" t="str">
        <f aca="false">IFERROR(AVERAGEIFS(KZ_일별!$G$4:$G$1352,KZ_일별!$A$4:$A$1352,"&gt;="&amp;$A18,KZ_일별!$A$4:$A$1352,"&lt;="&amp;$B18),"")</f>
        <v/>
      </c>
      <c r="AA18" s="39" t="str">
        <f aca="false">IF(OR(Y18="",W18=""),"",(Y18-W18)*10000)</f>
        <v/>
      </c>
      <c r="AB18" s="38" t="n">
        <f aca="false">IFERROR(AVERAGEIFS(KZ_일별!$H$4:$H$1352,KZ_일별!$A$4:$A$1352,"&gt;="&amp;$A18,KZ_일별!$A$4:$A$1352,"&lt;="&amp;$B18),"")</f>
        <v>0.110265</v>
      </c>
    </row>
    <row r="19" customFormat="false" ht="15" hidden="false" customHeight="false" outlineLevel="0" collapsed="false">
      <c r="A19" s="28" t="n">
        <v>44621</v>
      </c>
      <c r="B19" s="29" t="n">
        <f aca="false">EOMONTH(A19,0)</f>
        <v>44651</v>
      </c>
      <c r="C19" s="5" t="str">
        <f aca="false">YEAR(A19)&amp;"Q"&amp;ROUNDUP(MONTH(A19)/3,0)</f>
        <v>2022Q1</v>
      </c>
      <c r="D19" s="30" t="n">
        <f aca="false">YEAR(A19)</f>
        <v>2022</v>
      </c>
      <c r="E19" s="31" t="n">
        <f aca="false">LOOKUP($B19,정책금리_결정!$A$4:$A$70,정책금리_결정!$B$4:$B$70)</f>
        <v>-0.001</v>
      </c>
      <c r="F19" s="31" t="n">
        <f aca="false">IFERROR(AVERAGEIFS(JP_국채일별!$C$4:$C$1345,JP_국채일별!$A$4:$A$1345,"&gt;="&amp;$A19,JP_국채일별!$A$4:$A$1345,"&lt;="&amp;$B19),"")</f>
        <v>-0.000183636363636364</v>
      </c>
      <c r="G19" s="31" t="n">
        <f aca="false">IFERROR(AVERAGEIFS(JP_등급별회사채!$D$4:$D$158,JP_등급별회사채!$A$4:$A$158,"&gt;="&amp;$A19,JP_등급별회사채!$A$4:$A$158,"&lt;="&amp;$B19),"")</f>
        <v>0.001965</v>
      </c>
      <c r="H19" s="31" t="n">
        <f aca="false">IFERROR(AVERAGEIFS(JP_등급별회사채!$B$4:$B$158,JP_등급별회사채!$A$4:$A$158,"&gt;="&amp;$A19,JP_등급별회사채!$A$4:$A$158,"&lt;="&amp;$B19),"")</f>
        <v>0.001735</v>
      </c>
      <c r="I19" s="32" t="n">
        <f aca="false">IF(OR(G19="",F19=""),"",(G19-F19)*10000)</f>
        <v>21.4863636363636</v>
      </c>
      <c r="J19" s="33" t="n">
        <f aca="false">LOOKUP($B19,정책금리_결정!$D$4:$D$70,정책금리_결정!$E$4:$E$70)</f>
        <v>0.037</v>
      </c>
      <c r="K19" s="33" t="n">
        <f aca="false">IFERROR(AVERAGEIFS(CN_일별!$B$4:$B$1372,CN_일별!$A$4:$A$1372,"&gt;="&amp;$A19,CN_일별!$A$4:$A$1372,"&lt;="&amp;$B19),"")</f>
        <v>0.0236697391304348</v>
      </c>
      <c r="L19" s="33" t="n">
        <f aca="false">IFERROR(AVERAGEIFS(CN_일별!$C$4:$C$1372,CN_일별!$A$4:$A$1372,"&gt;="&amp;$A19,CN_일별!$A$4:$A$1372,"&lt;="&amp;$B19),"")</f>
        <v>0.029512652173913</v>
      </c>
      <c r="M19" s="33" t="n">
        <f aca="false">IFERROR(AVERAGEIFS(CN_일별!$D$4:$D$1372,CN_일별!$A$4:$A$1372,"&gt;="&amp;$A19,CN_일별!$A$4:$A$1372,"&lt;="&amp;$B19),"")</f>
        <v>0.0308056956521739</v>
      </c>
      <c r="N19" s="34" t="n">
        <f aca="false">IF(OR(L19="",K19=""),"",(L19-K19)*10000)</f>
        <v>58.4291304347826</v>
      </c>
      <c r="O19" s="35" t="n">
        <f aca="false">LOOKUP($B19,정책금리_결정!$G$4:$G$9,정책금리_결정!$H$4:$H$9)</f>
        <v>0.04</v>
      </c>
      <c r="P19" s="35" t="n">
        <f aca="false">IFERROR(AVERAGEIFS(VN_국채일별!$D$4:$D$1436,VN_국채일별!$A$4:$A$1436,"&gt;="&amp;$A19,VN_국채일별!$A$4:$A$1436,"&lt;="&amp;$B19),"")</f>
        <v>0.0160082608695652</v>
      </c>
      <c r="Q19" s="35" t="str">
        <f aca="false">IFERROR(SUMIFS(VN_은행채발행!$T$4:$T$712,VN_은행채발행!$C$4:$C$712,$A19)/SUMIFS(VN_은행채발행!$I$4:$I$712,VN_은행채발행!$C$4:$C$712,$A19,VN_은행채발행!$S$4:$S$712,1),"")</f>
        <v/>
      </c>
      <c r="R19" s="36" t="n">
        <f aca="false">COUNTIFS(VN_은행채발행!$C$4:$C$712,$A19,VN_은행채발행!$S$4:$S$712,1)</f>
        <v>0</v>
      </c>
      <c r="S19" s="37" t="str">
        <f aca="false">IFERROR(SUMIFS(VN_은행채발행!$U$4:$U$712,VN_은행채발행!$C$4:$C$712,$A19)/SUMIFS(VN_은행채발행!$Y$4:$Y$712,VN_은행채발행!$C$4:$C$712,$A19),"")</f>
        <v/>
      </c>
      <c r="T19" s="35" t="str">
        <f aca="false">IFERROR(SUMIFS(VN_은행채발행!$W$4:$W$712,VN_은행채발행!$C$4:$C$712,$A19)/SUMIFS(VN_은행채발행!$I$4:$I$712,VN_은행채발행!$C$4:$C$712,$A19,VN_은행채발행!$V$4:$V$712,1),"")</f>
        <v/>
      </c>
      <c r="U19" s="37" t="str">
        <f aca="false">IFERROR(SUMIFS(VN_은행채발행!$X$4:$X$712,VN_은행채발행!$C$4:$C$712,$A19)/SUMIFS(VN_은행채발행!$Z$4:$Z$712,VN_은행채발행!$C$4:$C$712,$A19),"")</f>
        <v/>
      </c>
      <c r="V19" s="38" t="n">
        <f aca="false">LOOKUP($B19,정책금리_결정!$J$4:$J$49,정책금리_결정!$K$4:$K$49)</f>
        <v>0.135</v>
      </c>
      <c r="W19" s="38" t="n">
        <f aca="false">IFERROR(AVERAGEIFS(KZ_일별!$C$4:$C$1352,KZ_일별!$A$4:$A$1352,"&gt;="&amp;$A19,KZ_일별!$A$4:$A$1352,"&lt;="&amp;$B19),"")</f>
        <v>0.116192857142857</v>
      </c>
      <c r="X19" s="38" t="n">
        <f aca="false">IFERROR(AVERAGEIFS(KZ_일별!$E$4:$E$1352,KZ_일별!$A$4:$A$1352,"&gt;="&amp;$A19,KZ_일별!$A$4:$A$1352,"&lt;="&amp;$B19),"")</f>
        <v>0.1148825</v>
      </c>
      <c r="Y19" s="38" t="n">
        <f aca="false">IFERROR(AVERAGEIFS(KZ_일별!$F$4:$F$1352,KZ_일별!$A$4:$A$1352,"&gt;="&amp;$A19,KZ_일별!$A$4:$A$1352,"&lt;="&amp;$B19),"")</f>
        <v>0.110884210526316</v>
      </c>
      <c r="Z19" s="38" t="str">
        <f aca="false">IFERROR(AVERAGEIFS(KZ_일별!$G$4:$G$1352,KZ_일별!$A$4:$A$1352,"&gt;="&amp;$A19,KZ_일별!$A$4:$A$1352,"&lt;="&amp;$B19),"")</f>
        <v/>
      </c>
      <c r="AA19" s="39" t="n">
        <f aca="false">IF(OR(Y19="",W19=""),"",(Y19-W19)*10000)</f>
        <v>-53.0864661654136</v>
      </c>
      <c r="AB19" s="38" t="n">
        <f aca="false">IFERROR(AVERAGEIFS(KZ_일별!$H$4:$H$1352,KZ_일별!$A$4:$A$1352,"&gt;="&amp;$A19,KZ_일별!$A$4:$A$1352,"&lt;="&amp;$B19),"")</f>
        <v>0.140684210526316</v>
      </c>
    </row>
    <row r="20" customFormat="false" ht="15" hidden="false" customHeight="false" outlineLevel="0" collapsed="false">
      <c r="A20" s="28" t="n">
        <v>44652</v>
      </c>
      <c r="B20" s="29" t="n">
        <f aca="false">EOMONTH(A20,0)</f>
        <v>44681</v>
      </c>
      <c r="C20" s="5" t="str">
        <f aca="false">YEAR(A20)&amp;"Q"&amp;ROUNDUP(MONTH(A20)/3,0)</f>
        <v>2022Q2</v>
      </c>
      <c r="D20" s="30" t="n">
        <f aca="false">YEAR(A20)</f>
        <v>2022</v>
      </c>
      <c r="E20" s="31" t="n">
        <f aca="false">LOOKUP($B20,정책금리_결정!$A$4:$A$70,정책금리_결정!$B$4:$B$70)</f>
        <v>-0.001</v>
      </c>
      <c r="F20" s="31" t="n">
        <f aca="false">IFERROR(AVERAGEIFS(JP_국채일별!$C$4:$C$1345,JP_국채일별!$A$4:$A$1345,"&gt;="&amp;$A20,JP_국채일별!$A$4:$A$1345,"&lt;="&amp;$B20),"")</f>
        <v>-0.00041</v>
      </c>
      <c r="G20" s="31" t="n">
        <f aca="false">IFERROR(AVERAGEIFS(JP_등급별회사채!$D$4:$D$158,JP_등급별회사채!$A$4:$A$158,"&gt;="&amp;$A20,JP_등급별회사채!$A$4:$A$158,"&lt;="&amp;$B20),"")</f>
        <v>0.001845</v>
      </c>
      <c r="H20" s="31" t="n">
        <f aca="false">IFERROR(AVERAGEIFS(JP_등급별회사채!$B$4:$B$158,JP_등급별회사채!$A$4:$A$158,"&gt;="&amp;$A20,JP_등급별회사채!$A$4:$A$158,"&lt;="&amp;$B20),"")</f>
        <v>0.0016275</v>
      </c>
      <c r="I20" s="32" t="n">
        <f aca="false">IF(OR(G20="",F20=""),"",(G20-F20)*10000)</f>
        <v>22.55</v>
      </c>
      <c r="J20" s="33" t="n">
        <f aca="false">LOOKUP($B20,정책금리_결정!$D$4:$D$70,정책금리_결정!$E$4:$E$70)</f>
        <v>0.037</v>
      </c>
      <c r="K20" s="33" t="n">
        <f aca="false">IFERROR(AVERAGEIFS(CN_일별!$B$4:$B$1372,CN_일별!$A$4:$A$1372,"&gt;="&amp;$A20,CN_일별!$A$4:$A$1372,"&lt;="&amp;$B20),"")</f>
        <v>0.0239293333333333</v>
      </c>
      <c r="L20" s="33" t="n">
        <f aca="false">IFERROR(AVERAGEIFS(CN_일별!$C$4:$C$1372,CN_일별!$A$4:$A$1372,"&gt;="&amp;$A20,CN_일별!$A$4:$A$1372,"&lt;="&amp;$B20),"")</f>
        <v>0.0285073333333333</v>
      </c>
      <c r="M20" s="33" t="n">
        <f aca="false">IFERROR(AVERAGEIFS(CN_일별!$D$4:$D$1372,CN_일별!$A$4:$A$1372,"&gt;="&amp;$A20,CN_일별!$A$4:$A$1372,"&lt;="&amp;$B20),"")</f>
        <v>0.0297859047619048</v>
      </c>
      <c r="N20" s="34" t="n">
        <f aca="false">IF(OR(L20="",K20=""),"",(L20-K20)*10000)</f>
        <v>45.7800000000001</v>
      </c>
      <c r="O20" s="35" t="n">
        <f aca="false">LOOKUP($B20,정책금리_결정!$G$4:$G$9,정책금리_결정!$H$4:$H$9)</f>
        <v>0.04</v>
      </c>
      <c r="P20" s="35" t="n">
        <f aca="false">IFERROR(AVERAGEIFS(VN_국채일별!$D$4:$D$1436,VN_국채일별!$A$4:$A$1436,"&gt;="&amp;$A20,VN_국채일별!$A$4:$A$1436,"&lt;="&amp;$B20),"")</f>
        <v>0.0211328571428571</v>
      </c>
      <c r="Q20" s="35" t="str">
        <f aca="false">IFERROR(SUMIFS(VN_은행채발행!$T$4:$T$712,VN_은행채발행!$C$4:$C$712,$A20)/SUMIFS(VN_은행채발행!$I$4:$I$712,VN_은행채발행!$C$4:$C$712,$A20,VN_은행채발행!$S$4:$S$712,1),"")</f>
        <v/>
      </c>
      <c r="R20" s="36" t="n">
        <f aca="false">COUNTIFS(VN_은행채발행!$C$4:$C$712,$A20,VN_은행채발행!$S$4:$S$712,1)</f>
        <v>0</v>
      </c>
      <c r="S20" s="37" t="str">
        <f aca="false">IFERROR(SUMIFS(VN_은행채발행!$U$4:$U$712,VN_은행채발행!$C$4:$C$712,$A20)/SUMIFS(VN_은행채발행!$Y$4:$Y$712,VN_은행채발행!$C$4:$C$712,$A20),"")</f>
        <v/>
      </c>
      <c r="T20" s="35" t="str">
        <f aca="false">IFERROR(SUMIFS(VN_은행채발행!$W$4:$W$712,VN_은행채발행!$C$4:$C$712,$A20)/SUMIFS(VN_은행채발행!$I$4:$I$712,VN_은행채발행!$C$4:$C$712,$A20,VN_은행채발행!$V$4:$V$712,1),"")</f>
        <v/>
      </c>
      <c r="U20" s="37" t="str">
        <f aca="false">IFERROR(SUMIFS(VN_은행채발행!$X$4:$X$712,VN_은행채발행!$C$4:$C$712,$A20)/SUMIFS(VN_은행채발행!$Z$4:$Z$712,VN_은행채발행!$C$4:$C$712,$A20),"")</f>
        <v/>
      </c>
      <c r="V20" s="38" t="n">
        <f aca="false">LOOKUP($B20,정책금리_결정!$J$4:$J$49,정책금리_결정!$K$4:$K$49)</f>
        <v>0.14</v>
      </c>
      <c r="W20" s="38" t="n">
        <f aca="false">IFERROR(AVERAGEIFS(KZ_일별!$C$4:$C$1352,KZ_일별!$A$4:$A$1352,"&gt;="&amp;$A20,KZ_일별!$A$4:$A$1352,"&lt;="&amp;$B20),"")</f>
        <v>0.132285714285714</v>
      </c>
      <c r="X20" s="38" t="n">
        <f aca="false">IFERROR(AVERAGEIFS(KZ_일별!$E$4:$E$1352,KZ_일별!$A$4:$A$1352,"&gt;="&amp;$A20,KZ_일별!$A$4:$A$1352,"&lt;="&amp;$B20),"")</f>
        <v>0.119720952380952</v>
      </c>
      <c r="Y20" s="38" t="n">
        <f aca="false">IFERROR(AVERAGEIFS(KZ_일별!$F$4:$F$1352,KZ_일별!$A$4:$A$1352,"&gt;="&amp;$A20,KZ_일별!$A$4:$A$1352,"&lt;="&amp;$B20),"")</f>
        <v>0.111580952380952</v>
      </c>
      <c r="Z20" s="38" t="str">
        <f aca="false">IFERROR(AVERAGEIFS(KZ_일별!$G$4:$G$1352,KZ_일별!$A$4:$A$1352,"&gt;="&amp;$A20,KZ_일별!$A$4:$A$1352,"&lt;="&amp;$B20),"")</f>
        <v/>
      </c>
      <c r="AA20" s="39" t="n">
        <f aca="false">IF(OR(Y20="",W20=""),"",(Y20-W20)*10000)</f>
        <v>-207.047619047619</v>
      </c>
      <c r="AB20" s="38" t="n">
        <f aca="false">IFERROR(AVERAGEIFS(KZ_일별!$H$4:$H$1352,KZ_일별!$A$4:$A$1352,"&gt;="&amp;$A20,KZ_일별!$A$4:$A$1352,"&lt;="&amp;$B20),"")</f>
        <v>0.137714285714286</v>
      </c>
    </row>
    <row r="21" customFormat="false" ht="15" hidden="false" customHeight="false" outlineLevel="0" collapsed="false">
      <c r="A21" s="28" t="n">
        <v>44682</v>
      </c>
      <c r="B21" s="29" t="n">
        <f aca="false">EOMONTH(A21,0)</f>
        <v>44712</v>
      </c>
      <c r="C21" s="5" t="str">
        <f aca="false">YEAR(A21)&amp;"Q"&amp;ROUNDUP(MONTH(A21)/3,0)</f>
        <v>2022Q2</v>
      </c>
      <c r="D21" s="30" t="n">
        <f aca="false">YEAR(A21)</f>
        <v>2022</v>
      </c>
      <c r="E21" s="31" t="n">
        <f aca="false">LOOKUP($B21,정책금리_결정!$A$4:$A$70,정책금리_결정!$B$4:$B$70)</f>
        <v>-0.001</v>
      </c>
      <c r="F21" s="31" t="n">
        <f aca="false">IFERROR(AVERAGEIFS(JP_국채일별!$C$4:$C$1345,JP_국채일별!$A$4:$A$1345,"&gt;="&amp;$A21,JP_국채일별!$A$4:$A$1345,"&lt;="&amp;$B21),"")</f>
        <v>-0.000437894736842105</v>
      </c>
      <c r="G21" s="31" t="n">
        <f aca="false">IFERROR(AVERAGEIFS(JP_등급별회사채!$D$4:$D$158,JP_등급별회사채!$A$4:$A$158,"&gt;="&amp;$A21,JP_등급별회사채!$A$4:$A$158,"&lt;="&amp;$B21),"")</f>
        <v>0.001865</v>
      </c>
      <c r="H21" s="31" t="n">
        <f aca="false">IFERROR(AVERAGEIFS(JP_등급별회사채!$B$4:$B$158,JP_등급별회사채!$A$4:$A$158,"&gt;="&amp;$A21,JP_등급별회사채!$A$4:$A$158,"&lt;="&amp;$B21),"")</f>
        <v>0.001635</v>
      </c>
      <c r="I21" s="32" t="n">
        <f aca="false">IF(OR(G21="",F21=""),"",(G21-F21)*10000)</f>
        <v>23.0289473684211</v>
      </c>
      <c r="J21" s="33" t="n">
        <f aca="false">LOOKUP($B21,정책금리_결정!$D$4:$D$70,정책금리_결정!$E$4:$E$70)</f>
        <v>0.037</v>
      </c>
      <c r="K21" s="33" t="n">
        <f aca="false">IFERROR(AVERAGEIFS(CN_일별!$B$4:$B$1372,CN_일별!$A$4:$A$1372,"&gt;="&amp;$A21,CN_일별!$A$4:$A$1372,"&lt;="&amp;$B21),"")</f>
        <v>0.02371575</v>
      </c>
      <c r="L21" s="33" t="n">
        <f aca="false">IFERROR(AVERAGEIFS(CN_일별!$C$4:$C$1372,CN_일별!$A$4:$A$1372,"&gt;="&amp;$A21,CN_일별!$A$4:$A$1372,"&lt;="&amp;$B21),"")</f>
        <v>0.0273981</v>
      </c>
      <c r="M21" s="33" t="n">
        <f aca="false">IFERROR(AVERAGEIFS(CN_일별!$D$4:$D$1372,CN_일별!$A$4:$A$1372,"&gt;="&amp;$A21,CN_일별!$A$4:$A$1372,"&lt;="&amp;$B21),"")</f>
        <v>0.0286395</v>
      </c>
      <c r="N21" s="34" t="n">
        <f aca="false">IF(OR(L21="",K21=""),"",(L21-K21)*10000)</f>
        <v>36.8235</v>
      </c>
      <c r="O21" s="35" t="n">
        <f aca="false">LOOKUP($B21,정책금리_결정!$G$4:$G$9,정책금리_결정!$H$4:$H$9)</f>
        <v>0.04</v>
      </c>
      <c r="P21" s="35" t="n">
        <f aca="false">IFERROR(AVERAGEIFS(VN_국채일별!$D$4:$D$1436,VN_국채일별!$A$4:$A$1436,"&gt;="&amp;$A21,VN_국채일별!$A$4:$A$1436,"&lt;="&amp;$B21),"")</f>
        <v>0.0220959090909091</v>
      </c>
      <c r="Q21" s="35" t="str">
        <f aca="false">IFERROR(SUMIFS(VN_은행채발행!$T$4:$T$712,VN_은행채발행!$C$4:$C$712,$A21)/SUMIFS(VN_은행채발행!$I$4:$I$712,VN_은행채발행!$C$4:$C$712,$A21,VN_은행채발행!$S$4:$S$712,1),"")</f>
        <v/>
      </c>
      <c r="R21" s="36" t="n">
        <f aca="false">COUNTIFS(VN_은행채발행!$C$4:$C$712,$A21,VN_은행채발행!$S$4:$S$712,1)</f>
        <v>0</v>
      </c>
      <c r="S21" s="37" t="str">
        <f aca="false">IFERROR(SUMIFS(VN_은행채발행!$U$4:$U$712,VN_은행채발행!$C$4:$C$712,$A21)/SUMIFS(VN_은행채발행!$Y$4:$Y$712,VN_은행채발행!$C$4:$C$712,$A21),"")</f>
        <v/>
      </c>
      <c r="T21" s="35" t="str">
        <f aca="false">IFERROR(SUMIFS(VN_은행채발행!$W$4:$W$712,VN_은행채발행!$C$4:$C$712,$A21)/SUMIFS(VN_은행채발행!$I$4:$I$712,VN_은행채발행!$C$4:$C$712,$A21,VN_은행채발행!$V$4:$V$712,1),"")</f>
        <v/>
      </c>
      <c r="U21" s="37" t="str">
        <f aca="false">IFERROR(SUMIFS(VN_은행채발행!$X$4:$X$712,VN_은행채발행!$C$4:$C$712,$A21)/SUMIFS(VN_은행채발행!$Z$4:$Z$712,VN_은행채발행!$C$4:$C$712,$A21),"")</f>
        <v/>
      </c>
      <c r="V21" s="38" t="n">
        <f aca="false">LOOKUP($B21,정책금리_결정!$J$4:$J$49,정책금리_결정!$K$4:$K$49)</f>
        <v>0.14</v>
      </c>
      <c r="W21" s="38" t="n">
        <f aca="false">IFERROR(AVERAGEIFS(KZ_일별!$C$4:$C$1352,KZ_일별!$A$4:$A$1352,"&gt;="&amp;$A21,KZ_일별!$A$4:$A$1352,"&lt;="&amp;$B21),"")</f>
        <v>0.134663157894737</v>
      </c>
      <c r="X21" s="38" t="n">
        <f aca="false">IFERROR(AVERAGEIFS(KZ_일별!$E$4:$E$1352,KZ_일별!$A$4:$A$1352,"&gt;="&amp;$A21,KZ_일별!$A$4:$A$1352,"&lt;="&amp;$B21),"")</f>
        <v>0.120659473684211</v>
      </c>
      <c r="Y21" s="38" t="n">
        <f aca="false">IFERROR(AVERAGEIFS(KZ_일별!$F$4:$F$1352,KZ_일별!$A$4:$A$1352,"&gt;="&amp;$A21,KZ_일별!$A$4:$A$1352,"&lt;="&amp;$B21),"")</f>
        <v>0.113357894736842</v>
      </c>
      <c r="Z21" s="38" t="str">
        <f aca="false">IFERROR(AVERAGEIFS(KZ_일별!$G$4:$G$1352,KZ_일별!$A$4:$A$1352,"&gt;="&amp;$A21,KZ_일별!$A$4:$A$1352,"&lt;="&amp;$B21),"")</f>
        <v/>
      </c>
      <c r="AA21" s="39" t="n">
        <f aca="false">IF(OR(Y21="",W21=""),"",(Y21-W21)*10000)</f>
        <v>-213.052631578947</v>
      </c>
      <c r="AB21" s="38" t="n">
        <f aca="false">IFERROR(AVERAGEIFS(KZ_일별!$H$4:$H$1352,KZ_일별!$A$4:$A$1352,"&gt;="&amp;$A21,KZ_일별!$A$4:$A$1352,"&lt;="&amp;$B21),"")</f>
        <v>0.143894736842105</v>
      </c>
    </row>
    <row r="22" customFormat="false" ht="15" hidden="false" customHeight="false" outlineLevel="0" collapsed="false">
      <c r="A22" s="28" t="n">
        <v>44713</v>
      </c>
      <c r="B22" s="29" t="n">
        <f aca="false">EOMONTH(A22,0)</f>
        <v>44742</v>
      </c>
      <c r="C22" s="5" t="str">
        <f aca="false">YEAR(A22)&amp;"Q"&amp;ROUNDUP(MONTH(A22)/3,0)</f>
        <v>2022Q2</v>
      </c>
      <c r="D22" s="30" t="n">
        <f aca="false">YEAR(A22)</f>
        <v>2022</v>
      </c>
      <c r="E22" s="31" t="n">
        <f aca="false">LOOKUP($B22,정책금리_결정!$A$4:$A$70,정책금리_결정!$B$4:$B$70)</f>
        <v>-0.001</v>
      </c>
      <c r="F22" s="31" t="n">
        <f aca="false">IFERROR(AVERAGEIFS(JP_국채일별!$C$4:$C$1345,JP_국채일별!$A$4:$A$1345,"&gt;="&amp;$A22,JP_국채일별!$A$4:$A$1345,"&lt;="&amp;$B22),"")</f>
        <v>-0.000454545454545455</v>
      </c>
      <c r="G22" s="31" t="n">
        <f aca="false">IFERROR(AVERAGEIFS(JP_등급별회사채!$D$4:$D$158,JP_등급별회사채!$A$4:$A$158,"&gt;="&amp;$A22,JP_등급별회사채!$A$4:$A$158,"&lt;="&amp;$B22),"")</f>
        <v>0.0019475</v>
      </c>
      <c r="H22" s="31" t="n">
        <f aca="false">IFERROR(AVERAGEIFS(JP_등급별회사채!$B$4:$B$158,JP_등급별회사채!$A$4:$A$158,"&gt;="&amp;$A22,JP_등급별회사채!$A$4:$A$158,"&lt;="&amp;$B22),"")</f>
        <v>0.00169</v>
      </c>
      <c r="I22" s="32" t="n">
        <f aca="false">IF(OR(G22="",F22=""),"",(G22-F22)*10000)</f>
        <v>24.0204545454545</v>
      </c>
      <c r="J22" s="33" t="n">
        <f aca="false">LOOKUP($B22,정책금리_결정!$D$4:$D$70,정책금리_결정!$E$4:$E$70)</f>
        <v>0.037</v>
      </c>
      <c r="K22" s="33" t="n">
        <f aca="false">IFERROR(AVERAGEIFS(CN_일별!$B$4:$B$1372,CN_일별!$A$4:$A$1372,"&gt;="&amp;$A22,CN_일별!$A$4:$A$1372,"&lt;="&amp;$B22),"")</f>
        <v>0.02379</v>
      </c>
      <c r="L22" s="33" t="n">
        <f aca="false">IFERROR(AVERAGEIFS(CN_일별!$C$4:$C$1372,CN_일별!$A$4:$A$1372,"&gt;="&amp;$A22,CN_일별!$A$4:$A$1372,"&lt;="&amp;$B22),"")</f>
        <v>0.0280852380952381</v>
      </c>
      <c r="M22" s="33" t="n">
        <f aca="false">IFERROR(AVERAGEIFS(CN_일별!$D$4:$D$1372,CN_일별!$A$4:$A$1372,"&gt;="&amp;$A22,CN_일별!$A$4:$A$1372,"&lt;="&amp;$B22),"")</f>
        <v>0.0293657142857143</v>
      </c>
      <c r="N22" s="34" t="n">
        <f aca="false">IF(OR(L22="",K22=""),"",(L22-K22)*10000)</f>
        <v>42.952380952381</v>
      </c>
      <c r="O22" s="35" t="n">
        <f aca="false">LOOKUP($B22,정책금리_결정!$G$4:$G$9,정책금리_결정!$H$4:$H$9)</f>
        <v>0.04</v>
      </c>
      <c r="P22" s="35" t="n">
        <f aca="false">IFERROR(AVERAGEIFS(VN_국채일별!$D$4:$D$1436,VN_국채일별!$A$4:$A$1436,"&gt;="&amp;$A22,VN_국채일별!$A$4:$A$1436,"&lt;="&amp;$B22),"")</f>
        <v>0.0227468181818182</v>
      </c>
      <c r="Q22" s="35" t="n">
        <f aca="false">IFERROR(SUMIFS(VN_은행채발행!$T$4:$T$712,VN_은행채발행!$C$4:$C$712,$A22)/SUMIFS(VN_은행채발행!$I$4:$I$712,VN_은행채발행!$C$4:$C$712,$A22,VN_은행채발행!$S$4:$S$712,1),"")</f>
        <v>0.0433378378378378</v>
      </c>
      <c r="R22" s="36" t="n">
        <f aca="false">COUNTIFS(VN_은행채발행!$C$4:$C$712,$A22,VN_은행채발행!$S$4:$S$712,1)</f>
        <v>8</v>
      </c>
      <c r="S22" s="37" t="n">
        <f aca="false">IFERROR(SUMIFS(VN_은행채발행!$U$4:$U$712,VN_은행채발행!$C$4:$C$712,$A22)/SUMIFS(VN_은행채발행!$Y$4:$Y$712,VN_은행채발행!$C$4:$C$712,$A22),"")</f>
        <v>201.85</v>
      </c>
      <c r="T22" s="35" t="n">
        <f aca="false">IFERROR(SUMIFS(VN_은행채발행!$W$4:$W$712,VN_은행채발행!$C$4:$C$712,$A22)/SUMIFS(VN_은행채발행!$I$4:$I$712,VN_은행채발행!$C$4:$C$712,$A22,VN_은행채발행!$V$4:$V$712,1),"")</f>
        <v>0.068</v>
      </c>
      <c r="U22" s="37" t="str">
        <f aca="false">IFERROR(SUMIFS(VN_은행채발행!$X$4:$X$712,VN_은행채발행!$C$4:$C$712,$A22)/SUMIFS(VN_은행채발행!$Z$4:$Z$712,VN_은행채발행!$C$4:$C$712,$A22),"")</f>
        <v/>
      </c>
      <c r="V22" s="38" t="n">
        <f aca="false">LOOKUP($B22,정책금리_결정!$J$4:$J$49,정책금리_결정!$K$4:$K$49)</f>
        <v>0.14</v>
      </c>
      <c r="W22" s="38" t="n">
        <f aca="false">IFERROR(AVERAGEIFS(KZ_일별!$C$4:$C$1352,KZ_일별!$A$4:$A$1352,"&gt;="&amp;$A22,KZ_일별!$A$4:$A$1352,"&lt;="&amp;$B22),"")</f>
        <v>0.135031818181818</v>
      </c>
      <c r="X22" s="38" t="n">
        <f aca="false">IFERROR(AVERAGEIFS(KZ_일별!$E$4:$E$1352,KZ_일별!$A$4:$A$1352,"&gt;="&amp;$A22,KZ_일별!$A$4:$A$1352,"&lt;="&amp;$B22),"")</f>
        <v>0.120831818181818</v>
      </c>
      <c r="Y22" s="38" t="n">
        <f aca="false">IFERROR(AVERAGEIFS(KZ_일별!$F$4:$F$1352,KZ_일별!$A$4:$A$1352,"&gt;="&amp;$A22,KZ_일별!$A$4:$A$1352,"&lt;="&amp;$B22),"")</f>
        <v>0.11555</v>
      </c>
      <c r="Z22" s="38" t="str">
        <f aca="false">IFERROR(AVERAGEIFS(KZ_일별!$G$4:$G$1352,KZ_일별!$A$4:$A$1352,"&gt;="&amp;$A22,KZ_일별!$A$4:$A$1352,"&lt;="&amp;$B22),"")</f>
        <v/>
      </c>
      <c r="AA22" s="39" t="n">
        <f aca="false">IF(OR(Y22="",W22=""),"",(Y22-W22)*10000)</f>
        <v>-194.818181818182</v>
      </c>
      <c r="AB22" s="38" t="n">
        <f aca="false">IFERROR(AVERAGEIFS(KZ_일별!$H$4:$H$1352,KZ_일별!$A$4:$A$1352,"&gt;="&amp;$A22,KZ_일별!$A$4:$A$1352,"&lt;="&amp;$B22),"")</f>
        <v>0.135277272727273</v>
      </c>
    </row>
    <row r="23" customFormat="false" ht="15" hidden="false" customHeight="false" outlineLevel="0" collapsed="false">
      <c r="A23" s="28" t="n">
        <v>44743</v>
      </c>
      <c r="B23" s="29" t="n">
        <f aca="false">EOMONTH(A23,0)</f>
        <v>44773</v>
      </c>
      <c r="C23" s="5" t="str">
        <f aca="false">YEAR(A23)&amp;"Q"&amp;ROUNDUP(MONTH(A23)/3,0)</f>
        <v>2022Q3</v>
      </c>
      <c r="D23" s="30" t="n">
        <f aca="false">YEAR(A23)</f>
        <v>2022</v>
      </c>
      <c r="E23" s="31" t="n">
        <f aca="false">LOOKUP($B23,정책금리_결정!$A$4:$A$70,정책금리_결정!$B$4:$B$70)</f>
        <v>-0.001</v>
      </c>
      <c r="F23" s="31" t="n">
        <f aca="false">IFERROR(AVERAGEIFS(JP_국채일별!$C$4:$C$1345,JP_국채일별!$A$4:$A$1345,"&gt;="&amp;$A23,JP_국채일별!$A$4:$A$1345,"&lt;="&amp;$B23),"")</f>
        <v>-0.0007515</v>
      </c>
      <c r="G23" s="31" t="n">
        <f aca="false">IFERROR(AVERAGEIFS(JP_등급별회사채!$D$4:$D$158,JP_등급별회사채!$A$4:$A$158,"&gt;="&amp;$A23,JP_등급별회사채!$A$4:$A$158,"&lt;="&amp;$B23),"")</f>
        <v>0.0020175</v>
      </c>
      <c r="H23" s="31" t="n">
        <f aca="false">IFERROR(AVERAGEIFS(JP_등급별회사채!$B$4:$B$158,JP_등급별회사채!$A$4:$A$158,"&gt;="&amp;$A23,JP_등급별회사채!$A$4:$A$158,"&lt;="&amp;$B23),"")</f>
        <v>0.0016475</v>
      </c>
      <c r="I23" s="32" t="n">
        <f aca="false">IF(OR(G23="",F23=""),"",(G23-F23)*10000)</f>
        <v>27.69</v>
      </c>
      <c r="J23" s="33" t="n">
        <f aca="false">LOOKUP($B23,정책금리_결정!$D$4:$D$70,정책금리_결정!$E$4:$E$70)</f>
        <v>0.037</v>
      </c>
      <c r="K23" s="33" t="n">
        <f aca="false">IFERROR(AVERAGEIFS(CN_일별!$B$4:$B$1372,CN_일별!$A$4:$A$1372,"&gt;="&amp;$A23,CN_일별!$A$4:$A$1372,"&lt;="&amp;$B23),"")</f>
        <v>0.024113</v>
      </c>
      <c r="L23" s="33" t="n">
        <f aca="false">IFERROR(AVERAGEIFS(CN_일별!$C$4:$C$1372,CN_일별!$A$4:$A$1372,"&gt;="&amp;$A23,CN_일별!$A$4:$A$1372,"&lt;="&amp;$B23),"")</f>
        <v>0.0275810952380952</v>
      </c>
      <c r="M23" s="33" t="n">
        <f aca="false">IFERROR(AVERAGEIFS(CN_일별!$D$4:$D$1372,CN_일별!$A$4:$A$1372,"&gt;="&amp;$A23,CN_일별!$A$4:$A$1372,"&lt;="&amp;$B23),"")</f>
        <v>0.0283165714285714</v>
      </c>
      <c r="N23" s="34" t="n">
        <f aca="false">IF(OR(L23="",K23=""),"",(L23-K23)*10000)</f>
        <v>34.6809523809524</v>
      </c>
      <c r="O23" s="35" t="n">
        <f aca="false">LOOKUP($B23,정책금리_결정!$G$4:$G$9,정책금리_결정!$H$4:$H$9)</f>
        <v>0.04</v>
      </c>
      <c r="P23" s="35" t="n">
        <f aca="false">IFERROR(AVERAGEIFS(VN_국채일별!$D$4:$D$1436,VN_국채일별!$A$4:$A$1436,"&gt;="&amp;$A23,VN_국채일별!$A$4:$A$1436,"&lt;="&amp;$B23),"")</f>
        <v>0.0267485714285714</v>
      </c>
      <c r="Q23" s="35" t="str">
        <f aca="false">IFERROR(SUMIFS(VN_은행채발행!$T$4:$T$712,VN_은행채발행!$C$4:$C$712,$A23)/SUMIFS(VN_은행채발행!$I$4:$I$712,VN_은행채발행!$C$4:$C$712,$A23,VN_은행채발행!$S$4:$S$712,1),"")</f>
        <v/>
      </c>
      <c r="R23" s="36" t="n">
        <f aca="false">COUNTIFS(VN_은행채발행!$C$4:$C$712,$A23,VN_은행채발행!$S$4:$S$712,1)</f>
        <v>0</v>
      </c>
      <c r="S23" s="37" t="str">
        <f aca="false">IFERROR(SUMIFS(VN_은행채발행!$U$4:$U$712,VN_은행채발행!$C$4:$C$712,$A23)/SUMIFS(VN_은행채발행!$Y$4:$Y$712,VN_은행채발행!$C$4:$C$712,$A23),"")</f>
        <v/>
      </c>
      <c r="T23" s="35" t="str">
        <f aca="false">IFERROR(SUMIFS(VN_은행채발행!$W$4:$W$712,VN_은행채발행!$C$4:$C$712,$A23)/SUMIFS(VN_은행채발행!$I$4:$I$712,VN_은행채발행!$C$4:$C$712,$A23,VN_은행채발행!$V$4:$V$712,1),"")</f>
        <v/>
      </c>
      <c r="U23" s="37" t="str">
        <f aca="false">IFERROR(SUMIFS(VN_은행채발행!$X$4:$X$712,VN_은행채발행!$C$4:$C$712,$A23)/SUMIFS(VN_은행채발행!$Z$4:$Z$712,VN_은행채발행!$C$4:$C$712,$A23),"")</f>
        <v/>
      </c>
      <c r="V23" s="38" t="n">
        <f aca="false">LOOKUP($B23,정책금리_결정!$J$4:$J$49,정책금리_결정!$K$4:$K$49)</f>
        <v>0.145</v>
      </c>
      <c r="W23" s="38" t="n">
        <f aca="false">IFERROR(AVERAGEIFS(KZ_일별!$C$4:$C$1352,KZ_일별!$A$4:$A$1352,"&gt;="&amp;$A23,KZ_일별!$A$4:$A$1352,"&lt;="&amp;$B23),"")</f>
        <v>0.131165</v>
      </c>
      <c r="X23" s="38" t="n">
        <f aca="false">IFERROR(AVERAGEIFS(KZ_일별!$E$4:$E$1352,KZ_일별!$A$4:$A$1352,"&gt;="&amp;$A23,KZ_일별!$A$4:$A$1352,"&lt;="&amp;$B23),"")</f>
        <v>0.133366</v>
      </c>
      <c r="Y23" s="38" t="n">
        <f aca="false">IFERROR(AVERAGEIFS(KZ_일별!$F$4:$F$1352,KZ_일별!$A$4:$A$1352,"&gt;="&amp;$A23,KZ_일별!$A$4:$A$1352,"&lt;="&amp;$B23),"")</f>
        <v>0.116555</v>
      </c>
      <c r="Z23" s="38" t="str">
        <f aca="false">IFERROR(AVERAGEIFS(KZ_일별!$G$4:$G$1352,KZ_일별!$A$4:$A$1352,"&gt;="&amp;$A23,KZ_일별!$A$4:$A$1352,"&lt;="&amp;$B23),"")</f>
        <v/>
      </c>
      <c r="AA23" s="39" t="n">
        <f aca="false">IF(OR(Y23="",W23=""),"",(Y23-W23)*10000)</f>
        <v>-146.1</v>
      </c>
      <c r="AB23" s="38" t="n">
        <f aca="false">IFERROR(AVERAGEIFS(KZ_일별!$H$4:$H$1352,KZ_일별!$A$4:$A$1352,"&gt;="&amp;$A23,KZ_일별!$A$4:$A$1352,"&lt;="&amp;$B23),"")</f>
        <v>0.130855</v>
      </c>
    </row>
    <row r="24" customFormat="false" ht="15" hidden="false" customHeight="false" outlineLevel="0" collapsed="false">
      <c r="A24" s="28" t="n">
        <v>44774</v>
      </c>
      <c r="B24" s="29" t="n">
        <f aca="false">EOMONTH(A24,0)</f>
        <v>44804</v>
      </c>
      <c r="C24" s="5" t="str">
        <f aca="false">YEAR(A24)&amp;"Q"&amp;ROUNDUP(MONTH(A24)/3,0)</f>
        <v>2022Q3</v>
      </c>
      <c r="D24" s="30" t="n">
        <f aca="false">YEAR(A24)</f>
        <v>2022</v>
      </c>
      <c r="E24" s="31" t="n">
        <f aca="false">LOOKUP($B24,정책금리_결정!$A$4:$A$70,정책금리_결정!$B$4:$B$70)</f>
        <v>-0.001</v>
      </c>
      <c r="F24" s="31" t="n">
        <f aca="false">IFERROR(AVERAGEIFS(JP_국채일별!$C$4:$C$1345,JP_국채일별!$A$4:$A$1345,"&gt;="&amp;$A24,JP_국채일별!$A$4:$A$1345,"&lt;="&amp;$B24),"")</f>
        <v>-0.000904090909090909</v>
      </c>
      <c r="G24" s="31" t="n">
        <f aca="false">IFERROR(AVERAGEIFS(JP_등급별회사채!$D$4:$D$158,JP_등급별회사채!$A$4:$A$158,"&gt;="&amp;$A24,JP_등급별회사채!$A$4:$A$158,"&lt;="&amp;$B24),"")</f>
        <v>0.00196333333333333</v>
      </c>
      <c r="H24" s="31" t="n">
        <f aca="false">IFERROR(AVERAGEIFS(JP_등급별회사채!$B$4:$B$158,JP_등급별회사채!$A$4:$A$158,"&gt;="&amp;$A24,JP_등급별회사채!$A$4:$A$158,"&lt;="&amp;$B24),"")</f>
        <v>0.00151666666666667</v>
      </c>
      <c r="I24" s="32" t="n">
        <f aca="false">IF(OR(G24="",F24=""),"",(G24-F24)*10000)</f>
        <v>28.6742424242424</v>
      </c>
      <c r="J24" s="33" t="n">
        <f aca="false">LOOKUP($B24,정책금리_결정!$D$4:$D$70,정책금리_결정!$E$4:$E$70)</f>
        <v>0.0365</v>
      </c>
      <c r="K24" s="33" t="n">
        <f aca="false">IFERROR(AVERAGEIFS(CN_일별!$B$4:$B$1372,CN_일별!$A$4:$A$1372,"&gt;="&amp;$A24,CN_일별!$A$4:$A$1372,"&lt;="&amp;$B24),"")</f>
        <v>0.0226286086956522</v>
      </c>
      <c r="L24" s="33" t="n">
        <f aca="false">IFERROR(AVERAGEIFS(CN_일별!$C$4:$C$1372,CN_일별!$A$4:$A$1372,"&gt;="&amp;$A24,CN_일별!$A$4:$A$1372,"&lt;="&amp;$B24),"")</f>
        <v>0.0253000434782609</v>
      </c>
      <c r="M24" s="33" t="n">
        <f aca="false">IFERROR(AVERAGEIFS(CN_일별!$D$4:$D$1372,CN_일별!$A$4:$A$1372,"&gt;="&amp;$A24,CN_일별!$A$4:$A$1372,"&lt;="&amp;$B24),"")</f>
        <v>0.0261079130434783</v>
      </c>
      <c r="N24" s="34" t="n">
        <f aca="false">IF(OR(L24="",K24=""),"",(L24-K24)*10000)</f>
        <v>26.714347826087</v>
      </c>
      <c r="O24" s="35" t="n">
        <f aca="false">LOOKUP($B24,정책금리_결정!$G$4:$G$9,정책금리_결정!$H$4:$H$9)</f>
        <v>0.04</v>
      </c>
      <c r="P24" s="35" t="n">
        <f aca="false">IFERROR(AVERAGEIFS(VN_국채일별!$D$4:$D$1436,VN_국채일별!$A$4:$A$1436,"&gt;="&amp;$A24,VN_국채일별!$A$4:$A$1436,"&lt;="&amp;$B24),"")</f>
        <v>0.0317086956521739</v>
      </c>
      <c r="Q24" s="35" t="str">
        <f aca="false">IFERROR(SUMIFS(VN_은행채발행!$T$4:$T$712,VN_은행채발행!$C$4:$C$712,$A24)/SUMIFS(VN_은행채발행!$I$4:$I$712,VN_은행채발행!$C$4:$C$712,$A24,VN_은행채발행!$S$4:$S$712,1),"")</f>
        <v/>
      </c>
      <c r="R24" s="36" t="n">
        <f aca="false">COUNTIFS(VN_은행채발행!$C$4:$C$712,$A24,VN_은행채발행!$S$4:$S$712,1)</f>
        <v>0</v>
      </c>
      <c r="S24" s="37" t="str">
        <f aca="false">IFERROR(SUMIFS(VN_은행채발행!$U$4:$U$712,VN_은행채발행!$C$4:$C$712,$A24)/SUMIFS(VN_은행채발행!$Y$4:$Y$712,VN_은행채발행!$C$4:$C$712,$A24),"")</f>
        <v/>
      </c>
      <c r="T24" s="35" t="str">
        <f aca="false">IFERROR(SUMIFS(VN_은행채발행!$W$4:$W$712,VN_은행채발행!$C$4:$C$712,$A24)/SUMIFS(VN_은행채발행!$I$4:$I$712,VN_은행채발행!$C$4:$C$712,$A24,VN_은행채발행!$V$4:$V$712,1),"")</f>
        <v/>
      </c>
      <c r="U24" s="37" t="str">
        <f aca="false">IFERROR(SUMIFS(VN_은행채발행!$X$4:$X$712,VN_은행채발행!$C$4:$C$712,$A24)/SUMIFS(VN_은행채발행!$Z$4:$Z$712,VN_은행채발행!$C$4:$C$712,$A24),"")</f>
        <v/>
      </c>
      <c r="V24" s="38" t="n">
        <f aca="false">LOOKUP($B24,정책금리_결정!$J$4:$J$49,정책금리_결정!$K$4:$K$49)</f>
        <v>0.145</v>
      </c>
      <c r="W24" s="38" t="n">
        <f aca="false">IFERROR(AVERAGEIFS(KZ_일별!$C$4:$C$1352,KZ_일별!$A$4:$A$1352,"&gt;="&amp;$A24,KZ_일별!$A$4:$A$1352,"&lt;="&amp;$B24),"")</f>
        <v>0.129113636363636</v>
      </c>
      <c r="X24" s="38" t="n">
        <f aca="false">IFERROR(AVERAGEIFS(KZ_일별!$E$4:$E$1352,KZ_일별!$A$4:$A$1352,"&gt;="&amp;$A24,KZ_일별!$A$4:$A$1352,"&lt;="&amp;$B24),"")</f>
        <v>0.133301428571429</v>
      </c>
      <c r="Y24" s="38" t="n">
        <f aca="false">IFERROR(AVERAGEIFS(KZ_일별!$F$4:$F$1352,KZ_일별!$A$4:$A$1352,"&gt;="&amp;$A24,KZ_일별!$A$4:$A$1352,"&lt;="&amp;$B24),"")</f>
        <v>0.116727272727273</v>
      </c>
      <c r="Z24" s="38" t="str">
        <f aca="false">IFERROR(AVERAGEIFS(KZ_일별!$G$4:$G$1352,KZ_일별!$A$4:$A$1352,"&gt;="&amp;$A24,KZ_일별!$A$4:$A$1352,"&lt;="&amp;$B24),"")</f>
        <v/>
      </c>
      <c r="AA24" s="39" t="n">
        <f aca="false">IF(OR(Y24="",W24=""),"",(Y24-W24)*10000)</f>
        <v>-123.863636363636</v>
      </c>
      <c r="AB24" s="38" t="n">
        <f aca="false">IFERROR(AVERAGEIFS(KZ_일별!$H$4:$H$1352,KZ_일별!$A$4:$A$1352,"&gt;="&amp;$A24,KZ_일별!$A$4:$A$1352,"&lt;="&amp;$B24),"")</f>
        <v>0.138368181818182</v>
      </c>
    </row>
    <row r="25" customFormat="false" ht="15" hidden="false" customHeight="false" outlineLevel="0" collapsed="false">
      <c r="A25" s="28" t="n">
        <v>44805</v>
      </c>
      <c r="B25" s="29" t="n">
        <f aca="false">EOMONTH(A25,0)</f>
        <v>44834</v>
      </c>
      <c r="C25" s="5" t="str">
        <f aca="false">YEAR(A25)&amp;"Q"&amp;ROUNDUP(MONTH(A25)/3,0)</f>
        <v>2022Q3</v>
      </c>
      <c r="D25" s="30" t="n">
        <f aca="false">YEAR(A25)</f>
        <v>2022</v>
      </c>
      <c r="E25" s="31" t="n">
        <f aca="false">LOOKUP($B25,정책금리_결정!$A$4:$A$70,정책금리_결정!$B$4:$B$70)</f>
        <v>-0.001</v>
      </c>
      <c r="F25" s="31" t="n">
        <f aca="false">IFERROR(AVERAGEIFS(JP_국채일별!$C$4:$C$1345,JP_국채일별!$A$4:$A$1345,"&gt;="&amp;$A25,JP_국채일별!$A$4:$A$1345,"&lt;="&amp;$B25),"")</f>
        <v>-0.0006325</v>
      </c>
      <c r="G25" s="31" t="n">
        <f aca="false">IFERROR(AVERAGEIFS(JP_등급별회사채!$D$4:$D$158,JP_등급별회사채!$A$4:$A$158,"&gt;="&amp;$A25,JP_등급별회사채!$A$4:$A$158,"&lt;="&amp;$B25),"")</f>
        <v>0.00217</v>
      </c>
      <c r="H25" s="31" t="n">
        <f aca="false">IFERROR(AVERAGEIFS(JP_등급별회사채!$B$4:$B$158,JP_등급별회사채!$A$4:$A$158,"&gt;="&amp;$A25,JP_등급별회사채!$A$4:$A$158,"&lt;="&amp;$B25),"")</f>
        <v>0.00165</v>
      </c>
      <c r="I25" s="32" t="n">
        <f aca="false">IF(OR(G25="",F25=""),"",(G25-F25)*10000)</f>
        <v>28.025</v>
      </c>
      <c r="J25" s="33" t="n">
        <f aca="false">LOOKUP($B25,정책금리_결정!$D$4:$D$70,정책금리_결정!$E$4:$E$70)</f>
        <v>0.0365</v>
      </c>
      <c r="K25" s="33" t="n">
        <f aca="false">IFERROR(AVERAGEIFS(CN_일별!$B$4:$B$1372,CN_일별!$A$4:$A$1372,"&gt;="&amp;$A25,CN_일별!$A$4:$A$1372,"&lt;="&amp;$B25),"")</f>
        <v>0.022337380952381</v>
      </c>
      <c r="L25" s="33" t="n">
        <f aca="false">IFERROR(AVERAGEIFS(CN_일별!$C$4:$C$1372,CN_일별!$A$4:$A$1372,"&gt;="&amp;$A25,CN_일별!$A$4:$A$1372,"&lt;="&amp;$B25),"")</f>
        <v>0.0247062857142857</v>
      </c>
      <c r="M25" s="33" t="n">
        <f aca="false">IFERROR(AVERAGEIFS(CN_일별!$D$4:$D$1372,CN_일별!$A$4:$A$1372,"&gt;="&amp;$A25,CN_일별!$A$4:$A$1372,"&lt;="&amp;$B25),"")</f>
        <v>0.0259599523809524</v>
      </c>
      <c r="N25" s="34" t="n">
        <f aca="false">IF(OR(L25="",K25=""),"",(L25-K25)*10000)</f>
        <v>23.6890476190476</v>
      </c>
      <c r="O25" s="35" t="n">
        <f aca="false">LOOKUP($B25,정책금리_결정!$G$4:$G$9,정책금리_결정!$H$4:$H$9)</f>
        <v>0.05</v>
      </c>
      <c r="P25" s="35" t="n">
        <f aca="false">IFERROR(AVERAGEIFS(VN_국채일별!$D$4:$D$1436,VN_국채일별!$A$4:$A$1436,"&gt;="&amp;$A25,VN_국채일별!$A$4:$A$1436,"&lt;="&amp;$B25),"")</f>
        <v>0.0367454545454545</v>
      </c>
      <c r="Q25" s="35" t="str">
        <f aca="false">IFERROR(SUMIFS(VN_은행채발행!$T$4:$T$712,VN_은행채발행!$C$4:$C$712,$A25)/SUMIFS(VN_은행채발행!$I$4:$I$712,VN_은행채발행!$C$4:$C$712,$A25,VN_은행채발행!$S$4:$S$712,1),"")</f>
        <v/>
      </c>
      <c r="R25" s="36" t="n">
        <f aca="false">COUNTIFS(VN_은행채발행!$C$4:$C$712,$A25,VN_은행채발행!$S$4:$S$712,1)</f>
        <v>0</v>
      </c>
      <c r="S25" s="37" t="str">
        <f aca="false">IFERROR(SUMIFS(VN_은행채발행!$U$4:$U$712,VN_은행채발행!$C$4:$C$712,$A25)/SUMIFS(VN_은행채발행!$Y$4:$Y$712,VN_은행채발행!$C$4:$C$712,$A25),"")</f>
        <v/>
      </c>
      <c r="T25" s="35" t="str">
        <f aca="false">IFERROR(SUMIFS(VN_은행채발행!$W$4:$W$712,VN_은행채발행!$C$4:$C$712,$A25)/SUMIFS(VN_은행채발행!$I$4:$I$712,VN_은행채발행!$C$4:$C$712,$A25,VN_은행채발행!$V$4:$V$712,1),"")</f>
        <v/>
      </c>
      <c r="U25" s="37" t="str">
        <f aca="false">IFERROR(SUMIFS(VN_은행채발행!$X$4:$X$712,VN_은행채발행!$C$4:$C$712,$A25)/SUMIFS(VN_은행채발행!$Z$4:$Z$712,VN_은행채발행!$C$4:$C$712,$A25),"")</f>
        <v/>
      </c>
      <c r="V25" s="38" t="n">
        <f aca="false">LOOKUP($B25,정책금리_결정!$J$4:$J$49,정책금리_결정!$K$4:$K$49)</f>
        <v>0.145</v>
      </c>
      <c r="W25" s="38" t="n">
        <f aca="false">IFERROR(AVERAGEIFS(KZ_일별!$C$4:$C$1352,KZ_일별!$A$4:$A$1352,"&gt;="&amp;$A25,KZ_일별!$A$4:$A$1352,"&lt;="&amp;$B25),"")</f>
        <v>0.128209090909091</v>
      </c>
      <c r="X25" s="38" t="n">
        <f aca="false">IFERROR(AVERAGEIFS(KZ_일별!$E$4:$E$1352,KZ_일별!$A$4:$A$1352,"&gt;="&amp;$A25,KZ_일별!$A$4:$A$1352,"&lt;="&amp;$B25),"")</f>
        <v>0.137102727272727</v>
      </c>
      <c r="Y25" s="38" t="n">
        <f aca="false">IFERROR(AVERAGEIFS(KZ_일별!$F$4:$F$1352,KZ_일별!$A$4:$A$1352,"&gt;="&amp;$A25,KZ_일별!$A$4:$A$1352,"&lt;="&amp;$B25),"")</f>
        <v>0.118113636363636</v>
      </c>
      <c r="Z25" s="38" t="str">
        <f aca="false">IFERROR(AVERAGEIFS(KZ_일별!$G$4:$G$1352,KZ_일별!$A$4:$A$1352,"&gt;="&amp;$A25,KZ_일별!$A$4:$A$1352,"&lt;="&amp;$B25),"")</f>
        <v/>
      </c>
      <c r="AA25" s="39" t="n">
        <f aca="false">IF(OR(Y25="",W25=""),"",(Y25-W25)*10000)</f>
        <v>-100.954545454545</v>
      </c>
      <c r="AB25" s="38" t="n">
        <f aca="false">IFERROR(AVERAGEIFS(KZ_일별!$H$4:$H$1352,KZ_일별!$A$4:$A$1352,"&gt;="&amp;$A25,KZ_일별!$A$4:$A$1352,"&lt;="&amp;$B25),"")</f>
        <v>0.144168181818182</v>
      </c>
    </row>
    <row r="26" customFormat="false" ht="15" hidden="false" customHeight="false" outlineLevel="0" collapsed="false">
      <c r="A26" s="28" t="n">
        <v>44835</v>
      </c>
      <c r="B26" s="29" t="n">
        <f aca="false">EOMONTH(A26,0)</f>
        <v>44865</v>
      </c>
      <c r="C26" s="5" t="str">
        <f aca="false">YEAR(A26)&amp;"Q"&amp;ROUNDUP(MONTH(A26)/3,0)</f>
        <v>2022Q4</v>
      </c>
      <c r="D26" s="30" t="n">
        <f aca="false">YEAR(A26)</f>
        <v>2022</v>
      </c>
      <c r="E26" s="31" t="n">
        <f aca="false">LOOKUP($B26,정책금리_결정!$A$4:$A$70,정책금리_결정!$B$4:$B$70)</f>
        <v>-0.001</v>
      </c>
      <c r="F26" s="31" t="n">
        <f aca="false">IFERROR(AVERAGEIFS(JP_국채일별!$C$4:$C$1345,JP_국채일별!$A$4:$A$1345,"&gt;="&amp;$A26,JP_국채일별!$A$4:$A$1345,"&lt;="&amp;$B26),"")</f>
        <v>-0.0003225</v>
      </c>
      <c r="G26" s="31" t="n">
        <f aca="false">IFERROR(AVERAGEIFS(JP_등급별회사채!$D$4:$D$158,JP_등급별회사채!$A$4:$A$158,"&gt;="&amp;$A26,JP_등급별회사채!$A$4:$A$158,"&lt;="&amp;$B26),"")</f>
        <v>0.00272</v>
      </c>
      <c r="H26" s="31" t="n">
        <f aca="false">IFERROR(AVERAGEIFS(JP_등급별회사채!$B$4:$B$158,JP_등급별회사채!$A$4:$A$158,"&gt;="&amp;$A26,JP_등급별회사채!$A$4:$A$158,"&lt;="&amp;$B26),"")</f>
        <v>0.00207</v>
      </c>
      <c r="I26" s="32" t="n">
        <f aca="false">IF(OR(G26="",F26=""),"",(G26-F26)*10000)</f>
        <v>30.425</v>
      </c>
      <c r="J26" s="33" t="n">
        <f aca="false">LOOKUP($B26,정책금리_결정!$D$4:$D$70,정책금리_결정!$E$4:$E$70)</f>
        <v>0.0365</v>
      </c>
      <c r="K26" s="33" t="n">
        <f aca="false">IFERROR(AVERAGEIFS(CN_일별!$B$4:$B$1372,CN_일별!$A$4:$A$1372,"&gt;="&amp;$A26,CN_일별!$A$4:$A$1372,"&lt;="&amp;$B26),"")</f>
        <v>0.0227519444444444</v>
      </c>
      <c r="L26" s="33" t="n">
        <f aca="false">IFERROR(AVERAGEIFS(CN_일별!$C$4:$C$1372,CN_일별!$A$4:$A$1372,"&gt;="&amp;$A26,CN_일별!$A$4:$A$1372,"&lt;="&amp;$B26),"")</f>
        <v>0.0246534444444444</v>
      </c>
      <c r="M26" s="33" t="n">
        <f aca="false">IFERROR(AVERAGEIFS(CN_일별!$D$4:$D$1372,CN_일별!$A$4:$A$1372,"&gt;="&amp;$A26,CN_일별!$A$4:$A$1372,"&lt;="&amp;$B26),"")</f>
        <v>0.0259651111111111</v>
      </c>
      <c r="N26" s="34" t="n">
        <f aca="false">IF(OR(L26="",K26=""),"",(L26-K26)*10000)</f>
        <v>19.015</v>
      </c>
      <c r="O26" s="35" t="n">
        <f aca="false">LOOKUP($B26,정책금리_결정!$G$4:$G$9,정책금리_결정!$H$4:$H$9)</f>
        <v>0.06</v>
      </c>
      <c r="P26" s="35" t="n">
        <f aca="false">IFERROR(AVERAGEIFS(VN_국채일별!$D$4:$D$1436,VN_국채일별!$A$4:$A$1436,"&gt;="&amp;$A26,VN_국채일별!$A$4:$A$1436,"&lt;="&amp;$B26),"")</f>
        <v>0.0494495238095238</v>
      </c>
      <c r="Q26" s="35" t="str">
        <f aca="false">IFERROR(SUMIFS(VN_은행채발행!$T$4:$T$712,VN_은행채발행!$C$4:$C$712,$A26)/SUMIFS(VN_은행채발행!$I$4:$I$712,VN_은행채발행!$C$4:$C$712,$A26,VN_은행채발행!$S$4:$S$712,1),"")</f>
        <v/>
      </c>
      <c r="R26" s="36" t="n">
        <f aca="false">COUNTIFS(VN_은행채발행!$C$4:$C$712,$A26,VN_은행채발행!$S$4:$S$712,1)</f>
        <v>0</v>
      </c>
      <c r="S26" s="37" t="str">
        <f aca="false">IFERROR(SUMIFS(VN_은행채발행!$U$4:$U$712,VN_은행채발행!$C$4:$C$712,$A26)/SUMIFS(VN_은행채발행!$Y$4:$Y$712,VN_은행채발행!$C$4:$C$712,$A26),"")</f>
        <v/>
      </c>
      <c r="T26" s="35" t="str">
        <f aca="false">IFERROR(SUMIFS(VN_은행채발행!$W$4:$W$712,VN_은행채발행!$C$4:$C$712,$A26)/SUMIFS(VN_은행채발행!$I$4:$I$712,VN_은행채발행!$C$4:$C$712,$A26,VN_은행채발행!$V$4:$V$712,1),"")</f>
        <v/>
      </c>
      <c r="U26" s="37" t="str">
        <f aca="false">IFERROR(SUMIFS(VN_은행채발행!$X$4:$X$712,VN_은행채발행!$C$4:$C$712,$A26)/SUMIFS(VN_은행채발행!$Z$4:$Z$712,VN_은행채발행!$C$4:$C$712,$A26),"")</f>
        <v/>
      </c>
      <c r="V26" s="38" t="n">
        <f aca="false">LOOKUP($B26,정책금리_결정!$J$4:$J$49,정책금리_결정!$K$4:$K$49)</f>
        <v>0.16</v>
      </c>
      <c r="W26" s="38" t="n">
        <f aca="false">IFERROR(AVERAGEIFS(KZ_일별!$C$4:$C$1352,KZ_일별!$A$4:$A$1352,"&gt;="&amp;$A26,KZ_일별!$A$4:$A$1352,"&lt;="&amp;$B26),"")</f>
        <v>0.128875</v>
      </c>
      <c r="X26" s="38" t="n">
        <f aca="false">IFERROR(AVERAGEIFS(KZ_일별!$E$4:$E$1352,KZ_일별!$A$4:$A$1352,"&gt;="&amp;$A26,KZ_일별!$A$4:$A$1352,"&lt;="&amp;$B26),"")</f>
        <v>0.137989473684211</v>
      </c>
      <c r="Y26" s="38" t="n">
        <f aca="false">IFERROR(AVERAGEIFS(KZ_일별!$F$4:$F$1352,KZ_일별!$A$4:$A$1352,"&gt;="&amp;$A26,KZ_일별!$A$4:$A$1352,"&lt;="&amp;$B26),"")</f>
        <v>0.120495</v>
      </c>
      <c r="Z26" s="38" t="str">
        <f aca="false">IFERROR(AVERAGEIFS(KZ_일별!$G$4:$G$1352,KZ_일별!$A$4:$A$1352,"&gt;="&amp;$A26,KZ_일별!$A$4:$A$1352,"&lt;="&amp;$B26),"")</f>
        <v/>
      </c>
      <c r="AA26" s="39" t="n">
        <f aca="false">IF(OR(Y26="",W26=""),"",(Y26-W26)*10000)</f>
        <v>-83.8000000000003</v>
      </c>
      <c r="AB26" s="38" t="n">
        <f aca="false">IFERROR(AVERAGEIFS(KZ_일별!$H$4:$H$1352,KZ_일별!$A$4:$A$1352,"&gt;="&amp;$A26,KZ_일별!$A$4:$A$1352,"&lt;="&amp;$B26),"")</f>
        <v>0.146285</v>
      </c>
    </row>
    <row r="27" customFormat="false" ht="15" hidden="false" customHeight="false" outlineLevel="0" collapsed="false">
      <c r="A27" s="28" t="n">
        <v>44866</v>
      </c>
      <c r="B27" s="29" t="n">
        <f aca="false">EOMONTH(A27,0)</f>
        <v>44895</v>
      </c>
      <c r="C27" s="5" t="str">
        <f aca="false">YEAR(A27)&amp;"Q"&amp;ROUNDUP(MONTH(A27)/3,0)</f>
        <v>2022Q4</v>
      </c>
      <c r="D27" s="30" t="n">
        <f aca="false">YEAR(A27)</f>
        <v>2022</v>
      </c>
      <c r="E27" s="31" t="n">
        <f aca="false">LOOKUP($B27,정책금리_결정!$A$4:$A$70,정책금리_결정!$B$4:$B$70)</f>
        <v>-0.001</v>
      </c>
      <c r="F27" s="31" t="n">
        <f aca="false">IFERROR(AVERAGEIFS(JP_국채일별!$C$4:$C$1345,JP_국채일별!$A$4:$A$1345,"&gt;="&amp;$A27,JP_국채일별!$A$4:$A$1345,"&lt;="&amp;$B27),"")</f>
        <v>-0.0003135</v>
      </c>
      <c r="G27" s="31" t="n">
        <f aca="false">IFERROR(AVERAGEIFS(JP_등급별회사채!$D$4:$D$158,JP_등급별회사채!$A$4:$A$158,"&gt;="&amp;$A27,JP_등급별회사채!$A$4:$A$158,"&lt;="&amp;$B27),"")</f>
        <v>0.00252</v>
      </c>
      <c r="H27" s="31" t="n">
        <f aca="false">IFERROR(AVERAGEIFS(JP_등급별회사채!$B$4:$B$158,JP_등급별회사채!$A$4:$A$158,"&gt;="&amp;$A27,JP_등급별회사채!$A$4:$A$158,"&lt;="&amp;$B27),"")</f>
        <v>0.00213</v>
      </c>
      <c r="I27" s="32" t="n">
        <f aca="false">IF(OR(G27="",F27=""),"",(G27-F27)*10000)</f>
        <v>28.335</v>
      </c>
      <c r="J27" s="33" t="n">
        <f aca="false">LOOKUP($B27,정책금리_결정!$D$4:$D$70,정책금리_결정!$E$4:$E$70)</f>
        <v>0.0365</v>
      </c>
      <c r="K27" s="33" t="n">
        <f aca="false">IFERROR(AVERAGEIFS(CN_일별!$B$4:$B$1372,CN_일별!$A$4:$A$1372,"&gt;="&amp;$A27,CN_일별!$A$4:$A$1372,"&lt;="&amp;$B27),"")</f>
        <v>0.0239015</v>
      </c>
      <c r="L27" s="33" t="n">
        <f aca="false">IFERROR(AVERAGEIFS(CN_일별!$C$4:$C$1372,CN_일별!$A$4:$A$1372,"&gt;="&amp;$A27,CN_일별!$A$4:$A$1372,"&lt;="&amp;$B27),"")</f>
        <v>0.0268105</v>
      </c>
      <c r="M27" s="33" t="n">
        <f aca="false">IFERROR(AVERAGEIFS(CN_일별!$D$4:$D$1372,CN_일별!$A$4:$A$1372,"&gt;="&amp;$A27,CN_일별!$A$4:$A$1372,"&lt;="&amp;$B27),"")</f>
        <v>0.0283815</v>
      </c>
      <c r="N27" s="34" t="n">
        <f aca="false">IF(OR(L27="",K27=""),"",(L27-K27)*10000)</f>
        <v>29.09</v>
      </c>
      <c r="O27" s="35" t="n">
        <f aca="false">LOOKUP($B27,정책금리_결정!$G$4:$G$9,정책금리_결정!$H$4:$H$9)</f>
        <v>0.06</v>
      </c>
      <c r="P27" s="35" t="n">
        <f aca="false">IFERROR(AVERAGEIFS(VN_국채일별!$D$4:$D$1436,VN_국채일별!$A$4:$A$1436,"&gt;="&amp;$A27,VN_국채일별!$A$4:$A$1436,"&lt;="&amp;$B27),"")</f>
        <v>0.0501654545454545</v>
      </c>
      <c r="Q27" s="35" t="str">
        <f aca="false">IFERROR(SUMIFS(VN_은행채발행!$T$4:$T$712,VN_은행채발행!$C$4:$C$712,$A27)/SUMIFS(VN_은행채발행!$I$4:$I$712,VN_은행채발행!$C$4:$C$712,$A27,VN_은행채발행!$S$4:$S$712,1),"")</f>
        <v/>
      </c>
      <c r="R27" s="36" t="n">
        <f aca="false">COUNTIFS(VN_은행채발행!$C$4:$C$712,$A27,VN_은행채발행!$S$4:$S$712,1)</f>
        <v>0</v>
      </c>
      <c r="S27" s="37" t="str">
        <f aca="false">IFERROR(SUMIFS(VN_은행채발행!$U$4:$U$712,VN_은행채발행!$C$4:$C$712,$A27)/SUMIFS(VN_은행채발행!$Y$4:$Y$712,VN_은행채발행!$C$4:$C$712,$A27),"")</f>
        <v/>
      </c>
      <c r="T27" s="35" t="str">
        <f aca="false">IFERROR(SUMIFS(VN_은행채발행!$W$4:$W$712,VN_은행채발행!$C$4:$C$712,$A27)/SUMIFS(VN_은행채발행!$I$4:$I$712,VN_은행채발행!$C$4:$C$712,$A27,VN_은행채발행!$V$4:$V$712,1),"")</f>
        <v/>
      </c>
      <c r="U27" s="37" t="str">
        <f aca="false">IFERROR(SUMIFS(VN_은행채발행!$X$4:$X$712,VN_은행채발행!$C$4:$C$712,$A27)/SUMIFS(VN_은행채발행!$Z$4:$Z$712,VN_은행채발행!$C$4:$C$712,$A27),"")</f>
        <v/>
      </c>
      <c r="V27" s="38" t="n">
        <f aca="false">LOOKUP($B27,정책금리_결정!$J$4:$J$49,정책금리_결정!$K$4:$K$49)</f>
        <v>0.16</v>
      </c>
      <c r="W27" s="38" t="n">
        <f aca="false">IFERROR(AVERAGEIFS(KZ_일별!$C$4:$C$1352,KZ_일별!$A$4:$A$1352,"&gt;="&amp;$A27,KZ_일별!$A$4:$A$1352,"&lt;="&amp;$B27),"")</f>
        <v>0.127086363636364</v>
      </c>
      <c r="X27" s="38" t="n">
        <f aca="false">IFERROR(AVERAGEIFS(KZ_일별!$E$4:$E$1352,KZ_일별!$A$4:$A$1352,"&gt;="&amp;$A27,KZ_일별!$A$4:$A$1352,"&lt;="&amp;$B27),"")</f>
        <v>0.146876818181818</v>
      </c>
      <c r="Y27" s="38" t="n">
        <f aca="false">IFERROR(AVERAGEIFS(KZ_일별!$F$4:$F$1352,KZ_일별!$A$4:$A$1352,"&gt;="&amp;$A27,KZ_일별!$A$4:$A$1352,"&lt;="&amp;$B27),"")</f>
        <v>0.123281818181818</v>
      </c>
      <c r="Z27" s="38" t="str">
        <f aca="false">IFERROR(AVERAGEIFS(KZ_일별!$G$4:$G$1352,KZ_일별!$A$4:$A$1352,"&gt;="&amp;$A27,KZ_일별!$A$4:$A$1352,"&lt;="&amp;$B27),"")</f>
        <v/>
      </c>
      <c r="AA27" s="39" t="n">
        <f aca="false">IF(OR(Y27="",W27=""),"",(Y27-W27)*10000)</f>
        <v>-38.0454545454545</v>
      </c>
      <c r="AB27" s="38" t="n">
        <f aca="false">IFERROR(AVERAGEIFS(KZ_일별!$H$4:$H$1352,KZ_일별!$A$4:$A$1352,"&gt;="&amp;$A27,KZ_일별!$A$4:$A$1352,"&lt;="&amp;$B27),"")</f>
        <v>0.154404545454545</v>
      </c>
    </row>
    <row r="28" customFormat="false" ht="15" hidden="false" customHeight="false" outlineLevel="0" collapsed="false">
      <c r="A28" s="28" t="n">
        <v>44896</v>
      </c>
      <c r="B28" s="29" t="n">
        <f aca="false">EOMONTH(A28,0)</f>
        <v>44926</v>
      </c>
      <c r="C28" s="5" t="str">
        <f aca="false">YEAR(A28)&amp;"Q"&amp;ROUNDUP(MONTH(A28)/3,0)</f>
        <v>2022Q4</v>
      </c>
      <c r="D28" s="30" t="n">
        <f aca="false">YEAR(A28)</f>
        <v>2022</v>
      </c>
      <c r="E28" s="31" t="n">
        <f aca="false">LOOKUP($B28,정책금리_결정!$A$4:$A$70,정책금리_결정!$B$4:$B$70)</f>
        <v>-0.001</v>
      </c>
      <c r="F28" s="31" t="n">
        <f aca="false">IFERROR(AVERAGEIFS(JP_국채일별!$C$4:$C$1345,JP_국채일별!$A$4:$A$1345,"&gt;="&amp;$A28,JP_국채일별!$A$4:$A$1345,"&lt;="&amp;$B28),"")</f>
        <v>0.000192727272727273</v>
      </c>
      <c r="G28" s="31" t="n">
        <f aca="false">IFERROR(AVERAGEIFS(JP_등급별회사채!$D$4:$D$158,JP_등급별회사채!$A$4:$A$158,"&gt;="&amp;$A28,JP_등급별회사채!$A$4:$A$158,"&lt;="&amp;$B28),"")</f>
        <v>0.00323</v>
      </c>
      <c r="H28" s="31" t="n">
        <f aca="false">IFERROR(AVERAGEIFS(JP_등급별회사채!$B$4:$B$158,JP_등급별회사채!$A$4:$A$158,"&gt;="&amp;$A28,JP_등급별회사채!$A$4:$A$158,"&lt;="&amp;$B28),"")</f>
        <v>0.00277</v>
      </c>
      <c r="I28" s="32" t="n">
        <f aca="false">IF(OR(G28="",F28=""),"",(G28-F28)*10000)</f>
        <v>30.3727272727273</v>
      </c>
      <c r="J28" s="33" t="n">
        <f aca="false">LOOKUP($B28,정책금리_결정!$D$4:$D$70,정책금리_결정!$E$4:$E$70)</f>
        <v>0.0365</v>
      </c>
      <c r="K28" s="33" t="n">
        <f aca="false">IFERROR(AVERAGEIFS(CN_일별!$B$4:$B$1372,CN_일별!$A$4:$A$1372,"&gt;="&amp;$A28,CN_일별!$A$4:$A$1372,"&lt;="&amp;$B28),"")</f>
        <v>0.0248155217391304</v>
      </c>
      <c r="L28" s="33" t="n">
        <f aca="false">IFERROR(AVERAGEIFS(CN_일별!$C$4:$C$1372,CN_일별!$A$4:$A$1372,"&gt;="&amp;$A28,CN_일별!$A$4:$A$1372,"&lt;="&amp;$B28),"")</f>
        <v>0.0292862173913044</v>
      </c>
      <c r="M28" s="33" t="n">
        <f aca="false">IFERROR(AVERAGEIFS(CN_일별!$D$4:$D$1372,CN_일별!$A$4:$A$1372,"&gt;="&amp;$A28,CN_일별!$A$4:$A$1372,"&lt;="&amp;$B28),"")</f>
        <v>0.0331271304347826</v>
      </c>
      <c r="N28" s="34" t="n">
        <f aca="false">IF(OR(L28="",K28=""),"",(L28-K28)*10000)</f>
        <v>44.7069565217392</v>
      </c>
      <c r="O28" s="35" t="n">
        <f aca="false">LOOKUP($B28,정책금리_결정!$G$4:$G$9,정책금리_결정!$H$4:$H$9)</f>
        <v>0.06</v>
      </c>
      <c r="P28" s="35" t="n">
        <f aca="false">IFERROR(AVERAGEIFS(VN_국채일별!$D$4:$D$1436,VN_국채일별!$A$4:$A$1436,"&gt;="&amp;$A28,VN_국채일별!$A$4:$A$1436,"&lt;="&amp;$B28),"")</f>
        <v>0.0496831818181818</v>
      </c>
      <c r="Q28" s="35" t="str">
        <f aca="false">IFERROR(SUMIFS(VN_은행채발행!$T$4:$T$712,VN_은행채발행!$C$4:$C$712,$A28)/SUMIFS(VN_은행채발행!$I$4:$I$712,VN_은행채발행!$C$4:$C$712,$A28,VN_은행채발행!$S$4:$S$712,1),"")</f>
        <v/>
      </c>
      <c r="R28" s="36" t="n">
        <f aca="false">COUNTIFS(VN_은행채발행!$C$4:$C$712,$A28,VN_은행채발행!$S$4:$S$712,1)</f>
        <v>0</v>
      </c>
      <c r="S28" s="37" t="str">
        <f aca="false">IFERROR(SUMIFS(VN_은행채발행!$U$4:$U$712,VN_은행채발행!$C$4:$C$712,$A28)/SUMIFS(VN_은행채발행!$Y$4:$Y$712,VN_은행채발행!$C$4:$C$712,$A28),"")</f>
        <v/>
      </c>
      <c r="T28" s="35" t="str">
        <f aca="false">IFERROR(SUMIFS(VN_은행채발행!$W$4:$W$712,VN_은행채발행!$C$4:$C$712,$A28)/SUMIFS(VN_은행채발행!$I$4:$I$712,VN_은행채발행!$C$4:$C$712,$A28,VN_은행채발행!$V$4:$V$712,1),"")</f>
        <v/>
      </c>
      <c r="U28" s="37" t="str">
        <f aca="false">IFERROR(SUMIFS(VN_은행채발행!$X$4:$X$712,VN_은행채발행!$C$4:$C$712,$A28)/SUMIFS(VN_은행채발행!$Z$4:$Z$712,VN_은행채발행!$C$4:$C$712,$A28),"")</f>
        <v/>
      </c>
      <c r="V28" s="38" t="n">
        <f aca="false">LOOKUP($B28,정책금리_결정!$J$4:$J$49,정책금리_결정!$K$4:$K$49)</f>
        <v>0.1675</v>
      </c>
      <c r="W28" s="38" t="n">
        <f aca="false">IFERROR(AVERAGEIFS(KZ_일별!$C$4:$C$1352,KZ_일별!$A$4:$A$1352,"&gt;="&amp;$A28,KZ_일별!$A$4:$A$1352,"&lt;="&amp;$B28),"")</f>
        <v>0.132390476190476</v>
      </c>
      <c r="X28" s="38" t="n">
        <f aca="false">IFERROR(AVERAGEIFS(KZ_일별!$E$4:$E$1352,KZ_일별!$A$4:$A$1352,"&gt;="&amp;$A28,KZ_일별!$A$4:$A$1352,"&lt;="&amp;$B28),"")</f>
        <v>0.159602380952381</v>
      </c>
      <c r="Y28" s="38" t="n">
        <f aca="false">IFERROR(AVERAGEIFS(KZ_일별!$F$4:$F$1352,KZ_일별!$A$4:$A$1352,"&gt;="&amp;$A28,KZ_일별!$A$4:$A$1352,"&lt;="&amp;$B28),"")</f>
        <v>0.126471428571429</v>
      </c>
      <c r="Z28" s="38" t="str">
        <f aca="false">IFERROR(AVERAGEIFS(KZ_일별!$G$4:$G$1352,KZ_일별!$A$4:$A$1352,"&gt;="&amp;$A28,KZ_일별!$A$4:$A$1352,"&lt;="&amp;$B28),"")</f>
        <v/>
      </c>
      <c r="AA28" s="39" t="n">
        <f aca="false">IF(OR(Y28="",W28=""),"",(Y28-W28)*10000)</f>
        <v>-59.190476190476</v>
      </c>
      <c r="AB28" s="38" t="n">
        <f aca="false">IFERROR(AVERAGEIFS(KZ_일별!$H$4:$H$1352,KZ_일별!$A$4:$A$1352,"&gt;="&amp;$A28,KZ_일별!$A$4:$A$1352,"&lt;="&amp;$B28),"")</f>
        <v>0.162695238095238</v>
      </c>
    </row>
    <row r="29" customFormat="false" ht="15" hidden="false" customHeight="false" outlineLevel="0" collapsed="false">
      <c r="A29" s="28" t="n">
        <v>44927</v>
      </c>
      <c r="B29" s="29" t="n">
        <f aca="false">EOMONTH(A29,0)</f>
        <v>44957</v>
      </c>
      <c r="C29" s="5" t="str">
        <f aca="false">YEAR(A29)&amp;"Q"&amp;ROUNDUP(MONTH(A29)/3,0)</f>
        <v>2023Q1</v>
      </c>
      <c r="D29" s="30" t="n">
        <f aca="false">YEAR(A29)</f>
        <v>2023</v>
      </c>
      <c r="E29" s="31" t="n">
        <f aca="false">LOOKUP($B29,정책금리_결정!$A$4:$A$70,정책금리_결정!$B$4:$B$70)</f>
        <v>-0.001</v>
      </c>
      <c r="F29" s="31" t="n">
        <f aca="false">IFERROR(AVERAGEIFS(JP_국채일별!$C$4:$C$1345,JP_국채일별!$A$4:$A$1345,"&gt;="&amp;$A29,JP_국채일별!$A$4:$A$1345,"&lt;="&amp;$B29),"")</f>
        <v>0.000330526315789474</v>
      </c>
      <c r="G29" s="31" t="n">
        <f aca="false">IFERROR(AVERAGEIFS(JP_등급별회사채!$D$4:$D$158,JP_등급별회사채!$A$4:$A$158,"&gt;="&amp;$A29,JP_등급별회사채!$A$4:$A$158,"&lt;="&amp;$B29),"")</f>
        <v>0.00425</v>
      </c>
      <c r="H29" s="31" t="n">
        <f aca="false">IFERROR(AVERAGEIFS(JP_등급별회사채!$B$4:$B$158,JP_등급별회사채!$A$4:$A$158,"&gt;="&amp;$A29,JP_등급별회사채!$A$4:$A$158,"&lt;="&amp;$B29),"")</f>
        <v>0.00355</v>
      </c>
      <c r="I29" s="32" t="n">
        <f aca="false">IF(OR(G29="",F29=""),"",(G29-F29)*10000)</f>
        <v>39.1947368421053</v>
      </c>
      <c r="J29" s="33" t="n">
        <f aca="false">LOOKUP($B29,정책금리_결정!$D$4:$D$70,정책금리_결정!$E$4:$E$70)</f>
        <v>0.0365</v>
      </c>
      <c r="K29" s="33" t="n">
        <f aca="false">IFERROR(AVERAGEIFS(CN_일별!$B$4:$B$1372,CN_일별!$A$4:$A$1372,"&gt;="&amp;$A29,CN_일별!$A$4:$A$1372,"&lt;="&amp;$B29),"")</f>
        <v>0.0250202222222222</v>
      </c>
      <c r="L29" s="33" t="n">
        <f aca="false">IFERROR(AVERAGEIFS(CN_일별!$C$4:$C$1372,CN_일별!$A$4:$A$1372,"&gt;="&amp;$A29,CN_일별!$A$4:$A$1372,"&lt;="&amp;$B29),"")</f>
        <v>0.0286735555555556</v>
      </c>
      <c r="M29" s="33" t="n">
        <f aca="false">IFERROR(AVERAGEIFS(CN_일별!$D$4:$D$1372,CN_일별!$A$4:$A$1372,"&gt;="&amp;$A29,CN_일별!$A$4:$A$1372,"&lt;="&amp;$B29),"")</f>
        <v>0.0315498888888889</v>
      </c>
      <c r="N29" s="34" t="n">
        <f aca="false">IF(OR(L29="",K29=""),"",(L29-K29)*10000)</f>
        <v>36.5333333333333</v>
      </c>
      <c r="O29" s="35" t="n">
        <f aca="false">LOOKUP($B29,정책금리_결정!$G$4:$G$9,정책금리_결정!$H$4:$H$9)</f>
        <v>0.06</v>
      </c>
      <c r="P29" s="35" t="n">
        <f aca="false">IFERROR(AVERAGEIFS(VN_국채일별!$D$4:$D$1436,VN_국채일별!$A$4:$A$1436,"&gt;="&amp;$A29,VN_국채일별!$A$4:$A$1436,"&lt;="&amp;$B29),"")</f>
        <v>0.0467518181818182</v>
      </c>
      <c r="Q29" s="35" t="str">
        <f aca="false">IFERROR(SUMIFS(VN_은행채발행!$T$4:$T$712,VN_은행채발행!$C$4:$C$712,$A29)/SUMIFS(VN_은행채발행!$I$4:$I$712,VN_은행채발행!$C$4:$C$712,$A29,VN_은행채발행!$S$4:$S$712,1),"")</f>
        <v/>
      </c>
      <c r="R29" s="36" t="n">
        <f aca="false">COUNTIFS(VN_은행채발행!$C$4:$C$712,$A29,VN_은행채발행!$S$4:$S$712,1)</f>
        <v>0</v>
      </c>
      <c r="S29" s="37" t="str">
        <f aca="false">IFERROR(SUMIFS(VN_은행채발행!$U$4:$U$712,VN_은행채발행!$C$4:$C$712,$A29)/SUMIFS(VN_은행채발행!$Y$4:$Y$712,VN_은행채발행!$C$4:$C$712,$A29),"")</f>
        <v/>
      </c>
      <c r="T29" s="35" t="str">
        <f aca="false">IFERROR(SUMIFS(VN_은행채발행!$W$4:$W$712,VN_은행채발행!$C$4:$C$712,$A29)/SUMIFS(VN_은행채발행!$I$4:$I$712,VN_은행채발행!$C$4:$C$712,$A29,VN_은행채발행!$V$4:$V$712,1),"")</f>
        <v/>
      </c>
      <c r="U29" s="37" t="str">
        <f aca="false">IFERROR(SUMIFS(VN_은행채발행!$X$4:$X$712,VN_은행채발행!$C$4:$C$712,$A29)/SUMIFS(VN_은행채발행!$Z$4:$Z$712,VN_은행채발행!$C$4:$C$712,$A29),"")</f>
        <v/>
      </c>
      <c r="V29" s="38" t="n">
        <f aca="false">LOOKUP($B29,정책금리_결정!$J$4:$J$49,정책금리_결정!$K$4:$K$49)</f>
        <v>0.1675</v>
      </c>
      <c r="W29" s="38" t="n">
        <f aca="false">IFERROR(AVERAGEIFS(KZ_일별!$C$4:$C$1352,KZ_일별!$A$4:$A$1352,"&gt;="&amp;$A29,KZ_일별!$A$4:$A$1352,"&lt;="&amp;$B29),"")</f>
        <v>0.14327</v>
      </c>
      <c r="X29" s="38" t="n">
        <f aca="false">IFERROR(AVERAGEIFS(KZ_일별!$E$4:$E$1352,KZ_일별!$A$4:$A$1352,"&gt;="&amp;$A29,KZ_일별!$A$4:$A$1352,"&lt;="&amp;$B29),"")</f>
        <v>0.1598765</v>
      </c>
      <c r="Y29" s="38" t="n">
        <f aca="false">IFERROR(AVERAGEIFS(KZ_일별!$F$4:$F$1352,KZ_일별!$A$4:$A$1352,"&gt;="&amp;$A29,KZ_일별!$A$4:$A$1352,"&lt;="&amp;$B29),"")</f>
        <v>0.1278</v>
      </c>
      <c r="Z29" s="38" t="str">
        <f aca="false">IFERROR(AVERAGEIFS(KZ_일별!$G$4:$G$1352,KZ_일별!$A$4:$A$1352,"&gt;="&amp;$A29,KZ_일별!$A$4:$A$1352,"&lt;="&amp;$B29),"")</f>
        <v/>
      </c>
      <c r="AA29" s="39" t="n">
        <f aca="false">IF(OR(Y29="",W29=""),"",(Y29-W29)*10000)</f>
        <v>-154.7</v>
      </c>
      <c r="AB29" s="38" t="n">
        <f aca="false">IFERROR(AVERAGEIFS(KZ_일별!$H$4:$H$1352,KZ_일별!$A$4:$A$1352,"&gt;="&amp;$A29,KZ_일별!$A$4:$A$1352,"&lt;="&amp;$B29),"")</f>
        <v>0.158185</v>
      </c>
    </row>
    <row r="30" customFormat="false" ht="15" hidden="false" customHeight="false" outlineLevel="0" collapsed="false">
      <c r="A30" s="28" t="n">
        <v>44958</v>
      </c>
      <c r="B30" s="29" t="n">
        <f aca="false">EOMONTH(A30,0)</f>
        <v>44985</v>
      </c>
      <c r="C30" s="5" t="str">
        <f aca="false">YEAR(A30)&amp;"Q"&amp;ROUNDUP(MONTH(A30)/3,0)</f>
        <v>2023Q1</v>
      </c>
      <c r="D30" s="30" t="n">
        <f aca="false">YEAR(A30)</f>
        <v>2023</v>
      </c>
      <c r="E30" s="31" t="n">
        <f aca="false">LOOKUP($B30,정책금리_결정!$A$4:$A$70,정책금리_결정!$B$4:$B$70)</f>
        <v>-0.001</v>
      </c>
      <c r="F30" s="31" t="n">
        <f aca="false">IFERROR(AVERAGEIFS(JP_국채일별!$C$4:$C$1345,JP_국채일별!$A$4:$A$1345,"&gt;="&amp;$A30,JP_국채일별!$A$4:$A$1345,"&lt;="&amp;$B30),"")</f>
        <v>3.89473684210526E-005</v>
      </c>
      <c r="G30" s="31" t="n">
        <f aca="false">IFERROR(AVERAGEIFS(JP_등급별회사채!$D$4:$D$158,JP_등급별회사채!$A$4:$A$158,"&gt;="&amp;$A30,JP_등급별회사채!$A$4:$A$158,"&lt;="&amp;$B30),"")</f>
        <v>0.00338</v>
      </c>
      <c r="H30" s="31" t="n">
        <f aca="false">IFERROR(AVERAGEIFS(JP_등급별회사채!$B$4:$B$158,JP_등급별회사채!$A$4:$A$158,"&gt;="&amp;$A30,JP_등급별회사채!$A$4:$A$158,"&lt;="&amp;$B30),"")</f>
        <v>0.00262</v>
      </c>
      <c r="I30" s="32" t="n">
        <f aca="false">IF(OR(G30="",F30=""),"",(G30-F30)*10000)</f>
        <v>33.4105263157895</v>
      </c>
      <c r="J30" s="33" t="n">
        <f aca="false">LOOKUP($B30,정책금리_결정!$D$4:$D$70,정책금리_결정!$E$4:$E$70)</f>
        <v>0.0365</v>
      </c>
      <c r="K30" s="33" t="n">
        <f aca="false">IFERROR(AVERAGEIFS(CN_일별!$B$4:$B$1372,CN_일별!$A$4:$A$1372,"&gt;="&amp;$A30,CN_일별!$A$4:$A$1372,"&lt;="&amp;$B30),"")</f>
        <v>0.0254527</v>
      </c>
      <c r="L30" s="33" t="n">
        <f aca="false">IFERROR(AVERAGEIFS(CN_일별!$C$4:$C$1372,CN_일별!$A$4:$A$1372,"&gt;="&amp;$A30,CN_일별!$A$4:$A$1372,"&lt;="&amp;$B30),"")</f>
        <v>0.0288482</v>
      </c>
      <c r="M30" s="33" t="n">
        <f aca="false">IFERROR(AVERAGEIFS(CN_일별!$D$4:$D$1372,CN_일별!$A$4:$A$1372,"&gt;="&amp;$A30,CN_일별!$A$4:$A$1372,"&lt;="&amp;$B30),"")</f>
        <v>0.03165035</v>
      </c>
      <c r="N30" s="34" t="n">
        <f aca="false">IF(OR(L30="",K30=""),"",(L30-K30)*10000)</f>
        <v>33.955</v>
      </c>
      <c r="O30" s="35" t="n">
        <f aca="false">LOOKUP($B30,정책금리_결정!$G$4:$G$9,정책금리_결정!$H$4:$H$9)</f>
        <v>0.06</v>
      </c>
      <c r="P30" s="35" t="n">
        <f aca="false">IFERROR(AVERAGEIFS(VN_국채일별!$D$4:$D$1436,VN_국채일별!$A$4:$A$1436,"&gt;="&amp;$A30,VN_국채일별!$A$4:$A$1436,"&lt;="&amp;$B30),"")</f>
        <v>0.0393915</v>
      </c>
      <c r="Q30" s="35" t="str">
        <f aca="false">IFERROR(SUMIFS(VN_은행채발행!$T$4:$T$712,VN_은행채발행!$C$4:$C$712,$A30)/SUMIFS(VN_은행채발행!$I$4:$I$712,VN_은행채발행!$C$4:$C$712,$A30,VN_은행채발행!$S$4:$S$712,1),"")</f>
        <v/>
      </c>
      <c r="R30" s="36" t="n">
        <f aca="false">COUNTIFS(VN_은행채발행!$C$4:$C$712,$A30,VN_은행채발행!$S$4:$S$712,1)</f>
        <v>0</v>
      </c>
      <c r="S30" s="37" t="str">
        <f aca="false">IFERROR(SUMIFS(VN_은행채발행!$U$4:$U$712,VN_은행채발행!$C$4:$C$712,$A30)/SUMIFS(VN_은행채발행!$Y$4:$Y$712,VN_은행채발행!$C$4:$C$712,$A30),"")</f>
        <v/>
      </c>
      <c r="T30" s="35" t="str">
        <f aca="false">IFERROR(SUMIFS(VN_은행채발행!$W$4:$W$712,VN_은행채발행!$C$4:$C$712,$A30)/SUMIFS(VN_은행채발행!$I$4:$I$712,VN_은행채발행!$C$4:$C$712,$A30,VN_은행채발행!$V$4:$V$712,1),"")</f>
        <v/>
      </c>
      <c r="U30" s="37" t="str">
        <f aca="false">IFERROR(SUMIFS(VN_은행채발행!$X$4:$X$712,VN_은행채발행!$C$4:$C$712,$A30)/SUMIFS(VN_은행채발행!$Z$4:$Z$712,VN_은행채발행!$C$4:$C$712,$A30),"")</f>
        <v/>
      </c>
      <c r="V30" s="38" t="n">
        <f aca="false">LOOKUP($B30,정책금리_결정!$J$4:$J$49,정책금리_결정!$K$4:$K$49)</f>
        <v>0.1675</v>
      </c>
      <c r="W30" s="38" t="n">
        <f aca="false">IFERROR(AVERAGEIFS(KZ_일별!$C$4:$C$1352,KZ_일별!$A$4:$A$1352,"&gt;="&amp;$A30,KZ_일별!$A$4:$A$1352,"&lt;="&amp;$B30),"")</f>
        <v>0.138005</v>
      </c>
      <c r="X30" s="38" t="n">
        <f aca="false">IFERROR(AVERAGEIFS(KZ_일별!$E$4:$E$1352,KZ_일별!$A$4:$A$1352,"&gt;="&amp;$A30,KZ_일별!$A$4:$A$1352,"&lt;="&amp;$B30),"")</f>
        <v>0.159496</v>
      </c>
      <c r="Y30" s="38" t="n">
        <f aca="false">IFERROR(AVERAGEIFS(KZ_일별!$F$4:$F$1352,KZ_일별!$A$4:$A$1352,"&gt;="&amp;$A30,KZ_일별!$A$4:$A$1352,"&lt;="&amp;$B30),"")</f>
        <v>0.12942</v>
      </c>
      <c r="Z30" s="38" t="str">
        <f aca="false">IFERROR(AVERAGEIFS(KZ_일별!$G$4:$G$1352,KZ_일별!$A$4:$A$1352,"&gt;="&amp;$A30,KZ_일별!$A$4:$A$1352,"&lt;="&amp;$B30),"")</f>
        <v/>
      </c>
      <c r="AA30" s="39" t="n">
        <f aca="false">IF(OR(Y30="",W30=""),"",(Y30-W30)*10000)</f>
        <v>-85.8499999999998</v>
      </c>
      <c r="AB30" s="38" t="n">
        <f aca="false">IFERROR(AVERAGEIFS(KZ_일별!$H$4:$H$1352,KZ_일별!$A$4:$A$1352,"&gt;="&amp;$A30,KZ_일별!$A$4:$A$1352,"&lt;="&amp;$B30),"")</f>
        <v>0.161345</v>
      </c>
    </row>
    <row r="31" customFormat="false" ht="15" hidden="false" customHeight="false" outlineLevel="0" collapsed="false">
      <c r="A31" s="28" t="n">
        <v>44986</v>
      </c>
      <c r="B31" s="29" t="n">
        <f aca="false">EOMONTH(A31,0)</f>
        <v>45016</v>
      </c>
      <c r="C31" s="5" t="str">
        <f aca="false">YEAR(A31)&amp;"Q"&amp;ROUNDUP(MONTH(A31)/3,0)</f>
        <v>2023Q1</v>
      </c>
      <c r="D31" s="30" t="n">
        <f aca="false">YEAR(A31)</f>
        <v>2023</v>
      </c>
      <c r="E31" s="31" t="n">
        <f aca="false">LOOKUP($B31,정책금리_결정!$A$4:$A$70,정책금리_결정!$B$4:$B$70)</f>
        <v>-0.001</v>
      </c>
      <c r="F31" s="31" t="n">
        <f aca="false">IFERROR(AVERAGEIFS(JP_국채일별!$C$4:$C$1345,JP_국채일별!$A$4:$A$1345,"&gt;="&amp;$A31,JP_국채일별!$A$4:$A$1345,"&lt;="&amp;$B31),"")</f>
        <v>-0.000344090909090909</v>
      </c>
      <c r="G31" s="31" t="n">
        <f aca="false">IFERROR(AVERAGEIFS(JP_등급별회사채!$D$4:$D$158,JP_등급별회사채!$A$4:$A$158,"&gt;="&amp;$A31,JP_등급별회사채!$A$4:$A$158,"&lt;="&amp;$B31),"")</f>
        <v>0.00314</v>
      </c>
      <c r="H31" s="31" t="n">
        <f aca="false">IFERROR(AVERAGEIFS(JP_등급별회사채!$B$4:$B$158,JP_등급별회사채!$A$4:$A$158,"&gt;="&amp;$A31,JP_등급별회사채!$A$4:$A$158,"&lt;="&amp;$B31),"")</f>
        <v>0.00237</v>
      </c>
      <c r="I31" s="32" t="n">
        <f aca="false">IF(OR(G31="",F31=""),"",(G31-F31)*10000)</f>
        <v>34.8409090909091</v>
      </c>
      <c r="J31" s="33" t="n">
        <f aca="false">LOOKUP($B31,정책금리_결정!$D$4:$D$70,정책금리_결정!$E$4:$E$70)</f>
        <v>0.0365</v>
      </c>
      <c r="K31" s="33" t="n">
        <f aca="false">IFERROR(AVERAGEIFS(CN_일별!$B$4:$B$1372,CN_일별!$A$4:$A$1372,"&gt;="&amp;$A31,CN_일별!$A$4:$A$1372,"&lt;="&amp;$B31),"")</f>
        <v>0.0253267826086957</v>
      </c>
      <c r="L31" s="33" t="n">
        <f aca="false">IFERROR(AVERAGEIFS(CN_일별!$C$4:$C$1372,CN_일별!$A$4:$A$1372,"&gt;="&amp;$A31,CN_일별!$A$4:$A$1372,"&lt;="&amp;$B31),"")</f>
        <v>0.0290969130434783</v>
      </c>
      <c r="M31" s="33" t="n">
        <f aca="false">IFERROR(AVERAGEIFS(CN_일별!$D$4:$D$1372,CN_일별!$A$4:$A$1372,"&gt;="&amp;$A31,CN_일별!$A$4:$A$1372,"&lt;="&amp;$B31),"")</f>
        <v>0.0312469565217391</v>
      </c>
      <c r="N31" s="34" t="n">
        <f aca="false">IF(OR(L31="",K31=""),"",(L31-K31)*10000)</f>
        <v>37.7013043478261</v>
      </c>
      <c r="O31" s="35" t="n">
        <f aca="false">LOOKUP($B31,정책금리_결정!$G$4:$G$9,정책금리_결정!$H$4:$H$9)</f>
        <v>0.06</v>
      </c>
      <c r="P31" s="35" t="n">
        <f aca="false">IFERROR(AVERAGEIFS(VN_국채일별!$D$4:$D$1436,VN_국채일별!$A$4:$A$1436,"&gt;="&amp;$A31,VN_국채일별!$A$4:$A$1436,"&lt;="&amp;$B31),"")</f>
        <v>0.0379595652173913</v>
      </c>
      <c r="Q31" s="35" t="str">
        <f aca="false">IFERROR(SUMIFS(VN_은행채발행!$T$4:$T$712,VN_은행채발행!$C$4:$C$712,$A31)/SUMIFS(VN_은행채발행!$I$4:$I$712,VN_은행채발행!$C$4:$C$712,$A31,VN_은행채발행!$S$4:$S$712,1),"")</f>
        <v/>
      </c>
      <c r="R31" s="36" t="n">
        <f aca="false">COUNTIFS(VN_은행채발행!$C$4:$C$712,$A31,VN_은행채발행!$S$4:$S$712,1)</f>
        <v>0</v>
      </c>
      <c r="S31" s="37" t="str">
        <f aca="false">IFERROR(SUMIFS(VN_은행채발행!$U$4:$U$712,VN_은행채발행!$C$4:$C$712,$A31)/SUMIFS(VN_은행채발행!$Y$4:$Y$712,VN_은행채발행!$C$4:$C$712,$A31),"")</f>
        <v/>
      </c>
      <c r="T31" s="35" t="str">
        <f aca="false">IFERROR(SUMIFS(VN_은행채발행!$W$4:$W$712,VN_은행채발행!$C$4:$C$712,$A31)/SUMIFS(VN_은행채발행!$I$4:$I$712,VN_은행채발행!$C$4:$C$712,$A31,VN_은행채발행!$V$4:$V$712,1),"")</f>
        <v/>
      </c>
      <c r="U31" s="37" t="str">
        <f aca="false">IFERROR(SUMIFS(VN_은행채발행!$X$4:$X$712,VN_은행채발행!$C$4:$C$712,$A31)/SUMIFS(VN_은행채발행!$Z$4:$Z$712,VN_은행채발행!$C$4:$C$712,$A31),"")</f>
        <v/>
      </c>
      <c r="V31" s="38" t="n">
        <f aca="false">LOOKUP($B31,정책금리_결정!$J$4:$J$49,정책금리_결정!$K$4:$K$49)</f>
        <v>0.1675</v>
      </c>
      <c r="W31" s="38" t="n">
        <f aca="false">IFERROR(AVERAGEIFS(KZ_일별!$C$4:$C$1352,KZ_일별!$A$4:$A$1352,"&gt;="&amp;$A31,KZ_일별!$A$4:$A$1352,"&lt;="&amp;$B31),"")</f>
        <v>0.132142105263158</v>
      </c>
      <c r="X31" s="38" t="n">
        <f aca="false">IFERROR(AVERAGEIFS(KZ_일별!$E$4:$E$1352,KZ_일별!$A$4:$A$1352,"&gt;="&amp;$A31,KZ_일별!$A$4:$A$1352,"&lt;="&amp;$B31),"")</f>
        <v>0.155954210526316</v>
      </c>
      <c r="Y31" s="38" t="n">
        <f aca="false">IFERROR(AVERAGEIFS(KZ_일별!$F$4:$F$1352,KZ_일별!$A$4:$A$1352,"&gt;="&amp;$A31,KZ_일별!$A$4:$A$1352,"&lt;="&amp;$B31),"")</f>
        <v>0.137268421052632</v>
      </c>
      <c r="Z31" s="38" t="str">
        <f aca="false">IFERROR(AVERAGEIFS(KZ_일별!$G$4:$G$1352,KZ_일별!$A$4:$A$1352,"&gt;="&amp;$A31,KZ_일별!$A$4:$A$1352,"&lt;="&amp;$B31),"")</f>
        <v/>
      </c>
      <c r="AA31" s="39" t="n">
        <f aca="false">IF(OR(Y31="",W31=""),"",(Y31-W31)*10000)</f>
        <v>51.2631578947367</v>
      </c>
      <c r="AB31" s="38" t="n">
        <f aca="false">IFERROR(AVERAGEIFS(KZ_일별!$H$4:$H$1352,KZ_일별!$A$4:$A$1352,"&gt;="&amp;$A31,KZ_일별!$A$4:$A$1352,"&lt;="&amp;$B31),"")</f>
        <v>0.165694736842105</v>
      </c>
    </row>
    <row r="32" customFormat="false" ht="15" hidden="false" customHeight="false" outlineLevel="0" collapsed="false">
      <c r="A32" s="28" t="n">
        <v>45017</v>
      </c>
      <c r="B32" s="29" t="n">
        <f aca="false">EOMONTH(A32,0)</f>
        <v>45046</v>
      </c>
      <c r="C32" s="5" t="str">
        <f aca="false">YEAR(A32)&amp;"Q"&amp;ROUNDUP(MONTH(A32)/3,0)</f>
        <v>2023Q2</v>
      </c>
      <c r="D32" s="30" t="n">
        <f aca="false">YEAR(A32)</f>
        <v>2023</v>
      </c>
      <c r="E32" s="31" t="n">
        <f aca="false">LOOKUP($B32,정책금리_결정!$A$4:$A$70,정책금리_결정!$B$4:$B$70)</f>
        <v>-0.001</v>
      </c>
      <c r="F32" s="31" t="n">
        <f aca="false">IFERROR(AVERAGEIFS(JP_국채일별!$C$4:$C$1345,JP_국채일별!$A$4:$A$1345,"&gt;="&amp;$A32,JP_국채일별!$A$4:$A$1345,"&lt;="&amp;$B32),"")</f>
        <v>-0.000254</v>
      </c>
      <c r="G32" s="31" t="n">
        <f aca="false">IFERROR(AVERAGEIFS(JP_등급별회사채!$D$4:$D$158,JP_등급별회사채!$A$4:$A$158,"&gt;="&amp;$A32,JP_등급별회사채!$A$4:$A$158,"&lt;="&amp;$B32),"")</f>
        <v>0.00326</v>
      </c>
      <c r="H32" s="31" t="n">
        <f aca="false">IFERROR(AVERAGEIFS(JP_등급별회사채!$B$4:$B$158,JP_등급별회사채!$A$4:$A$158,"&gt;="&amp;$A32,JP_등급별회사채!$A$4:$A$158,"&lt;="&amp;$B32),"")</f>
        <v>0.00265</v>
      </c>
      <c r="I32" s="32" t="n">
        <f aca="false">IF(OR(G32="",F32=""),"",(G32-F32)*10000)</f>
        <v>35.14</v>
      </c>
      <c r="J32" s="33" t="n">
        <f aca="false">LOOKUP($B32,정책금리_결정!$D$4:$D$70,정책금리_결정!$E$4:$E$70)</f>
        <v>0.0365</v>
      </c>
      <c r="K32" s="33" t="n">
        <f aca="false">IFERROR(AVERAGEIFS(CN_일별!$B$4:$B$1372,CN_일별!$A$4:$A$1372,"&gt;="&amp;$A32,CN_일별!$A$4:$A$1372,"&lt;="&amp;$B32),"")</f>
        <v>0.0249201</v>
      </c>
      <c r="L32" s="33" t="n">
        <f aca="false">IFERROR(AVERAGEIFS(CN_일별!$C$4:$C$1372,CN_일별!$A$4:$A$1372,"&gt;="&amp;$A32,CN_일별!$A$4:$A$1372,"&lt;="&amp;$B32),"")</f>
        <v>0.0282506</v>
      </c>
      <c r="M32" s="33" t="n">
        <f aca="false">IFERROR(AVERAGEIFS(CN_일별!$D$4:$D$1372,CN_일별!$A$4:$A$1372,"&gt;="&amp;$A32,CN_일별!$A$4:$A$1372,"&lt;="&amp;$B32),"")</f>
        <v>0.03029885</v>
      </c>
      <c r="N32" s="34" t="n">
        <f aca="false">IF(OR(L32="",K32=""),"",(L32-K32)*10000)</f>
        <v>33.305</v>
      </c>
      <c r="O32" s="35" t="n">
        <f aca="false">LOOKUP($B32,정책금리_결정!$G$4:$G$9,정책금리_결정!$H$4:$H$9)</f>
        <v>0.055</v>
      </c>
      <c r="P32" s="35" t="n">
        <f aca="false">IFERROR(AVERAGEIFS(VN_국채일별!$D$4:$D$1436,VN_국채일별!$A$4:$A$1436,"&gt;="&amp;$A32,VN_국채일별!$A$4:$A$1436,"&lt;="&amp;$B32),"")</f>
        <v>0.0295135</v>
      </c>
      <c r="Q32" s="35" t="str">
        <f aca="false">IFERROR(SUMIFS(VN_은행채발행!$T$4:$T$712,VN_은행채발행!$C$4:$C$712,$A32)/SUMIFS(VN_은행채발행!$I$4:$I$712,VN_은행채발행!$C$4:$C$712,$A32,VN_은행채발행!$S$4:$S$712,1),"")</f>
        <v/>
      </c>
      <c r="R32" s="36" t="n">
        <f aca="false">COUNTIFS(VN_은행채발행!$C$4:$C$712,$A32,VN_은행채발행!$S$4:$S$712,1)</f>
        <v>0</v>
      </c>
      <c r="S32" s="37" t="str">
        <f aca="false">IFERROR(SUMIFS(VN_은행채발행!$U$4:$U$712,VN_은행채발행!$C$4:$C$712,$A32)/SUMIFS(VN_은행채발행!$Y$4:$Y$712,VN_은행채발행!$C$4:$C$712,$A32),"")</f>
        <v/>
      </c>
      <c r="T32" s="35" t="str">
        <f aca="false">IFERROR(SUMIFS(VN_은행채발행!$W$4:$W$712,VN_은행채발행!$C$4:$C$712,$A32)/SUMIFS(VN_은행채발행!$I$4:$I$712,VN_은행채발행!$C$4:$C$712,$A32,VN_은행채발행!$V$4:$V$712,1),"")</f>
        <v/>
      </c>
      <c r="U32" s="37" t="str">
        <f aca="false">IFERROR(SUMIFS(VN_은행채발행!$X$4:$X$712,VN_은행채발행!$C$4:$C$712,$A32)/SUMIFS(VN_은행채발행!$Z$4:$Z$712,VN_은행채발행!$C$4:$C$712,$A32),"")</f>
        <v/>
      </c>
      <c r="V32" s="38" t="n">
        <f aca="false">LOOKUP($B32,정책금리_결정!$J$4:$J$49,정책금리_결정!$K$4:$K$49)</f>
        <v>0.1675</v>
      </c>
      <c r="W32" s="38" t="n">
        <f aca="false">IFERROR(AVERAGEIFS(KZ_일별!$C$4:$C$1352,KZ_일별!$A$4:$A$1352,"&gt;="&amp;$A32,KZ_일별!$A$4:$A$1352,"&lt;="&amp;$B32),"")</f>
        <v>0.12594</v>
      </c>
      <c r="X32" s="38" t="n">
        <f aca="false">IFERROR(AVERAGEIFS(KZ_일별!$E$4:$E$1352,KZ_일별!$A$4:$A$1352,"&gt;="&amp;$A32,KZ_일별!$A$4:$A$1352,"&lt;="&amp;$B32),"")</f>
        <v>0.1488495</v>
      </c>
      <c r="Y32" s="38" t="n">
        <f aca="false">IFERROR(AVERAGEIFS(KZ_일별!$F$4:$F$1352,KZ_일별!$A$4:$A$1352,"&gt;="&amp;$A32,KZ_일별!$A$4:$A$1352,"&lt;="&amp;$B32),"")</f>
        <v>0.136915</v>
      </c>
      <c r="Z32" s="38" t="str">
        <f aca="false">IFERROR(AVERAGEIFS(KZ_일별!$G$4:$G$1352,KZ_일별!$A$4:$A$1352,"&gt;="&amp;$A32,KZ_일별!$A$4:$A$1352,"&lt;="&amp;$B32),"")</f>
        <v/>
      </c>
      <c r="AA32" s="39" t="n">
        <f aca="false">IF(OR(Y32="",W32=""),"",(Y32-W32)*10000)</f>
        <v>109.75</v>
      </c>
      <c r="AB32" s="38" t="n">
        <f aca="false">IFERROR(AVERAGEIFS(KZ_일별!$H$4:$H$1352,KZ_일별!$A$4:$A$1352,"&gt;="&amp;$A32,KZ_일별!$A$4:$A$1352,"&lt;="&amp;$B32),"")</f>
        <v>0.1692</v>
      </c>
    </row>
    <row r="33" customFormat="false" ht="15" hidden="false" customHeight="false" outlineLevel="0" collapsed="false">
      <c r="A33" s="28" t="n">
        <v>45047</v>
      </c>
      <c r="B33" s="29" t="n">
        <f aca="false">EOMONTH(A33,0)</f>
        <v>45077</v>
      </c>
      <c r="C33" s="5" t="str">
        <f aca="false">YEAR(A33)&amp;"Q"&amp;ROUNDUP(MONTH(A33)/3,0)</f>
        <v>2023Q2</v>
      </c>
      <c r="D33" s="30" t="n">
        <f aca="false">YEAR(A33)</f>
        <v>2023</v>
      </c>
      <c r="E33" s="31" t="n">
        <f aca="false">LOOKUP($B33,정책금리_결정!$A$4:$A$70,정책금리_결정!$B$4:$B$70)</f>
        <v>-0.001</v>
      </c>
      <c r="F33" s="31" t="n">
        <f aca="false">IFERROR(AVERAGEIFS(JP_국채일별!$C$4:$C$1345,JP_국채일별!$A$4:$A$1345,"&gt;="&amp;$A33,JP_국채일별!$A$4:$A$1345,"&lt;="&amp;$B33),"")</f>
        <v>-0.0004165</v>
      </c>
      <c r="G33" s="31" t="n">
        <f aca="false">IFERROR(AVERAGEIFS(JP_등급별회사채!$D$4:$D$158,JP_등급별회사채!$A$4:$A$158,"&gt;="&amp;$A33,JP_등급별회사채!$A$4:$A$158,"&lt;="&amp;$B33),"")</f>
        <v>0.00287</v>
      </c>
      <c r="H33" s="31" t="n">
        <f aca="false">IFERROR(AVERAGEIFS(JP_등급별회사채!$B$4:$B$158,JP_등급별회사채!$A$4:$A$158,"&gt;="&amp;$A33,JP_등급별회사채!$A$4:$A$158,"&lt;="&amp;$B33),"")</f>
        <v>0.00233</v>
      </c>
      <c r="I33" s="32" t="n">
        <f aca="false">IF(OR(G33="",F33=""),"",(G33-F33)*10000)</f>
        <v>32.865</v>
      </c>
      <c r="J33" s="33" t="n">
        <f aca="false">LOOKUP($B33,정책금리_결정!$D$4:$D$70,정책금리_결정!$E$4:$E$70)</f>
        <v>0.0365</v>
      </c>
      <c r="K33" s="33" t="n">
        <f aca="false">IFERROR(AVERAGEIFS(CN_일별!$B$4:$B$1372,CN_일별!$A$4:$A$1372,"&gt;="&amp;$A33,CN_일별!$A$4:$A$1372,"&lt;="&amp;$B33),"")</f>
        <v>0.023554</v>
      </c>
      <c r="L33" s="33" t="n">
        <f aca="false">IFERROR(AVERAGEIFS(CN_일별!$C$4:$C$1372,CN_일별!$A$4:$A$1372,"&gt;="&amp;$A33,CN_일별!$A$4:$A$1372,"&lt;="&amp;$B33),"")</f>
        <v>0.0276025238095238</v>
      </c>
      <c r="M33" s="33" t="n">
        <f aca="false">IFERROR(AVERAGEIFS(CN_일별!$D$4:$D$1372,CN_일별!$A$4:$A$1372,"&gt;="&amp;$A33,CN_일별!$A$4:$A$1372,"&lt;="&amp;$B33),"")</f>
        <v>0.029082380952381</v>
      </c>
      <c r="N33" s="34" t="n">
        <f aca="false">IF(OR(L33="",K33=""),"",(L33-K33)*10000)</f>
        <v>40.4852380952381</v>
      </c>
      <c r="O33" s="35" t="n">
        <f aca="false">LOOKUP($B33,정책금리_결정!$G$4:$G$9,정책금리_결정!$H$4:$H$9)</f>
        <v>0.05</v>
      </c>
      <c r="P33" s="35" t="n">
        <f aca="false">IFERROR(AVERAGEIFS(VN_국채일별!$D$4:$D$1436,VN_국채일별!$A$4:$A$1436,"&gt;="&amp;$A33,VN_국채일별!$A$4:$A$1436,"&lt;="&amp;$B33),"")</f>
        <v>0.0266991304347826</v>
      </c>
      <c r="Q33" s="35" t="str">
        <f aca="false">IFERROR(SUMIFS(VN_은행채발행!$T$4:$T$712,VN_은행채발행!$C$4:$C$712,$A33)/SUMIFS(VN_은행채발행!$I$4:$I$712,VN_은행채발행!$C$4:$C$712,$A33,VN_은행채발행!$S$4:$S$712,1),"")</f>
        <v/>
      </c>
      <c r="R33" s="36" t="n">
        <f aca="false">COUNTIFS(VN_은행채발행!$C$4:$C$712,$A33,VN_은행채발행!$S$4:$S$712,1)</f>
        <v>0</v>
      </c>
      <c r="S33" s="37" t="str">
        <f aca="false">IFERROR(SUMIFS(VN_은행채발행!$U$4:$U$712,VN_은행채발행!$C$4:$C$712,$A33)/SUMIFS(VN_은행채발행!$Y$4:$Y$712,VN_은행채발행!$C$4:$C$712,$A33),"")</f>
        <v/>
      </c>
      <c r="T33" s="35" t="str">
        <f aca="false">IFERROR(SUMIFS(VN_은행채발행!$W$4:$W$712,VN_은행채발행!$C$4:$C$712,$A33)/SUMIFS(VN_은행채발행!$I$4:$I$712,VN_은행채발행!$C$4:$C$712,$A33,VN_은행채발행!$V$4:$V$712,1),"")</f>
        <v/>
      </c>
      <c r="U33" s="37" t="str">
        <f aca="false">IFERROR(SUMIFS(VN_은행채발행!$X$4:$X$712,VN_은행채발행!$C$4:$C$712,$A33)/SUMIFS(VN_은행채발행!$Z$4:$Z$712,VN_은행채발행!$C$4:$C$712,$A33),"")</f>
        <v/>
      </c>
      <c r="V33" s="38" t="n">
        <f aca="false">LOOKUP($B33,정책금리_결정!$J$4:$J$49,정책금리_결정!$K$4:$K$49)</f>
        <v>0.1675</v>
      </c>
      <c r="W33" s="38" t="n">
        <f aca="false">IFERROR(AVERAGEIFS(KZ_일별!$C$4:$C$1352,KZ_일별!$A$4:$A$1352,"&gt;="&amp;$A33,KZ_일별!$A$4:$A$1352,"&lt;="&amp;$B33),"")</f>
        <v>0.13403</v>
      </c>
      <c r="X33" s="38" t="n">
        <f aca="false">IFERROR(AVERAGEIFS(KZ_일별!$E$4:$E$1352,KZ_일별!$A$4:$A$1352,"&gt;="&amp;$A33,KZ_일별!$A$4:$A$1352,"&lt;="&amp;$B33),"")</f>
        <v>0.1418145</v>
      </c>
      <c r="Y33" s="38" t="n">
        <f aca="false">IFERROR(AVERAGEIFS(KZ_일별!$F$4:$F$1352,KZ_일별!$A$4:$A$1352,"&gt;="&amp;$A33,KZ_일별!$A$4:$A$1352,"&lt;="&amp;$B33),"")</f>
        <v>0.137785</v>
      </c>
      <c r="Z33" s="38" t="str">
        <f aca="false">IFERROR(AVERAGEIFS(KZ_일별!$G$4:$G$1352,KZ_일별!$A$4:$A$1352,"&gt;="&amp;$A33,KZ_일별!$A$4:$A$1352,"&lt;="&amp;$B33),"")</f>
        <v/>
      </c>
      <c r="AA33" s="39" t="n">
        <f aca="false">IF(OR(Y33="",W33=""),"",(Y33-W33)*10000)</f>
        <v>37.5499999999998</v>
      </c>
      <c r="AB33" s="38" t="n">
        <f aca="false">IFERROR(AVERAGEIFS(KZ_일별!$H$4:$H$1352,KZ_일별!$A$4:$A$1352,"&gt;="&amp;$A33,KZ_일별!$A$4:$A$1352,"&lt;="&amp;$B33),"")</f>
        <v>0.16628</v>
      </c>
    </row>
    <row r="34" customFormat="false" ht="15" hidden="false" customHeight="false" outlineLevel="0" collapsed="false">
      <c r="A34" s="28" t="n">
        <v>45078</v>
      </c>
      <c r="B34" s="29" t="n">
        <f aca="false">EOMONTH(A34,0)</f>
        <v>45107</v>
      </c>
      <c r="C34" s="5" t="str">
        <f aca="false">YEAR(A34)&amp;"Q"&amp;ROUNDUP(MONTH(A34)/3,0)</f>
        <v>2023Q2</v>
      </c>
      <c r="D34" s="30" t="n">
        <f aca="false">YEAR(A34)</f>
        <v>2023</v>
      </c>
      <c r="E34" s="31" t="n">
        <f aca="false">LOOKUP($B34,정책금리_결정!$A$4:$A$70,정책금리_결정!$B$4:$B$70)</f>
        <v>-0.001</v>
      </c>
      <c r="F34" s="31" t="n">
        <f aca="false">IFERROR(AVERAGEIFS(JP_국채일별!$C$4:$C$1345,JP_국채일별!$A$4:$A$1345,"&gt;="&amp;$A34,JP_국채일별!$A$4:$A$1345,"&lt;="&amp;$B34),"")</f>
        <v>-0.000581363636363636</v>
      </c>
      <c r="G34" s="31" t="n">
        <f aca="false">IFERROR(AVERAGEIFS(JP_등급별회사채!$D$4:$D$158,JP_등급별회사채!$A$4:$A$158,"&gt;="&amp;$A34,JP_등급별회사채!$A$4:$A$158,"&lt;="&amp;$B34),"")</f>
        <v>0.00281</v>
      </c>
      <c r="H34" s="31" t="n">
        <f aca="false">IFERROR(AVERAGEIFS(JP_등급별회사채!$B$4:$B$158,JP_등급별회사채!$A$4:$A$158,"&gt;="&amp;$A34,JP_등급별회사채!$A$4:$A$158,"&lt;="&amp;$B34),"")</f>
        <v>0.00265</v>
      </c>
      <c r="I34" s="32" t="n">
        <f aca="false">IF(OR(G34="",F34=""),"",(G34-F34)*10000)</f>
        <v>33.9136363636364</v>
      </c>
      <c r="J34" s="33" t="n">
        <f aca="false">LOOKUP($B34,정책금리_결정!$D$4:$D$70,정책금리_결정!$E$4:$E$70)</f>
        <v>0.0355</v>
      </c>
      <c r="K34" s="33" t="n">
        <f aca="false">IFERROR(AVERAGEIFS(CN_일별!$B$4:$B$1372,CN_일별!$A$4:$A$1372,"&gt;="&amp;$A34,CN_일별!$A$4:$A$1372,"&lt;="&amp;$B34),"")</f>
        <v>0.0225607142857143</v>
      </c>
      <c r="L34" s="33" t="n">
        <f aca="false">IFERROR(AVERAGEIFS(CN_일별!$C$4:$C$1372,CN_일별!$A$4:$A$1372,"&gt;="&amp;$A34,CN_일별!$A$4:$A$1372,"&lt;="&amp;$B34),"")</f>
        <v>0.0267037142857143</v>
      </c>
      <c r="M34" s="33" t="n">
        <f aca="false">IFERROR(AVERAGEIFS(CN_일별!$D$4:$D$1372,CN_일별!$A$4:$A$1372,"&gt;="&amp;$A34,CN_일별!$A$4:$A$1372,"&lt;="&amp;$B34),"")</f>
        <v>0.0280063333333333</v>
      </c>
      <c r="N34" s="34" t="n">
        <f aca="false">IF(OR(L34="",K34=""),"",(L34-K34)*10000)</f>
        <v>41.43</v>
      </c>
      <c r="O34" s="35" t="n">
        <f aca="false">LOOKUP($B34,정책금리_결정!$G$4:$G$9,정책금리_결정!$H$4:$H$9)</f>
        <v>0.045</v>
      </c>
      <c r="P34" s="35" t="n">
        <f aca="false">IFERROR(AVERAGEIFS(VN_국채일별!$D$4:$D$1436,VN_국채일별!$A$4:$A$1436,"&gt;="&amp;$A34,VN_국채일별!$A$4:$A$1436,"&lt;="&amp;$B34),"")</f>
        <v>0.024515</v>
      </c>
      <c r="Q34" s="35" t="n">
        <f aca="false">IFERROR(SUMIFS(VN_은행채발행!$T$4:$T$712,VN_은행채발행!$C$4:$C$712,$A34)/SUMIFS(VN_은행채발행!$I$4:$I$712,VN_은행채발행!$C$4:$C$712,$A34,VN_은행채발행!$S$4:$S$712,1),"")</f>
        <v>0.0741111111111111</v>
      </c>
      <c r="R34" s="36" t="n">
        <f aca="false">COUNTIFS(VN_은행채발행!$C$4:$C$712,$A34,VN_은행채발행!$S$4:$S$712,1)</f>
        <v>2</v>
      </c>
      <c r="S34" s="37" t="n">
        <f aca="false">IFERROR(SUMIFS(VN_은행채발행!$U$4:$U$712,VN_은행채발행!$C$4:$C$712,$A34)/SUMIFS(VN_은행채발행!$Y$4:$Y$712,VN_은행채발행!$C$4:$C$712,$A34),"")</f>
        <v>511.983333333333</v>
      </c>
      <c r="T34" s="35" t="str">
        <f aca="false">IFERROR(SUMIFS(VN_은행채발행!$W$4:$W$712,VN_은행채발행!$C$4:$C$712,$A34)/SUMIFS(VN_은행채발행!$I$4:$I$712,VN_은행채발행!$C$4:$C$712,$A34,VN_은행채발행!$V$4:$V$712,1),"")</f>
        <v/>
      </c>
      <c r="U34" s="37" t="str">
        <f aca="false">IFERROR(SUMIFS(VN_은행채발행!$X$4:$X$712,VN_은행채발행!$C$4:$C$712,$A34)/SUMIFS(VN_은행채발행!$Z$4:$Z$712,VN_은행채발행!$C$4:$C$712,$A34),"")</f>
        <v/>
      </c>
      <c r="V34" s="38" t="n">
        <f aca="false">LOOKUP($B34,정책금리_결정!$J$4:$J$49,정책금리_결정!$K$4:$K$49)</f>
        <v>0.1675</v>
      </c>
      <c r="W34" s="38" t="n">
        <f aca="false">IFERROR(AVERAGEIFS(KZ_일별!$C$4:$C$1352,KZ_일별!$A$4:$A$1352,"&gt;="&amp;$A34,KZ_일별!$A$4:$A$1352,"&lt;="&amp;$B34),"")</f>
        <v>0.137257142857143</v>
      </c>
      <c r="X34" s="38" t="n">
        <f aca="false">IFERROR(AVERAGEIFS(KZ_일별!$E$4:$E$1352,KZ_일별!$A$4:$A$1352,"&gt;="&amp;$A34,KZ_일별!$A$4:$A$1352,"&lt;="&amp;$B34),"")</f>
        <v>0.139372380952381</v>
      </c>
      <c r="Y34" s="38" t="n">
        <f aca="false">IFERROR(AVERAGEIFS(KZ_일별!$F$4:$F$1352,KZ_일별!$A$4:$A$1352,"&gt;="&amp;$A34,KZ_일별!$A$4:$A$1352,"&lt;="&amp;$B34),"")</f>
        <v>0.139571428571429</v>
      </c>
      <c r="Z34" s="38" t="str">
        <f aca="false">IFERROR(AVERAGEIFS(KZ_일별!$G$4:$G$1352,KZ_일별!$A$4:$A$1352,"&gt;="&amp;$A34,KZ_일별!$A$4:$A$1352,"&lt;="&amp;$B34),"")</f>
        <v/>
      </c>
      <c r="AA34" s="39" t="n">
        <f aca="false">IF(OR(Y34="",W34=""),"",(Y34-W34)*10000)</f>
        <v>23.1428571428571</v>
      </c>
      <c r="AB34" s="38" t="n">
        <f aca="false">IFERROR(AVERAGEIFS(KZ_일별!$H$4:$H$1352,KZ_일별!$A$4:$A$1352,"&gt;="&amp;$A34,KZ_일별!$A$4:$A$1352,"&lt;="&amp;$B34),"")</f>
        <v>0.161452380952381</v>
      </c>
    </row>
    <row r="35" customFormat="false" ht="15" hidden="false" customHeight="false" outlineLevel="0" collapsed="false">
      <c r="A35" s="28" t="n">
        <v>45108</v>
      </c>
      <c r="B35" s="29" t="n">
        <f aca="false">EOMONTH(A35,0)</f>
        <v>45138</v>
      </c>
      <c r="C35" s="5" t="str">
        <f aca="false">YEAR(A35)&amp;"Q"&amp;ROUNDUP(MONTH(A35)/3,0)</f>
        <v>2023Q3</v>
      </c>
      <c r="D35" s="30" t="n">
        <f aca="false">YEAR(A35)</f>
        <v>2023</v>
      </c>
      <c r="E35" s="31" t="n">
        <f aca="false">LOOKUP($B35,정책금리_결정!$A$4:$A$70,정책금리_결정!$B$4:$B$70)</f>
        <v>-0.001</v>
      </c>
      <c r="F35" s="31" t="n">
        <f aca="false">IFERROR(AVERAGEIFS(JP_국채일별!$C$4:$C$1345,JP_국채일별!$A$4:$A$1345,"&gt;="&amp;$A35,JP_국채일별!$A$4:$A$1345,"&lt;="&amp;$B35),"")</f>
        <v>-0.000358</v>
      </c>
      <c r="G35" s="31" t="n">
        <f aca="false">IFERROR(AVERAGEIFS(JP_등급별회사채!$D$4:$D$158,JP_등급별회사채!$A$4:$A$158,"&gt;="&amp;$A35,JP_등급별회사채!$A$4:$A$158,"&lt;="&amp;$B35),"")</f>
        <v>0.00317</v>
      </c>
      <c r="H35" s="31" t="n">
        <f aca="false">IFERROR(AVERAGEIFS(JP_등급별회사채!$B$4:$B$158,JP_등급별회사채!$A$4:$A$158,"&gt;="&amp;$A35,JP_등급별회사채!$A$4:$A$158,"&lt;="&amp;$B35),"")</f>
        <v>0.00284</v>
      </c>
      <c r="I35" s="32" t="n">
        <f aca="false">IF(OR(G35="",F35=""),"",(G35-F35)*10000)</f>
        <v>35.28</v>
      </c>
      <c r="J35" s="33" t="n">
        <f aca="false">LOOKUP($B35,정책금리_결정!$D$4:$D$70,정책금리_결정!$E$4:$E$70)</f>
        <v>0.0355</v>
      </c>
      <c r="K35" s="33" t="n">
        <f aca="false">IFERROR(AVERAGEIFS(CN_일별!$B$4:$B$1372,CN_일별!$A$4:$A$1372,"&gt;="&amp;$A35,CN_일별!$A$4:$A$1372,"&lt;="&amp;$B35),"")</f>
        <v>0.022384380952381</v>
      </c>
      <c r="L35" s="33" t="n">
        <f aca="false">IFERROR(AVERAGEIFS(CN_일별!$C$4:$C$1372,CN_일별!$A$4:$A$1372,"&gt;="&amp;$A35,CN_일별!$A$4:$A$1372,"&lt;="&amp;$B35),"")</f>
        <v>0.0262331428571429</v>
      </c>
      <c r="M35" s="33" t="n">
        <f aca="false">IFERROR(AVERAGEIFS(CN_일별!$D$4:$D$1372,CN_일별!$A$4:$A$1372,"&gt;="&amp;$A35,CN_일별!$A$4:$A$1372,"&lt;="&amp;$B35),"")</f>
        <v>0.027136619047619</v>
      </c>
      <c r="N35" s="34" t="n">
        <f aca="false">IF(OR(L35="",K35=""),"",(L35-K35)*10000)</f>
        <v>38.4876190476191</v>
      </c>
      <c r="O35" s="35" t="n">
        <f aca="false">LOOKUP($B35,정책금리_결정!$G$4:$G$9,정책금리_결정!$H$4:$H$9)</f>
        <v>0.045</v>
      </c>
      <c r="P35" s="35" t="n">
        <f aca="false">IFERROR(AVERAGEIFS(VN_국채일별!$D$4:$D$1436,VN_국채일별!$A$4:$A$1436,"&gt;="&amp;$A35,VN_국채일별!$A$4:$A$1436,"&lt;="&amp;$B35),"")</f>
        <v>0.0203833333333333</v>
      </c>
      <c r="Q35" s="35" t="n">
        <f aca="false">IFERROR(SUMIFS(VN_은행채발행!$T$4:$T$712,VN_은행채발행!$C$4:$C$712,$A35)/SUMIFS(VN_은행채발행!$I$4:$I$712,VN_은행채발행!$C$4:$C$712,$A35,VN_은행채발행!$S$4:$S$712,1),"")</f>
        <v>0.075</v>
      </c>
      <c r="R35" s="36" t="n">
        <f aca="false">COUNTIFS(VN_은행채발행!$C$4:$C$712,$A35,VN_은행채발행!$S$4:$S$712,1)</f>
        <v>1</v>
      </c>
      <c r="S35" s="37" t="n">
        <f aca="false">IFERROR(SUMIFS(VN_은행채발행!$U$4:$U$712,VN_은행채발행!$C$4:$C$712,$A35)/SUMIFS(VN_은행채발행!$Y$4:$Y$712,VN_은행채발행!$C$4:$C$712,$A35),"")</f>
        <v>550.9</v>
      </c>
      <c r="T35" s="35" t="str">
        <f aca="false">IFERROR(SUMIFS(VN_은행채발행!$W$4:$W$712,VN_은행채발행!$C$4:$C$712,$A35)/SUMIFS(VN_은행채발행!$I$4:$I$712,VN_은행채발행!$C$4:$C$712,$A35,VN_은행채발행!$V$4:$V$712,1),"")</f>
        <v/>
      </c>
      <c r="U35" s="37" t="str">
        <f aca="false">IFERROR(SUMIFS(VN_은행채발행!$X$4:$X$712,VN_은행채발행!$C$4:$C$712,$A35)/SUMIFS(VN_은행채발행!$Z$4:$Z$712,VN_은행채발행!$C$4:$C$712,$A35),"")</f>
        <v/>
      </c>
      <c r="V35" s="38" t="n">
        <f aca="false">LOOKUP($B35,정책금리_결정!$J$4:$J$49,정책금리_결정!$K$4:$K$49)</f>
        <v>0.1675</v>
      </c>
      <c r="W35" s="38" t="n">
        <f aca="false">IFERROR(AVERAGEIFS(KZ_일별!$C$4:$C$1352,KZ_일별!$A$4:$A$1352,"&gt;="&amp;$A35,KZ_일별!$A$4:$A$1352,"&lt;="&amp;$B35),"")</f>
        <v>0.136105</v>
      </c>
      <c r="X35" s="38" t="n">
        <f aca="false">IFERROR(AVERAGEIFS(KZ_일별!$E$4:$E$1352,KZ_일별!$A$4:$A$1352,"&gt;="&amp;$A35,KZ_일별!$A$4:$A$1352,"&lt;="&amp;$B35),"")</f>
        <v>0.142141578947368</v>
      </c>
      <c r="Y35" s="38" t="n">
        <f aca="false">IFERROR(AVERAGEIFS(KZ_일별!$F$4:$F$1352,KZ_일별!$A$4:$A$1352,"&gt;="&amp;$A35,KZ_일별!$A$4:$A$1352,"&lt;="&amp;$B35),"")</f>
        <v>0.14029</v>
      </c>
      <c r="Z35" s="38" t="str">
        <f aca="false">IFERROR(AVERAGEIFS(KZ_일별!$G$4:$G$1352,KZ_일별!$A$4:$A$1352,"&gt;="&amp;$A35,KZ_일별!$A$4:$A$1352,"&lt;="&amp;$B35),"")</f>
        <v/>
      </c>
      <c r="AA35" s="39" t="n">
        <f aca="false">IF(OR(Y35="",W35=""),"",(Y35-W35)*10000)</f>
        <v>41.8499999999999</v>
      </c>
      <c r="AB35" s="38" t="n">
        <f aca="false">IFERROR(AVERAGEIFS(KZ_일별!$H$4:$H$1352,KZ_일별!$A$4:$A$1352,"&gt;="&amp;$A35,KZ_일별!$A$4:$A$1352,"&lt;="&amp;$B35),"")</f>
        <v>0.168515</v>
      </c>
    </row>
    <row r="36" customFormat="false" ht="15" hidden="false" customHeight="false" outlineLevel="0" collapsed="false">
      <c r="A36" s="28" t="n">
        <v>45139</v>
      </c>
      <c r="B36" s="29" t="n">
        <f aca="false">EOMONTH(A36,0)</f>
        <v>45169</v>
      </c>
      <c r="C36" s="5" t="str">
        <f aca="false">YEAR(A36)&amp;"Q"&amp;ROUNDUP(MONTH(A36)/3,0)</f>
        <v>2023Q3</v>
      </c>
      <c r="D36" s="30" t="n">
        <f aca="false">YEAR(A36)</f>
        <v>2023</v>
      </c>
      <c r="E36" s="31" t="n">
        <f aca="false">LOOKUP($B36,정책금리_결정!$A$4:$A$70,정책금리_결정!$B$4:$B$70)</f>
        <v>-0.001</v>
      </c>
      <c r="F36" s="31" t="n">
        <f aca="false">IFERROR(AVERAGEIFS(JP_국채일별!$C$4:$C$1345,JP_국채일별!$A$4:$A$1345,"&gt;="&amp;$A36,JP_국채일별!$A$4:$A$1345,"&lt;="&amp;$B36),"")</f>
        <v>0.000528636363636364</v>
      </c>
      <c r="G36" s="31" t="n">
        <f aca="false">IFERROR(AVERAGEIFS(JP_등급별회사채!$D$4:$D$158,JP_등급별회사채!$A$4:$A$158,"&gt;="&amp;$A36,JP_등급별회사채!$A$4:$A$158,"&lt;="&amp;$B36),"")</f>
        <v>0.00391</v>
      </c>
      <c r="H36" s="31" t="n">
        <f aca="false">IFERROR(AVERAGEIFS(JP_등급별회사채!$B$4:$B$158,JP_등급별회사채!$A$4:$A$158,"&gt;="&amp;$A36,JP_등급별회사채!$A$4:$A$158,"&lt;="&amp;$B36),"")</f>
        <v>0.00365</v>
      </c>
      <c r="I36" s="32" t="n">
        <f aca="false">IF(OR(G36="",F36=""),"",(G36-F36)*10000)</f>
        <v>33.8136363636364</v>
      </c>
      <c r="J36" s="33" t="n">
        <f aca="false">LOOKUP($B36,정책금리_결정!$D$4:$D$70,정책금리_결정!$E$4:$E$70)</f>
        <v>0.0345</v>
      </c>
      <c r="K36" s="33" t="n">
        <f aca="false">IFERROR(AVERAGEIFS(CN_일별!$B$4:$B$1372,CN_일별!$A$4:$A$1372,"&gt;="&amp;$A36,CN_일별!$A$4:$A$1372,"&lt;="&amp;$B36),"")</f>
        <v>0.0223128695652174</v>
      </c>
      <c r="L36" s="33" t="n">
        <f aca="false">IFERROR(AVERAGEIFS(CN_일별!$C$4:$C$1372,CN_일별!$A$4:$A$1372,"&gt;="&amp;$A36,CN_일별!$A$4:$A$1372,"&lt;="&amp;$B36),"")</f>
        <v>0.0260106086956522</v>
      </c>
      <c r="M36" s="33" t="n">
        <f aca="false">IFERROR(AVERAGEIFS(CN_일별!$D$4:$D$1372,CN_일별!$A$4:$A$1372,"&gt;="&amp;$A36,CN_일별!$A$4:$A$1372,"&lt;="&amp;$B36),"")</f>
        <v>0.0269117391304348</v>
      </c>
      <c r="N36" s="34" t="n">
        <f aca="false">IF(OR(L36="",K36=""),"",(L36-K36)*10000)</f>
        <v>36.9773913043478</v>
      </c>
      <c r="O36" s="35" t="n">
        <f aca="false">LOOKUP($B36,정책금리_결정!$G$4:$G$9,정책금리_결정!$H$4:$H$9)</f>
        <v>0.045</v>
      </c>
      <c r="P36" s="35" t="n">
        <f aca="false">IFERROR(AVERAGEIFS(VN_국채일별!$D$4:$D$1436,VN_국채일별!$A$4:$A$1436,"&gt;="&amp;$A36,VN_국채일별!$A$4:$A$1436,"&lt;="&amp;$B36),"")</f>
        <v>0.0185352173913044</v>
      </c>
      <c r="Q36" s="35" t="n">
        <f aca="false">IFERROR(SUMIFS(VN_은행채발행!$T$4:$T$712,VN_은행채발행!$C$4:$C$712,$A36)/SUMIFS(VN_은행채발행!$I$4:$I$712,VN_은행채발행!$C$4:$C$712,$A36,VN_은행채발행!$S$4:$S$712,1),"")</f>
        <v>0.0658270676691729</v>
      </c>
      <c r="R36" s="36" t="n">
        <f aca="false">COUNTIFS(VN_은행채발행!$C$4:$C$712,$A36,VN_은행채발행!$S$4:$S$712,1)</f>
        <v>8</v>
      </c>
      <c r="S36" s="37" t="n">
        <f aca="false">IFERROR(SUMIFS(VN_은행채발행!$U$4:$U$712,VN_은행채발행!$C$4:$C$712,$A36)/SUMIFS(VN_은행채발행!$Y$4:$Y$712,VN_은행채발행!$C$4:$C$712,$A36),"")</f>
        <v>472.171428571429</v>
      </c>
      <c r="T36" s="35" t="str">
        <f aca="false">IFERROR(SUMIFS(VN_은행채발행!$W$4:$W$712,VN_은행채발행!$C$4:$C$712,$A36)/SUMIFS(VN_은행채발행!$I$4:$I$712,VN_은행채발행!$C$4:$C$712,$A36,VN_은행채발행!$V$4:$V$712,1),"")</f>
        <v/>
      </c>
      <c r="U36" s="37" t="str">
        <f aca="false">IFERROR(SUMIFS(VN_은행채발행!$X$4:$X$712,VN_은행채발행!$C$4:$C$712,$A36)/SUMIFS(VN_은행채발행!$Z$4:$Z$712,VN_은행채발행!$C$4:$C$712,$A36),"")</f>
        <v/>
      </c>
      <c r="V36" s="38" t="n">
        <f aca="false">LOOKUP($B36,정책금리_결정!$J$4:$J$49,정책금리_결정!$K$4:$K$49)</f>
        <v>0.165</v>
      </c>
      <c r="W36" s="38" t="n">
        <f aca="false">IFERROR(AVERAGEIFS(KZ_일별!$C$4:$C$1352,KZ_일별!$A$4:$A$1352,"&gt;="&amp;$A36,KZ_일별!$A$4:$A$1352,"&lt;="&amp;$B36),"")</f>
        <v>0.135781818181818</v>
      </c>
      <c r="X36" s="38" t="n">
        <f aca="false">IFERROR(AVERAGEIFS(KZ_일별!$E$4:$E$1352,KZ_일별!$A$4:$A$1352,"&gt;="&amp;$A36,KZ_일별!$A$4:$A$1352,"&lt;="&amp;$B36),"")</f>
        <v>0.143306363636364</v>
      </c>
      <c r="Y36" s="38" t="n">
        <f aca="false">IFERROR(AVERAGEIFS(KZ_일별!$F$4:$F$1352,KZ_일별!$A$4:$A$1352,"&gt;="&amp;$A36,KZ_일별!$A$4:$A$1352,"&lt;="&amp;$B36),"")</f>
        <v>0.140945454545455</v>
      </c>
      <c r="Z36" s="38" t="str">
        <f aca="false">IFERROR(AVERAGEIFS(KZ_일별!$G$4:$G$1352,KZ_일별!$A$4:$A$1352,"&gt;="&amp;$A36,KZ_일별!$A$4:$A$1352,"&lt;="&amp;$B36),"")</f>
        <v/>
      </c>
      <c r="AA36" s="39" t="n">
        <f aca="false">IF(OR(Y36="",W36=""),"",(Y36-W36)*10000)</f>
        <v>51.6363636363634</v>
      </c>
      <c r="AB36" s="38" t="n">
        <f aca="false">IFERROR(AVERAGEIFS(KZ_일별!$H$4:$H$1352,KZ_일별!$A$4:$A$1352,"&gt;="&amp;$A36,KZ_일별!$A$4:$A$1352,"&lt;="&amp;$B36),"")</f>
        <v>0.17075</v>
      </c>
    </row>
    <row r="37" customFormat="false" ht="15" hidden="false" customHeight="false" outlineLevel="0" collapsed="false">
      <c r="A37" s="28" t="n">
        <v>45170</v>
      </c>
      <c r="B37" s="29" t="n">
        <f aca="false">EOMONTH(A37,0)</f>
        <v>45199</v>
      </c>
      <c r="C37" s="5" t="str">
        <f aca="false">YEAR(A37)&amp;"Q"&amp;ROUNDUP(MONTH(A37)/3,0)</f>
        <v>2023Q3</v>
      </c>
      <c r="D37" s="30" t="n">
        <f aca="false">YEAR(A37)</f>
        <v>2023</v>
      </c>
      <c r="E37" s="31" t="n">
        <f aca="false">LOOKUP($B37,정책금리_결정!$A$4:$A$70,정책금리_결정!$B$4:$B$70)</f>
        <v>-0.001</v>
      </c>
      <c r="F37" s="31" t="n">
        <f aca="false">IFERROR(AVERAGEIFS(JP_국채일별!$C$4:$C$1345,JP_국채일별!$A$4:$A$1345,"&gt;="&amp;$A37,JP_국채일별!$A$4:$A$1345,"&lt;="&amp;$B37),"")</f>
        <v>0.000829</v>
      </c>
      <c r="G37" s="31" t="n">
        <f aca="false">IFERROR(AVERAGEIFS(JP_등급별회사채!$D$4:$D$158,JP_등급별회사채!$A$4:$A$158,"&gt;="&amp;$A37,JP_등급별회사채!$A$4:$A$158,"&lt;="&amp;$B37),"")</f>
        <v>0.00439</v>
      </c>
      <c r="H37" s="31" t="n">
        <f aca="false">IFERROR(AVERAGEIFS(JP_등급별회사채!$B$4:$B$158,JP_등급별회사채!$A$4:$A$158,"&gt;="&amp;$A37,JP_등급별회사채!$A$4:$A$158,"&lt;="&amp;$B37),"")</f>
        <v>0.00412</v>
      </c>
      <c r="I37" s="32" t="n">
        <f aca="false">IF(OR(G37="",F37=""),"",(G37-F37)*10000)</f>
        <v>35.61</v>
      </c>
      <c r="J37" s="33" t="n">
        <f aca="false">LOOKUP($B37,정책금리_결정!$D$4:$D$70,정책금리_결정!$E$4:$E$70)</f>
        <v>0.0345</v>
      </c>
      <c r="K37" s="33" t="n">
        <f aca="false">IFERROR(AVERAGEIFS(CN_일별!$B$4:$B$1372,CN_일별!$A$4:$A$1372,"&gt;="&amp;$A37,CN_일별!$A$4:$A$1372,"&lt;="&amp;$B37),"")</f>
        <v>0.02349235</v>
      </c>
      <c r="L37" s="33" t="n">
        <f aca="false">IFERROR(AVERAGEIFS(CN_일별!$C$4:$C$1372,CN_일별!$A$4:$A$1372,"&gt;="&amp;$A37,CN_일별!$A$4:$A$1372,"&lt;="&amp;$B37),"")</f>
        <v>0.02708215</v>
      </c>
      <c r="M37" s="33" t="n">
        <f aca="false">IFERROR(AVERAGEIFS(CN_일별!$D$4:$D$1372,CN_일별!$A$4:$A$1372,"&gt;="&amp;$A37,CN_일별!$A$4:$A$1372,"&lt;="&amp;$B37),"")</f>
        <v>0.0285067</v>
      </c>
      <c r="N37" s="34" t="n">
        <f aca="false">IF(OR(L37="",K37=""),"",(L37-K37)*10000)</f>
        <v>35.898</v>
      </c>
      <c r="O37" s="35" t="n">
        <f aca="false">LOOKUP($B37,정책금리_결정!$G$4:$G$9,정책금리_결정!$H$4:$H$9)</f>
        <v>0.045</v>
      </c>
      <c r="P37" s="35" t="n">
        <f aca="false">IFERROR(AVERAGEIFS(VN_국채일별!$D$4:$D$1436,VN_국채일별!$A$4:$A$1436,"&gt;="&amp;$A37,VN_국채일별!$A$4:$A$1436,"&lt;="&amp;$B37),"")</f>
        <v>0.0184209523809524</v>
      </c>
      <c r="Q37" s="35" t="n">
        <f aca="false">IFERROR(SUMIFS(VN_은행채발행!$T$4:$T$712,VN_은행채발행!$C$4:$C$712,$A37)/SUMIFS(VN_은행채발행!$I$4:$I$712,VN_은행채발행!$C$4:$C$712,$A37,VN_은행채발행!$S$4:$S$712,1),"")</f>
        <v>0.0654130434782609</v>
      </c>
      <c r="R37" s="36" t="n">
        <f aca="false">COUNTIFS(VN_은행채발행!$C$4:$C$712,$A37,VN_은행채발행!$S$4:$S$712,1)</f>
        <v>5</v>
      </c>
      <c r="S37" s="37" t="n">
        <f aca="false">IFERROR(SUMIFS(VN_은행채발행!$U$4:$U$712,VN_은행채발행!$C$4:$C$712,$A37)/SUMIFS(VN_은행채발행!$Y$4:$Y$712,VN_은행채발행!$C$4:$C$712,$A37),"")</f>
        <v>468.10652173913</v>
      </c>
      <c r="T37" s="35" t="str">
        <f aca="false">IFERROR(SUMIFS(VN_은행채발행!$W$4:$W$712,VN_은행채발행!$C$4:$C$712,$A37)/SUMIFS(VN_은행채발행!$I$4:$I$712,VN_은행채발행!$C$4:$C$712,$A37,VN_은행채발행!$V$4:$V$712,1),"")</f>
        <v/>
      </c>
      <c r="U37" s="37" t="str">
        <f aca="false">IFERROR(SUMIFS(VN_은행채발행!$X$4:$X$712,VN_은행채발행!$C$4:$C$712,$A37)/SUMIFS(VN_은행채발행!$Z$4:$Z$712,VN_은행채발행!$C$4:$C$712,$A37),"")</f>
        <v/>
      </c>
      <c r="V37" s="38" t="n">
        <f aca="false">LOOKUP($B37,정책금리_결정!$J$4:$J$49,정책금리_결정!$K$4:$K$49)</f>
        <v>0.165</v>
      </c>
      <c r="W37" s="38" t="n">
        <f aca="false">IFERROR(AVERAGEIFS(KZ_일별!$C$4:$C$1352,KZ_일별!$A$4:$A$1352,"&gt;="&amp;$A37,KZ_일별!$A$4:$A$1352,"&lt;="&amp;$B37),"")</f>
        <v>0.13532380952381</v>
      </c>
      <c r="X37" s="38" t="n">
        <f aca="false">IFERROR(AVERAGEIFS(KZ_일별!$E$4:$E$1352,KZ_일별!$A$4:$A$1352,"&gt;="&amp;$A37,KZ_일별!$A$4:$A$1352,"&lt;="&amp;$B37),"")</f>
        <v>0.136131428571429</v>
      </c>
      <c r="Y37" s="38" t="n">
        <f aca="false">IFERROR(AVERAGEIFS(KZ_일별!$F$4:$F$1352,KZ_일별!$A$4:$A$1352,"&gt;="&amp;$A37,KZ_일별!$A$4:$A$1352,"&lt;="&amp;$B37),"")</f>
        <v>0.144085714285714</v>
      </c>
      <c r="Z37" s="38" t="str">
        <f aca="false">IFERROR(AVERAGEIFS(KZ_일별!$G$4:$G$1352,KZ_일별!$A$4:$A$1352,"&gt;="&amp;$A37,KZ_일별!$A$4:$A$1352,"&lt;="&amp;$B37),"")</f>
        <v/>
      </c>
      <c r="AA37" s="39" t="n">
        <f aca="false">IF(OR(Y37="",W37=""),"",(Y37-W37)*10000)</f>
        <v>87.6190476190475</v>
      </c>
      <c r="AB37" s="38" t="n">
        <f aca="false">IFERROR(AVERAGEIFS(KZ_일별!$H$4:$H$1352,KZ_일별!$A$4:$A$1352,"&gt;="&amp;$A37,KZ_일별!$A$4:$A$1352,"&lt;="&amp;$B37),"")</f>
        <v>0.170061904761905</v>
      </c>
    </row>
    <row r="38" customFormat="false" ht="15" hidden="false" customHeight="false" outlineLevel="0" collapsed="false">
      <c r="A38" s="28" t="n">
        <v>45200</v>
      </c>
      <c r="B38" s="29" t="n">
        <f aca="false">EOMONTH(A38,0)</f>
        <v>45230</v>
      </c>
      <c r="C38" s="5" t="str">
        <f aca="false">YEAR(A38)&amp;"Q"&amp;ROUNDUP(MONTH(A38)/3,0)</f>
        <v>2023Q4</v>
      </c>
      <c r="D38" s="30" t="n">
        <f aca="false">YEAR(A38)</f>
        <v>2023</v>
      </c>
      <c r="E38" s="31" t="n">
        <f aca="false">LOOKUP($B38,정책금리_결정!$A$4:$A$70,정책금리_결정!$B$4:$B$70)</f>
        <v>-0.001</v>
      </c>
      <c r="F38" s="31" t="n">
        <f aca="false">IFERROR(AVERAGEIFS(JP_국채일별!$C$4:$C$1345,JP_국채일별!$A$4:$A$1345,"&gt;="&amp;$A38,JP_국채일별!$A$4:$A$1345,"&lt;="&amp;$B38),"")</f>
        <v>0.00131</v>
      </c>
      <c r="G38" s="31" t="n">
        <f aca="false">IFERROR(AVERAGEIFS(JP_등급별회사채!$D$4:$D$158,JP_등급별회사채!$A$4:$A$158,"&gt;="&amp;$A38,JP_등급별회사채!$A$4:$A$158,"&lt;="&amp;$B38),"")</f>
        <v>0.00453</v>
      </c>
      <c r="H38" s="31" t="n">
        <f aca="false">IFERROR(AVERAGEIFS(JP_등급별회사채!$B$4:$B$158,JP_등급별회사채!$A$4:$A$158,"&gt;="&amp;$A38,JP_등급별회사채!$A$4:$A$158,"&lt;="&amp;$B38),"")</f>
        <v>0.00423</v>
      </c>
      <c r="I38" s="32" t="n">
        <f aca="false">IF(OR(G38="",F38=""),"",(G38-F38)*10000)</f>
        <v>32.2</v>
      </c>
      <c r="J38" s="33" t="n">
        <f aca="false">LOOKUP($B38,정책금리_결정!$D$4:$D$70,정책금리_결정!$E$4:$E$70)</f>
        <v>0.0345</v>
      </c>
      <c r="K38" s="33" t="n">
        <f aca="false">IFERROR(AVERAGEIFS(CN_일별!$B$4:$B$1372,CN_일별!$A$4:$A$1372,"&gt;="&amp;$A38,CN_일별!$A$4:$A$1372,"&lt;="&amp;$B38),"")</f>
        <v>0.0245805263157895</v>
      </c>
      <c r="L38" s="33" t="n">
        <f aca="false">IFERROR(AVERAGEIFS(CN_일별!$C$4:$C$1372,CN_일별!$A$4:$A$1372,"&gt;="&amp;$A38,CN_일별!$A$4:$A$1372,"&lt;="&amp;$B38),"")</f>
        <v>0.0278562105263158</v>
      </c>
      <c r="M38" s="33" t="n">
        <f aca="false">IFERROR(AVERAGEIFS(CN_일별!$D$4:$D$1372,CN_일별!$A$4:$A$1372,"&gt;="&amp;$A38,CN_일별!$A$4:$A$1372,"&lt;="&amp;$B38),"")</f>
        <v>0.0292255263157895</v>
      </c>
      <c r="N38" s="34" t="n">
        <f aca="false">IF(OR(L38="",K38=""),"",(L38-K38)*10000)</f>
        <v>32.7568421052632</v>
      </c>
      <c r="O38" s="35" t="n">
        <f aca="false">LOOKUP($B38,정책금리_결정!$G$4:$G$9,정책금리_결정!$H$4:$H$9)</f>
        <v>0.045</v>
      </c>
      <c r="P38" s="35" t="n">
        <f aca="false">IFERROR(AVERAGEIFS(VN_국채일별!$D$4:$D$1436,VN_국채일별!$A$4:$A$1436,"&gt;="&amp;$A38,VN_국채일별!$A$4:$A$1436,"&lt;="&amp;$B38),"")</f>
        <v>0.0195113636363636</v>
      </c>
      <c r="Q38" s="35" t="n">
        <f aca="false">IFERROR(SUMIFS(VN_은행채발행!$T$4:$T$712,VN_은행채발행!$C$4:$C$712,$A38)/SUMIFS(VN_은행채발행!$I$4:$I$712,VN_은행채발행!$C$4:$C$712,$A38,VN_은행채발행!$S$4:$S$712,1),"")</f>
        <v>0.0606382978723404</v>
      </c>
      <c r="R38" s="36" t="n">
        <f aca="false">COUNTIFS(VN_은행채발행!$C$4:$C$712,$A38,VN_은행채발행!$S$4:$S$712,1)</f>
        <v>6</v>
      </c>
      <c r="S38" s="37" t="n">
        <f aca="false">IFERROR(SUMIFS(VN_은행채발행!$U$4:$U$712,VN_은행채발행!$C$4:$C$712,$A38)/SUMIFS(VN_은행채발행!$Y$4:$Y$712,VN_은행채발행!$C$4:$C$712,$A38),"")</f>
        <v>411.894680851064</v>
      </c>
      <c r="T38" s="35" t="str">
        <f aca="false">IFERROR(SUMIFS(VN_은행채발행!$W$4:$W$712,VN_은행채발행!$C$4:$C$712,$A38)/SUMIFS(VN_은행채발행!$I$4:$I$712,VN_은행채발행!$C$4:$C$712,$A38,VN_은행채발행!$V$4:$V$712,1),"")</f>
        <v/>
      </c>
      <c r="U38" s="37" t="str">
        <f aca="false">IFERROR(SUMIFS(VN_은행채발행!$X$4:$X$712,VN_은행채발행!$C$4:$C$712,$A38)/SUMIFS(VN_은행채발행!$Z$4:$Z$712,VN_은행채발행!$C$4:$C$712,$A38),"")</f>
        <v/>
      </c>
      <c r="V38" s="38" t="n">
        <f aca="false">LOOKUP($B38,정책금리_결정!$J$4:$J$49,정책금리_결정!$K$4:$K$49)</f>
        <v>0.16</v>
      </c>
      <c r="W38" s="38" t="n">
        <f aca="false">IFERROR(AVERAGEIFS(KZ_일별!$C$4:$C$1352,KZ_일별!$A$4:$A$1352,"&gt;="&amp;$A38,KZ_일별!$A$4:$A$1352,"&lt;="&amp;$B38),"")</f>
        <v>0.1362</v>
      </c>
      <c r="X38" s="38" t="n">
        <f aca="false">IFERROR(AVERAGEIFS(KZ_일별!$E$4:$E$1352,KZ_일별!$A$4:$A$1352,"&gt;="&amp;$A38,KZ_일별!$A$4:$A$1352,"&lt;="&amp;$B38),"")</f>
        <v>0.137235714285714</v>
      </c>
      <c r="Y38" s="38" t="n">
        <f aca="false">IFERROR(AVERAGEIFS(KZ_일별!$F$4:$F$1352,KZ_일별!$A$4:$A$1352,"&gt;="&amp;$A38,KZ_일별!$A$4:$A$1352,"&lt;="&amp;$B38),"")</f>
        <v>0.14512380952381</v>
      </c>
      <c r="Z38" s="38" t="str">
        <f aca="false">IFERROR(AVERAGEIFS(KZ_일별!$G$4:$G$1352,KZ_일별!$A$4:$A$1352,"&gt;="&amp;$A38,KZ_일별!$A$4:$A$1352,"&lt;="&amp;$B38),"")</f>
        <v/>
      </c>
      <c r="AA38" s="39" t="n">
        <f aca="false">IF(OR(Y38="",W38=""),"",(Y38-W38)*10000)</f>
        <v>89.2380952380953</v>
      </c>
      <c r="AB38" s="38" t="n">
        <f aca="false">IFERROR(AVERAGEIFS(KZ_일별!$H$4:$H$1352,KZ_일별!$A$4:$A$1352,"&gt;="&amp;$A38,KZ_일별!$A$4:$A$1352,"&lt;="&amp;$B38),"")</f>
        <v>0.163728571428571</v>
      </c>
    </row>
    <row r="39" customFormat="false" ht="15" hidden="false" customHeight="false" outlineLevel="0" collapsed="false">
      <c r="A39" s="28" t="n">
        <v>45231</v>
      </c>
      <c r="B39" s="29" t="n">
        <f aca="false">EOMONTH(A39,0)</f>
        <v>45260</v>
      </c>
      <c r="C39" s="5" t="str">
        <f aca="false">YEAR(A39)&amp;"Q"&amp;ROUNDUP(MONTH(A39)/3,0)</f>
        <v>2023Q4</v>
      </c>
      <c r="D39" s="30" t="n">
        <f aca="false">YEAR(A39)</f>
        <v>2023</v>
      </c>
      <c r="E39" s="31" t="n">
        <f aca="false">LOOKUP($B39,정책금리_결정!$A$4:$A$70,정책금리_결정!$B$4:$B$70)</f>
        <v>-0.001</v>
      </c>
      <c r="F39" s="31" t="n">
        <f aca="false">IFERROR(AVERAGEIFS(JP_국채일별!$C$4:$C$1345,JP_국채일별!$A$4:$A$1345,"&gt;="&amp;$A39,JP_국채일별!$A$4:$A$1345,"&lt;="&amp;$B39),"")</f>
        <v>0.0014445</v>
      </c>
      <c r="G39" s="31" t="n">
        <f aca="false">IFERROR(AVERAGEIFS(JP_등급별회사채!$D$4:$D$158,JP_등급별회사채!$A$4:$A$158,"&gt;="&amp;$A39,JP_등급별회사채!$A$4:$A$158,"&lt;="&amp;$B39),"")</f>
        <v>0.00524</v>
      </c>
      <c r="H39" s="31" t="n">
        <f aca="false">IFERROR(AVERAGEIFS(JP_등급별회사채!$B$4:$B$158,JP_등급별회사채!$A$4:$A$158,"&gt;="&amp;$A39,JP_등급별회사채!$A$4:$A$158,"&lt;="&amp;$B39),"")</f>
        <v>0.00495</v>
      </c>
      <c r="I39" s="32" t="n">
        <f aca="false">IF(OR(G39="",F39=""),"",(G39-F39)*10000)</f>
        <v>37.955</v>
      </c>
      <c r="J39" s="33" t="n">
        <f aca="false">LOOKUP($B39,정책금리_결정!$D$4:$D$70,정책금리_결정!$E$4:$E$70)</f>
        <v>0.0345</v>
      </c>
      <c r="K39" s="33" t="n">
        <f aca="false">IFERROR(AVERAGEIFS(CN_일별!$B$4:$B$1372,CN_일별!$A$4:$A$1372,"&gt;="&amp;$A39,CN_일별!$A$4:$A$1372,"&lt;="&amp;$B39),"")</f>
        <v>0.0244121363636364</v>
      </c>
      <c r="L39" s="33" t="n">
        <f aca="false">IFERROR(AVERAGEIFS(CN_일별!$C$4:$C$1372,CN_일별!$A$4:$A$1372,"&gt;="&amp;$A39,CN_일별!$A$4:$A$1372,"&lt;="&amp;$B39),"")</f>
        <v>0.0279582727272727</v>
      </c>
      <c r="M39" s="33" t="n">
        <f aca="false">IFERROR(AVERAGEIFS(CN_일별!$D$4:$D$1372,CN_일별!$A$4:$A$1372,"&gt;="&amp;$A39,CN_일별!$A$4:$A$1372,"&lt;="&amp;$B39),"")</f>
        <v>0.0288869090909091</v>
      </c>
      <c r="N39" s="34" t="n">
        <f aca="false">IF(OR(L39="",K39=""),"",(L39-K39)*10000)</f>
        <v>35.4613636363637</v>
      </c>
      <c r="O39" s="35" t="n">
        <f aca="false">LOOKUP($B39,정책금리_결정!$G$4:$G$9,정책금리_결정!$H$4:$H$9)</f>
        <v>0.045</v>
      </c>
      <c r="P39" s="35" t="n">
        <f aca="false">IFERROR(AVERAGEIFS(VN_국채일별!$D$4:$D$1436,VN_국채일별!$A$4:$A$1436,"&gt;="&amp;$A39,VN_국채일별!$A$4:$A$1436,"&lt;="&amp;$B39),"")</f>
        <v>0.0190854545454545</v>
      </c>
      <c r="Q39" s="35" t="n">
        <f aca="false">IFERROR(SUMIFS(VN_은행채발행!$T$4:$T$712,VN_은행채발행!$C$4:$C$712,$A39)/SUMIFS(VN_은행채발행!$I$4:$I$712,VN_은행채발행!$C$4:$C$712,$A39,VN_은행채발행!$S$4:$S$712,1),"")</f>
        <v>0.0613787878787879</v>
      </c>
      <c r="R39" s="36" t="n">
        <f aca="false">COUNTIFS(VN_은행채발행!$C$4:$C$712,$A39,VN_은행채발행!$S$4:$S$712,1)</f>
        <v>6</v>
      </c>
      <c r="S39" s="37" t="n">
        <f aca="false">IFERROR(SUMIFS(VN_은행채발행!$U$4:$U$712,VN_은행채발행!$C$4:$C$712,$A39)/SUMIFS(VN_은행채발행!$Y$4:$Y$712,VN_은행채발행!$C$4:$C$712,$A39),"")</f>
        <v>424.825757575758</v>
      </c>
      <c r="T39" s="35" t="str">
        <f aca="false">IFERROR(SUMIFS(VN_은행채발행!$W$4:$W$712,VN_은행채발행!$C$4:$C$712,$A39)/SUMIFS(VN_은행채발행!$I$4:$I$712,VN_은행채발행!$C$4:$C$712,$A39,VN_은행채발행!$V$4:$V$712,1),"")</f>
        <v/>
      </c>
      <c r="U39" s="37" t="str">
        <f aca="false">IFERROR(SUMIFS(VN_은행채발행!$X$4:$X$712,VN_은행채발행!$C$4:$C$712,$A39)/SUMIFS(VN_은행채발행!$Z$4:$Z$712,VN_은행채발행!$C$4:$C$712,$A39),"")</f>
        <v/>
      </c>
      <c r="V39" s="38" t="n">
        <f aca="false">LOOKUP($B39,정책금리_결정!$J$4:$J$49,정책금리_결정!$K$4:$K$49)</f>
        <v>0.1575</v>
      </c>
      <c r="W39" s="38" t="n">
        <f aca="false">IFERROR(AVERAGEIFS(KZ_일별!$C$4:$C$1352,KZ_일별!$A$4:$A$1352,"&gt;="&amp;$A39,KZ_일별!$A$4:$A$1352,"&lt;="&amp;$B39),"")</f>
        <v>0.138645454545455</v>
      </c>
      <c r="X39" s="38" t="n">
        <f aca="false">IFERROR(AVERAGEIFS(KZ_일별!$E$4:$E$1352,KZ_일별!$A$4:$A$1352,"&gt;="&amp;$A39,KZ_일별!$A$4:$A$1352,"&lt;="&amp;$B39),"")</f>
        <v>0.140233181818182</v>
      </c>
      <c r="Y39" s="38" t="n">
        <f aca="false">IFERROR(AVERAGEIFS(KZ_일별!$F$4:$F$1352,KZ_일별!$A$4:$A$1352,"&gt;="&amp;$A39,KZ_일별!$A$4:$A$1352,"&lt;="&amp;$B39),"")</f>
        <v>0.14495</v>
      </c>
      <c r="Z39" s="38" t="str">
        <f aca="false">IFERROR(AVERAGEIFS(KZ_일별!$G$4:$G$1352,KZ_일별!$A$4:$A$1352,"&gt;="&amp;$A39,KZ_일별!$A$4:$A$1352,"&lt;="&amp;$B39),"")</f>
        <v/>
      </c>
      <c r="AA39" s="39" t="n">
        <f aca="false">IF(OR(Y39="",W39=""),"",(Y39-W39)*10000)</f>
        <v>63.0454545454548</v>
      </c>
      <c r="AB39" s="38" t="n">
        <f aca="false">IFERROR(AVERAGEIFS(KZ_일별!$H$4:$H$1352,KZ_일별!$A$4:$A$1352,"&gt;="&amp;$A39,KZ_일별!$A$4:$A$1352,"&lt;="&amp;$B39),"")</f>
        <v>0.156854545454545</v>
      </c>
    </row>
    <row r="40" customFormat="false" ht="15" hidden="false" customHeight="false" outlineLevel="0" collapsed="false">
      <c r="A40" s="28" t="n">
        <v>45261</v>
      </c>
      <c r="B40" s="29" t="n">
        <f aca="false">EOMONTH(A40,0)</f>
        <v>45291</v>
      </c>
      <c r="C40" s="5" t="str">
        <f aca="false">YEAR(A40)&amp;"Q"&amp;ROUNDUP(MONTH(A40)/3,0)</f>
        <v>2023Q4</v>
      </c>
      <c r="D40" s="30" t="n">
        <f aca="false">YEAR(A40)</f>
        <v>2023</v>
      </c>
      <c r="E40" s="31" t="n">
        <f aca="false">LOOKUP($B40,정책금리_결정!$A$4:$A$70,정책금리_결정!$B$4:$B$70)</f>
        <v>-0.001</v>
      </c>
      <c r="F40" s="31" t="n">
        <f aca="false">IFERROR(AVERAGEIFS(JP_국채일별!$C$4:$C$1345,JP_국채일별!$A$4:$A$1345,"&gt;="&amp;$A40,JP_국채일별!$A$4:$A$1345,"&lt;="&amp;$B40),"")</f>
        <v>0.000813809523809524</v>
      </c>
      <c r="G40" s="31" t="n">
        <f aca="false">IFERROR(AVERAGEIFS(JP_등급별회사채!$D$4:$D$158,JP_등급별회사채!$A$4:$A$158,"&gt;="&amp;$A40,JP_등급별회사채!$A$4:$A$158,"&lt;="&amp;$B40),"")</f>
        <v>0.00466</v>
      </c>
      <c r="H40" s="31" t="n">
        <f aca="false">IFERROR(AVERAGEIFS(JP_등급별회사채!$B$4:$B$158,JP_등급별회사채!$A$4:$A$158,"&gt;="&amp;$A40,JP_등급별회사채!$A$4:$A$158,"&lt;="&amp;$B40),"")</f>
        <v>0.00426</v>
      </c>
      <c r="I40" s="32" t="n">
        <f aca="false">IF(OR(G40="",F40=""),"",(G40-F40)*10000)</f>
        <v>38.4619047619048</v>
      </c>
      <c r="J40" s="33" t="n">
        <f aca="false">LOOKUP($B40,정책금리_결정!$D$4:$D$70,정책금리_결정!$E$4:$E$70)</f>
        <v>0.0345</v>
      </c>
      <c r="K40" s="33" t="n">
        <f aca="false">IFERROR(AVERAGEIFS(CN_일별!$B$4:$B$1372,CN_일별!$A$4:$A$1372,"&gt;="&amp;$A40,CN_일별!$A$4:$A$1372,"&lt;="&amp;$B40),"")</f>
        <v>0.0240122272727273</v>
      </c>
      <c r="L40" s="33" t="n">
        <f aca="false">IFERROR(AVERAGEIFS(CN_일별!$C$4:$C$1372,CN_일별!$A$4:$A$1372,"&gt;="&amp;$A40,CN_일별!$A$4:$A$1372,"&lt;="&amp;$B40),"")</f>
        <v>0.0274831818181818</v>
      </c>
      <c r="M40" s="33" t="n">
        <f aca="false">IFERROR(AVERAGEIFS(CN_일별!$D$4:$D$1372,CN_일별!$A$4:$A$1372,"&gt;="&amp;$A40,CN_일별!$A$4:$A$1372,"&lt;="&amp;$B40),"")</f>
        <v>0.0287568636363636</v>
      </c>
      <c r="N40" s="34" t="n">
        <f aca="false">IF(OR(L40="",K40=""),"",(L40-K40)*10000)</f>
        <v>34.7095454545455</v>
      </c>
      <c r="O40" s="35" t="n">
        <f aca="false">LOOKUP($B40,정책금리_결정!$G$4:$G$9,정책금리_결정!$H$4:$H$9)</f>
        <v>0.045</v>
      </c>
      <c r="P40" s="35" t="n">
        <f aca="false">IFERROR(AVERAGEIFS(VN_국채일별!$D$4:$D$1436,VN_국채일별!$A$4:$A$1436,"&gt;="&amp;$A40,VN_국채일별!$A$4:$A$1436,"&lt;="&amp;$B40),"")</f>
        <v>0.0178233333333333</v>
      </c>
      <c r="Q40" s="35" t="n">
        <f aca="false">IFERROR(SUMIFS(VN_은행채발행!$T$4:$T$712,VN_은행채발행!$C$4:$C$712,$A40)/SUMIFS(VN_은행채발행!$I$4:$I$712,VN_은행채발행!$C$4:$C$712,$A40,VN_은행채발행!$S$4:$S$712,1),"")</f>
        <v>0.0513333333333333</v>
      </c>
      <c r="R40" s="36" t="n">
        <f aca="false">COUNTIFS(VN_은행채발행!$C$4:$C$712,$A40,VN_은행채발행!$S$4:$S$712,1)</f>
        <v>12</v>
      </c>
      <c r="S40" s="37" t="n">
        <f aca="false">IFERROR(SUMIFS(VN_은행채발행!$U$4:$U$712,VN_은행채발행!$C$4:$C$712,$A40)/SUMIFS(VN_은행채발행!$Y$4:$Y$712,VN_은행채발행!$C$4:$C$712,$A40),"")</f>
        <v>340.547222222222</v>
      </c>
      <c r="T40" s="35" t="str">
        <f aca="false">IFERROR(SUMIFS(VN_은행채발행!$W$4:$W$712,VN_은행채발행!$C$4:$C$712,$A40)/SUMIFS(VN_은행채발행!$I$4:$I$712,VN_은행채발행!$C$4:$C$712,$A40,VN_은행채발행!$V$4:$V$712,1),"")</f>
        <v/>
      </c>
      <c r="U40" s="37" t="str">
        <f aca="false">IFERROR(SUMIFS(VN_은행채발행!$X$4:$X$712,VN_은행채발행!$C$4:$C$712,$A40)/SUMIFS(VN_은행채발행!$Z$4:$Z$712,VN_은행채발행!$C$4:$C$712,$A40),"")</f>
        <v/>
      </c>
      <c r="V40" s="38" t="n">
        <f aca="false">LOOKUP($B40,정책금리_결정!$J$4:$J$49,정책금리_결정!$K$4:$K$49)</f>
        <v>0.1575</v>
      </c>
      <c r="W40" s="38" t="n">
        <f aca="false">IFERROR(AVERAGEIFS(KZ_일별!$C$4:$C$1352,KZ_일별!$A$4:$A$1352,"&gt;="&amp;$A40,KZ_일별!$A$4:$A$1352,"&lt;="&amp;$B40),"")</f>
        <v>0.13724</v>
      </c>
      <c r="X40" s="38" t="n">
        <f aca="false">IFERROR(AVERAGEIFS(KZ_일별!$E$4:$E$1352,KZ_일별!$A$4:$A$1352,"&gt;="&amp;$A40,KZ_일별!$A$4:$A$1352,"&lt;="&amp;$B40),"")</f>
        <v>0.1427605</v>
      </c>
      <c r="Y40" s="38" t="n">
        <f aca="false">IFERROR(AVERAGEIFS(KZ_일별!$F$4:$F$1352,KZ_일별!$A$4:$A$1352,"&gt;="&amp;$A40,KZ_일별!$A$4:$A$1352,"&lt;="&amp;$B40),"")</f>
        <v>0.145155</v>
      </c>
      <c r="Z40" s="38" t="str">
        <f aca="false">IFERROR(AVERAGEIFS(KZ_일별!$G$4:$G$1352,KZ_일별!$A$4:$A$1352,"&gt;="&amp;$A40,KZ_일별!$A$4:$A$1352,"&lt;="&amp;$B40),"")</f>
        <v/>
      </c>
      <c r="AA40" s="39" t="n">
        <f aca="false">IF(OR(Y40="",W40=""),"",(Y40-W40)*10000)</f>
        <v>79.1500000000001</v>
      </c>
      <c r="AB40" s="38" t="n">
        <f aca="false">IFERROR(AVERAGEIFS(KZ_일별!$H$4:$H$1352,KZ_일별!$A$4:$A$1352,"&gt;="&amp;$A40,KZ_일별!$A$4:$A$1352,"&lt;="&amp;$B40),"")</f>
        <v>0.15085</v>
      </c>
    </row>
    <row r="41" customFormat="false" ht="15" hidden="false" customHeight="false" outlineLevel="0" collapsed="false">
      <c r="A41" s="28" t="n">
        <v>45292</v>
      </c>
      <c r="B41" s="29" t="n">
        <f aca="false">EOMONTH(A41,0)</f>
        <v>45322</v>
      </c>
      <c r="C41" s="5" t="str">
        <f aca="false">YEAR(A41)&amp;"Q"&amp;ROUNDUP(MONTH(A41)/3,0)</f>
        <v>2024Q1</v>
      </c>
      <c r="D41" s="30" t="n">
        <f aca="false">YEAR(A41)</f>
        <v>2024</v>
      </c>
      <c r="E41" s="31" t="n">
        <f aca="false">LOOKUP($B41,정책금리_결정!$A$4:$A$70,정책금리_결정!$B$4:$B$70)</f>
        <v>-0.001</v>
      </c>
      <c r="F41" s="31" t="n">
        <f aca="false">IFERROR(AVERAGEIFS(JP_국채일별!$C$4:$C$1345,JP_국채일별!$A$4:$A$1345,"&gt;="&amp;$A41,JP_국채일별!$A$4:$A$1345,"&lt;="&amp;$B41),"")</f>
        <v>0.000445789473684211</v>
      </c>
      <c r="G41" s="31" t="n">
        <f aca="false">IFERROR(AVERAGEIFS(JP_등급별회사채!$D$4:$D$158,JP_등급별회사채!$A$4:$A$158,"&gt;="&amp;$A41,JP_등급별회사채!$A$4:$A$158,"&lt;="&amp;$B41),"")</f>
        <v>0.00396</v>
      </c>
      <c r="H41" s="31" t="n">
        <f aca="false">IFERROR(AVERAGEIFS(JP_등급별회사채!$B$4:$B$158,JP_등급별회사채!$A$4:$A$158,"&gt;="&amp;$A41,JP_등급별회사채!$A$4:$A$158,"&lt;="&amp;$B41),"")</f>
        <v>0.00338</v>
      </c>
      <c r="I41" s="32" t="n">
        <f aca="false">IF(OR(G41="",F41=""),"",(G41-F41)*10000)</f>
        <v>35.1421052631579</v>
      </c>
      <c r="J41" s="33" t="n">
        <f aca="false">LOOKUP($B41,정책금리_결정!$D$4:$D$70,정책금리_결정!$E$4:$E$70)</f>
        <v>0.0345</v>
      </c>
      <c r="K41" s="33" t="n">
        <f aca="false">IFERROR(AVERAGEIFS(CN_일별!$B$4:$B$1372,CN_일별!$A$4:$A$1372,"&gt;="&amp;$A41,CN_일별!$A$4:$A$1372,"&lt;="&amp;$B41),"")</f>
        <v>0.0228207272727273</v>
      </c>
      <c r="L41" s="33" t="n">
        <f aca="false">IFERROR(AVERAGEIFS(CN_일별!$C$4:$C$1372,CN_일별!$A$4:$A$1372,"&gt;="&amp;$A41,CN_일별!$A$4:$A$1372,"&lt;="&amp;$B41),"")</f>
        <v>0.026042</v>
      </c>
      <c r="M41" s="33" t="n">
        <f aca="false">IFERROR(AVERAGEIFS(CN_일별!$D$4:$D$1372,CN_일별!$A$4:$A$1372,"&gt;="&amp;$A41,CN_일별!$A$4:$A$1372,"&lt;="&amp;$B41),"")</f>
        <v>0.0268903636363636</v>
      </c>
      <c r="N41" s="34" t="n">
        <f aca="false">IF(OR(L41="",K41=""),"",(L41-K41)*10000)</f>
        <v>32.2127272727273</v>
      </c>
      <c r="O41" s="35" t="n">
        <f aca="false">LOOKUP($B41,정책금리_결정!$G$4:$G$9,정책금리_결정!$H$4:$H$9)</f>
        <v>0.045</v>
      </c>
      <c r="P41" s="35" t="n">
        <f aca="false">IFERROR(AVERAGEIFS(VN_국채일별!$D$4:$D$1436,VN_국채일별!$A$4:$A$1436,"&gt;="&amp;$A41,VN_국채일별!$A$4:$A$1436,"&lt;="&amp;$B41),"")</f>
        <v>0.0153365217391304</v>
      </c>
      <c r="Q41" s="35" t="str">
        <f aca="false">IFERROR(SUMIFS(VN_은행채발행!$T$4:$T$712,VN_은행채발행!$C$4:$C$712,$A41)/SUMIFS(VN_은행채발행!$I$4:$I$712,VN_은행채발행!$C$4:$C$712,$A41,VN_은행채발행!$S$4:$S$712,1),"")</f>
        <v/>
      </c>
      <c r="R41" s="36" t="n">
        <f aca="false">COUNTIFS(VN_은행채발행!$C$4:$C$712,$A41,VN_은행채발행!$S$4:$S$712,1)</f>
        <v>0</v>
      </c>
      <c r="S41" s="37" t="str">
        <f aca="false">IFERROR(SUMIFS(VN_은행채발행!$U$4:$U$712,VN_은행채발행!$C$4:$C$712,$A41)/SUMIFS(VN_은행채발행!$Y$4:$Y$712,VN_은행채발행!$C$4:$C$712,$A41),"")</f>
        <v/>
      </c>
      <c r="T41" s="35" t="str">
        <f aca="false">IFERROR(SUMIFS(VN_은행채발행!$W$4:$W$712,VN_은행채발행!$C$4:$C$712,$A41)/SUMIFS(VN_은행채발행!$I$4:$I$712,VN_은행채발행!$C$4:$C$712,$A41,VN_은행채발행!$V$4:$V$712,1),"")</f>
        <v/>
      </c>
      <c r="U41" s="37" t="str">
        <f aca="false">IFERROR(SUMIFS(VN_은행채발행!$X$4:$X$712,VN_은행채발행!$C$4:$C$712,$A41)/SUMIFS(VN_은행채발행!$Z$4:$Z$712,VN_은행채발행!$C$4:$C$712,$A41),"")</f>
        <v/>
      </c>
      <c r="V41" s="38" t="n">
        <f aca="false">LOOKUP($B41,정책금리_결정!$J$4:$J$49,정책금리_결정!$K$4:$K$49)</f>
        <v>0.1525</v>
      </c>
      <c r="W41" s="38" t="n">
        <f aca="false">IFERROR(AVERAGEIFS(KZ_일별!$C$4:$C$1352,KZ_일별!$A$4:$A$1352,"&gt;="&amp;$A41,KZ_일별!$A$4:$A$1352,"&lt;="&amp;$B41),"")</f>
        <v>0.129328571428571</v>
      </c>
      <c r="X41" s="38" t="n">
        <f aca="false">IFERROR(AVERAGEIFS(KZ_일별!$E$4:$E$1352,KZ_일별!$A$4:$A$1352,"&gt;="&amp;$A41,KZ_일별!$A$4:$A$1352,"&lt;="&amp;$B41),"")</f>
        <v>0.132358095238095</v>
      </c>
      <c r="Y41" s="38" t="n">
        <f aca="false">IFERROR(AVERAGEIFS(KZ_일별!$F$4:$F$1352,KZ_일별!$A$4:$A$1352,"&gt;="&amp;$A41,KZ_일별!$A$4:$A$1352,"&lt;="&amp;$B41),"")</f>
        <v>0.144014285714286</v>
      </c>
      <c r="Z41" s="38" t="str">
        <f aca="false">IFERROR(AVERAGEIFS(KZ_일별!$G$4:$G$1352,KZ_일별!$A$4:$A$1352,"&gt;="&amp;$A41,KZ_일별!$A$4:$A$1352,"&lt;="&amp;$B41),"")</f>
        <v/>
      </c>
      <c r="AA41" s="39" t="n">
        <f aca="false">IF(OR(Y41="",W41=""),"",(Y41-W41)*10000)</f>
        <v>146.857142857143</v>
      </c>
      <c r="AB41" s="38" t="n">
        <f aca="false">IFERROR(AVERAGEIFS(KZ_일별!$H$4:$H$1352,KZ_일별!$A$4:$A$1352,"&gt;="&amp;$A41,KZ_일별!$A$4:$A$1352,"&lt;="&amp;$B41),"")</f>
        <v>0.148580952380952</v>
      </c>
    </row>
    <row r="42" customFormat="false" ht="15" hidden="false" customHeight="false" outlineLevel="0" collapsed="false">
      <c r="A42" s="28" t="n">
        <v>45323</v>
      </c>
      <c r="B42" s="29" t="n">
        <f aca="false">EOMONTH(A42,0)</f>
        <v>45351</v>
      </c>
      <c r="C42" s="5" t="str">
        <f aca="false">YEAR(A42)&amp;"Q"&amp;ROUNDUP(MONTH(A42)/3,0)</f>
        <v>2024Q1</v>
      </c>
      <c r="D42" s="30" t="n">
        <f aca="false">YEAR(A42)</f>
        <v>2024</v>
      </c>
      <c r="E42" s="31" t="n">
        <f aca="false">LOOKUP($B42,정책금리_결정!$A$4:$A$70,정책금리_결정!$B$4:$B$70)</f>
        <v>-0.001</v>
      </c>
      <c r="F42" s="31" t="n">
        <f aca="false">IFERROR(AVERAGEIFS(JP_국채일별!$C$4:$C$1345,JP_국채일별!$A$4:$A$1345,"&gt;="&amp;$A42,JP_국채일별!$A$4:$A$1345,"&lt;="&amp;$B42),"")</f>
        <v>0.00134631578947368</v>
      </c>
      <c r="G42" s="31" t="n">
        <f aca="false">IFERROR(AVERAGEIFS(JP_등급별회사채!$D$4:$D$158,JP_등급별회사채!$A$4:$A$158,"&gt;="&amp;$A42,JP_등급별회사채!$A$4:$A$158,"&lt;="&amp;$B42),"")</f>
        <v>0.00524</v>
      </c>
      <c r="H42" s="31" t="n">
        <f aca="false">IFERROR(AVERAGEIFS(JP_등급별회사채!$B$4:$B$158,JP_등급별회사채!$A$4:$A$158,"&gt;="&amp;$A42,JP_등급별회사채!$A$4:$A$158,"&lt;="&amp;$B42),"")</f>
        <v>0.00466</v>
      </c>
      <c r="I42" s="32" t="n">
        <f aca="false">IF(OR(G42="",F42=""),"",(G42-F42)*10000)</f>
        <v>38.9368421052632</v>
      </c>
      <c r="J42" s="33" t="n">
        <f aca="false">LOOKUP($B42,정책금리_결정!$D$4:$D$70,정책금리_결정!$E$4:$E$70)</f>
        <v>0.0345</v>
      </c>
      <c r="K42" s="33" t="n">
        <f aca="false">IFERROR(AVERAGEIFS(CN_일별!$B$4:$B$1372,CN_일별!$A$4:$A$1372,"&gt;="&amp;$A42,CN_일별!$A$4:$A$1372,"&lt;="&amp;$B42),"")</f>
        <v>0.0216571666666667</v>
      </c>
      <c r="L42" s="33" t="n">
        <f aca="false">IFERROR(AVERAGEIFS(CN_일별!$C$4:$C$1372,CN_일별!$A$4:$A$1372,"&gt;="&amp;$A42,CN_일별!$A$4:$A$1372,"&lt;="&amp;$B42),"")</f>
        <v>0.024683</v>
      </c>
      <c r="M42" s="33" t="n">
        <f aca="false">IFERROR(AVERAGEIFS(CN_일별!$D$4:$D$1372,CN_일별!$A$4:$A$1372,"&gt;="&amp;$A42,CN_일별!$A$4:$A$1372,"&lt;="&amp;$B42),"")</f>
        <v>0.0254926111111111</v>
      </c>
      <c r="N42" s="34" t="n">
        <f aca="false">IF(OR(L42="",K42=""),"",(L42-K42)*10000)</f>
        <v>30.2583333333334</v>
      </c>
      <c r="O42" s="35" t="n">
        <f aca="false">LOOKUP($B42,정책금리_결정!$G$4:$G$9,정책금리_결정!$H$4:$H$9)</f>
        <v>0.045</v>
      </c>
      <c r="P42" s="35" t="n">
        <f aca="false">IFERROR(AVERAGEIFS(VN_국채일별!$D$4:$D$1436,VN_국채일별!$A$4:$A$1436,"&gt;="&amp;$A42,VN_국채일별!$A$4:$A$1436,"&lt;="&amp;$B42),"")</f>
        <v>0.0135928571428571</v>
      </c>
      <c r="Q42" s="35" t="str">
        <f aca="false">IFERROR(SUMIFS(VN_은행채발행!$T$4:$T$712,VN_은행채발행!$C$4:$C$712,$A42)/SUMIFS(VN_은행채발행!$I$4:$I$712,VN_은행채발행!$C$4:$C$712,$A42,VN_은행채발행!$S$4:$S$712,1),"")</f>
        <v/>
      </c>
      <c r="R42" s="36" t="n">
        <f aca="false">COUNTIFS(VN_은행채발행!$C$4:$C$712,$A42,VN_은행채발행!$S$4:$S$712,1)</f>
        <v>0</v>
      </c>
      <c r="S42" s="37" t="str">
        <f aca="false">IFERROR(SUMIFS(VN_은행채발행!$U$4:$U$712,VN_은행채발행!$C$4:$C$712,$A42)/SUMIFS(VN_은행채발행!$Y$4:$Y$712,VN_은행채발행!$C$4:$C$712,$A42),"")</f>
        <v/>
      </c>
      <c r="T42" s="35" t="str">
        <f aca="false">IFERROR(SUMIFS(VN_은행채발행!$W$4:$W$712,VN_은행채발행!$C$4:$C$712,$A42)/SUMIFS(VN_은행채발행!$I$4:$I$712,VN_은행채발행!$C$4:$C$712,$A42,VN_은행채발행!$V$4:$V$712,1),"")</f>
        <v/>
      </c>
      <c r="U42" s="37" t="str">
        <f aca="false">IFERROR(SUMIFS(VN_은행채발행!$X$4:$X$712,VN_은행채발행!$C$4:$C$712,$A42)/SUMIFS(VN_은행채발행!$Z$4:$Z$712,VN_은행채발행!$C$4:$C$712,$A42),"")</f>
        <v/>
      </c>
      <c r="V42" s="38" t="n">
        <f aca="false">LOOKUP($B42,정책금리_결정!$J$4:$J$49,정책금리_결정!$K$4:$K$49)</f>
        <v>0.1475</v>
      </c>
      <c r="W42" s="38" t="n">
        <f aca="false">IFERROR(AVERAGEIFS(KZ_일별!$C$4:$C$1352,KZ_일별!$A$4:$A$1352,"&gt;="&amp;$A42,KZ_일별!$A$4:$A$1352,"&lt;="&amp;$B42),"")</f>
        <v>0.120590476190476</v>
      </c>
      <c r="X42" s="38" t="n">
        <f aca="false">IFERROR(AVERAGEIFS(KZ_일별!$E$4:$E$1352,KZ_일별!$A$4:$A$1352,"&gt;="&amp;$A42,KZ_일별!$A$4:$A$1352,"&lt;="&amp;$B42),"")</f>
        <v>0.12922</v>
      </c>
      <c r="Y42" s="38" t="n">
        <f aca="false">IFERROR(AVERAGEIFS(KZ_일별!$F$4:$F$1352,KZ_일별!$A$4:$A$1352,"&gt;="&amp;$A42,KZ_일별!$A$4:$A$1352,"&lt;="&amp;$B42),"")</f>
        <v>0.142261904761905</v>
      </c>
      <c r="Z42" s="38" t="str">
        <f aca="false">IFERROR(AVERAGEIFS(KZ_일별!$G$4:$G$1352,KZ_일별!$A$4:$A$1352,"&gt;="&amp;$A42,KZ_일별!$A$4:$A$1352,"&lt;="&amp;$B42),"")</f>
        <v/>
      </c>
      <c r="AA42" s="39" t="n">
        <f aca="false">IF(OR(Y42="",W42=""),"",(Y42-W42)*10000)</f>
        <v>216.714285714286</v>
      </c>
      <c r="AB42" s="38" t="n">
        <f aca="false">IFERROR(AVERAGEIFS(KZ_일별!$H$4:$H$1352,KZ_일별!$A$4:$A$1352,"&gt;="&amp;$A42,KZ_일별!$A$4:$A$1352,"&lt;="&amp;$B42),"")</f>
        <v>0.14512380952381</v>
      </c>
    </row>
    <row r="43" customFormat="false" ht="15" hidden="false" customHeight="false" outlineLevel="0" collapsed="false">
      <c r="A43" s="28" t="n">
        <v>45352</v>
      </c>
      <c r="B43" s="29" t="n">
        <f aca="false">EOMONTH(A43,0)</f>
        <v>45382</v>
      </c>
      <c r="C43" s="5" t="str">
        <f aca="false">YEAR(A43)&amp;"Q"&amp;ROUNDUP(MONTH(A43)/3,0)</f>
        <v>2024Q1</v>
      </c>
      <c r="D43" s="30" t="n">
        <f aca="false">YEAR(A43)</f>
        <v>2024</v>
      </c>
      <c r="E43" s="31" t="n">
        <f aca="false">LOOKUP($B43,정책금리_결정!$A$4:$A$70,정책금리_결정!$B$4:$B$70)</f>
        <v>0.0005</v>
      </c>
      <c r="F43" s="31" t="n">
        <f aca="false">IFERROR(AVERAGEIFS(JP_국채일별!$C$4:$C$1345,JP_국채일별!$A$4:$A$1345,"&gt;="&amp;$A43,JP_국채일별!$A$4:$A$1345,"&lt;="&amp;$B43),"")</f>
        <v>0.00205</v>
      </c>
      <c r="G43" s="31" t="n">
        <f aca="false">IFERROR(AVERAGEIFS(JP_등급별회사채!$D$4:$D$158,JP_등급별회사채!$A$4:$A$158,"&gt;="&amp;$A43,JP_등급별회사채!$A$4:$A$158,"&lt;="&amp;$B43),"")</f>
        <v>0.00566</v>
      </c>
      <c r="H43" s="31" t="n">
        <f aca="false">IFERROR(AVERAGEIFS(JP_등급별회사채!$B$4:$B$158,JP_등급별회사채!$A$4:$A$158,"&gt;="&amp;$A43,JP_등급별회사채!$A$4:$A$158,"&lt;="&amp;$B43),"")</f>
        <v>0.00507</v>
      </c>
      <c r="I43" s="32" t="n">
        <f aca="false">IF(OR(G43="",F43=""),"",(G43-F43)*10000)</f>
        <v>36.1</v>
      </c>
      <c r="J43" s="33" t="n">
        <f aca="false">LOOKUP($B43,정책금리_결정!$D$4:$D$70,정책금리_결정!$E$4:$E$70)</f>
        <v>0.0345</v>
      </c>
      <c r="K43" s="33" t="n">
        <f aca="false">IFERROR(AVERAGEIFS(CN_일별!$B$4:$B$1372,CN_일별!$A$4:$A$1372,"&gt;="&amp;$A43,CN_일별!$A$4:$A$1372,"&lt;="&amp;$B43),"")</f>
        <v>0.0209477142857143</v>
      </c>
      <c r="L43" s="33" t="n">
        <f aca="false">IFERROR(AVERAGEIFS(CN_일별!$C$4:$C$1372,CN_일별!$A$4:$A$1372,"&gt;="&amp;$A43,CN_일별!$A$4:$A$1372,"&lt;="&amp;$B43),"")</f>
        <v>0.0240119523809524</v>
      </c>
      <c r="M43" s="33" t="n">
        <f aca="false">IFERROR(AVERAGEIFS(CN_일별!$D$4:$D$1372,CN_일별!$A$4:$A$1372,"&gt;="&amp;$A43,CN_일별!$A$4:$A$1372,"&lt;="&amp;$B43),"")</f>
        <v>0.0251035238095238</v>
      </c>
      <c r="N43" s="34" t="n">
        <f aca="false">IF(OR(L43="",K43=""),"",(L43-K43)*10000)</f>
        <v>30.642380952381</v>
      </c>
      <c r="O43" s="35" t="n">
        <f aca="false">LOOKUP($B43,정책금리_결정!$G$4:$G$9,정책금리_결정!$H$4:$H$9)</f>
        <v>0.045</v>
      </c>
      <c r="P43" s="35" t="n">
        <f aca="false">IFERROR(AVERAGEIFS(VN_국채일별!$D$4:$D$1436,VN_국채일별!$A$4:$A$1436,"&gt;="&amp;$A43,VN_국채일별!$A$4:$A$1436,"&lt;="&amp;$B43),"")</f>
        <v>0.0151795238095238</v>
      </c>
      <c r="Q43" s="35" t="str">
        <f aca="false">IFERROR(SUMIFS(VN_은행채발행!$T$4:$T$712,VN_은행채발행!$C$4:$C$712,$A43)/SUMIFS(VN_은행채발행!$I$4:$I$712,VN_은행채발행!$C$4:$C$712,$A43,VN_은행채발행!$S$4:$S$712,1),"")</f>
        <v/>
      </c>
      <c r="R43" s="36" t="n">
        <f aca="false">COUNTIFS(VN_은행채발행!$C$4:$C$712,$A43,VN_은행채발행!$S$4:$S$712,1)</f>
        <v>0</v>
      </c>
      <c r="S43" s="37" t="str">
        <f aca="false">IFERROR(SUMIFS(VN_은행채발행!$U$4:$U$712,VN_은행채발행!$C$4:$C$712,$A43)/SUMIFS(VN_은행채발행!$Y$4:$Y$712,VN_은행채발행!$C$4:$C$712,$A43),"")</f>
        <v/>
      </c>
      <c r="T43" s="35" t="str">
        <f aca="false">IFERROR(SUMIFS(VN_은행채발행!$W$4:$W$712,VN_은행채발행!$C$4:$C$712,$A43)/SUMIFS(VN_은행채발행!$I$4:$I$712,VN_은행채발행!$C$4:$C$712,$A43,VN_은행채발행!$V$4:$V$712,1),"")</f>
        <v/>
      </c>
      <c r="U43" s="37" t="str">
        <f aca="false">IFERROR(SUMIFS(VN_은행채발행!$X$4:$X$712,VN_은행채발행!$C$4:$C$712,$A43)/SUMIFS(VN_은행채발행!$Z$4:$Z$712,VN_은행채발행!$C$4:$C$712,$A43),"")</f>
        <v/>
      </c>
      <c r="V43" s="38" t="n">
        <f aca="false">LOOKUP($B43,정책금리_결정!$J$4:$J$49,정책금리_결정!$K$4:$K$49)</f>
        <v>0.1475</v>
      </c>
      <c r="W43" s="38" t="n">
        <f aca="false">IFERROR(AVERAGEIFS(KZ_일별!$C$4:$C$1352,KZ_일별!$A$4:$A$1352,"&gt;="&amp;$A43,KZ_일별!$A$4:$A$1352,"&lt;="&amp;$B43),"")</f>
        <v>0.116258823529412</v>
      </c>
      <c r="X43" s="38" t="n">
        <f aca="false">IFERROR(AVERAGEIFS(KZ_일별!$E$4:$E$1352,KZ_일별!$A$4:$A$1352,"&gt;="&amp;$A43,KZ_일별!$A$4:$A$1352,"&lt;="&amp;$B43),"")</f>
        <v>0.12922</v>
      </c>
      <c r="Y43" s="38" t="n">
        <f aca="false">IFERROR(AVERAGEIFS(KZ_일별!$F$4:$F$1352,KZ_일별!$A$4:$A$1352,"&gt;="&amp;$A43,KZ_일별!$A$4:$A$1352,"&lt;="&amp;$B43),"")</f>
        <v>0.142235294117647</v>
      </c>
      <c r="Z43" s="38" t="str">
        <f aca="false">IFERROR(AVERAGEIFS(KZ_일별!$G$4:$G$1352,KZ_일별!$A$4:$A$1352,"&gt;="&amp;$A43,KZ_일별!$A$4:$A$1352,"&lt;="&amp;$B43),"")</f>
        <v/>
      </c>
      <c r="AA43" s="39" t="n">
        <f aca="false">IF(OR(Y43="",W43=""),"",(Y43-W43)*10000)</f>
        <v>259.764705882353</v>
      </c>
      <c r="AB43" s="38" t="n">
        <f aca="false">IFERROR(AVERAGEIFS(KZ_일별!$H$4:$H$1352,KZ_일별!$A$4:$A$1352,"&gt;="&amp;$A43,KZ_일별!$A$4:$A$1352,"&lt;="&amp;$B43),"")</f>
        <v>0.136905882352941</v>
      </c>
    </row>
    <row r="44" customFormat="false" ht="15" hidden="false" customHeight="false" outlineLevel="0" collapsed="false">
      <c r="A44" s="28" t="n">
        <v>45383</v>
      </c>
      <c r="B44" s="29" t="n">
        <f aca="false">EOMONTH(A44,0)</f>
        <v>45412</v>
      </c>
      <c r="C44" s="5" t="str">
        <f aca="false">YEAR(A44)&amp;"Q"&amp;ROUNDUP(MONTH(A44)/3,0)</f>
        <v>2024Q2</v>
      </c>
      <c r="D44" s="30" t="n">
        <f aca="false">YEAR(A44)</f>
        <v>2024</v>
      </c>
      <c r="E44" s="31" t="n">
        <f aca="false">LOOKUP($B44,정책금리_결정!$A$4:$A$70,정책금리_결정!$B$4:$B$70)</f>
        <v>0.0005</v>
      </c>
      <c r="F44" s="31" t="n">
        <f aca="false">IFERROR(AVERAGEIFS(JP_국채일별!$C$4:$C$1345,JP_국채일별!$A$4:$A$1345,"&gt;="&amp;$A44,JP_국채일별!$A$4:$A$1345,"&lt;="&amp;$B44),"")</f>
        <v>0.0026852380952381</v>
      </c>
      <c r="G44" s="31" t="n">
        <f aca="false">IFERROR(AVERAGEIFS(JP_등급별회사채!$D$4:$D$158,JP_등급별회사채!$A$4:$A$158,"&gt;="&amp;$A44,JP_등급별회사채!$A$4:$A$158,"&lt;="&amp;$B44),"")</f>
        <v>0.00649</v>
      </c>
      <c r="H44" s="31" t="n">
        <f aca="false">IFERROR(AVERAGEIFS(JP_등급별회사채!$B$4:$B$158,JP_등급별회사채!$A$4:$A$158,"&gt;="&amp;$A44,JP_등급별회사채!$A$4:$A$158,"&lt;="&amp;$B44),"")</f>
        <v>0.00577</v>
      </c>
      <c r="I44" s="32" t="n">
        <f aca="false">IF(OR(G44="",F44=""),"",(G44-F44)*10000)</f>
        <v>38.047619047619</v>
      </c>
      <c r="J44" s="33" t="n">
        <f aca="false">LOOKUP($B44,정책금리_결정!$D$4:$D$70,정책금리_결정!$E$4:$E$70)</f>
        <v>0.0345</v>
      </c>
      <c r="K44" s="33" t="n">
        <f aca="false">IFERROR(AVERAGEIFS(CN_일별!$B$4:$B$1372,CN_일별!$A$4:$A$1372,"&gt;="&amp;$A44,CN_일별!$A$4:$A$1372,"&lt;="&amp;$B44),"")</f>
        <v>0.0201103181818182</v>
      </c>
      <c r="L44" s="33" t="n">
        <f aca="false">IFERROR(AVERAGEIFS(CN_일별!$C$4:$C$1372,CN_일별!$A$4:$A$1372,"&gt;="&amp;$A44,CN_일별!$A$4:$A$1372,"&lt;="&amp;$B44),"")</f>
        <v>0.0229192272727273</v>
      </c>
      <c r="M44" s="33" t="n">
        <f aca="false">IFERROR(AVERAGEIFS(CN_일별!$D$4:$D$1372,CN_일별!$A$4:$A$1372,"&gt;="&amp;$A44,CN_일별!$A$4:$A$1372,"&lt;="&amp;$B44),"")</f>
        <v>0.0236025</v>
      </c>
      <c r="N44" s="34" t="n">
        <f aca="false">IF(OR(L44="",K44=""),"",(L44-K44)*10000)</f>
        <v>28.0890909090909</v>
      </c>
      <c r="O44" s="35" t="n">
        <f aca="false">LOOKUP($B44,정책금리_결정!$G$4:$G$9,정책금리_결정!$H$4:$H$9)</f>
        <v>0.045</v>
      </c>
      <c r="P44" s="35" t="n">
        <f aca="false">IFERROR(AVERAGEIFS(VN_국채일별!$D$4:$D$1436,VN_국채일별!$A$4:$A$1436,"&gt;="&amp;$A44,VN_국채일별!$A$4:$A$1436,"&lt;="&amp;$B44),"")</f>
        <v>0.0194990909090909</v>
      </c>
      <c r="Q44" s="35" t="n">
        <f aca="false">IFERROR(SUMIFS(VN_은행채발행!$T$4:$T$712,VN_은행채발행!$C$4:$C$712,$A44)/SUMIFS(VN_은행채발행!$I$4:$I$712,VN_은행채발행!$C$4:$C$712,$A44,VN_은행채발행!$S$4:$S$712,1),"")</f>
        <v>0.0379655172413793</v>
      </c>
      <c r="R44" s="36" t="n">
        <f aca="false">COUNTIFS(VN_은행채발행!$C$4:$C$712,$A44,VN_은행채발행!$S$4:$S$712,1)</f>
        <v>3</v>
      </c>
      <c r="S44" s="37" t="n">
        <f aca="false">IFERROR(SUMIFS(VN_은행채발행!$U$4:$U$712,VN_은행채발행!$C$4:$C$712,$A44)/SUMIFS(VN_은행채발행!$Y$4:$Y$712,VN_은행채발행!$C$4:$C$712,$A44),"")</f>
        <v>184.7</v>
      </c>
      <c r="T44" s="35" t="str">
        <f aca="false">IFERROR(SUMIFS(VN_은행채발행!$W$4:$W$712,VN_은행채발행!$C$4:$C$712,$A44)/SUMIFS(VN_은행채발행!$I$4:$I$712,VN_은행채발행!$C$4:$C$712,$A44,VN_은행채발행!$V$4:$V$712,1),"")</f>
        <v/>
      </c>
      <c r="U44" s="37" t="str">
        <f aca="false">IFERROR(SUMIFS(VN_은행채발행!$X$4:$X$712,VN_은행채발행!$C$4:$C$712,$A44)/SUMIFS(VN_은행채발행!$Z$4:$Z$712,VN_은행채발행!$C$4:$C$712,$A44),"")</f>
        <v/>
      </c>
      <c r="V44" s="38" t="n">
        <f aca="false">LOOKUP($B44,정책금리_결정!$J$4:$J$49,정책금리_결정!$K$4:$K$49)</f>
        <v>0.1475</v>
      </c>
      <c r="W44" s="38" t="n">
        <f aca="false">IFERROR(AVERAGEIFS(KZ_일별!$C$4:$C$1352,KZ_일별!$A$4:$A$1352,"&gt;="&amp;$A44,KZ_일별!$A$4:$A$1352,"&lt;="&amp;$B44),"")</f>
        <v>0.117704545454545</v>
      </c>
      <c r="X44" s="38" t="n">
        <f aca="false">IFERROR(AVERAGEIFS(KZ_일별!$E$4:$E$1352,KZ_일별!$A$4:$A$1352,"&gt;="&amp;$A44,KZ_일별!$A$4:$A$1352,"&lt;="&amp;$B44),"")</f>
        <v>0.12922</v>
      </c>
      <c r="Y44" s="38" t="n">
        <f aca="false">IFERROR(AVERAGEIFS(KZ_일별!$F$4:$F$1352,KZ_일별!$A$4:$A$1352,"&gt;="&amp;$A44,KZ_일별!$A$4:$A$1352,"&lt;="&amp;$B44),"")</f>
        <v>0.14085</v>
      </c>
      <c r="Z44" s="38" t="str">
        <f aca="false">IFERROR(AVERAGEIFS(KZ_일별!$G$4:$G$1352,KZ_일별!$A$4:$A$1352,"&gt;="&amp;$A44,KZ_일별!$A$4:$A$1352,"&lt;="&amp;$B44),"")</f>
        <v/>
      </c>
      <c r="AA44" s="39" t="n">
        <f aca="false">IF(OR(Y44="",W44=""),"",(Y44-W44)*10000)</f>
        <v>231.454545454545</v>
      </c>
      <c r="AB44" s="38" t="n">
        <f aca="false">IFERROR(AVERAGEIFS(KZ_일별!$H$4:$H$1352,KZ_일별!$A$4:$A$1352,"&gt;="&amp;$A44,KZ_일별!$A$4:$A$1352,"&lt;="&amp;$B44),"")</f>
        <v>0.137036363636364</v>
      </c>
    </row>
    <row r="45" customFormat="false" ht="15" hidden="false" customHeight="false" outlineLevel="0" collapsed="false">
      <c r="A45" s="28" t="n">
        <v>45413</v>
      </c>
      <c r="B45" s="29" t="n">
        <f aca="false">EOMONTH(A45,0)</f>
        <v>45443</v>
      </c>
      <c r="C45" s="5" t="str">
        <f aca="false">YEAR(A45)&amp;"Q"&amp;ROUNDUP(MONTH(A45)/3,0)</f>
        <v>2024Q2</v>
      </c>
      <c r="D45" s="30" t="n">
        <f aca="false">YEAR(A45)</f>
        <v>2024</v>
      </c>
      <c r="E45" s="31" t="n">
        <f aca="false">LOOKUP($B45,정책금리_결정!$A$4:$A$70,정책금리_결정!$B$4:$B$70)</f>
        <v>0.0005</v>
      </c>
      <c r="F45" s="31" t="n">
        <f aca="false">IFERROR(AVERAGEIFS(JP_국채일별!$C$4:$C$1345,JP_국채일별!$A$4:$A$1345,"&gt;="&amp;$A45,JP_국채일별!$A$4:$A$1345,"&lt;="&amp;$B45),"")</f>
        <v>0.00385</v>
      </c>
      <c r="G45" s="31" t="n">
        <f aca="false">IFERROR(AVERAGEIFS(JP_등급별회사채!$D$4:$D$158,JP_등급별회사채!$A$4:$A$158,"&gt;="&amp;$A45,JP_등급별회사채!$A$4:$A$158,"&lt;="&amp;$B45),"")</f>
        <v>0.00715</v>
      </c>
      <c r="H45" s="31" t="n">
        <f aca="false">IFERROR(AVERAGEIFS(JP_등급별회사채!$B$4:$B$158,JP_등급별회사채!$A$4:$A$158,"&gt;="&amp;$A45,JP_등급별회사채!$A$4:$A$158,"&lt;="&amp;$B45),"")</f>
        <v>0.00645</v>
      </c>
      <c r="I45" s="32" t="n">
        <f aca="false">IF(OR(G45="",F45=""),"",(G45-F45)*10000)</f>
        <v>33</v>
      </c>
      <c r="J45" s="33" t="n">
        <f aca="false">LOOKUP($B45,정책금리_결정!$D$4:$D$70,정책금리_결정!$E$4:$E$70)</f>
        <v>0.0345</v>
      </c>
      <c r="K45" s="33" t="n">
        <f aca="false">IFERROR(AVERAGEIFS(CN_일별!$B$4:$B$1372,CN_일별!$A$4:$A$1372,"&gt;="&amp;$A45,CN_일별!$A$4:$A$1372,"&lt;="&amp;$B45),"")</f>
        <v>0.0195472380952381</v>
      </c>
      <c r="L45" s="33" t="n">
        <f aca="false">IFERROR(AVERAGEIFS(CN_일별!$C$4:$C$1372,CN_일별!$A$4:$A$1372,"&gt;="&amp;$A45,CN_일별!$A$4:$A$1372,"&lt;="&amp;$B45),"")</f>
        <v>0.0223272380952381</v>
      </c>
      <c r="M45" s="33" t="n">
        <f aca="false">IFERROR(AVERAGEIFS(CN_일별!$D$4:$D$1372,CN_일별!$A$4:$A$1372,"&gt;="&amp;$A45,CN_일별!$A$4:$A$1372,"&lt;="&amp;$B45),"")</f>
        <v>0.0229597142857143</v>
      </c>
      <c r="N45" s="34" t="n">
        <f aca="false">IF(OR(L45="",K45=""),"",(L45-K45)*10000)</f>
        <v>27.8</v>
      </c>
      <c r="O45" s="35" t="n">
        <f aca="false">LOOKUP($B45,정책금리_결정!$G$4:$G$9,정책금리_결정!$H$4:$H$9)</f>
        <v>0.045</v>
      </c>
      <c r="P45" s="35" t="n">
        <f aca="false">IFERROR(AVERAGEIFS(VN_국채일별!$D$4:$D$1436,VN_국채일별!$A$4:$A$1436,"&gt;="&amp;$A45,VN_국채일별!$A$4:$A$1436,"&lt;="&amp;$B45),"")</f>
        <v>0.0199130434782609</v>
      </c>
      <c r="Q45" s="35" t="n">
        <f aca="false">IFERROR(SUMIFS(VN_은행채발행!$T$4:$T$712,VN_은행채발행!$C$4:$C$712,$A45)/SUMIFS(VN_은행채발행!$I$4:$I$712,VN_은행채발행!$C$4:$C$712,$A45,VN_은행채발행!$S$4:$S$712,1),"")</f>
        <v>0.0488666666666667</v>
      </c>
      <c r="R45" s="36" t="n">
        <f aca="false">COUNTIFS(VN_은행채발행!$C$4:$C$712,$A45,VN_은행채발행!$S$4:$S$712,1)</f>
        <v>7</v>
      </c>
      <c r="S45" s="37" t="n">
        <f aca="false">IFERROR(SUMIFS(VN_은행채발행!$U$4:$U$712,VN_은행채발행!$C$4:$C$712,$A45)/SUMIFS(VN_은행채발행!$Y$4:$Y$712,VN_은행채발행!$C$4:$C$712,$A45),"")</f>
        <v>290</v>
      </c>
      <c r="T45" s="35" t="str">
        <f aca="false">IFERROR(SUMIFS(VN_은행채발행!$W$4:$W$712,VN_은행채발행!$C$4:$C$712,$A45)/SUMIFS(VN_은행채발행!$I$4:$I$712,VN_은행채발행!$C$4:$C$712,$A45,VN_은행채발행!$V$4:$V$712,1),"")</f>
        <v/>
      </c>
      <c r="U45" s="37" t="str">
        <f aca="false">IFERROR(SUMIFS(VN_은행채발행!$X$4:$X$712,VN_은행채발행!$C$4:$C$712,$A45)/SUMIFS(VN_은행채발행!$Z$4:$Z$712,VN_은행채발행!$C$4:$C$712,$A45),"")</f>
        <v/>
      </c>
      <c r="V45" s="38" t="n">
        <f aca="false">LOOKUP($B45,정책금리_결정!$J$4:$J$49,정책금리_결정!$K$4:$K$49)</f>
        <v>0.1475</v>
      </c>
      <c r="W45" s="38" t="n">
        <f aca="false">IFERROR(AVERAGEIFS(KZ_일별!$C$4:$C$1352,KZ_일별!$A$4:$A$1352,"&gt;="&amp;$A45,KZ_일별!$A$4:$A$1352,"&lt;="&amp;$B45),"")</f>
        <v>0.12298</v>
      </c>
      <c r="X45" s="38" t="n">
        <f aca="false">IFERROR(AVERAGEIFS(KZ_일별!$E$4:$E$1352,KZ_일별!$A$4:$A$1352,"&gt;="&amp;$A45,KZ_일별!$A$4:$A$1352,"&lt;="&amp;$B45),"")</f>
        <v>0.12922</v>
      </c>
      <c r="Y45" s="38" t="n">
        <f aca="false">IFERROR(AVERAGEIFS(KZ_일별!$F$4:$F$1352,KZ_일별!$A$4:$A$1352,"&gt;="&amp;$A45,KZ_일별!$A$4:$A$1352,"&lt;="&amp;$B45),"")</f>
        <v>0.14044</v>
      </c>
      <c r="Z45" s="38" t="str">
        <f aca="false">IFERROR(AVERAGEIFS(KZ_일별!$G$4:$G$1352,KZ_일별!$A$4:$A$1352,"&gt;="&amp;$A45,KZ_일별!$A$4:$A$1352,"&lt;="&amp;$B45),"")</f>
        <v/>
      </c>
      <c r="AA45" s="39" t="n">
        <f aca="false">IF(OR(Y45="",W45=""),"",(Y45-W45)*10000)</f>
        <v>174.6</v>
      </c>
      <c r="AB45" s="38" t="n">
        <f aca="false">IFERROR(AVERAGEIFS(KZ_일별!$H$4:$H$1352,KZ_일별!$A$4:$A$1352,"&gt;="&amp;$A45,KZ_일별!$A$4:$A$1352,"&lt;="&amp;$B45),"")</f>
        <v>0.13557</v>
      </c>
    </row>
    <row r="46" customFormat="false" ht="15" hidden="false" customHeight="false" outlineLevel="0" collapsed="false">
      <c r="A46" s="28" t="n">
        <v>45444</v>
      </c>
      <c r="B46" s="29" t="n">
        <f aca="false">EOMONTH(A46,0)</f>
        <v>45473</v>
      </c>
      <c r="C46" s="5" t="str">
        <f aca="false">YEAR(A46)&amp;"Q"&amp;ROUNDUP(MONTH(A46)/3,0)</f>
        <v>2024Q2</v>
      </c>
      <c r="D46" s="30" t="n">
        <f aca="false">YEAR(A46)</f>
        <v>2024</v>
      </c>
      <c r="E46" s="31" t="n">
        <f aca="false">LOOKUP($B46,정책금리_결정!$A$4:$A$70,정책금리_결정!$B$4:$B$70)</f>
        <v>0.0005</v>
      </c>
      <c r="F46" s="31" t="n">
        <f aca="false">IFERROR(AVERAGEIFS(JP_국채일별!$C$4:$C$1345,JP_국채일별!$A$4:$A$1345,"&gt;="&amp;$A46,JP_국채일별!$A$4:$A$1345,"&lt;="&amp;$B46),"")</f>
        <v>0.003755</v>
      </c>
      <c r="G46" s="31" t="n">
        <f aca="false">IFERROR(AVERAGEIFS(JP_등급별회사채!$D$4:$D$158,JP_등급별회사채!$A$4:$A$158,"&gt;="&amp;$A46,JP_등급별회사채!$A$4:$A$158,"&lt;="&amp;$B46),"")</f>
        <v>0.00697</v>
      </c>
      <c r="H46" s="31" t="n">
        <f aca="false">IFERROR(AVERAGEIFS(JP_등급별회사채!$B$4:$B$158,JP_등급별회사채!$A$4:$A$158,"&gt;="&amp;$A46,JP_등급별회사채!$A$4:$A$158,"&lt;="&amp;$B46),"")</f>
        <v>0.00626</v>
      </c>
      <c r="I46" s="32" t="n">
        <f aca="false">IF(OR(G46="",F46=""),"",(G46-F46)*10000)</f>
        <v>32.15</v>
      </c>
      <c r="J46" s="33" t="n">
        <f aca="false">LOOKUP($B46,정책금리_결정!$D$4:$D$70,정책금리_결정!$E$4:$E$70)</f>
        <v>0.0345</v>
      </c>
      <c r="K46" s="33" t="n">
        <f aca="false">IFERROR(AVERAGEIFS(CN_일별!$B$4:$B$1372,CN_일별!$A$4:$A$1372,"&gt;="&amp;$A46,CN_일별!$A$4:$A$1372,"&lt;="&amp;$B46),"")</f>
        <v>0.0188287368421053</v>
      </c>
      <c r="L46" s="33" t="n">
        <f aca="false">IFERROR(AVERAGEIFS(CN_일별!$C$4:$C$1372,CN_일별!$A$4:$A$1372,"&gt;="&amp;$A46,CN_일별!$A$4:$A$1372,"&lt;="&amp;$B46),"")</f>
        <v>0.0212098947368421</v>
      </c>
      <c r="M46" s="33" t="n">
        <f aca="false">IFERROR(AVERAGEIFS(CN_일별!$D$4:$D$1372,CN_일별!$A$4:$A$1372,"&gt;="&amp;$A46,CN_일별!$A$4:$A$1372,"&lt;="&amp;$B46),"")</f>
        <v>0.0217738947368421</v>
      </c>
      <c r="N46" s="34" t="n">
        <f aca="false">IF(OR(L46="",K46=""),"",(L46-K46)*10000)</f>
        <v>23.8115789473684</v>
      </c>
      <c r="O46" s="35" t="n">
        <f aca="false">LOOKUP($B46,정책금리_결정!$G$4:$G$9,정책금리_결정!$H$4:$H$9)</f>
        <v>0.045</v>
      </c>
      <c r="P46" s="35" t="n">
        <f aca="false">IFERROR(AVERAGEIFS(VN_국채일별!$D$4:$D$1436,VN_국채일별!$A$4:$A$1436,"&gt;="&amp;$A46,VN_국채일별!$A$4:$A$1436,"&lt;="&amp;$B46),"")</f>
        <v>0.019993</v>
      </c>
      <c r="Q46" s="35" t="n">
        <f aca="false">IFERROR(SUMIFS(VN_은행채발행!$T$4:$T$712,VN_은행채발행!$C$4:$C$712,$A46)/SUMIFS(VN_은행채발행!$I$4:$I$712,VN_은행채발행!$C$4:$C$712,$A46,VN_은행채발행!$S$4:$S$712,1),"")</f>
        <v>0.0488221476510067</v>
      </c>
      <c r="R46" s="36" t="n">
        <f aca="false">COUNTIFS(VN_은행채발행!$C$4:$C$712,$A46,VN_은행채발행!$S$4:$S$712,1)</f>
        <v>15</v>
      </c>
      <c r="S46" s="37" t="n">
        <f aca="false">IFERROR(SUMIFS(VN_은행채발행!$U$4:$U$712,VN_은행채발행!$C$4:$C$712,$A46)/SUMIFS(VN_은행채발행!$Y$4:$Y$712,VN_은행채발행!$C$4:$C$712,$A46),"")</f>
        <v>289.607382550336</v>
      </c>
      <c r="T46" s="35" t="str">
        <f aca="false">IFERROR(SUMIFS(VN_은행채발행!$W$4:$W$712,VN_은행채발행!$C$4:$C$712,$A46)/SUMIFS(VN_은행채발행!$I$4:$I$712,VN_은행채발행!$C$4:$C$712,$A46,VN_은행채발행!$V$4:$V$712,1),"")</f>
        <v/>
      </c>
      <c r="U46" s="37" t="str">
        <f aca="false">IFERROR(SUMIFS(VN_은행채발행!$X$4:$X$712,VN_은행채발행!$C$4:$C$712,$A46)/SUMIFS(VN_은행채발행!$Z$4:$Z$712,VN_은행채발행!$C$4:$C$712,$A46),"")</f>
        <v/>
      </c>
      <c r="V46" s="38" t="n">
        <f aca="false">LOOKUP($B46,정책금리_결정!$J$4:$J$49,정책금리_결정!$K$4:$K$49)</f>
        <v>0.145</v>
      </c>
      <c r="W46" s="38" t="n">
        <f aca="false">IFERROR(AVERAGEIFS(KZ_일별!$C$4:$C$1352,KZ_일별!$A$4:$A$1352,"&gt;="&amp;$A46,KZ_일별!$A$4:$A$1352,"&lt;="&amp;$B46),"")</f>
        <v>0.12875</v>
      </c>
      <c r="X46" s="38" t="n">
        <f aca="false">IFERROR(AVERAGEIFS(KZ_일별!$E$4:$E$1352,KZ_일별!$A$4:$A$1352,"&gt;="&amp;$A46,KZ_일별!$A$4:$A$1352,"&lt;="&amp;$B46),"")</f>
        <v>0.12922</v>
      </c>
      <c r="Y46" s="38" t="n">
        <f aca="false">IFERROR(AVERAGEIFS(KZ_일별!$F$4:$F$1352,KZ_일별!$A$4:$A$1352,"&gt;="&amp;$A46,KZ_일별!$A$4:$A$1352,"&lt;="&amp;$B46),"")</f>
        <v>0.14079</v>
      </c>
      <c r="Z46" s="38" t="str">
        <f aca="false">IFERROR(AVERAGEIFS(KZ_일별!$G$4:$G$1352,KZ_일별!$A$4:$A$1352,"&gt;="&amp;$A46,KZ_일별!$A$4:$A$1352,"&lt;="&amp;$B46),"")</f>
        <v/>
      </c>
      <c r="AA46" s="39" t="n">
        <f aca="false">IF(OR(Y46="",W46=""),"",(Y46-W46)*10000)</f>
        <v>120.4</v>
      </c>
      <c r="AB46" s="38" t="n">
        <f aca="false">IFERROR(AVERAGEIFS(KZ_일별!$H$4:$H$1352,KZ_일별!$A$4:$A$1352,"&gt;="&amp;$A46,KZ_일별!$A$4:$A$1352,"&lt;="&amp;$B46),"")</f>
        <v>0.13604</v>
      </c>
    </row>
    <row r="47" customFormat="false" ht="15" hidden="false" customHeight="false" outlineLevel="0" collapsed="false">
      <c r="A47" s="28" t="n">
        <v>45474</v>
      </c>
      <c r="B47" s="29" t="n">
        <f aca="false">EOMONTH(A47,0)</f>
        <v>45504</v>
      </c>
      <c r="C47" s="5" t="str">
        <f aca="false">YEAR(A47)&amp;"Q"&amp;ROUNDUP(MONTH(A47)/3,0)</f>
        <v>2024Q3</v>
      </c>
      <c r="D47" s="30" t="n">
        <f aca="false">YEAR(A47)</f>
        <v>2024</v>
      </c>
      <c r="E47" s="31" t="n">
        <f aca="false">LOOKUP($B47,정책금리_결정!$A$4:$A$70,정책금리_결정!$B$4:$B$70)</f>
        <v>0.0005</v>
      </c>
      <c r="F47" s="31" t="n">
        <f aca="false">IFERROR(AVERAGEIFS(JP_국채일별!$C$4:$C$1345,JP_국채일별!$A$4:$A$1345,"&gt;="&amp;$A47,JP_국채일별!$A$4:$A$1345,"&lt;="&amp;$B47),"")</f>
        <v>0.00401318181818182</v>
      </c>
      <c r="G47" s="31" t="n">
        <f aca="false">IFERROR(AVERAGEIFS(JP_등급별회사채!$D$4:$D$158,JP_등급별회사채!$A$4:$A$158,"&gt;="&amp;$A47,JP_등급별회사채!$A$4:$A$158,"&lt;="&amp;$B47),"")</f>
        <v>0.00719</v>
      </c>
      <c r="H47" s="31" t="n">
        <f aca="false">IFERROR(AVERAGEIFS(JP_등급별회사채!$B$4:$B$158,JP_등급별회사채!$A$4:$A$158,"&gt;="&amp;$A47,JP_등급별회사채!$A$4:$A$158,"&lt;="&amp;$B47),"")</f>
        <v>0.00645</v>
      </c>
      <c r="I47" s="32" t="n">
        <f aca="false">IF(OR(G47="",F47=""),"",(G47-F47)*10000)</f>
        <v>31.7681818181818</v>
      </c>
      <c r="J47" s="33" t="n">
        <f aca="false">LOOKUP($B47,정책금리_결정!$D$4:$D$70,정책금리_결정!$E$4:$E$70)</f>
        <v>0.0335</v>
      </c>
      <c r="K47" s="33" t="n">
        <f aca="false">IFERROR(AVERAGEIFS(CN_일별!$B$4:$B$1372,CN_일별!$A$4:$A$1372,"&gt;="&amp;$A47,CN_일별!$A$4:$A$1372,"&lt;="&amp;$B47),"")</f>
        <v>0.0179163043478261</v>
      </c>
      <c r="L47" s="33" t="n">
        <f aca="false">IFERROR(AVERAGEIFS(CN_일별!$C$4:$C$1372,CN_일별!$A$4:$A$1372,"&gt;="&amp;$A47,CN_일별!$A$4:$A$1372,"&lt;="&amp;$B47),"")</f>
        <v>0.0203978695652174</v>
      </c>
      <c r="M47" s="33" t="n">
        <f aca="false">IFERROR(AVERAGEIFS(CN_일별!$D$4:$D$1372,CN_일별!$A$4:$A$1372,"&gt;="&amp;$A47,CN_일별!$A$4:$A$1372,"&lt;="&amp;$B47),"")</f>
        <v>0.0209247826086957</v>
      </c>
      <c r="N47" s="34" t="n">
        <f aca="false">IF(OR(L47="",K47=""),"",(L47-K47)*10000)</f>
        <v>24.815652173913</v>
      </c>
      <c r="O47" s="35" t="n">
        <f aca="false">LOOKUP($B47,정책금리_결정!$G$4:$G$9,정책금리_결정!$H$4:$H$9)</f>
        <v>0.045</v>
      </c>
      <c r="P47" s="35" t="n">
        <f aca="false">IFERROR(AVERAGEIFS(VN_국채일별!$D$4:$D$1436,VN_국채일별!$A$4:$A$1436,"&gt;="&amp;$A47,VN_국채일별!$A$4:$A$1436,"&lt;="&amp;$B47),"")</f>
        <v>0.020015652173913</v>
      </c>
      <c r="Q47" s="35" t="n">
        <f aca="false">IFERROR(SUMIFS(VN_은행채발행!$T$4:$T$712,VN_은행채발행!$C$4:$C$712,$A47)/SUMIFS(VN_은행채발행!$I$4:$I$712,VN_은행채발행!$C$4:$C$712,$A47,VN_은행채발행!$S$4:$S$712,1),"")</f>
        <v>0.05625</v>
      </c>
      <c r="R47" s="36" t="n">
        <f aca="false">COUNTIFS(VN_은행채발행!$C$4:$C$712,$A47,VN_은행채발행!$S$4:$S$712,1)</f>
        <v>13</v>
      </c>
      <c r="S47" s="37" t="n">
        <f aca="false">IFERROR(SUMIFS(VN_은행채발행!$U$4:$U$712,VN_은행채발행!$C$4:$C$712,$A47)/SUMIFS(VN_은행채발행!$Y$4:$Y$712,VN_은행채발행!$C$4:$C$712,$A47),"")</f>
        <v>362.785869565217</v>
      </c>
      <c r="T47" s="35" t="str">
        <f aca="false">IFERROR(SUMIFS(VN_은행채발행!$W$4:$W$712,VN_은행채발행!$C$4:$C$712,$A47)/SUMIFS(VN_은행채발행!$I$4:$I$712,VN_은행채발행!$C$4:$C$712,$A47,VN_은행채발행!$V$4:$V$712,1),"")</f>
        <v/>
      </c>
      <c r="U47" s="37" t="str">
        <f aca="false">IFERROR(SUMIFS(VN_은행채발행!$X$4:$X$712,VN_은행채발행!$C$4:$C$712,$A47)/SUMIFS(VN_은행채발행!$Z$4:$Z$712,VN_은행채발행!$C$4:$C$712,$A47),"")</f>
        <v/>
      </c>
      <c r="V47" s="38" t="n">
        <f aca="false">LOOKUP($B47,정책금리_결정!$J$4:$J$49,정책금리_결정!$K$4:$K$49)</f>
        <v>0.1425</v>
      </c>
      <c r="W47" s="38" t="n">
        <f aca="false">IFERROR(AVERAGEIFS(KZ_일별!$C$4:$C$1352,KZ_일별!$A$4:$A$1352,"&gt;="&amp;$A47,KZ_일별!$A$4:$A$1352,"&lt;="&amp;$B47),"")</f>
        <v>0.130163636363636</v>
      </c>
      <c r="X47" s="38" t="n">
        <f aca="false">IFERROR(AVERAGEIFS(KZ_일별!$E$4:$E$1352,KZ_일별!$A$4:$A$1352,"&gt;="&amp;$A47,KZ_일별!$A$4:$A$1352,"&lt;="&amp;$B47),"")</f>
        <v>0.12922</v>
      </c>
      <c r="Y47" s="38" t="n">
        <f aca="false">IFERROR(AVERAGEIFS(KZ_일별!$F$4:$F$1352,KZ_일별!$A$4:$A$1352,"&gt;="&amp;$A47,KZ_일별!$A$4:$A$1352,"&lt;="&amp;$B47),"")</f>
        <v>0.140504545454545</v>
      </c>
      <c r="Z47" s="38" t="str">
        <f aca="false">IFERROR(AVERAGEIFS(KZ_일별!$G$4:$G$1352,KZ_일별!$A$4:$A$1352,"&gt;="&amp;$A47,KZ_일별!$A$4:$A$1352,"&lt;="&amp;$B47),"")</f>
        <v/>
      </c>
      <c r="AA47" s="39" t="n">
        <f aca="false">IF(OR(Y47="",W47=""),"",(Y47-W47)*10000)</f>
        <v>103.409090909091</v>
      </c>
      <c r="AB47" s="38" t="n">
        <f aca="false">IFERROR(AVERAGEIFS(KZ_일별!$H$4:$H$1352,KZ_일별!$A$4:$A$1352,"&gt;="&amp;$A47,KZ_일별!$A$4:$A$1352,"&lt;="&amp;$B47),"")</f>
        <v>0.132672727272727</v>
      </c>
    </row>
    <row r="48" customFormat="false" ht="15" hidden="false" customHeight="false" outlineLevel="0" collapsed="false">
      <c r="A48" s="28" t="n">
        <v>45505</v>
      </c>
      <c r="B48" s="29" t="n">
        <f aca="false">EOMONTH(A48,0)</f>
        <v>45535</v>
      </c>
      <c r="C48" s="5" t="str">
        <f aca="false">YEAR(A48)&amp;"Q"&amp;ROUNDUP(MONTH(A48)/3,0)</f>
        <v>2024Q3</v>
      </c>
      <c r="D48" s="30" t="n">
        <f aca="false">YEAR(A48)</f>
        <v>2024</v>
      </c>
      <c r="E48" s="31" t="n">
        <f aca="false">LOOKUP($B48,정책금리_결정!$A$4:$A$70,정책금리_결정!$B$4:$B$70)</f>
        <v>0.0025</v>
      </c>
      <c r="F48" s="31" t="n">
        <f aca="false">IFERROR(AVERAGEIFS(JP_국채일별!$C$4:$C$1345,JP_국채일별!$A$4:$A$1345,"&gt;="&amp;$A48,JP_국채일별!$A$4:$A$1345,"&lt;="&amp;$B48),"")</f>
        <v>0.00357428571428571</v>
      </c>
      <c r="G48" s="31" t="n">
        <f aca="false">IFERROR(AVERAGEIFS(JP_등급별회사채!$D$4:$D$158,JP_등급별회사채!$A$4:$A$158,"&gt;="&amp;$A48,JP_등급별회사채!$A$4:$A$158,"&lt;="&amp;$B48),"")</f>
        <v>0.00664</v>
      </c>
      <c r="H48" s="31" t="n">
        <f aca="false">IFERROR(AVERAGEIFS(JP_등급별회사채!$B$4:$B$158,JP_등급별회사채!$A$4:$A$158,"&gt;="&amp;$A48,JP_등급별회사채!$A$4:$A$158,"&lt;="&amp;$B48),"")</f>
        <v>0.00601</v>
      </c>
      <c r="I48" s="32" t="n">
        <f aca="false">IF(OR(G48="",F48=""),"",(G48-F48)*10000)</f>
        <v>30.6571428571429</v>
      </c>
      <c r="J48" s="33" t="n">
        <f aca="false">LOOKUP($B48,정책금리_결정!$D$4:$D$70,정책금리_결정!$E$4:$E$70)</f>
        <v>0.0335</v>
      </c>
      <c r="K48" s="33" t="n">
        <f aca="false">IFERROR(AVERAGEIFS(CN_일별!$B$4:$B$1372,CN_일별!$A$4:$A$1372,"&gt;="&amp;$A48,CN_일별!$A$4:$A$1372,"&lt;="&amp;$B48),"")</f>
        <v>0.0172072727272727</v>
      </c>
      <c r="L48" s="33" t="n">
        <f aca="false">IFERROR(AVERAGEIFS(CN_일별!$C$4:$C$1372,CN_일별!$A$4:$A$1372,"&gt;="&amp;$A48,CN_일별!$A$4:$A$1372,"&lt;="&amp;$B48),"")</f>
        <v>0.0202199545454545</v>
      </c>
      <c r="M48" s="33" t="n">
        <f aca="false">IFERROR(AVERAGEIFS(CN_일별!$D$4:$D$1372,CN_일별!$A$4:$A$1372,"&gt;="&amp;$A48,CN_일별!$A$4:$A$1372,"&lt;="&amp;$B48),"")</f>
        <v>0.0206820909090909</v>
      </c>
      <c r="N48" s="34" t="n">
        <f aca="false">IF(OR(L48="",K48=""),"",(L48-K48)*10000)</f>
        <v>30.1268181818182</v>
      </c>
      <c r="O48" s="35" t="n">
        <f aca="false">LOOKUP($B48,정책금리_결정!$G$4:$G$9,정책금리_결정!$H$4:$H$9)</f>
        <v>0.045</v>
      </c>
      <c r="P48" s="35" t="n">
        <f aca="false">IFERROR(AVERAGEIFS(VN_국채일별!$D$4:$D$1436,VN_국채일별!$A$4:$A$1436,"&gt;="&amp;$A48,VN_국채일별!$A$4:$A$1436,"&lt;="&amp;$B48),"")</f>
        <v>0.0200927272727273</v>
      </c>
      <c r="Q48" s="35" t="n">
        <f aca="false">IFERROR(SUMIFS(VN_은행채발행!$T$4:$T$712,VN_은행채발행!$C$4:$C$712,$A48)/SUMIFS(VN_은행채발행!$I$4:$I$712,VN_은행채발행!$C$4:$C$712,$A48,VN_은행채발행!$S$4:$S$712,1),"")</f>
        <v>0.05490234375</v>
      </c>
      <c r="R48" s="36" t="n">
        <f aca="false">COUNTIFS(VN_은행채발행!$C$4:$C$712,$A48,VN_은행채발행!$S$4:$S$712,1)</f>
        <v>17</v>
      </c>
      <c r="S48" s="37" t="n">
        <f aca="false">IFERROR(SUMIFS(VN_은행채발행!$U$4:$U$712,VN_은행채발행!$C$4:$C$712,$A48)/SUMIFS(VN_은행채발행!$Y$4:$Y$712,VN_은행채발행!$C$4:$C$712,$A48),"")</f>
        <v>350.01640625</v>
      </c>
      <c r="T48" s="35" t="n">
        <f aca="false">IFERROR(SUMIFS(VN_은행채발행!$W$4:$W$712,VN_은행채발행!$C$4:$C$712,$A48)/SUMIFS(VN_은행채발행!$I$4:$I$712,VN_은행채발행!$C$4:$C$712,$A48,VN_은행채발행!$V$4:$V$712,1),"")</f>
        <v>0.0583413533834586</v>
      </c>
      <c r="U48" s="37" t="n">
        <f aca="false">IFERROR(SUMIFS(VN_은행채발행!$X$4:$X$712,VN_은행채발행!$C$4:$C$712,$A48)/SUMIFS(VN_은행채발행!$Z$4:$Z$712,VN_은행채발행!$C$4:$C$712,$A48),"")</f>
        <v>377.96992481203</v>
      </c>
      <c r="V48" s="38" t="n">
        <f aca="false">LOOKUP($B48,정책금리_결정!$J$4:$J$49,정책금리_결정!$K$4:$K$49)</f>
        <v>0.1425</v>
      </c>
      <c r="W48" s="38" t="n">
        <f aca="false">IFERROR(AVERAGEIFS(KZ_일별!$C$4:$C$1352,KZ_일별!$A$4:$A$1352,"&gt;="&amp;$A48,KZ_일별!$A$4:$A$1352,"&lt;="&amp;$B48),"")</f>
        <v>0.128619047619048</v>
      </c>
      <c r="X48" s="38" t="n">
        <f aca="false">IFERROR(AVERAGEIFS(KZ_일별!$E$4:$E$1352,KZ_일별!$A$4:$A$1352,"&gt;="&amp;$A48,KZ_일별!$A$4:$A$1352,"&lt;="&amp;$B48),"")</f>
        <v>0.132201904761905</v>
      </c>
      <c r="Y48" s="38" t="n">
        <f aca="false">IFERROR(AVERAGEIFS(KZ_일별!$F$4:$F$1352,KZ_일별!$A$4:$A$1352,"&gt;="&amp;$A48,KZ_일별!$A$4:$A$1352,"&lt;="&amp;$B48),"")</f>
        <v>0.138519047619048</v>
      </c>
      <c r="Z48" s="38" t="str">
        <f aca="false">IFERROR(AVERAGEIFS(KZ_일별!$G$4:$G$1352,KZ_일별!$A$4:$A$1352,"&gt;="&amp;$A48,KZ_일별!$A$4:$A$1352,"&lt;="&amp;$B48),"")</f>
        <v/>
      </c>
      <c r="AA48" s="39" t="n">
        <f aca="false">IF(OR(Y48="",W48=""),"",(Y48-W48)*10000)</f>
        <v>98.9999999999999</v>
      </c>
      <c r="AB48" s="38" t="n">
        <f aca="false">IFERROR(AVERAGEIFS(KZ_일별!$H$4:$H$1352,KZ_일별!$A$4:$A$1352,"&gt;="&amp;$A48,KZ_일별!$A$4:$A$1352,"&lt;="&amp;$B48),"")</f>
        <v>0.131152380952381</v>
      </c>
    </row>
    <row r="49" customFormat="false" ht="15" hidden="false" customHeight="false" outlineLevel="0" collapsed="false">
      <c r="A49" s="28" t="n">
        <v>45536</v>
      </c>
      <c r="B49" s="29" t="n">
        <f aca="false">EOMONTH(A49,0)</f>
        <v>45565</v>
      </c>
      <c r="C49" s="5" t="str">
        <f aca="false">YEAR(A49)&amp;"Q"&amp;ROUNDUP(MONTH(A49)/3,0)</f>
        <v>2024Q3</v>
      </c>
      <c r="D49" s="30" t="n">
        <f aca="false">YEAR(A49)</f>
        <v>2024</v>
      </c>
      <c r="E49" s="31" t="n">
        <f aca="false">LOOKUP($B49,정책금리_결정!$A$4:$A$70,정책금리_결정!$B$4:$B$70)</f>
        <v>0.0025</v>
      </c>
      <c r="F49" s="31" t="n">
        <f aca="false">IFERROR(AVERAGEIFS(JP_국채일별!$C$4:$C$1345,JP_국채일별!$A$4:$A$1345,"&gt;="&amp;$A49,JP_국채일별!$A$4:$A$1345,"&lt;="&amp;$B49),"")</f>
        <v>0.00383263157894737</v>
      </c>
      <c r="G49" s="31" t="n">
        <f aca="false">IFERROR(AVERAGEIFS(JP_등급별회사채!$D$4:$D$158,JP_등급별회사채!$A$4:$A$158,"&gt;="&amp;$A49,JP_등급별회사채!$A$4:$A$158,"&lt;="&amp;$B49),"")</f>
        <v>0.00733</v>
      </c>
      <c r="H49" s="31" t="n">
        <f aca="false">IFERROR(AVERAGEIFS(JP_등급별회사채!$B$4:$B$158,JP_등급별회사채!$A$4:$A$158,"&gt;="&amp;$A49,JP_등급별회사채!$A$4:$A$158,"&lt;="&amp;$B49),"")</f>
        <v>0.00665</v>
      </c>
      <c r="I49" s="32" t="n">
        <f aca="false">IF(OR(G49="",F49=""),"",(G49-F49)*10000)</f>
        <v>34.9736842105263</v>
      </c>
      <c r="J49" s="33" t="n">
        <f aca="false">LOOKUP($B49,정책금리_결정!$D$4:$D$70,정책금리_결정!$E$4:$E$70)</f>
        <v>0.0335</v>
      </c>
      <c r="K49" s="33" t="n">
        <f aca="false">IFERROR(AVERAGEIFS(CN_일별!$B$4:$B$1372,CN_일별!$A$4:$A$1372,"&gt;="&amp;$A49,CN_일별!$A$4:$A$1372,"&lt;="&amp;$B49),"")</f>
        <v>0.0152350952380952</v>
      </c>
      <c r="L49" s="33" t="n">
        <f aca="false">IFERROR(AVERAGEIFS(CN_일별!$C$4:$C$1372,CN_일별!$A$4:$A$1372,"&gt;="&amp;$A49,CN_일별!$A$4:$A$1372,"&lt;="&amp;$B49),"")</f>
        <v>0.0201336666666667</v>
      </c>
      <c r="M49" s="33" t="n">
        <f aca="false">IFERROR(AVERAGEIFS(CN_일별!$D$4:$D$1372,CN_일별!$A$4:$A$1372,"&gt;="&amp;$A49,CN_일별!$A$4:$A$1372,"&lt;="&amp;$B49),"")</f>
        <v>0.0210928571428571</v>
      </c>
      <c r="N49" s="34" t="n">
        <f aca="false">IF(OR(L49="",K49=""),"",(L49-K49)*10000)</f>
        <v>48.9857142857143</v>
      </c>
      <c r="O49" s="35" t="n">
        <f aca="false">LOOKUP($B49,정책금리_결정!$G$4:$G$9,정책금리_결정!$H$4:$H$9)</f>
        <v>0.045</v>
      </c>
      <c r="P49" s="35" t="n">
        <f aca="false">IFERROR(AVERAGEIFS(VN_국채일별!$D$4:$D$1436,VN_국채일별!$A$4:$A$1436,"&gt;="&amp;$A49,VN_국채일별!$A$4:$A$1436,"&lt;="&amp;$B49),"")</f>
        <v>0.0199333333333333</v>
      </c>
      <c r="Q49" s="35" t="n">
        <f aca="false">IFERROR(SUMIFS(VN_은행채발행!$T$4:$T$712,VN_은행채발행!$C$4:$C$712,$A49)/SUMIFS(VN_은행채발행!$I$4:$I$712,VN_은행채발행!$C$4:$C$712,$A49,VN_은행채발행!$S$4:$S$712,1),"")</f>
        <v>0.0541176470588235</v>
      </c>
      <c r="R49" s="36" t="n">
        <f aca="false">COUNTIFS(VN_은행채발행!$C$4:$C$712,$A49,VN_은행채발행!$S$4:$S$712,1)</f>
        <v>7</v>
      </c>
      <c r="S49" s="37" t="n">
        <f aca="false">IFERROR(SUMIFS(VN_은행채발행!$U$4:$U$712,VN_은행채발행!$C$4:$C$712,$A49)/SUMIFS(VN_은행채발행!$Y$4:$Y$712,VN_은행채발행!$C$4:$C$712,$A49),"")</f>
        <v>341.447058823529</v>
      </c>
      <c r="T49" s="35" t="str">
        <f aca="false">IFERROR(SUMIFS(VN_은행채발행!$W$4:$W$712,VN_은행채발행!$C$4:$C$712,$A49)/SUMIFS(VN_은행채발행!$I$4:$I$712,VN_은행채발행!$C$4:$C$712,$A49,VN_은행채발행!$V$4:$V$712,1),"")</f>
        <v/>
      </c>
      <c r="U49" s="37" t="str">
        <f aca="false">IFERROR(SUMIFS(VN_은행채발행!$X$4:$X$712,VN_은행채발행!$C$4:$C$712,$A49)/SUMIFS(VN_은행채발행!$Z$4:$Z$712,VN_은행채발행!$C$4:$C$712,$A49),"")</f>
        <v/>
      </c>
      <c r="V49" s="38" t="n">
        <f aca="false">LOOKUP($B49,정책금리_결정!$J$4:$J$49,정책금리_결정!$K$4:$K$49)</f>
        <v>0.1425</v>
      </c>
      <c r="W49" s="38" t="n">
        <f aca="false">IFERROR(AVERAGEIFS(KZ_일별!$C$4:$C$1352,KZ_일별!$A$4:$A$1352,"&gt;="&amp;$A49,KZ_일별!$A$4:$A$1352,"&lt;="&amp;$B49),"")</f>
        <v>0.129119047619048</v>
      </c>
      <c r="X49" s="38" t="n">
        <f aca="false">IFERROR(AVERAGEIFS(KZ_일별!$E$4:$E$1352,KZ_일별!$A$4:$A$1352,"&gt;="&amp;$A49,KZ_일별!$A$4:$A$1352,"&lt;="&amp;$B49),"")</f>
        <v>0.133702857142857</v>
      </c>
      <c r="Y49" s="38" t="n">
        <f aca="false">IFERROR(AVERAGEIFS(KZ_일별!$F$4:$F$1352,KZ_일별!$A$4:$A$1352,"&gt;="&amp;$A49,KZ_일별!$A$4:$A$1352,"&lt;="&amp;$B49),"")</f>
        <v>0.136885714285714</v>
      </c>
      <c r="Z49" s="38" t="str">
        <f aca="false">IFERROR(AVERAGEIFS(KZ_일별!$G$4:$G$1352,KZ_일별!$A$4:$A$1352,"&gt;="&amp;$A49,KZ_일별!$A$4:$A$1352,"&lt;="&amp;$B49),"")</f>
        <v/>
      </c>
      <c r="AA49" s="39" t="n">
        <f aca="false">IF(OR(Y49="",W49=""),"",(Y49-W49)*10000)</f>
        <v>77.6666666666664</v>
      </c>
      <c r="AB49" s="38" t="n">
        <f aca="false">IFERROR(AVERAGEIFS(KZ_일별!$H$4:$H$1352,KZ_일별!$A$4:$A$1352,"&gt;="&amp;$A49,KZ_일별!$A$4:$A$1352,"&lt;="&amp;$B49),"")</f>
        <v>0.13427619047619</v>
      </c>
    </row>
    <row r="50" customFormat="false" ht="15" hidden="false" customHeight="false" outlineLevel="0" collapsed="false">
      <c r="A50" s="28" t="n">
        <v>45566</v>
      </c>
      <c r="B50" s="29" t="n">
        <f aca="false">EOMONTH(A50,0)</f>
        <v>45596</v>
      </c>
      <c r="C50" s="5" t="str">
        <f aca="false">YEAR(A50)&amp;"Q"&amp;ROUNDUP(MONTH(A50)/3,0)</f>
        <v>2024Q4</v>
      </c>
      <c r="D50" s="30" t="n">
        <f aca="false">YEAR(A50)</f>
        <v>2024</v>
      </c>
      <c r="E50" s="31" t="n">
        <f aca="false">LOOKUP($B50,정책금리_결정!$A$4:$A$70,정책금리_결정!$B$4:$B$70)</f>
        <v>0.0025</v>
      </c>
      <c r="F50" s="31" t="n">
        <f aca="false">IFERROR(AVERAGEIFS(JP_국채일별!$C$4:$C$1345,JP_국채일별!$A$4:$A$1345,"&gt;="&amp;$A50,JP_국채일별!$A$4:$A$1345,"&lt;="&amp;$B50),"")</f>
        <v>0.004255</v>
      </c>
      <c r="G50" s="31" t="n">
        <f aca="false">IFERROR(AVERAGEIFS(JP_등급별회사채!$D$4:$D$158,JP_등급별회사채!$A$4:$A$158,"&gt;="&amp;$A50,JP_등급별회사채!$A$4:$A$158,"&lt;="&amp;$B50),"")</f>
        <v>0.00779</v>
      </c>
      <c r="H50" s="31" t="n">
        <f aca="false">IFERROR(AVERAGEIFS(JP_등급별회사채!$B$4:$B$158,JP_등급별회사채!$A$4:$A$158,"&gt;="&amp;$A50,JP_등급별회사채!$A$4:$A$158,"&lt;="&amp;$B50),"")</f>
        <v>0.00713</v>
      </c>
      <c r="I50" s="32" t="n">
        <f aca="false">IF(OR(G50="",F50=""),"",(G50-F50)*10000)</f>
        <v>35.35</v>
      </c>
      <c r="J50" s="33" t="n">
        <f aca="false">LOOKUP($B50,정책금리_결정!$D$4:$D$70,정책금리_결정!$E$4:$E$70)</f>
        <v>0.031</v>
      </c>
      <c r="K50" s="33" t="n">
        <f aca="false">IFERROR(AVERAGEIFS(CN_일별!$B$4:$B$1372,CN_일별!$A$4:$A$1372,"&gt;="&amp;$A50,CN_일별!$A$4:$A$1372,"&lt;="&amp;$B50),"")</f>
        <v>0.016429</v>
      </c>
      <c r="L50" s="33" t="n">
        <f aca="false">IFERROR(AVERAGEIFS(CN_일별!$C$4:$C$1372,CN_일별!$A$4:$A$1372,"&gt;="&amp;$A50,CN_일별!$A$4:$A$1372,"&lt;="&amp;$B50),"")</f>
        <v>0.0211999473684211</v>
      </c>
      <c r="M50" s="33" t="n">
        <f aca="false">IFERROR(AVERAGEIFS(CN_일별!$D$4:$D$1372,CN_일별!$A$4:$A$1372,"&gt;="&amp;$A50,CN_일별!$A$4:$A$1372,"&lt;="&amp;$B50),"")</f>
        <v>0.0225818947368421</v>
      </c>
      <c r="N50" s="34" t="n">
        <f aca="false">IF(OR(L50="",K50=""),"",(L50-K50)*10000)</f>
        <v>47.7094736842106</v>
      </c>
      <c r="O50" s="35" t="n">
        <f aca="false">LOOKUP($B50,정책금리_결정!$G$4:$G$9,정책금리_결정!$H$4:$H$9)</f>
        <v>0.045</v>
      </c>
      <c r="P50" s="35" t="n">
        <f aca="false">IFERROR(AVERAGEIFS(VN_국채일별!$D$4:$D$1436,VN_국채일별!$A$4:$A$1436,"&gt;="&amp;$A50,VN_국채일별!$A$4:$A$1436,"&lt;="&amp;$B50),"")</f>
        <v>0.0197104347826087</v>
      </c>
      <c r="Q50" s="35" t="n">
        <f aca="false">IFERROR(SUMIFS(VN_은행채발행!$T$4:$T$712,VN_은행채발행!$C$4:$C$712,$A50)/SUMIFS(VN_은행채발행!$I$4:$I$712,VN_은행채발행!$C$4:$C$712,$A50,VN_은행채발행!$S$4:$S$712,1),"")</f>
        <v>0.0537976190476191</v>
      </c>
      <c r="R50" s="36" t="n">
        <f aca="false">COUNTIFS(VN_은행채발행!$C$4:$C$712,$A50,VN_은행채발행!$S$4:$S$712,1)</f>
        <v>7</v>
      </c>
      <c r="S50" s="37" t="n">
        <f aca="false">IFERROR(SUMIFS(VN_은행채발행!$U$4:$U$712,VN_은행채발행!$C$4:$C$712,$A50)/SUMIFS(VN_은행채발행!$Y$4:$Y$712,VN_은행채발행!$C$4:$C$712,$A50),"")</f>
        <v>341.404761904762</v>
      </c>
      <c r="T50" s="35" t="str">
        <f aca="false">IFERROR(SUMIFS(VN_은행채발행!$W$4:$W$712,VN_은행채발행!$C$4:$C$712,$A50)/SUMIFS(VN_은행채발행!$I$4:$I$712,VN_은행채발행!$C$4:$C$712,$A50,VN_은행채발행!$V$4:$V$712,1),"")</f>
        <v/>
      </c>
      <c r="U50" s="37" t="str">
        <f aca="false">IFERROR(SUMIFS(VN_은행채발행!$X$4:$X$712,VN_은행채발행!$C$4:$C$712,$A50)/SUMIFS(VN_은행채발행!$Z$4:$Z$712,VN_은행채발행!$C$4:$C$712,$A50),"")</f>
        <v/>
      </c>
      <c r="V50" s="38" t="n">
        <f aca="false">LOOKUP($B50,정책금리_결정!$J$4:$J$49,정책금리_결정!$K$4:$K$49)</f>
        <v>0.1425</v>
      </c>
      <c r="W50" s="38" t="n">
        <f aca="false">IFERROR(AVERAGEIFS(KZ_일별!$C$4:$C$1352,KZ_일별!$A$4:$A$1352,"&gt;="&amp;$A50,KZ_일별!$A$4:$A$1352,"&lt;="&amp;$B50),"")</f>
        <v>0.124854545454545</v>
      </c>
      <c r="X50" s="38" t="n">
        <f aca="false">IFERROR(AVERAGEIFS(KZ_일별!$E$4:$E$1352,KZ_일별!$A$4:$A$1352,"&gt;="&amp;$A50,KZ_일별!$A$4:$A$1352,"&lt;="&amp;$B50),"")</f>
        <v>0.131768181818182</v>
      </c>
      <c r="Y50" s="38" t="n">
        <f aca="false">IFERROR(AVERAGEIFS(KZ_일별!$F$4:$F$1352,KZ_일별!$A$4:$A$1352,"&gt;="&amp;$A50,KZ_일별!$A$4:$A$1352,"&lt;="&amp;$B50),"")</f>
        <v>0.136172727272727</v>
      </c>
      <c r="Z50" s="38" t="str">
        <f aca="false">IFERROR(AVERAGEIFS(KZ_일별!$G$4:$G$1352,KZ_일별!$A$4:$A$1352,"&gt;="&amp;$A50,KZ_일별!$A$4:$A$1352,"&lt;="&amp;$B50),"")</f>
        <v/>
      </c>
      <c r="AA50" s="39" t="n">
        <f aca="false">IF(OR(Y50="",W50=""),"",(Y50-W50)*10000)</f>
        <v>113.181818181818</v>
      </c>
      <c r="AB50" s="38" t="n">
        <f aca="false">IFERROR(AVERAGEIFS(KZ_일별!$H$4:$H$1352,KZ_일별!$A$4:$A$1352,"&gt;="&amp;$A50,KZ_일별!$A$4:$A$1352,"&lt;="&amp;$B50),"")</f>
        <v>0.137604545454545</v>
      </c>
    </row>
    <row r="51" customFormat="false" ht="15" hidden="false" customHeight="false" outlineLevel="0" collapsed="false">
      <c r="A51" s="28" t="n">
        <v>45597</v>
      </c>
      <c r="B51" s="29" t="n">
        <f aca="false">EOMONTH(A51,0)</f>
        <v>45626</v>
      </c>
      <c r="C51" s="5" t="str">
        <f aca="false">YEAR(A51)&amp;"Q"&amp;ROUNDUP(MONTH(A51)/3,0)</f>
        <v>2024Q4</v>
      </c>
      <c r="D51" s="30" t="n">
        <f aca="false">YEAR(A51)</f>
        <v>2024</v>
      </c>
      <c r="E51" s="31" t="n">
        <f aca="false">LOOKUP($B51,정책금리_결정!$A$4:$A$70,정책금리_결정!$B$4:$B$70)</f>
        <v>0.0025</v>
      </c>
      <c r="F51" s="31" t="n">
        <f aca="false">IFERROR(AVERAGEIFS(JP_국채일별!$C$4:$C$1345,JP_국채일별!$A$4:$A$1345,"&gt;="&amp;$A51,JP_국채일별!$A$4:$A$1345,"&lt;="&amp;$B51),"")</f>
        <v>0.0055575</v>
      </c>
      <c r="G51" s="31" t="n">
        <f aca="false">IFERROR(AVERAGEIFS(JP_등급별회사채!$D$4:$D$158,JP_등급별회사채!$A$4:$A$158,"&gt;="&amp;$A51,JP_등급별회사채!$A$4:$A$158,"&lt;="&amp;$B51),"")</f>
        <v>0.00923</v>
      </c>
      <c r="H51" s="31" t="n">
        <f aca="false">IFERROR(AVERAGEIFS(JP_등급별회사채!$B$4:$B$158,JP_등급별회사채!$A$4:$A$158,"&gt;="&amp;$A51,JP_등급별회사채!$A$4:$A$158,"&lt;="&amp;$B51),"")</f>
        <v>0.00875</v>
      </c>
      <c r="I51" s="32" t="n">
        <f aca="false">IF(OR(G51="",F51=""),"",(G51-F51)*10000)</f>
        <v>36.725</v>
      </c>
      <c r="J51" s="33" t="n">
        <f aca="false">LOOKUP($B51,정책금리_결정!$D$4:$D$70,정책금리_결정!$E$4:$E$70)</f>
        <v>0.031</v>
      </c>
      <c r="K51" s="33" t="n">
        <f aca="false">IFERROR(AVERAGEIFS(CN_일별!$B$4:$B$1372,CN_일별!$A$4:$A$1372,"&gt;="&amp;$A51,CN_일별!$A$4:$A$1372,"&lt;="&amp;$B51),"")</f>
        <v>0.0148171904761905</v>
      </c>
      <c r="L51" s="33" t="n">
        <f aca="false">IFERROR(AVERAGEIFS(CN_일별!$C$4:$C$1372,CN_일별!$A$4:$A$1372,"&gt;="&amp;$A51,CN_일별!$A$4:$A$1372,"&lt;="&amp;$B51),"")</f>
        <v>0.0203219047619048</v>
      </c>
      <c r="M51" s="33" t="n">
        <f aca="false">IFERROR(AVERAGEIFS(CN_일별!$D$4:$D$1372,CN_일별!$A$4:$A$1372,"&gt;="&amp;$A51,CN_일별!$A$4:$A$1372,"&lt;="&amp;$B51),"")</f>
        <v>0.0214435238095238</v>
      </c>
      <c r="N51" s="34" t="n">
        <f aca="false">IF(OR(L51="",K51=""),"",(L51-K51)*10000)</f>
        <v>55.0471428571429</v>
      </c>
      <c r="O51" s="35" t="n">
        <f aca="false">LOOKUP($B51,정책금리_결정!$G$4:$G$9,정책금리_결정!$H$4:$H$9)</f>
        <v>0.045</v>
      </c>
      <c r="P51" s="35" t="n">
        <f aca="false">IFERROR(AVERAGEIFS(VN_국채일별!$D$4:$D$1436,VN_국채일별!$A$4:$A$1436,"&gt;="&amp;$A51,VN_국채일별!$A$4:$A$1436,"&lt;="&amp;$B51),"")</f>
        <v>0.0197704761904762</v>
      </c>
      <c r="Q51" s="35" t="n">
        <f aca="false">IFERROR(SUMIFS(VN_은행채발행!$T$4:$T$712,VN_은행채발행!$C$4:$C$712,$A51)/SUMIFS(VN_은행채발행!$I$4:$I$712,VN_은행채발행!$C$4:$C$712,$A51,VN_은행채발행!$S$4:$S$712,1),"")</f>
        <v>0.0515555555555556</v>
      </c>
      <c r="R51" s="36" t="n">
        <f aca="false">COUNTIFS(VN_은행채발행!$C$4:$C$712,$A51,VN_은행채발행!$S$4:$S$712,1)</f>
        <v>7</v>
      </c>
      <c r="S51" s="37" t="n">
        <f aca="false">IFERROR(SUMIFS(VN_은행채발행!$U$4:$U$712,VN_은행채발행!$C$4:$C$712,$A51)/SUMIFS(VN_은행채발행!$Y$4:$Y$712,VN_은행채발행!$C$4:$C$712,$A51),"")</f>
        <v>319.019444444444</v>
      </c>
      <c r="T51" s="35" t="n">
        <f aca="false">IFERROR(SUMIFS(VN_은행채발행!$W$4:$W$712,VN_은행채발행!$C$4:$C$712,$A51)/SUMIFS(VN_은행채발행!$I$4:$I$712,VN_은행채발행!$C$4:$C$712,$A51,VN_은행채발행!$V$4:$V$712,1),"")</f>
        <v>0.049</v>
      </c>
      <c r="U51" s="37" t="n">
        <f aca="false">IFERROR(SUMIFS(VN_은행채발행!$X$4:$X$712,VN_은행채발행!$C$4:$C$712,$A51)/SUMIFS(VN_은행채발행!$Z$4:$Z$712,VN_은행채발행!$C$4:$C$712,$A51),"")</f>
        <v>295.5</v>
      </c>
      <c r="V51" s="38" t="n">
        <f aca="false">LOOKUP($B51,정책금리_결정!$J$4:$J$49,정책금리_결정!$K$4:$K$49)</f>
        <v>0.1425</v>
      </c>
      <c r="W51" s="38" t="n">
        <f aca="false">IFERROR(AVERAGEIFS(KZ_일별!$C$4:$C$1352,KZ_일별!$A$4:$A$1352,"&gt;="&amp;$A51,KZ_일별!$A$4:$A$1352,"&lt;="&amp;$B51),"")</f>
        <v>0.121680952380952</v>
      </c>
      <c r="X51" s="38" t="n">
        <f aca="false">IFERROR(AVERAGEIFS(KZ_일별!$E$4:$E$1352,KZ_일별!$A$4:$A$1352,"&gt;="&amp;$A51,KZ_일별!$A$4:$A$1352,"&lt;="&amp;$B51),"")</f>
        <v>0.13</v>
      </c>
      <c r="Y51" s="38" t="n">
        <f aca="false">IFERROR(AVERAGEIFS(KZ_일별!$F$4:$F$1352,KZ_일별!$A$4:$A$1352,"&gt;="&amp;$A51,KZ_일별!$A$4:$A$1352,"&lt;="&amp;$B51),"")</f>
        <v>0.135657142857143</v>
      </c>
      <c r="Z51" s="38" t="str">
        <f aca="false">IFERROR(AVERAGEIFS(KZ_일별!$G$4:$G$1352,KZ_일별!$A$4:$A$1352,"&gt;="&amp;$A51,KZ_일별!$A$4:$A$1352,"&lt;="&amp;$B51),"")</f>
        <v/>
      </c>
      <c r="AA51" s="39" t="n">
        <f aca="false">IF(OR(Y51="",W51=""),"",(Y51-W51)*10000)</f>
        <v>139.761904761905</v>
      </c>
      <c r="AB51" s="38" t="n">
        <f aca="false">IFERROR(AVERAGEIFS(KZ_일별!$H$4:$H$1352,KZ_일별!$A$4:$A$1352,"&gt;="&amp;$A51,KZ_일별!$A$4:$A$1352,"&lt;="&amp;$B51),"")</f>
        <v>0.137661904761905</v>
      </c>
    </row>
    <row r="52" customFormat="false" ht="15" hidden="false" customHeight="false" outlineLevel="0" collapsed="false">
      <c r="A52" s="28" t="n">
        <v>45627</v>
      </c>
      <c r="B52" s="29" t="n">
        <f aca="false">EOMONTH(A52,0)</f>
        <v>45657</v>
      </c>
      <c r="C52" s="5" t="str">
        <f aca="false">YEAR(A52)&amp;"Q"&amp;ROUNDUP(MONTH(A52)/3,0)</f>
        <v>2024Q4</v>
      </c>
      <c r="D52" s="30" t="n">
        <f aca="false">YEAR(A52)</f>
        <v>2024</v>
      </c>
      <c r="E52" s="31" t="n">
        <f aca="false">LOOKUP($B52,정책금리_결정!$A$4:$A$70,정책금리_결정!$B$4:$B$70)</f>
        <v>0.0025</v>
      </c>
      <c r="F52" s="31" t="n">
        <f aca="false">IFERROR(AVERAGEIFS(JP_국채일별!$C$4:$C$1345,JP_국채일별!$A$4:$A$1345,"&gt;="&amp;$A52,JP_국채일별!$A$4:$A$1345,"&lt;="&amp;$B52),"")</f>
        <v>0.00599333333333333</v>
      </c>
      <c r="G52" s="31" t="n">
        <f aca="false">IFERROR(AVERAGEIFS(JP_등급별회사채!$D$4:$D$158,JP_등급별회사채!$A$4:$A$158,"&gt;="&amp;$A52,JP_등급별회사채!$A$4:$A$158,"&lt;="&amp;$B52),"")</f>
        <v>0.00918</v>
      </c>
      <c r="H52" s="31" t="n">
        <f aca="false">IFERROR(AVERAGEIFS(JP_등급별회사채!$B$4:$B$158,JP_등급별회사채!$A$4:$A$158,"&gt;="&amp;$A52,JP_등급별회사채!$A$4:$A$158,"&lt;="&amp;$B52),"")</f>
        <v>0.00868</v>
      </c>
      <c r="I52" s="32" t="n">
        <f aca="false">IF(OR(G52="",F52=""),"",(G52-F52)*10000)</f>
        <v>31.8666666666667</v>
      </c>
      <c r="J52" s="33" t="n">
        <f aca="false">LOOKUP($B52,정책금리_결정!$D$4:$D$70,정책금리_결정!$E$4:$E$70)</f>
        <v>0.031</v>
      </c>
      <c r="K52" s="33" t="n">
        <f aca="false">IFERROR(AVERAGEIFS(CN_일별!$B$4:$B$1372,CN_일별!$A$4:$A$1372,"&gt;="&amp;$A52,CN_일별!$A$4:$A$1372,"&lt;="&amp;$B52),"")</f>
        <v>0.0124556363636364</v>
      </c>
      <c r="L52" s="33" t="n">
        <f aca="false">IFERROR(AVERAGEIFS(CN_일별!$C$4:$C$1372,CN_일별!$A$4:$A$1372,"&gt;="&amp;$A52,CN_일별!$A$4:$A$1372,"&lt;="&amp;$B52),"")</f>
        <v>0.0174801818181818</v>
      </c>
      <c r="M52" s="33" t="n">
        <f aca="false">IFERROR(AVERAGEIFS(CN_일별!$D$4:$D$1372,CN_일별!$A$4:$A$1372,"&gt;="&amp;$A52,CN_일별!$A$4:$A$1372,"&lt;="&amp;$B52),"")</f>
        <v>0.0186309545454545</v>
      </c>
      <c r="N52" s="34" t="n">
        <f aca="false">IF(OR(L52="",K52=""),"",(L52-K52)*10000)</f>
        <v>50.2454545454546</v>
      </c>
      <c r="O52" s="35" t="n">
        <f aca="false">LOOKUP($B52,정책금리_결정!$G$4:$G$9,정책금리_결정!$H$4:$H$9)</f>
        <v>0.045</v>
      </c>
      <c r="P52" s="35" t="n">
        <f aca="false">IFERROR(AVERAGEIFS(VN_국채일별!$D$4:$D$1436,VN_국채일별!$A$4:$A$1436,"&gt;="&amp;$A52,VN_국채일별!$A$4:$A$1436,"&lt;="&amp;$B52),"")</f>
        <v>0.0203204545454545</v>
      </c>
      <c r="Q52" s="35" t="n">
        <f aca="false">IFERROR(SUMIFS(VN_은행채발행!$T$4:$T$712,VN_은행채발행!$C$4:$C$712,$A52)/SUMIFS(VN_은행채발행!$I$4:$I$712,VN_은행채발행!$C$4:$C$712,$A52,VN_은행채발행!$S$4:$S$712,1),"")</f>
        <v>0.055336569579288</v>
      </c>
      <c r="R52" s="36" t="n">
        <f aca="false">COUNTIFS(VN_은행채발행!$C$4:$C$712,$A52,VN_은행채발행!$S$4:$S$712,1)</f>
        <v>13</v>
      </c>
      <c r="S52" s="37" t="n">
        <f aca="false">IFERROR(SUMIFS(VN_은행채발행!$U$4:$U$712,VN_은행채발행!$C$4:$C$712,$A52)/SUMIFS(VN_은행채발행!$Y$4:$Y$712,VN_은행채발행!$C$4:$C$712,$A52),"")</f>
        <v>350.738187702265</v>
      </c>
      <c r="T52" s="35" t="str">
        <f aca="false">IFERROR(SUMIFS(VN_은행채발행!$W$4:$W$712,VN_은행채발행!$C$4:$C$712,$A52)/SUMIFS(VN_은행채발행!$I$4:$I$712,VN_은행채발행!$C$4:$C$712,$A52,VN_은행채발행!$V$4:$V$712,1),"")</f>
        <v/>
      </c>
      <c r="U52" s="37" t="str">
        <f aca="false">IFERROR(SUMIFS(VN_은행채발행!$X$4:$X$712,VN_은행채발행!$C$4:$C$712,$A52)/SUMIFS(VN_은행채발행!$Z$4:$Z$712,VN_은행채발행!$C$4:$C$712,$A52),"")</f>
        <v/>
      </c>
      <c r="V52" s="38" t="n">
        <f aca="false">LOOKUP($B52,정책금리_결정!$J$4:$J$49,정책금리_결정!$K$4:$K$49)</f>
        <v>0.1525</v>
      </c>
      <c r="W52" s="38" t="n">
        <f aca="false">IFERROR(AVERAGEIFS(KZ_일별!$C$4:$C$1352,KZ_일별!$A$4:$A$1352,"&gt;="&amp;$A52,KZ_일별!$A$4:$A$1352,"&lt;="&amp;$B52),"")</f>
        <v>0.118919047619048</v>
      </c>
      <c r="X52" s="38" t="n">
        <f aca="false">IFERROR(AVERAGEIFS(KZ_일별!$E$4:$E$1352,KZ_일별!$A$4:$A$1352,"&gt;="&amp;$A52,KZ_일별!$A$4:$A$1352,"&lt;="&amp;$B52),"")</f>
        <v>0.131690476190476</v>
      </c>
      <c r="Y52" s="38" t="n">
        <f aca="false">IFERROR(AVERAGEIFS(KZ_일별!$F$4:$F$1352,KZ_일별!$A$4:$A$1352,"&gt;="&amp;$A52,KZ_일별!$A$4:$A$1352,"&lt;="&amp;$B52),"")</f>
        <v>0.138790476190476</v>
      </c>
      <c r="Z52" s="38" t="str">
        <f aca="false">IFERROR(AVERAGEIFS(KZ_일별!$G$4:$G$1352,KZ_일별!$A$4:$A$1352,"&gt;="&amp;$A52,KZ_일별!$A$4:$A$1352,"&lt;="&amp;$B52),"")</f>
        <v/>
      </c>
      <c r="AA52" s="39" t="n">
        <f aca="false">IF(OR(Y52="",W52=""),"",(Y52-W52)*10000)</f>
        <v>198.714285714286</v>
      </c>
      <c r="AB52" s="38" t="n">
        <f aca="false">IFERROR(AVERAGEIFS(KZ_일별!$H$4:$H$1352,KZ_일별!$A$4:$A$1352,"&gt;="&amp;$A52,KZ_일별!$A$4:$A$1352,"&lt;="&amp;$B52),"")</f>
        <v>0.148171428571429</v>
      </c>
    </row>
    <row r="53" customFormat="false" ht="15" hidden="false" customHeight="false" outlineLevel="0" collapsed="false">
      <c r="A53" s="28" t="n">
        <v>45658</v>
      </c>
      <c r="B53" s="29" t="n">
        <f aca="false">EOMONTH(A53,0)</f>
        <v>45688</v>
      </c>
      <c r="C53" s="5" t="str">
        <f aca="false">YEAR(A53)&amp;"Q"&amp;ROUNDUP(MONTH(A53)/3,0)</f>
        <v>2025Q1</v>
      </c>
      <c r="D53" s="30" t="n">
        <f aca="false">YEAR(A53)</f>
        <v>2025</v>
      </c>
      <c r="E53" s="31" t="n">
        <f aca="false">LOOKUP($B53,정책금리_결정!$A$4:$A$70,정책금리_결정!$B$4:$B$70)</f>
        <v>0.005</v>
      </c>
      <c r="F53" s="31" t="n">
        <f aca="false">IFERROR(AVERAGEIFS(JP_국채일별!$C$4:$C$1345,JP_국채일별!$A$4:$A$1345,"&gt;="&amp;$A53,JP_국채일별!$A$4:$A$1345,"&lt;="&amp;$B53),"")</f>
        <v>0.00706842105263158</v>
      </c>
      <c r="G53" s="31" t="n">
        <f aca="false">IFERROR(AVERAGEIFS(JP_등급별회사채!$D$4:$D$158,JP_등급별회사채!$A$4:$A$158,"&gt;="&amp;$A53,JP_등급별회사채!$A$4:$A$158,"&lt;="&amp;$B53),"")</f>
        <v>0.01063</v>
      </c>
      <c r="H53" s="31" t="n">
        <f aca="false">IFERROR(AVERAGEIFS(JP_등급별회사채!$B$4:$B$158,JP_등급별회사채!$A$4:$A$158,"&gt;="&amp;$A53,JP_등급별회사채!$A$4:$A$158,"&lt;="&amp;$B53),"")</f>
        <v>0.01007</v>
      </c>
      <c r="I53" s="32" t="n">
        <f aca="false">IF(OR(G53="",F53=""),"",(G53-F53)*10000)</f>
        <v>35.6157894736842</v>
      </c>
      <c r="J53" s="33" t="n">
        <f aca="false">LOOKUP($B53,정책금리_결정!$D$4:$D$70,정책금리_결정!$E$4:$E$70)</f>
        <v>0.031</v>
      </c>
      <c r="K53" s="33" t="n">
        <f aca="false">IFERROR(AVERAGEIFS(CN_일별!$B$4:$B$1372,CN_일별!$A$4:$A$1372,"&gt;="&amp;$A53,CN_일별!$A$4:$A$1372,"&lt;="&amp;$B53),"")</f>
        <v>0.0125323157894737</v>
      </c>
      <c r="L53" s="33" t="n">
        <f aca="false">IFERROR(AVERAGEIFS(CN_일별!$C$4:$C$1372,CN_일별!$A$4:$A$1372,"&gt;="&amp;$A53,CN_일별!$A$4:$A$1372,"&lt;="&amp;$B53),"")</f>
        <v>0.0168078421052632</v>
      </c>
      <c r="M53" s="33" t="n">
        <f aca="false">IFERROR(AVERAGEIFS(CN_일별!$D$4:$D$1372,CN_일별!$A$4:$A$1372,"&gt;="&amp;$A53,CN_일별!$A$4:$A$1372,"&lt;="&amp;$B53),"")</f>
        <v>0.0179274736842105</v>
      </c>
      <c r="N53" s="34" t="n">
        <f aca="false">IF(OR(L53="",K53=""),"",(L53-K53)*10000)</f>
        <v>42.7552631578948</v>
      </c>
      <c r="O53" s="35" t="n">
        <f aca="false">LOOKUP($B53,정책금리_결정!$G$4:$G$9,정책금리_결정!$H$4:$H$9)</f>
        <v>0.045</v>
      </c>
      <c r="P53" s="35" t="n">
        <f aca="false">IFERROR(AVERAGEIFS(VN_국채일별!$D$4:$D$1436,VN_국채일별!$A$4:$A$1436,"&gt;="&amp;$A53,VN_국채일별!$A$4:$A$1436,"&lt;="&amp;$B53),"")</f>
        <v>0.0218682608695652</v>
      </c>
      <c r="Q53" s="35" t="str">
        <f aca="false">IFERROR(SUMIFS(VN_은행채발행!$T$4:$T$712,VN_은행채발행!$C$4:$C$712,$A53)/SUMIFS(VN_은행채발행!$I$4:$I$712,VN_은행채발행!$C$4:$C$712,$A53,VN_은행채발행!$S$4:$S$712,1),"")</f>
        <v/>
      </c>
      <c r="R53" s="36" t="n">
        <f aca="false">COUNTIFS(VN_은행채발행!$C$4:$C$712,$A53,VN_은행채발행!$S$4:$S$712,1)</f>
        <v>0</v>
      </c>
      <c r="S53" s="37" t="str">
        <f aca="false">IFERROR(SUMIFS(VN_은행채발행!$U$4:$U$712,VN_은행채발행!$C$4:$C$712,$A53)/SUMIFS(VN_은행채발행!$Y$4:$Y$712,VN_은행채발행!$C$4:$C$712,$A53),"")</f>
        <v/>
      </c>
      <c r="T53" s="35" t="str">
        <f aca="false">IFERROR(SUMIFS(VN_은행채발행!$W$4:$W$712,VN_은행채발행!$C$4:$C$712,$A53)/SUMIFS(VN_은행채발행!$I$4:$I$712,VN_은행채발행!$C$4:$C$712,$A53,VN_은행채발행!$V$4:$V$712,1),"")</f>
        <v/>
      </c>
      <c r="U53" s="37" t="str">
        <f aca="false">IFERROR(SUMIFS(VN_은행채발행!$X$4:$X$712,VN_은행채발행!$C$4:$C$712,$A53)/SUMIFS(VN_은행채발행!$Z$4:$Z$712,VN_은행채발행!$C$4:$C$712,$A53),"")</f>
        <v/>
      </c>
      <c r="V53" s="38" t="n">
        <f aca="false">LOOKUP($B53,정책금리_결정!$J$4:$J$49,정책금리_결정!$K$4:$K$49)</f>
        <v>0.1525</v>
      </c>
      <c r="W53" s="38" t="n">
        <f aca="false">IFERROR(AVERAGEIFS(KZ_일별!$C$4:$C$1352,KZ_일별!$A$4:$A$1352,"&gt;="&amp;$A53,KZ_일별!$A$4:$A$1352,"&lt;="&amp;$B53),"")</f>
        <v>0.12346</v>
      </c>
      <c r="X53" s="38" t="n">
        <f aca="false">IFERROR(AVERAGEIFS(KZ_일별!$E$4:$E$1352,KZ_일별!$A$4:$A$1352,"&gt;="&amp;$A53,KZ_일별!$A$4:$A$1352,"&lt;="&amp;$B53),"")</f>
        <v>0.134210526315789</v>
      </c>
      <c r="Y53" s="38" t="n">
        <f aca="false">IFERROR(AVERAGEIFS(KZ_일별!$F$4:$F$1352,KZ_일별!$A$4:$A$1352,"&gt;="&amp;$A53,KZ_일별!$A$4:$A$1352,"&lt;="&amp;$B53),"")</f>
        <v>0.140205</v>
      </c>
      <c r="Z53" s="38" t="str">
        <f aca="false">IFERROR(AVERAGEIFS(KZ_일별!$G$4:$G$1352,KZ_일별!$A$4:$A$1352,"&gt;="&amp;$A53,KZ_일별!$A$4:$A$1352,"&lt;="&amp;$B53),"")</f>
        <v/>
      </c>
      <c r="AA53" s="39" t="n">
        <f aca="false">IF(OR(Y53="",W53=""),"",(Y53-W53)*10000)</f>
        <v>167.45</v>
      </c>
      <c r="AB53" s="38" t="n">
        <f aca="false">IFERROR(AVERAGEIFS(KZ_일별!$H$4:$H$1352,KZ_일별!$A$4:$A$1352,"&gt;="&amp;$A53,KZ_일별!$A$4:$A$1352,"&lt;="&amp;$B53),"")</f>
        <v>0.14764</v>
      </c>
    </row>
    <row r="54" customFormat="false" ht="15" hidden="false" customHeight="false" outlineLevel="0" collapsed="false">
      <c r="A54" s="28" t="n">
        <v>45689</v>
      </c>
      <c r="B54" s="29" t="n">
        <f aca="false">EOMONTH(A54,0)</f>
        <v>45716</v>
      </c>
      <c r="C54" s="5" t="str">
        <f aca="false">YEAR(A54)&amp;"Q"&amp;ROUNDUP(MONTH(A54)/3,0)</f>
        <v>2025Q1</v>
      </c>
      <c r="D54" s="30" t="n">
        <f aca="false">YEAR(A54)</f>
        <v>2025</v>
      </c>
      <c r="E54" s="31" t="n">
        <f aca="false">LOOKUP($B54,정책금리_결정!$A$4:$A$70,정책금리_결정!$B$4:$B$70)</f>
        <v>0.005</v>
      </c>
      <c r="F54" s="31" t="n">
        <f aca="false">IFERROR(AVERAGEIFS(JP_국채일별!$C$4:$C$1345,JP_국채일별!$A$4:$A$1345,"&gt;="&amp;$A54,JP_국채일별!$A$4:$A$1345,"&lt;="&amp;$B54),"")</f>
        <v>0.00837666666666667</v>
      </c>
      <c r="G54" s="31" t="n">
        <f aca="false">IFERROR(AVERAGEIFS(JP_등급별회사채!$D$4:$D$158,JP_등급별회사채!$A$4:$A$158,"&gt;="&amp;$A54,JP_등급별회사채!$A$4:$A$158,"&lt;="&amp;$B54),"")</f>
        <v>0.01197</v>
      </c>
      <c r="H54" s="31" t="n">
        <f aca="false">IFERROR(AVERAGEIFS(JP_등급별회사채!$B$4:$B$158,JP_등급별회사채!$A$4:$A$158,"&gt;="&amp;$A54,JP_등급별회사채!$A$4:$A$158,"&lt;="&amp;$B54),"")</f>
        <v>0.01135</v>
      </c>
      <c r="I54" s="32" t="n">
        <f aca="false">IF(OR(G54="",F54=""),"",(G54-F54)*10000)</f>
        <v>35.9333333333333</v>
      </c>
      <c r="J54" s="33" t="n">
        <f aca="false">LOOKUP($B54,정책금리_결정!$D$4:$D$70,정책금리_결정!$E$4:$E$70)</f>
        <v>0.031</v>
      </c>
      <c r="K54" s="33" t="n">
        <f aca="false">IFERROR(AVERAGEIFS(CN_일별!$B$4:$B$1372,CN_일별!$A$4:$A$1372,"&gt;="&amp;$A54,CN_일별!$A$4:$A$1372,"&lt;="&amp;$B54),"")</f>
        <v>0.0139762631578947</v>
      </c>
      <c r="L54" s="33" t="n">
        <f aca="false">IFERROR(AVERAGEIFS(CN_일별!$C$4:$C$1372,CN_일별!$A$4:$A$1372,"&gt;="&amp;$A54,CN_일별!$A$4:$A$1372,"&lt;="&amp;$B54),"")</f>
        <v>0.0180824736842105</v>
      </c>
      <c r="M54" s="33" t="n">
        <f aca="false">IFERROR(AVERAGEIFS(CN_일별!$D$4:$D$1372,CN_일별!$A$4:$A$1372,"&gt;="&amp;$A54,CN_일별!$A$4:$A$1372,"&lt;="&amp;$B54),"")</f>
        <v>0.0191614736842105</v>
      </c>
      <c r="N54" s="34" t="n">
        <f aca="false">IF(OR(L54="",K54=""),"",(L54-K54)*10000)</f>
        <v>41.0621052631579</v>
      </c>
      <c r="O54" s="35" t="n">
        <f aca="false">LOOKUP($B54,정책금리_결정!$G$4:$G$9,정책금리_결정!$H$4:$H$9)</f>
        <v>0.045</v>
      </c>
      <c r="P54" s="35" t="n">
        <f aca="false">IFERROR(AVERAGEIFS(VN_국채일별!$D$4:$D$1436,VN_국채일별!$A$4:$A$1436,"&gt;="&amp;$A54,VN_국채일별!$A$4:$A$1436,"&lt;="&amp;$B54),"")</f>
        <v>0.0225275</v>
      </c>
      <c r="Q54" s="35" t="str">
        <f aca="false">IFERROR(SUMIFS(VN_은행채발행!$T$4:$T$712,VN_은행채발행!$C$4:$C$712,$A54)/SUMIFS(VN_은행채발행!$I$4:$I$712,VN_은행채발행!$C$4:$C$712,$A54,VN_은행채발행!$S$4:$S$712,1),"")</f>
        <v/>
      </c>
      <c r="R54" s="36" t="n">
        <f aca="false">COUNTIFS(VN_은행채발행!$C$4:$C$712,$A54,VN_은행채발행!$S$4:$S$712,1)</f>
        <v>0</v>
      </c>
      <c r="S54" s="37" t="str">
        <f aca="false">IFERROR(SUMIFS(VN_은행채발행!$U$4:$U$712,VN_은행채발행!$C$4:$C$712,$A54)/SUMIFS(VN_은행채발행!$Y$4:$Y$712,VN_은행채발행!$C$4:$C$712,$A54),"")</f>
        <v/>
      </c>
      <c r="T54" s="35" t="str">
        <f aca="false">IFERROR(SUMIFS(VN_은행채발행!$W$4:$W$712,VN_은행채발행!$C$4:$C$712,$A54)/SUMIFS(VN_은행채발행!$I$4:$I$712,VN_은행채발행!$C$4:$C$712,$A54,VN_은행채발행!$V$4:$V$712,1),"")</f>
        <v/>
      </c>
      <c r="U54" s="37" t="str">
        <f aca="false">IFERROR(SUMIFS(VN_은행채발행!$X$4:$X$712,VN_은행채발행!$C$4:$C$712,$A54)/SUMIFS(VN_은행채발행!$Z$4:$Z$712,VN_은행채발행!$C$4:$C$712,$A54),"")</f>
        <v/>
      </c>
      <c r="V54" s="38" t="n">
        <f aca="false">LOOKUP($B54,정책금리_결정!$J$4:$J$49,정책금리_결정!$K$4:$K$49)</f>
        <v>0.1525</v>
      </c>
      <c r="W54" s="38" t="n">
        <f aca="false">IFERROR(AVERAGEIFS(KZ_일별!$C$4:$C$1352,KZ_일별!$A$4:$A$1352,"&gt;="&amp;$A54,KZ_일별!$A$4:$A$1352,"&lt;="&amp;$B54),"")</f>
        <v>0.12813</v>
      </c>
      <c r="X54" s="38" t="n">
        <f aca="false">IFERROR(AVERAGEIFS(KZ_일별!$E$4:$E$1352,KZ_일별!$A$4:$A$1352,"&gt;="&amp;$A54,KZ_일별!$A$4:$A$1352,"&lt;="&amp;$B54),"")</f>
        <v>0.133</v>
      </c>
      <c r="Y54" s="38" t="n">
        <f aca="false">IFERROR(AVERAGEIFS(KZ_일별!$F$4:$F$1352,KZ_일별!$A$4:$A$1352,"&gt;="&amp;$A54,KZ_일별!$A$4:$A$1352,"&lt;="&amp;$B54),"")</f>
        <v>0.140735</v>
      </c>
      <c r="Z54" s="38" t="str">
        <f aca="false">IFERROR(AVERAGEIFS(KZ_일별!$G$4:$G$1352,KZ_일별!$A$4:$A$1352,"&gt;="&amp;$A54,KZ_일별!$A$4:$A$1352,"&lt;="&amp;$B54),"")</f>
        <v/>
      </c>
      <c r="AA54" s="39" t="n">
        <f aca="false">IF(OR(Y54="",W54=""),"",(Y54-W54)*10000)</f>
        <v>126.05</v>
      </c>
      <c r="AB54" s="38" t="n">
        <f aca="false">IFERROR(AVERAGEIFS(KZ_일별!$H$4:$H$1352,KZ_일별!$A$4:$A$1352,"&gt;="&amp;$A54,KZ_일별!$A$4:$A$1352,"&lt;="&amp;$B54),"")</f>
        <v>0.148855</v>
      </c>
    </row>
    <row r="55" customFormat="false" ht="15" hidden="false" customHeight="false" outlineLevel="0" collapsed="false">
      <c r="A55" s="28" t="n">
        <v>45717</v>
      </c>
      <c r="B55" s="29" t="n">
        <f aca="false">EOMONTH(A55,0)</f>
        <v>45747</v>
      </c>
      <c r="C55" s="5" t="str">
        <f aca="false">YEAR(A55)&amp;"Q"&amp;ROUNDUP(MONTH(A55)/3,0)</f>
        <v>2025Q1</v>
      </c>
      <c r="D55" s="30" t="n">
        <f aca="false">YEAR(A55)</f>
        <v>2025</v>
      </c>
      <c r="E55" s="31" t="n">
        <f aca="false">LOOKUP($B55,정책금리_결정!$A$4:$A$70,정책금리_결정!$B$4:$B$70)</f>
        <v>0.005</v>
      </c>
      <c r="F55" s="31" t="n">
        <f aca="false">IFERROR(AVERAGEIFS(JP_국채일별!$C$4:$C$1345,JP_국채일별!$A$4:$A$1345,"&gt;="&amp;$A55,JP_국채일별!$A$4:$A$1345,"&lt;="&amp;$B55),"")</f>
        <v>0.0092325</v>
      </c>
      <c r="G55" s="31" t="n">
        <f aca="false">IFERROR(AVERAGEIFS(JP_등급별회사채!$D$4:$D$158,JP_등급별회사채!$A$4:$A$158,"&gt;="&amp;$A55,JP_등급별회사채!$A$4:$A$158,"&lt;="&amp;$B55),"")</f>
        <v>0.0129</v>
      </c>
      <c r="H55" s="31" t="n">
        <f aca="false">IFERROR(AVERAGEIFS(JP_등급별회사채!$B$4:$B$158,JP_등급별회사채!$A$4:$A$158,"&gt;="&amp;$A55,JP_등급별회사채!$A$4:$A$158,"&lt;="&amp;$B55),"")</f>
        <v>0.01216</v>
      </c>
      <c r="I55" s="32" t="n">
        <f aca="false">IF(OR(G55="",F55=""),"",(G55-F55)*10000)</f>
        <v>36.675</v>
      </c>
      <c r="J55" s="33" t="n">
        <f aca="false">LOOKUP($B55,정책금리_결정!$D$4:$D$70,정책금리_결정!$E$4:$E$70)</f>
        <v>0.031</v>
      </c>
      <c r="K55" s="33" t="n">
        <f aca="false">IFERROR(AVERAGEIFS(CN_일별!$B$4:$B$1372,CN_일별!$A$4:$A$1372,"&gt;="&amp;$A55,CN_일별!$A$4:$A$1372,"&lt;="&amp;$B55),"")</f>
        <v>0.0160680476190476</v>
      </c>
      <c r="L55" s="33" t="n">
        <f aca="false">IFERROR(AVERAGEIFS(CN_일별!$C$4:$C$1372,CN_일별!$A$4:$A$1372,"&gt;="&amp;$A55,CN_일별!$A$4:$A$1372,"&lt;="&amp;$B55),"")</f>
        <v>0.0195266666666667</v>
      </c>
      <c r="M55" s="33" t="n">
        <f aca="false">IFERROR(AVERAGEIFS(CN_일별!$D$4:$D$1372,CN_일별!$A$4:$A$1372,"&gt;="&amp;$A55,CN_일별!$A$4:$A$1372,"&lt;="&amp;$B55),"")</f>
        <v>0.0207119523809524</v>
      </c>
      <c r="N55" s="34" t="n">
        <f aca="false">IF(OR(L55="",K55=""),"",(L55-K55)*10000)</f>
        <v>34.5861904761905</v>
      </c>
      <c r="O55" s="35" t="n">
        <f aca="false">LOOKUP($B55,정책금리_결정!$G$4:$G$9,정책금리_결정!$H$4:$H$9)</f>
        <v>0.045</v>
      </c>
      <c r="P55" s="35" t="n">
        <f aca="false">IFERROR(AVERAGEIFS(VN_국채일별!$D$4:$D$1436,VN_국채일별!$A$4:$A$1436,"&gt;="&amp;$A55,VN_국채일별!$A$4:$A$1436,"&lt;="&amp;$B55),"")</f>
        <v>0.0227109523809524</v>
      </c>
      <c r="Q55" s="35" t="str">
        <f aca="false">IFERROR(SUMIFS(VN_은행채발행!$T$4:$T$712,VN_은행채발행!$C$4:$C$712,$A55)/SUMIFS(VN_은행채발행!$I$4:$I$712,VN_은행채발행!$C$4:$C$712,$A55,VN_은행채발행!$S$4:$S$712,1),"")</f>
        <v/>
      </c>
      <c r="R55" s="36" t="n">
        <f aca="false">COUNTIFS(VN_은행채발행!$C$4:$C$712,$A55,VN_은행채발행!$S$4:$S$712,1)</f>
        <v>0</v>
      </c>
      <c r="S55" s="37" t="str">
        <f aca="false">IFERROR(SUMIFS(VN_은행채발행!$U$4:$U$712,VN_은행채발행!$C$4:$C$712,$A55)/SUMIFS(VN_은행채발행!$Y$4:$Y$712,VN_은행채발행!$C$4:$C$712,$A55),"")</f>
        <v/>
      </c>
      <c r="T55" s="35" t="str">
        <f aca="false">IFERROR(SUMIFS(VN_은행채발행!$W$4:$W$712,VN_은행채발행!$C$4:$C$712,$A55)/SUMIFS(VN_은행채발행!$I$4:$I$712,VN_은행채발행!$C$4:$C$712,$A55,VN_은행채발행!$V$4:$V$712,1),"")</f>
        <v/>
      </c>
      <c r="U55" s="37" t="str">
        <f aca="false">IFERROR(SUMIFS(VN_은행채발행!$X$4:$X$712,VN_은행채발행!$C$4:$C$712,$A55)/SUMIFS(VN_은행채발행!$Z$4:$Z$712,VN_은행채발행!$C$4:$C$712,$A55),"")</f>
        <v/>
      </c>
      <c r="V55" s="38" t="n">
        <f aca="false">LOOKUP($B55,정책금리_결정!$J$4:$J$49,정책금리_결정!$K$4:$K$49)</f>
        <v>0.165</v>
      </c>
      <c r="W55" s="38" t="n">
        <f aca="false">IFERROR(AVERAGEIFS(KZ_일별!$C$4:$C$1352,KZ_일별!$A$4:$A$1352,"&gt;="&amp;$A55,KZ_일별!$A$4:$A$1352,"&lt;="&amp;$B55),"")</f>
        <v>0.140417647058824</v>
      </c>
      <c r="X55" s="38" t="n">
        <f aca="false">IFERROR(AVERAGEIFS(KZ_일별!$E$4:$E$1352,KZ_일별!$A$4:$A$1352,"&gt;="&amp;$A55,KZ_일별!$A$4:$A$1352,"&lt;="&amp;$B55),"")</f>
        <v>0.141367058823529</v>
      </c>
      <c r="Y55" s="38" t="n">
        <f aca="false">IFERROR(AVERAGEIFS(KZ_일별!$F$4:$F$1352,KZ_일별!$A$4:$A$1352,"&gt;="&amp;$A55,KZ_일별!$A$4:$A$1352,"&lt;="&amp;$B55),"")</f>
        <v>0.143394117647059</v>
      </c>
      <c r="Z55" s="38" t="str">
        <f aca="false">IFERROR(AVERAGEIFS(KZ_일별!$G$4:$G$1352,KZ_일별!$A$4:$A$1352,"&gt;="&amp;$A55,KZ_일별!$A$4:$A$1352,"&lt;="&amp;$B55),"")</f>
        <v/>
      </c>
      <c r="AA55" s="39" t="n">
        <f aca="false">IF(OR(Y55="",W55=""),"",(Y55-W55)*10000)</f>
        <v>29.764705882353</v>
      </c>
      <c r="AB55" s="38" t="n">
        <f aca="false">IFERROR(AVERAGEIFS(KZ_일별!$H$4:$H$1352,KZ_일별!$A$4:$A$1352,"&gt;="&amp;$A55,KZ_일별!$A$4:$A$1352,"&lt;="&amp;$B55),"")</f>
        <v>0.154894117647059</v>
      </c>
    </row>
    <row r="56" customFormat="false" ht="15" hidden="false" customHeight="false" outlineLevel="0" collapsed="false">
      <c r="A56" s="28" t="n">
        <v>45748</v>
      </c>
      <c r="B56" s="29" t="n">
        <f aca="false">EOMONTH(A56,0)</f>
        <v>45777</v>
      </c>
      <c r="C56" s="5" t="str">
        <f aca="false">YEAR(A56)&amp;"Q"&amp;ROUNDUP(MONTH(A56)/3,0)</f>
        <v>2025Q2</v>
      </c>
      <c r="D56" s="30" t="n">
        <f aca="false">YEAR(A56)</f>
        <v>2025</v>
      </c>
      <c r="E56" s="31" t="n">
        <f aca="false">LOOKUP($B56,정책금리_결정!$A$4:$A$70,정책금리_결정!$B$4:$B$70)</f>
        <v>0.005</v>
      </c>
      <c r="F56" s="31" t="n">
        <f aca="false">IFERROR(AVERAGEIFS(JP_국채일별!$C$4:$C$1345,JP_국채일별!$A$4:$A$1345,"&gt;="&amp;$A56,JP_국채일별!$A$4:$A$1345,"&lt;="&amp;$B56),"")</f>
        <v>0.00715380952380952</v>
      </c>
      <c r="G56" s="31" t="n">
        <f aca="false">IFERROR(AVERAGEIFS(JP_등급별회사채!$D$4:$D$158,JP_등급별회사채!$A$4:$A$158,"&gt;="&amp;$A56,JP_등급별회사채!$A$4:$A$158,"&lt;="&amp;$B56),"")</f>
        <v>0.00994</v>
      </c>
      <c r="H56" s="31" t="n">
        <f aca="false">IFERROR(AVERAGEIFS(JP_등급별회사채!$B$4:$B$158,JP_등급별회사채!$A$4:$A$158,"&gt;="&amp;$A56,JP_등급별회사채!$A$4:$A$158,"&lt;="&amp;$B56),"")</f>
        <v>0.00935</v>
      </c>
      <c r="I56" s="32" t="n">
        <f aca="false">IF(OR(G56="",F56=""),"",(G56-F56)*10000)</f>
        <v>27.8619047619048</v>
      </c>
      <c r="J56" s="33" t="n">
        <f aca="false">LOOKUP($B56,정책금리_결정!$D$4:$D$70,정책금리_결정!$E$4:$E$70)</f>
        <v>0.031</v>
      </c>
      <c r="K56" s="33" t="n">
        <f aca="false">IFERROR(AVERAGEIFS(CN_일별!$B$4:$B$1372,CN_일별!$A$4:$A$1372,"&gt;="&amp;$A56,CN_일별!$A$4:$A$1372,"&lt;="&amp;$B56),"")</f>
        <v>0.0149750454545455</v>
      </c>
      <c r="L56" s="33" t="n">
        <f aca="false">IFERROR(AVERAGEIFS(CN_일별!$C$4:$C$1372,CN_일별!$A$4:$A$1372,"&gt;="&amp;$A56,CN_일별!$A$4:$A$1372,"&lt;="&amp;$B56),"")</f>
        <v>0.0182527727272727</v>
      </c>
      <c r="M56" s="33" t="n">
        <f aca="false">IFERROR(AVERAGEIFS(CN_일별!$D$4:$D$1372,CN_일별!$A$4:$A$1372,"&gt;="&amp;$A56,CN_일별!$A$4:$A$1372,"&lt;="&amp;$B56),"")</f>
        <v>0.0191716363636364</v>
      </c>
      <c r="N56" s="34" t="n">
        <f aca="false">IF(OR(L56="",K56=""),"",(L56-K56)*10000)</f>
        <v>32.7772727272727</v>
      </c>
      <c r="O56" s="35" t="n">
        <f aca="false">LOOKUP($B56,정책금리_결정!$G$4:$G$9,정책금리_결정!$H$4:$H$9)</f>
        <v>0.045</v>
      </c>
      <c r="P56" s="35" t="n">
        <f aca="false">IFERROR(AVERAGEIFS(VN_국채일별!$D$4:$D$1436,VN_국채일별!$A$4:$A$1436,"&gt;="&amp;$A56,VN_국채일별!$A$4:$A$1436,"&lt;="&amp;$B56),"")</f>
        <v>0.0227718181818182</v>
      </c>
      <c r="Q56" s="35" t="n">
        <f aca="false">IFERROR(SUMIFS(VN_은행채발행!$T$4:$T$712,VN_은행채발행!$C$4:$C$712,$A56)/SUMIFS(VN_은행채발행!$I$4:$I$712,VN_은행채발행!$C$4:$C$712,$A56,VN_은행채발행!$S$4:$S$712,1),"")</f>
        <v>0.053433734939759</v>
      </c>
      <c r="R56" s="36" t="n">
        <f aca="false">COUNTIFS(VN_은행채발행!$C$4:$C$712,$A56,VN_은행채발행!$S$4:$S$712,1)</f>
        <v>11</v>
      </c>
      <c r="S56" s="37" t="n">
        <f aca="false">IFERROR(SUMIFS(VN_은행채발행!$U$4:$U$712,VN_은행채발행!$C$4:$C$712,$A56)/SUMIFS(VN_은행채발행!$Y$4:$Y$712,VN_은행채발행!$C$4:$C$712,$A56),"")</f>
        <v>309.621686746988</v>
      </c>
      <c r="T56" s="35" t="str">
        <f aca="false">IFERROR(SUMIFS(VN_은행채발행!$W$4:$W$712,VN_은행채발행!$C$4:$C$712,$A56)/SUMIFS(VN_은행채발행!$I$4:$I$712,VN_은행채발행!$C$4:$C$712,$A56,VN_은행채발행!$V$4:$V$712,1),"")</f>
        <v/>
      </c>
      <c r="U56" s="37" t="str">
        <f aca="false">IFERROR(SUMIFS(VN_은행채발행!$X$4:$X$712,VN_은행채발행!$C$4:$C$712,$A56)/SUMIFS(VN_은행채발행!$Z$4:$Z$712,VN_은행채발행!$C$4:$C$712,$A56),"")</f>
        <v/>
      </c>
      <c r="V56" s="38" t="n">
        <f aca="false">LOOKUP($B56,정책금리_결정!$J$4:$J$49,정책금리_결정!$K$4:$K$49)</f>
        <v>0.165</v>
      </c>
      <c r="W56" s="38" t="n">
        <f aca="false">IFERROR(AVERAGEIFS(KZ_일별!$C$4:$C$1352,KZ_일별!$A$4:$A$1352,"&gt;="&amp;$A56,KZ_일별!$A$4:$A$1352,"&lt;="&amp;$B56),"")</f>
        <v>0.147390909090909</v>
      </c>
      <c r="X56" s="38" t="n">
        <f aca="false">IFERROR(AVERAGEIFS(KZ_일별!$E$4:$E$1352,KZ_일별!$A$4:$A$1352,"&gt;="&amp;$A56,KZ_일별!$A$4:$A$1352,"&lt;="&amp;$B56),"")</f>
        <v>0.150969090909091</v>
      </c>
      <c r="Y56" s="38" t="n">
        <f aca="false">IFERROR(AVERAGEIFS(KZ_일별!$F$4:$F$1352,KZ_일별!$A$4:$A$1352,"&gt;="&amp;$A56,KZ_일별!$A$4:$A$1352,"&lt;="&amp;$B56),"")</f>
        <v>0.145859090909091</v>
      </c>
      <c r="Z56" s="38" t="str">
        <f aca="false">IFERROR(AVERAGEIFS(KZ_일별!$G$4:$G$1352,KZ_일별!$A$4:$A$1352,"&gt;="&amp;$A56,KZ_일별!$A$4:$A$1352,"&lt;="&amp;$B56),"")</f>
        <v/>
      </c>
      <c r="AA56" s="39" t="n">
        <f aca="false">IF(OR(Y56="",W56=""),"",(Y56-W56)*10000)</f>
        <v>-15.3181818181819</v>
      </c>
      <c r="AB56" s="38" t="n">
        <f aca="false">IFERROR(AVERAGEIFS(KZ_일별!$H$4:$H$1352,KZ_일별!$A$4:$A$1352,"&gt;="&amp;$A56,KZ_일별!$A$4:$A$1352,"&lt;="&amp;$B56),"")</f>
        <v>0.159486363636364</v>
      </c>
    </row>
    <row r="57" customFormat="false" ht="15" hidden="false" customHeight="false" outlineLevel="0" collapsed="false">
      <c r="A57" s="28" t="n">
        <v>45778</v>
      </c>
      <c r="B57" s="29" t="n">
        <f aca="false">EOMONTH(A57,0)</f>
        <v>45808</v>
      </c>
      <c r="C57" s="5" t="str">
        <f aca="false">YEAR(A57)&amp;"Q"&amp;ROUNDUP(MONTH(A57)/3,0)</f>
        <v>2025Q2</v>
      </c>
      <c r="D57" s="30" t="n">
        <f aca="false">YEAR(A57)</f>
        <v>2025</v>
      </c>
      <c r="E57" s="31" t="n">
        <f aca="false">LOOKUP($B57,정책금리_결정!$A$4:$A$70,정책금리_결정!$B$4:$B$70)</f>
        <v>0.005</v>
      </c>
      <c r="F57" s="31" t="n">
        <f aca="false">IFERROR(AVERAGEIFS(JP_국채일별!$C$4:$C$1345,JP_국채일별!$A$4:$A$1345,"&gt;="&amp;$A57,JP_국채일별!$A$4:$A$1345,"&lt;="&amp;$B57),"")</f>
        <v>0.0076935</v>
      </c>
      <c r="G57" s="31" t="n">
        <f aca="false">IFERROR(AVERAGEIFS(JP_등급별회사채!$D$4:$D$158,JP_등급별회사채!$A$4:$A$158,"&gt;="&amp;$A57,JP_등급별회사채!$A$4:$A$158,"&lt;="&amp;$B57),"")</f>
        <v>0.01165</v>
      </c>
      <c r="H57" s="31" t="n">
        <f aca="false">IFERROR(AVERAGEIFS(JP_등급별회사채!$B$4:$B$158,JP_등급별회사채!$A$4:$A$158,"&gt;="&amp;$A57,JP_등급별회사채!$A$4:$A$158,"&lt;="&amp;$B57),"")</f>
        <v>0.01091</v>
      </c>
      <c r="I57" s="32" t="n">
        <f aca="false">IF(OR(G57="",F57=""),"",(G57-F57)*10000)</f>
        <v>39.565</v>
      </c>
      <c r="J57" s="33" t="n">
        <f aca="false">LOOKUP($B57,정책금리_결정!$D$4:$D$70,정책금리_결정!$E$4:$E$70)</f>
        <v>0.03</v>
      </c>
      <c r="K57" s="33" t="n">
        <f aca="false">IFERROR(AVERAGEIFS(CN_일별!$B$4:$B$1372,CN_일별!$A$4:$A$1372,"&gt;="&amp;$A57,CN_일별!$A$4:$A$1372,"&lt;="&amp;$B57),"")</f>
        <v>0.0148800526315789</v>
      </c>
      <c r="L57" s="33" t="n">
        <f aca="false">IFERROR(AVERAGEIFS(CN_일별!$C$4:$C$1372,CN_일별!$A$4:$A$1372,"&gt;="&amp;$A57,CN_일별!$A$4:$A$1372,"&lt;="&amp;$B57),"")</f>
        <v>0.0176042105263158</v>
      </c>
      <c r="M57" s="33" t="n">
        <f aca="false">IFERROR(AVERAGEIFS(CN_일별!$D$4:$D$1372,CN_일별!$A$4:$A$1372,"&gt;="&amp;$A57,CN_일별!$A$4:$A$1372,"&lt;="&amp;$B57),"")</f>
        <v>0.0184504210526316</v>
      </c>
      <c r="N57" s="34" t="n">
        <f aca="false">IF(OR(L57="",K57=""),"",(L57-K57)*10000)</f>
        <v>27.2415789473684</v>
      </c>
      <c r="O57" s="35" t="n">
        <f aca="false">LOOKUP($B57,정책금리_결정!$G$4:$G$9,정책금리_결정!$H$4:$H$9)</f>
        <v>0.045</v>
      </c>
      <c r="P57" s="35" t="n">
        <f aca="false">IFERROR(AVERAGEIFS(VN_국채일별!$D$4:$D$1436,VN_국채일별!$A$4:$A$1436,"&gt;="&amp;$A57,VN_국채일별!$A$4:$A$1436,"&lt;="&amp;$B57),"")</f>
        <v>0.0229977272727273</v>
      </c>
      <c r="Q57" s="35" t="n">
        <f aca="false">IFERROR(SUMIFS(VN_은행채발행!$T$4:$T$712,VN_은행채발행!$C$4:$C$712,$A57)/SUMIFS(VN_은행채발행!$I$4:$I$712,VN_은행채발행!$C$4:$C$712,$A57,VN_은행채발행!$S$4:$S$712,1),"")</f>
        <v>0.0536820276497696</v>
      </c>
      <c r="R57" s="36" t="n">
        <f aca="false">COUNTIFS(VN_은행채발행!$C$4:$C$712,$A57,VN_은행채발행!$S$4:$S$712,1)</f>
        <v>16</v>
      </c>
      <c r="S57" s="37" t="n">
        <f aca="false">IFERROR(SUMIFS(VN_은행채발행!$U$4:$U$712,VN_은행채발행!$C$4:$C$712,$A57)/SUMIFS(VN_은행채발행!$Y$4:$Y$712,VN_은행채발행!$C$4:$C$712,$A57),"")</f>
        <v>309.709677419355</v>
      </c>
      <c r="T57" s="35" t="str">
        <f aca="false">IFERROR(SUMIFS(VN_은행채발행!$W$4:$W$712,VN_은행채발행!$C$4:$C$712,$A57)/SUMIFS(VN_은행채발행!$I$4:$I$712,VN_은행채발행!$C$4:$C$712,$A57,VN_은행채발행!$V$4:$V$712,1),"")</f>
        <v/>
      </c>
      <c r="U57" s="37" t="str">
        <f aca="false">IFERROR(SUMIFS(VN_은행채발행!$X$4:$X$712,VN_은행채발행!$C$4:$C$712,$A57)/SUMIFS(VN_은행채발행!$Z$4:$Z$712,VN_은행채발행!$C$4:$C$712,$A57),"")</f>
        <v/>
      </c>
      <c r="V57" s="38" t="n">
        <f aca="false">LOOKUP($B57,정책금리_결정!$J$4:$J$49,정책금리_결정!$K$4:$K$49)</f>
        <v>0.165</v>
      </c>
      <c r="W57" s="38" t="n">
        <f aca="false">IFERROR(AVERAGEIFS(KZ_일별!$C$4:$C$1352,KZ_일별!$A$4:$A$1352,"&gt;="&amp;$A57,KZ_일별!$A$4:$A$1352,"&lt;="&amp;$B57),"")</f>
        <v>0.157678947368421</v>
      </c>
      <c r="X57" s="38" t="n">
        <f aca="false">IFERROR(AVERAGEIFS(KZ_일별!$E$4:$E$1352,KZ_일별!$A$4:$A$1352,"&gt;="&amp;$A57,KZ_일별!$A$4:$A$1352,"&lt;="&amp;$B57),"")</f>
        <v>0.156093684210526</v>
      </c>
      <c r="Y57" s="38" t="n">
        <f aca="false">IFERROR(AVERAGEIFS(KZ_일별!$F$4:$F$1352,KZ_일별!$A$4:$A$1352,"&gt;="&amp;$A57,KZ_일별!$A$4:$A$1352,"&lt;="&amp;$B57),"")</f>
        <v>0.147926315789474</v>
      </c>
      <c r="Z57" s="38" t="str">
        <f aca="false">IFERROR(AVERAGEIFS(KZ_일별!$G$4:$G$1352,KZ_일별!$A$4:$A$1352,"&gt;="&amp;$A57,KZ_일별!$A$4:$A$1352,"&lt;="&amp;$B57),"")</f>
        <v/>
      </c>
      <c r="AA57" s="39" t="n">
        <f aca="false">IF(OR(Y57="",W57=""),"",(Y57-W57)*10000)</f>
        <v>-97.5263157894735</v>
      </c>
      <c r="AB57" s="38" t="n">
        <f aca="false">IFERROR(AVERAGEIFS(KZ_일별!$H$4:$H$1352,KZ_일별!$A$4:$A$1352,"&gt;="&amp;$A57,KZ_일별!$A$4:$A$1352,"&lt;="&amp;$B57),"")</f>
        <v>0.157057894736842</v>
      </c>
    </row>
    <row r="58" customFormat="false" ht="15" hidden="false" customHeight="false" outlineLevel="0" collapsed="false">
      <c r="A58" s="28" t="n">
        <v>45809</v>
      </c>
      <c r="B58" s="29" t="n">
        <f aca="false">EOMONTH(A58,0)</f>
        <v>45838</v>
      </c>
      <c r="C58" s="5" t="str">
        <f aca="false">YEAR(A58)&amp;"Q"&amp;ROUNDUP(MONTH(A58)/3,0)</f>
        <v>2025Q2</v>
      </c>
      <c r="D58" s="30" t="n">
        <f aca="false">YEAR(A58)</f>
        <v>2025</v>
      </c>
      <c r="E58" s="31" t="n">
        <f aca="false">LOOKUP($B58,정책금리_결정!$A$4:$A$70,정책금리_결정!$B$4:$B$70)</f>
        <v>0.005</v>
      </c>
      <c r="F58" s="31" t="n">
        <f aca="false">IFERROR(AVERAGEIFS(JP_국채일별!$C$4:$C$1345,JP_국채일별!$A$4:$A$1345,"&gt;="&amp;$A58,JP_국채일별!$A$4:$A$1345,"&lt;="&amp;$B58),"")</f>
        <v>0.00804285714285714</v>
      </c>
      <c r="G58" s="31" t="n">
        <f aca="false">IFERROR(AVERAGEIFS(JP_등급별회사채!$D$4:$D$158,JP_등급별회사채!$A$4:$A$158,"&gt;="&amp;$A58,JP_등급별회사채!$A$4:$A$158,"&lt;="&amp;$B58),"")</f>
        <v>0.01167</v>
      </c>
      <c r="H58" s="31" t="n">
        <f aca="false">IFERROR(AVERAGEIFS(JP_등급별회사채!$B$4:$B$158,JP_등급별회사채!$A$4:$A$158,"&gt;="&amp;$A58,JP_등급별회사채!$A$4:$A$158,"&lt;="&amp;$B58),"")</f>
        <v>0.01114</v>
      </c>
      <c r="I58" s="32" t="n">
        <f aca="false">IF(OR(G58="",F58=""),"",(G58-F58)*10000)</f>
        <v>36.2714285714286</v>
      </c>
      <c r="J58" s="33" t="n">
        <f aca="false">LOOKUP($B58,정책금리_결정!$D$4:$D$70,정책금리_결정!$E$4:$E$70)</f>
        <v>0.03</v>
      </c>
      <c r="K58" s="33" t="n">
        <f aca="false">IFERROR(AVERAGEIFS(CN_일별!$B$4:$B$1372,CN_일별!$A$4:$A$1372,"&gt;="&amp;$A58,CN_일별!$A$4:$A$1372,"&lt;="&amp;$B58),"")</f>
        <v>0.014217</v>
      </c>
      <c r="L58" s="33" t="n">
        <f aca="false">IFERROR(AVERAGEIFS(CN_일별!$C$4:$C$1372,CN_일별!$A$4:$A$1372,"&gt;="&amp;$A58,CN_일별!$A$4:$A$1372,"&lt;="&amp;$B58),"")</f>
        <v>0.01742175</v>
      </c>
      <c r="M58" s="33" t="n">
        <f aca="false">IFERROR(AVERAGEIFS(CN_일별!$D$4:$D$1372,CN_일별!$A$4:$A$1372,"&gt;="&amp;$A58,CN_일별!$A$4:$A$1372,"&lt;="&amp;$B58),"")</f>
        <v>0.01824445</v>
      </c>
      <c r="N58" s="34" t="n">
        <f aca="false">IF(OR(L58="",K58=""),"",(L58-K58)*10000)</f>
        <v>32.0475</v>
      </c>
      <c r="O58" s="35" t="n">
        <f aca="false">LOOKUP($B58,정책금리_결정!$G$4:$G$9,정책금리_결정!$H$4:$H$9)</f>
        <v>0.045</v>
      </c>
      <c r="P58" s="35" t="n">
        <f aca="false">IFERROR(AVERAGEIFS(VN_국채일별!$D$4:$D$1436,VN_국채일별!$A$4:$A$1436,"&gt;="&amp;$A58,VN_국채일별!$A$4:$A$1436,"&lt;="&amp;$B58),"")</f>
        <v>0.0239795238095238</v>
      </c>
      <c r="Q58" s="35" t="n">
        <f aca="false">IFERROR(SUMIFS(VN_은행채발행!$T$4:$T$712,VN_은행채발행!$C$4:$C$712,$A58)/SUMIFS(VN_은행채발행!$I$4:$I$712,VN_은행채발행!$C$4:$C$712,$A58,VN_은행채발행!$S$4:$S$712,1),"")</f>
        <v>0.0516565400843882</v>
      </c>
      <c r="R58" s="36" t="n">
        <f aca="false">COUNTIFS(VN_은행채발행!$C$4:$C$712,$A58,VN_은행채발행!$S$4:$S$712,1)</f>
        <v>24</v>
      </c>
      <c r="S58" s="37" t="n">
        <f aca="false">IFERROR(SUMIFS(VN_은행채발행!$U$4:$U$712,VN_은행채발행!$C$4:$C$712,$A58)/SUMIFS(VN_은행채발행!$Y$4:$Y$712,VN_은행채발행!$C$4:$C$712,$A58),"")</f>
        <v>280.19358649789</v>
      </c>
      <c r="T58" s="35" t="str">
        <f aca="false">IFERROR(SUMIFS(VN_은행채발행!$W$4:$W$712,VN_은행채발행!$C$4:$C$712,$A58)/SUMIFS(VN_은행채발행!$I$4:$I$712,VN_은행채발행!$C$4:$C$712,$A58,VN_은행채발행!$V$4:$V$712,1),"")</f>
        <v/>
      </c>
      <c r="U58" s="37" t="str">
        <f aca="false">IFERROR(SUMIFS(VN_은행채발행!$X$4:$X$712,VN_은행채발행!$C$4:$C$712,$A58)/SUMIFS(VN_은행채발행!$Z$4:$Z$712,VN_은행채발행!$C$4:$C$712,$A58),"")</f>
        <v/>
      </c>
      <c r="V58" s="38" t="n">
        <f aca="false">LOOKUP($B58,정책금리_결정!$J$4:$J$49,정책금리_결정!$K$4:$K$49)</f>
        <v>0.165</v>
      </c>
      <c r="W58" s="38" t="n">
        <f aca="false">IFERROR(AVERAGEIFS(KZ_일별!$C$4:$C$1352,KZ_일별!$A$4:$A$1352,"&gt;="&amp;$A58,KZ_일별!$A$4:$A$1352,"&lt;="&amp;$B58),"")</f>
        <v>0.16565</v>
      </c>
      <c r="X58" s="38" t="n">
        <f aca="false">IFERROR(AVERAGEIFS(KZ_일별!$E$4:$E$1352,KZ_일별!$A$4:$A$1352,"&gt;="&amp;$A58,KZ_일별!$A$4:$A$1352,"&lt;="&amp;$B58),"")</f>
        <v>0.1641875</v>
      </c>
      <c r="Y58" s="38" t="n">
        <f aca="false">IFERROR(AVERAGEIFS(KZ_일별!$F$4:$F$1352,KZ_일별!$A$4:$A$1352,"&gt;="&amp;$A58,KZ_일별!$A$4:$A$1352,"&lt;="&amp;$B58),"")</f>
        <v>0.14839</v>
      </c>
      <c r="Z58" s="38" t="str">
        <f aca="false">IFERROR(AVERAGEIFS(KZ_일별!$G$4:$G$1352,KZ_일별!$A$4:$A$1352,"&gt;="&amp;$A58,KZ_일별!$A$4:$A$1352,"&lt;="&amp;$B58),"")</f>
        <v/>
      </c>
      <c r="AA58" s="39" t="n">
        <f aca="false">IF(OR(Y58="",W58=""),"",(Y58-W58)*10000)</f>
        <v>-172.6</v>
      </c>
      <c r="AB58" s="38" t="n">
        <f aca="false">IFERROR(AVERAGEIFS(KZ_일별!$H$4:$H$1352,KZ_일별!$A$4:$A$1352,"&gt;="&amp;$A58,KZ_일별!$A$4:$A$1352,"&lt;="&amp;$B58),"")</f>
        <v>0.154445</v>
      </c>
    </row>
    <row r="59" customFormat="false" ht="15" hidden="false" customHeight="false" outlineLevel="0" collapsed="false">
      <c r="A59" s="28" t="n">
        <v>45839</v>
      </c>
      <c r="B59" s="29" t="n">
        <f aca="false">EOMONTH(A59,0)</f>
        <v>45869</v>
      </c>
      <c r="C59" s="5" t="str">
        <f aca="false">YEAR(A59)&amp;"Q"&amp;ROUNDUP(MONTH(A59)/3,0)</f>
        <v>2025Q3</v>
      </c>
      <c r="D59" s="30" t="n">
        <f aca="false">YEAR(A59)</f>
        <v>2025</v>
      </c>
      <c r="E59" s="31" t="n">
        <f aca="false">LOOKUP($B59,정책금리_결정!$A$4:$A$70,정책금리_결정!$B$4:$B$70)</f>
        <v>0.005</v>
      </c>
      <c r="F59" s="31" t="n">
        <f aca="false">IFERROR(AVERAGEIFS(JP_국채일별!$C$4:$C$1345,JP_국채일별!$A$4:$A$1345,"&gt;="&amp;$A59,JP_국채일별!$A$4:$A$1345,"&lt;="&amp;$B59),"")</f>
        <v>0.00840409090909091</v>
      </c>
      <c r="G59" s="31" t="n">
        <f aca="false">IFERROR(AVERAGEIFS(JP_등급별회사채!$D$4:$D$158,JP_등급별회사채!$A$4:$A$158,"&gt;="&amp;$A59,JP_등급별회사채!$A$4:$A$158,"&lt;="&amp;$B59),"")</f>
        <v>0.01237</v>
      </c>
      <c r="H59" s="31" t="n">
        <f aca="false">IFERROR(AVERAGEIFS(JP_등급별회사채!$B$4:$B$158,JP_등급별회사채!$A$4:$A$158,"&gt;="&amp;$A59,JP_등급별회사채!$A$4:$A$158,"&lt;="&amp;$B59),"")</f>
        <v>0.01177</v>
      </c>
      <c r="I59" s="32" t="n">
        <f aca="false">IF(OR(G59="",F59=""),"",(G59-F59)*10000)</f>
        <v>39.6590909090909</v>
      </c>
      <c r="J59" s="33" t="n">
        <f aca="false">LOOKUP($B59,정책금리_결정!$D$4:$D$70,정책금리_결정!$E$4:$E$70)</f>
        <v>0.03</v>
      </c>
      <c r="K59" s="33" t="n">
        <f aca="false">IFERROR(AVERAGEIFS(CN_일별!$B$4:$B$1372,CN_일별!$A$4:$A$1372,"&gt;="&amp;$A59,CN_일별!$A$4:$A$1372,"&lt;="&amp;$B59),"")</f>
        <v>0.0142065652173913</v>
      </c>
      <c r="L59" s="33" t="n">
        <f aca="false">IFERROR(AVERAGEIFS(CN_일별!$C$4:$C$1372,CN_일별!$A$4:$A$1372,"&gt;="&amp;$A59,CN_일별!$A$4:$A$1372,"&lt;="&amp;$B59),"")</f>
        <v>0.0172819130434783</v>
      </c>
      <c r="M59" s="33" t="n">
        <f aca="false">IFERROR(AVERAGEIFS(CN_일별!$D$4:$D$1372,CN_일별!$A$4:$A$1372,"&gt;="&amp;$A59,CN_일별!$A$4:$A$1372,"&lt;="&amp;$B59),"")</f>
        <v>0.0181895652173913</v>
      </c>
      <c r="N59" s="34" t="n">
        <f aca="false">IF(OR(L59="",K59=""),"",(L59-K59)*10000)</f>
        <v>30.7534782608696</v>
      </c>
      <c r="O59" s="35" t="n">
        <f aca="false">LOOKUP($B59,정책금리_결정!$G$4:$G$9,정책금리_결정!$H$4:$H$9)</f>
        <v>0.045</v>
      </c>
      <c r="P59" s="35" t="n">
        <f aca="false">IFERROR(AVERAGEIFS(VN_국채일별!$D$4:$D$1436,VN_국채일별!$A$4:$A$1436,"&gt;="&amp;$A59,VN_국채일별!$A$4:$A$1436,"&lt;="&amp;$B59),"")</f>
        <v>0.0250913043478261</v>
      </c>
      <c r="Q59" s="35" t="n">
        <f aca="false">IFERROR(SUMIFS(VN_은행채발행!$T$4:$T$712,VN_은행채발행!$C$4:$C$712,$A59)/SUMIFS(VN_은행채발행!$I$4:$I$712,VN_은행채발행!$C$4:$C$712,$A59,VN_은행채발행!$S$4:$S$712,1),"")</f>
        <v>0.0528779373368146</v>
      </c>
      <c r="R59" s="36" t="n">
        <f aca="false">COUNTIFS(VN_은행채발행!$C$4:$C$712,$A59,VN_은행채발행!$S$4:$S$712,1)</f>
        <v>6</v>
      </c>
      <c r="S59" s="37" t="n">
        <f aca="false">IFERROR(SUMIFS(VN_은행채발행!$U$4:$U$712,VN_은행채발행!$C$4:$C$712,$A59)/SUMIFS(VN_은행채발행!$Y$4:$Y$712,VN_은행채발행!$C$4:$C$712,$A59),"")</f>
        <v>282.243994778068</v>
      </c>
      <c r="T59" s="35" t="n">
        <f aca="false">IFERROR(SUMIFS(VN_은행채발행!$W$4:$W$712,VN_은행채발행!$C$4:$C$712,$A59)/SUMIFS(VN_은행채발행!$I$4:$I$712,VN_은행채발행!$C$4:$C$712,$A59,VN_은행채발행!$V$4:$V$712,1),"")</f>
        <v>0.052</v>
      </c>
      <c r="U59" s="37" t="n">
        <f aca="false">IFERROR(SUMIFS(VN_은행채발행!$X$4:$X$712,VN_은행채발행!$C$4:$C$712,$A59)/SUMIFS(VN_은행채발행!$Z$4:$Z$712,VN_은행채발행!$C$4:$C$712,$A59),"")</f>
        <v>280.4</v>
      </c>
      <c r="V59" s="38" t="n">
        <f aca="false">LOOKUP($B59,정책금리_결정!$J$4:$J$49,정책금리_결정!$K$4:$K$49)</f>
        <v>0.165</v>
      </c>
      <c r="W59" s="38" t="n">
        <f aca="false">IFERROR(AVERAGEIFS(KZ_일별!$C$4:$C$1352,KZ_일별!$A$4:$A$1352,"&gt;="&amp;$A59,KZ_일별!$A$4:$A$1352,"&lt;="&amp;$B59),"")</f>
        <v>0.169422727272727</v>
      </c>
      <c r="X59" s="38" t="n">
        <f aca="false">IFERROR(AVERAGEIFS(KZ_일별!$E$4:$E$1352,KZ_일별!$A$4:$A$1352,"&gt;="&amp;$A59,KZ_일별!$A$4:$A$1352,"&lt;="&amp;$B59),"")</f>
        <v>0.169120909090909</v>
      </c>
      <c r="Y59" s="38" t="n">
        <f aca="false">IFERROR(AVERAGEIFS(KZ_일별!$F$4:$F$1352,KZ_일별!$A$4:$A$1352,"&gt;="&amp;$A59,KZ_일별!$A$4:$A$1352,"&lt;="&amp;$B59),"")</f>
        <v>0.155745454545455</v>
      </c>
      <c r="Z59" s="38" t="str">
        <f aca="false">IFERROR(AVERAGEIFS(KZ_일별!$G$4:$G$1352,KZ_일별!$A$4:$A$1352,"&gt;="&amp;$A59,KZ_일별!$A$4:$A$1352,"&lt;="&amp;$B59),"")</f>
        <v/>
      </c>
      <c r="AA59" s="39" t="n">
        <f aca="false">IF(OR(Y59="",W59=""),"",(Y59-W59)*10000)</f>
        <v>-136.772727272727</v>
      </c>
      <c r="AB59" s="38" t="n">
        <f aca="false">IFERROR(AVERAGEIFS(KZ_일별!$H$4:$H$1352,KZ_일별!$A$4:$A$1352,"&gt;="&amp;$A59,KZ_일별!$A$4:$A$1352,"&lt;="&amp;$B59),"")</f>
        <v>0.155813636363636</v>
      </c>
    </row>
    <row r="60" customFormat="false" ht="15" hidden="false" customHeight="false" outlineLevel="0" collapsed="false">
      <c r="A60" s="28" t="n">
        <v>45870</v>
      </c>
      <c r="B60" s="29" t="n">
        <f aca="false">EOMONTH(A60,0)</f>
        <v>45900</v>
      </c>
      <c r="C60" s="5" t="str">
        <f aca="false">YEAR(A60)&amp;"Q"&amp;ROUNDUP(MONTH(A60)/3,0)</f>
        <v>2025Q3</v>
      </c>
      <c r="D60" s="30" t="n">
        <f aca="false">YEAR(A60)</f>
        <v>2025</v>
      </c>
      <c r="E60" s="31" t="n">
        <f aca="false">LOOKUP($B60,정책금리_결정!$A$4:$A$70,정책금리_결정!$B$4:$B$70)</f>
        <v>0.005</v>
      </c>
      <c r="F60" s="31" t="n">
        <f aca="false">IFERROR(AVERAGEIFS(JP_국채일별!$C$4:$C$1345,JP_국채일별!$A$4:$A$1345,"&gt;="&amp;$A60,JP_국채일별!$A$4:$A$1345,"&lt;="&amp;$B60),"")</f>
        <v>0.009017</v>
      </c>
      <c r="G60" s="31" t="n">
        <f aca="false">IFERROR(AVERAGEIFS(JP_등급별회사채!$D$4:$D$158,JP_등급별회사채!$A$4:$A$158,"&gt;="&amp;$A60,JP_등급별회사채!$A$4:$A$158,"&lt;="&amp;$B60),"")</f>
        <v>0.01294</v>
      </c>
      <c r="H60" s="31" t="n">
        <f aca="false">IFERROR(AVERAGEIFS(JP_등급별회사채!$B$4:$B$158,JP_등급별회사채!$A$4:$A$158,"&gt;="&amp;$A60,JP_등급별회사채!$A$4:$A$158,"&lt;="&amp;$B60),"")</f>
        <v>0.01232</v>
      </c>
      <c r="I60" s="32" t="n">
        <f aca="false">IF(OR(G60="",F60=""),"",(G60-F60)*10000)</f>
        <v>39.23</v>
      </c>
      <c r="J60" s="33" t="n">
        <f aca="false">LOOKUP($B60,정책금리_결정!$D$4:$D$70,정책금리_결정!$E$4:$E$70)</f>
        <v>0.03</v>
      </c>
      <c r="K60" s="33" t="n">
        <f aca="false">IFERROR(AVERAGEIFS(CN_일별!$B$4:$B$1372,CN_일별!$A$4:$A$1372,"&gt;="&amp;$A60,CN_일별!$A$4:$A$1372,"&lt;="&amp;$B60),"")</f>
        <v>0.0145767619047619</v>
      </c>
      <c r="L60" s="33" t="n">
        <f aca="false">IFERROR(AVERAGEIFS(CN_일별!$C$4:$C$1372,CN_일별!$A$4:$A$1372,"&gt;="&amp;$A60,CN_일별!$A$4:$A$1372,"&lt;="&amp;$B60),"")</f>
        <v>0.0178385238095238</v>
      </c>
      <c r="M60" s="33" t="n">
        <f aca="false">IFERROR(AVERAGEIFS(CN_일별!$D$4:$D$1372,CN_일별!$A$4:$A$1372,"&gt;="&amp;$A60,CN_일별!$A$4:$A$1372,"&lt;="&amp;$B60),"")</f>
        <v>0.018822619047619</v>
      </c>
      <c r="N60" s="34" t="n">
        <f aca="false">IF(OR(L60="",K60=""),"",(L60-K60)*10000)</f>
        <v>32.617619047619</v>
      </c>
      <c r="O60" s="35" t="n">
        <f aca="false">LOOKUP($B60,정책금리_결정!$G$4:$G$9,정책금리_결정!$H$4:$H$9)</f>
        <v>0.045</v>
      </c>
      <c r="P60" s="35" t="n">
        <f aca="false">IFERROR(AVERAGEIFS(VN_국채일별!$D$4:$D$1436,VN_국채일별!$A$4:$A$1436,"&gt;="&amp;$A60,VN_국채일별!$A$4:$A$1436,"&lt;="&amp;$B60),"")</f>
        <v>0.0273852380952381</v>
      </c>
      <c r="Q60" s="35" t="n">
        <f aca="false">IFERROR(SUMIFS(VN_은행채발행!$T$4:$T$712,VN_은행채발행!$C$4:$C$712,$A60)/SUMIFS(VN_은행채발행!$I$4:$I$712,VN_은행채발행!$C$4:$C$712,$A60,VN_은행채발행!$S$4:$S$712,1),"")</f>
        <v>0.056007299270073</v>
      </c>
      <c r="R60" s="36" t="n">
        <f aca="false">COUNTIFS(VN_은행채발행!$C$4:$C$712,$A60,VN_은행채발행!$S$4:$S$712,1)</f>
        <v>11</v>
      </c>
      <c r="S60" s="37" t="n">
        <f aca="false">IFERROR(SUMIFS(VN_은행채발행!$U$4:$U$712,VN_은행채발행!$C$4:$C$712,$A60)/SUMIFS(VN_은행채발행!$Y$4:$Y$712,VN_은행채발행!$C$4:$C$712,$A60),"")</f>
        <v>288.816058394161</v>
      </c>
      <c r="T60" s="35" t="str">
        <f aca="false">IFERROR(SUMIFS(VN_은행채발행!$W$4:$W$712,VN_은행채발행!$C$4:$C$712,$A60)/SUMIFS(VN_은행채발행!$I$4:$I$712,VN_은행채발행!$C$4:$C$712,$A60,VN_은행채발행!$V$4:$V$712,1),"")</f>
        <v/>
      </c>
      <c r="U60" s="37" t="str">
        <f aca="false">IFERROR(SUMIFS(VN_은행채발행!$X$4:$X$712,VN_은행채발행!$C$4:$C$712,$A60)/SUMIFS(VN_은행채발행!$Z$4:$Z$712,VN_은행채발행!$C$4:$C$712,$A60),"")</f>
        <v/>
      </c>
      <c r="V60" s="38" t="n">
        <f aca="false">LOOKUP($B60,정책금리_결정!$J$4:$J$49,정책금리_결정!$K$4:$K$49)</f>
        <v>0.165</v>
      </c>
      <c r="W60" s="38" t="n">
        <f aca="false">IFERROR(AVERAGEIFS(KZ_일별!$C$4:$C$1352,KZ_일별!$A$4:$A$1352,"&gt;="&amp;$A60,KZ_일별!$A$4:$A$1352,"&lt;="&amp;$B60),"")</f>
        <v>0.168257142857143</v>
      </c>
      <c r="X60" s="38" t="n">
        <f aca="false">IFERROR(AVERAGEIFS(KZ_일별!$E$4:$E$1352,KZ_일별!$A$4:$A$1352,"&gt;="&amp;$A60,KZ_일별!$A$4:$A$1352,"&lt;="&amp;$B60),"")</f>
        <v>0.170674761904762</v>
      </c>
      <c r="Y60" s="38" t="n">
        <f aca="false">IFERROR(AVERAGEIFS(KZ_일별!$F$4:$F$1352,KZ_일별!$A$4:$A$1352,"&gt;="&amp;$A60,KZ_일별!$A$4:$A$1352,"&lt;="&amp;$B60),"")</f>
        <v>0.15797619047619</v>
      </c>
      <c r="Z60" s="38" t="str">
        <f aca="false">IFERROR(AVERAGEIFS(KZ_일별!$G$4:$G$1352,KZ_일별!$A$4:$A$1352,"&gt;="&amp;$A60,KZ_일별!$A$4:$A$1352,"&lt;="&amp;$B60),"")</f>
        <v/>
      </c>
      <c r="AA60" s="39" t="n">
        <f aca="false">IF(OR(Y60="",W60=""),"",(Y60-W60)*10000)</f>
        <v>-102.809523809524</v>
      </c>
      <c r="AB60" s="38" t="n">
        <f aca="false">IFERROR(AVERAGEIFS(KZ_일별!$H$4:$H$1352,KZ_일별!$A$4:$A$1352,"&gt;="&amp;$A60,KZ_일별!$A$4:$A$1352,"&lt;="&amp;$B60),"")</f>
        <v>0.155442857142857</v>
      </c>
    </row>
    <row r="61" customFormat="false" ht="15" hidden="false" customHeight="false" outlineLevel="0" collapsed="false">
      <c r="A61" s="28" t="n">
        <v>45901</v>
      </c>
      <c r="B61" s="29" t="n">
        <f aca="false">EOMONTH(A61,0)</f>
        <v>45930</v>
      </c>
      <c r="C61" s="5" t="str">
        <f aca="false">YEAR(A61)&amp;"Q"&amp;ROUNDUP(MONTH(A61)/3,0)</f>
        <v>2025Q3</v>
      </c>
      <c r="D61" s="30" t="n">
        <f aca="false">YEAR(A61)</f>
        <v>2025</v>
      </c>
      <c r="E61" s="31" t="n">
        <f aca="false">LOOKUP($B61,정책금리_결정!$A$4:$A$70,정책금리_결정!$B$4:$B$70)</f>
        <v>0.005</v>
      </c>
      <c r="F61" s="31" t="n">
        <f aca="false">IFERROR(AVERAGEIFS(JP_국채일별!$C$4:$C$1345,JP_국채일별!$A$4:$A$1345,"&gt;="&amp;$A61,JP_국채일별!$A$4:$A$1345,"&lt;="&amp;$B61),"")</f>
        <v>0.009675</v>
      </c>
      <c r="G61" s="31" t="n">
        <f aca="false">IFERROR(AVERAGEIFS(JP_등급별회사채!$D$4:$D$158,JP_등급별회사채!$A$4:$A$158,"&gt;="&amp;$A61,JP_등급별회사채!$A$4:$A$158,"&lt;="&amp;$B61),"")</f>
        <v>0.01325</v>
      </c>
      <c r="H61" s="31" t="n">
        <f aca="false">IFERROR(AVERAGEIFS(JP_등급별회사채!$B$4:$B$158,JP_등급별회사채!$A$4:$A$158,"&gt;="&amp;$A61,JP_등급별회사채!$A$4:$A$158,"&lt;="&amp;$B61),"")</f>
        <v>0.01254</v>
      </c>
      <c r="I61" s="32" t="n">
        <f aca="false">IF(OR(G61="",F61=""),"",(G61-F61)*10000)</f>
        <v>35.75</v>
      </c>
      <c r="J61" s="33" t="n">
        <f aca="false">LOOKUP($B61,정책금리_결정!$D$4:$D$70,정책금리_결정!$E$4:$E$70)</f>
        <v>0.03</v>
      </c>
      <c r="K61" s="33" t="n">
        <f aca="false">IFERROR(AVERAGEIFS(CN_일별!$B$4:$B$1372,CN_일별!$A$4:$A$1372,"&gt;="&amp;$A61,CN_일별!$A$4:$A$1372,"&lt;="&amp;$B61),"")</f>
        <v>0.0150505652173913</v>
      </c>
      <c r="L61" s="33" t="n">
        <f aca="false">IFERROR(AVERAGEIFS(CN_일별!$C$4:$C$1372,CN_일별!$A$4:$A$1372,"&gt;="&amp;$A61,CN_일별!$A$4:$A$1372,"&lt;="&amp;$B61),"")</f>
        <v>0.0185020434782609</v>
      </c>
      <c r="M61" s="33" t="n">
        <f aca="false">IFERROR(AVERAGEIFS(CN_일별!$D$4:$D$1372,CN_일별!$A$4:$A$1372,"&gt;="&amp;$A61,CN_일별!$A$4:$A$1372,"&lt;="&amp;$B61),"")</f>
        <v>0.019617</v>
      </c>
      <c r="N61" s="34" t="n">
        <f aca="false">IF(OR(L61="",K61=""),"",(L61-K61)*10000)</f>
        <v>34.5147826086957</v>
      </c>
      <c r="O61" s="35" t="n">
        <f aca="false">LOOKUP($B61,정책금리_결정!$G$4:$G$9,정책금리_결정!$H$4:$H$9)</f>
        <v>0.045</v>
      </c>
      <c r="P61" s="35" t="n">
        <f aca="false">IFERROR(AVERAGEIFS(VN_국채일별!$D$4:$D$1436,VN_국채일별!$A$4:$A$1436,"&gt;="&amp;$A61,VN_국채일별!$A$4:$A$1436,"&lt;="&amp;$B61),"")</f>
        <v>0.0293190909090909</v>
      </c>
      <c r="Q61" s="35" t="n">
        <f aca="false">IFERROR(SUMIFS(VN_은행채발행!$T$4:$T$712,VN_은행채발행!$C$4:$C$712,$A61)/SUMIFS(VN_은행채발행!$I$4:$I$712,VN_은행채발행!$C$4:$C$712,$A61,VN_은행채발행!$S$4:$S$712,1),"")</f>
        <v>0.0576206896551724</v>
      </c>
      <c r="R61" s="36" t="n">
        <f aca="false">COUNTIFS(VN_은행채발행!$C$4:$C$712,$A61,VN_은행채발행!$S$4:$S$712,1)</f>
        <v>7</v>
      </c>
      <c r="S61" s="37" t="n">
        <f aca="false">IFERROR(SUMIFS(VN_은행채발행!$U$4:$U$712,VN_은행채발행!$C$4:$C$712,$A61)/SUMIFS(VN_은행채발행!$Y$4:$Y$712,VN_은행채발행!$C$4:$C$712,$A61),"")</f>
        <v>285.3</v>
      </c>
      <c r="T61" s="35" t="str">
        <f aca="false">IFERROR(SUMIFS(VN_은행채발행!$W$4:$W$712,VN_은행채발행!$C$4:$C$712,$A61)/SUMIFS(VN_은행채발행!$I$4:$I$712,VN_은행채발행!$C$4:$C$712,$A61,VN_은행채발행!$V$4:$V$712,1),"")</f>
        <v/>
      </c>
      <c r="U61" s="37" t="str">
        <f aca="false">IFERROR(SUMIFS(VN_은행채발행!$X$4:$X$712,VN_은행채발행!$C$4:$C$712,$A61)/SUMIFS(VN_은행채발행!$Z$4:$Z$712,VN_은행채발행!$C$4:$C$712,$A61),"")</f>
        <v/>
      </c>
      <c r="V61" s="38" t="n">
        <f aca="false">LOOKUP($B61,정책금리_결정!$J$4:$J$49,정책금리_결정!$K$4:$K$49)</f>
        <v>0.165</v>
      </c>
      <c r="W61" s="38" t="n">
        <f aca="false">IFERROR(AVERAGEIFS(KZ_일별!$C$4:$C$1352,KZ_일별!$A$4:$A$1352,"&gt;="&amp;$A61,KZ_일별!$A$4:$A$1352,"&lt;="&amp;$B61),"")</f>
        <v>0.17</v>
      </c>
      <c r="X61" s="38" t="n">
        <f aca="false">IFERROR(AVERAGEIFS(KZ_일별!$E$4:$E$1352,KZ_일별!$A$4:$A$1352,"&gt;="&amp;$A61,KZ_일별!$A$4:$A$1352,"&lt;="&amp;$B61),"")</f>
        <v>0.169647619047619</v>
      </c>
      <c r="Y61" s="38" t="n">
        <f aca="false">IFERROR(AVERAGEIFS(KZ_일별!$F$4:$F$1352,KZ_일별!$A$4:$A$1352,"&gt;="&amp;$A61,KZ_일별!$A$4:$A$1352,"&lt;="&amp;$B61),"")</f>
        <v>0.160938095238095</v>
      </c>
      <c r="Z61" s="38" t="str">
        <f aca="false">IFERROR(AVERAGEIFS(KZ_일별!$G$4:$G$1352,KZ_일별!$A$4:$A$1352,"&gt;="&amp;$A61,KZ_일별!$A$4:$A$1352,"&lt;="&amp;$B61),"")</f>
        <v/>
      </c>
      <c r="AA61" s="39" t="n">
        <f aca="false">IF(OR(Y61="",W61=""),"",(Y61-W61)*10000)</f>
        <v>-90.619047619048</v>
      </c>
      <c r="AB61" s="38" t="n">
        <f aca="false">IFERROR(AVERAGEIFS(KZ_일별!$H$4:$H$1352,KZ_일별!$A$4:$A$1352,"&gt;="&amp;$A61,KZ_일별!$A$4:$A$1352,"&lt;="&amp;$B61),"")</f>
        <v>0.158495238095238</v>
      </c>
    </row>
    <row r="62" customFormat="false" ht="15" hidden="false" customHeight="false" outlineLevel="0" collapsed="false">
      <c r="A62" s="28" t="n">
        <v>45931</v>
      </c>
      <c r="B62" s="29" t="n">
        <f aca="false">EOMONTH(A62,0)</f>
        <v>45961</v>
      </c>
      <c r="C62" s="5" t="str">
        <f aca="false">YEAR(A62)&amp;"Q"&amp;ROUNDUP(MONTH(A62)/3,0)</f>
        <v>2025Q4</v>
      </c>
      <c r="D62" s="30" t="n">
        <f aca="false">YEAR(A62)</f>
        <v>2025</v>
      </c>
      <c r="E62" s="31" t="n">
        <f aca="false">LOOKUP($B62,정책금리_결정!$A$4:$A$70,정책금리_결정!$B$4:$B$70)</f>
        <v>0.005</v>
      </c>
      <c r="F62" s="31" t="n">
        <f aca="false">IFERROR(AVERAGEIFS(JP_국채일별!$C$4:$C$1345,JP_국채일별!$A$4:$A$1345,"&gt;="&amp;$A62,JP_국채일별!$A$4:$A$1345,"&lt;="&amp;$B62),"")</f>
        <v>0.0100536363636364</v>
      </c>
      <c r="G62" s="31" t="n">
        <f aca="false">IFERROR(AVERAGEIFS(JP_등급별회사채!$D$4:$D$158,JP_등급별회사채!$A$4:$A$158,"&gt;="&amp;$A62,JP_등급별회사채!$A$4:$A$158,"&lt;="&amp;$B62),"")</f>
        <v>0.01383</v>
      </c>
      <c r="H62" s="31" t="n">
        <f aca="false">IFERROR(AVERAGEIFS(JP_등급별회사채!$B$4:$B$158,JP_등급별회사채!$A$4:$A$158,"&gt;="&amp;$A62,JP_등급별회사채!$A$4:$A$158,"&lt;="&amp;$B62),"")</f>
        <v>0.0132</v>
      </c>
      <c r="I62" s="32" t="n">
        <f aca="false">IF(OR(G62="",F62=""),"",(G62-F62)*10000)</f>
        <v>37.7636363636364</v>
      </c>
      <c r="J62" s="33" t="n">
        <f aca="false">LOOKUP($B62,정책금리_결정!$D$4:$D$70,정책금리_결정!$E$4:$E$70)</f>
        <v>0.03</v>
      </c>
      <c r="K62" s="33" t="n">
        <f aca="false">IFERROR(AVERAGEIFS(CN_일별!$B$4:$B$1372,CN_일별!$A$4:$A$1372,"&gt;="&amp;$A62,CN_일별!$A$4:$A$1372,"&lt;="&amp;$B62),"")</f>
        <v>0.0150050555555556</v>
      </c>
      <c r="L62" s="33" t="n">
        <f aca="false">IFERROR(AVERAGEIFS(CN_일별!$C$4:$C$1372,CN_일별!$A$4:$A$1372,"&gt;="&amp;$A62,CN_일별!$A$4:$A$1372,"&lt;="&amp;$B62),"")</f>
        <v>0.0185677222222222</v>
      </c>
      <c r="M62" s="33" t="n">
        <f aca="false">IFERROR(AVERAGEIFS(CN_일별!$D$4:$D$1372,CN_일별!$A$4:$A$1372,"&gt;="&amp;$A62,CN_일별!$A$4:$A$1372,"&lt;="&amp;$B62),"")</f>
        <v>0.0195013888888889</v>
      </c>
      <c r="N62" s="34" t="n">
        <f aca="false">IF(OR(L62="",K62=""),"",(L62-K62)*10000)</f>
        <v>35.6266666666667</v>
      </c>
      <c r="O62" s="35" t="n">
        <f aca="false">LOOKUP($B62,정책금리_결정!$G$4:$G$9,정책금리_결정!$H$4:$H$9)</f>
        <v>0.045</v>
      </c>
      <c r="P62" s="35" t="n">
        <f aca="false">IFERROR(AVERAGEIFS(VN_국채일별!$D$4:$D$1436,VN_국채일별!$A$4:$A$1436,"&gt;="&amp;$A62,VN_국채일별!$A$4:$A$1436,"&lt;="&amp;$B62),"")</f>
        <v>0.0301430434782609</v>
      </c>
      <c r="Q62" s="35" t="n">
        <f aca="false">IFERROR(SUMIFS(VN_은행채발행!$T$4:$T$712,VN_은행채발행!$C$4:$C$712,$A62)/SUMIFS(VN_은행채발행!$I$4:$I$712,VN_은행채발행!$C$4:$C$712,$A62,VN_은행채발행!$S$4:$S$712,1),"")</f>
        <v>0.0616036036036036</v>
      </c>
      <c r="R62" s="36" t="n">
        <f aca="false">COUNTIFS(VN_은행채발행!$C$4:$C$712,$A62,VN_은행채발행!$S$4:$S$712,1)</f>
        <v>8</v>
      </c>
      <c r="S62" s="37" t="n">
        <f aca="false">IFERROR(SUMIFS(VN_은행채발행!$U$4:$U$712,VN_은행채발행!$C$4:$C$712,$A62)/SUMIFS(VN_은행채발행!$Y$4:$Y$712,VN_은행채발행!$C$4:$C$712,$A62),"")</f>
        <v>316.78018018018</v>
      </c>
      <c r="T62" s="35" t="str">
        <f aca="false">IFERROR(SUMIFS(VN_은행채발행!$W$4:$W$712,VN_은행채발행!$C$4:$C$712,$A62)/SUMIFS(VN_은행채발행!$I$4:$I$712,VN_은행채발행!$C$4:$C$712,$A62,VN_은행채발행!$V$4:$V$712,1),"")</f>
        <v/>
      </c>
      <c r="U62" s="37" t="str">
        <f aca="false">IFERROR(SUMIFS(VN_은행채발행!$X$4:$X$712,VN_은행채발행!$C$4:$C$712,$A62)/SUMIFS(VN_은행채발행!$Z$4:$Z$712,VN_은행채발행!$C$4:$C$712,$A62),"")</f>
        <v/>
      </c>
      <c r="V62" s="38" t="n">
        <f aca="false">LOOKUP($B62,정책금리_결정!$J$4:$J$49,정책금리_결정!$K$4:$K$49)</f>
        <v>0.18</v>
      </c>
      <c r="W62" s="38" t="n">
        <f aca="false">IFERROR(AVERAGEIFS(KZ_일별!$C$4:$C$1352,KZ_일별!$A$4:$A$1352,"&gt;="&amp;$A62,KZ_일별!$A$4:$A$1352,"&lt;="&amp;$B62),"")</f>
        <v>0.170004545454545</v>
      </c>
      <c r="X62" s="38" t="n">
        <f aca="false">IFERROR(AVERAGEIFS(KZ_일별!$E$4:$E$1352,KZ_일별!$A$4:$A$1352,"&gt;="&amp;$A62,KZ_일별!$A$4:$A$1352,"&lt;="&amp;$B62),"")</f>
        <v>0.170201363636364</v>
      </c>
      <c r="Y62" s="38" t="n">
        <f aca="false">IFERROR(AVERAGEIFS(KZ_일별!$F$4:$F$1352,KZ_일별!$A$4:$A$1352,"&gt;="&amp;$A62,KZ_일별!$A$4:$A$1352,"&lt;="&amp;$B62),"")</f>
        <v>0.165531818181818</v>
      </c>
      <c r="Z62" s="38" t="str">
        <f aca="false">IFERROR(AVERAGEIFS(KZ_일별!$G$4:$G$1352,KZ_일별!$A$4:$A$1352,"&gt;="&amp;$A62,KZ_일별!$A$4:$A$1352,"&lt;="&amp;$B62),"")</f>
        <v/>
      </c>
      <c r="AA62" s="39" t="n">
        <f aca="false">IF(OR(Y62="",W62=""),"",(Y62-W62)*10000)</f>
        <v>-44.7272727272727</v>
      </c>
      <c r="AB62" s="38" t="n">
        <f aca="false">IFERROR(AVERAGEIFS(KZ_일별!$H$4:$H$1352,KZ_일별!$A$4:$A$1352,"&gt;="&amp;$A62,KZ_일별!$A$4:$A$1352,"&lt;="&amp;$B62),"")</f>
        <v>0.165940909090909</v>
      </c>
    </row>
    <row r="63" customFormat="false" ht="15" hidden="false" customHeight="false" outlineLevel="0" collapsed="false">
      <c r="A63" s="28" t="n">
        <v>45962</v>
      </c>
      <c r="B63" s="29" t="n">
        <f aca="false">EOMONTH(A63,0)</f>
        <v>45991</v>
      </c>
      <c r="C63" s="5" t="str">
        <f aca="false">YEAR(A63)&amp;"Q"&amp;ROUNDUP(MONTH(A63)/3,0)</f>
        <v>2025Q4</v>
      </c>
      <c r="D63" s="30" t="n">
        <f aca="false">YEAR(A63)</f>
        <v>2025</v>
      </c>
      <c r="E63" s="31" t="n">
        <f aca="false">LOOKUP($B63,정책금리_결정!$A$4:$A$70,정책금리_결정!$B$4:$B$70)</f>
        <v>0.005</v>
      </c>
      <c r="F63" s="31" t="n">
        <f aca="false">IFERROR(AVERAGEIFS(JP_국채일별!$C$4:$C$1345,JP_국채일별!$A$4:$A$1345,"&gt;="&amp;$A63,JP_국채일별!$A$4:$A$1345,"&lt;="&amp;$B63),"")</f>
        <v>0.0103672222222222</v>
      </c>
      <c r="G63" s="31" t="n">
        <f aca="false">IFERROR(AVERAGEIFS(JP_등급별회사채!$D$4:$D$158,JP_등급별회사채!$A$4:$A$158,"&gt;="&amp;$A63,JP_등급별회사채!$A$4:$A$158,"&lt;="&amp;$B63),"")</f>
        <v>0.01411</v>
      </c>
      <c r="H63" s="31" t="n">
        <f aca="false">IFERROR(AVERAGEIFS(JP_등급별회사채!$B$4:$B$158,JP_등급별회사채!$A$4:$A$158,"&gt;="&amp;$A63,JP_등급별회사채!$A$4:$A$158,"&lt;="&amp;$B63),"")</f>
        <v>0.01351</v>
      </c>
      <c r="I63" s="32" t="n">
        <f aca="false">IF(OR(G63="",F63=""),"",(G63-F63)*10000)</f>
        <v>37.4277777777778</v>
      </c>
      <c r="J63" s="33" t="n">
        <f aca="false">LOOKUP($B63,정책금리_결정!$D$4:$D$70,정책금리_결정!$E$4:$E$70)</f>
        <v>0.03</v>
      </c>
      <c r="K63" s="33" t="n">
        <f aca="false">IFERROR(AVERAGEIFS(CN_일별!$B$4:$B$1372,CN_일별!$A$4:$A$1372,"&gt;="&amp;$A63,CN_일별!$A$4:$A$1372,"&lt;="&amp;$B63),"")</f>
        <v>0.01438375</v>
      </c>
      <c r="L63" s="33" t="n">
        <f aca="false">IFERROR(AVERAGEIFS(CN_일별!$C$4:$C$1372,CN_일별!$A$4:$A$1372,"&gt;="&amp;$A63,CN_일별!$A$4:$A$1372,"&lt;="&amp;$B63),"")</f>
        <v>0.0181362</v>
      </c>
      <c r="M63" s="33" t="n">
        <f aca="false">IFERROR(AVERAGEIFS(CN_일별!$D$4:$D$1372,CN_일별!$A$4:$A$1372,"&gt;="&amp;$A63,CN_일별!$A$4:$A$1372,"&lt;="&amp;$B63),"")</f>
        <v>0.01876715</v>
      </c>
      <c r="N63" s="34" t="n">
        <f aca="false">IF(OR(L63="",K63=""),"",(L63-K63)*10000)</f>
        <v>37.5245</v>
      </c>
      <c r="O63" s="35" t="n">
        <f aca="false">LOOKUP($B63,정책금리_결정!$G$4:$G$9,정책금리_결정!$H$4:$H$9)</f>
        <v>0.045</v>
      </c>
      <c r="P63" s="35" t="n">
        <f aca="false">IFERROR(AVERAGEIFS(VN_국채일별!$D$4:$D$1436,VN_국채일별!$A$4:$A$1436,"&gt;="&amp;$A63,VN_국채일별!$A$4:$A$1436,"&lt;="&amp;$B63),"")</f>
        <v>0.030998</v>
      </c>
      <c r="Q63" s="35" t="n">
        <f aca="false">IFERROR(SUMIFS(VN_은행채발행!$T$4:$T$712,VN_은행채발행!$C$4:$C$712,$A63)/SUMIFS(VN_은행채발행!$I$4:$I$712,VN_은행채발행!$C$4:$C$712,$A63,VN_은행채발행!$S$4:$S$712,1),"")</f>
        <v>0.0636666666666667</v>
      </c>
      <c r="R63" s="36" t="n">
        <f aca="false">COUNTIFS(VN_은행채발행!$C$4:$C$712,$A63,VN_은행채발행!$S$4:$S$712,1)</f>
        <v>9</v>
      </c>
      <c r="S63" s="37" t="n">
        <f aca="false">IFERROR(SUMIFS(VN_은행채발행!$U$4:$U$712,VN_은행채발행!$C$4:$C$712,$A63)/SUMIFS(VN_은행채발행!$Y$4:$Y$712,VN_은행채발행!$C$4:$C$712,$A63),"")</f>
        <v>327.629468599034</v>
      </c>
      <c r="T63" s="35" t="str">
        <f aca="false">IFERROR(SUMIFS(VN_은행채발행!$W$4:$W$712,VN_은행채발행!$C$4:$C$712,$A63)/SUMIFS(VN_은행채발행!$I$4:$I$712,VN_은행채발행!$C$4:$C$712,$A63,VN_은행채발행!$V$4:$V$712,1),"")</f>
        <v/>
      </c>
      <c r="U63" s="37" t="str">
        <f aca="false">IFERROR(SUMIFS(VN_은행채발행!$X$4:$X$712,VN_은행채발행!$C$4:$C$712,$A63)/SUMIFS(VN_은행채발행!$Z$4:$Z$712,VN_은행채발행!$C$4:$C$712,$A63),"")</f>
        <v/>
      </c>
      <c r="V63" s="38" t="n">
        <f aca="false">LOOKUP($B63,정책금리_결정!$J$4:$J$49,정책금리_결정!$K$4:$K$49)</f>
        <v>0.18</v>
      </c>
      <c r="W63" s="38" t="n">
        <f aca="false">IFERROR(AVERAGEIFS(KZ_일별!$C$4:$C$1352,KZ_일별!$A$4:$A$1352,"&gt;="&amp;$A63,KZ_일별!$A$4:$A$1352,"&lt;="&amp;$B63),"")</f>
        <v>0.170745</v>
      </c>
      <c r="X63" s="38" t="n">
        <f aca="false">IFERROR(AVERAGEIFS(KZ_일별!$E$4:$E$1352,KZ_일별!$A$4:$A$1352,"&gt;="&amp;$A63,KZ_일별!$A$4:$A$1352,"&lt;="&amp;$B63),"")</f>
        <v>0.1706195</v>
      </c>
      <c r="Y63" s="38" t="n">
        <f aca="false">IFERROR(AVERAGEIFS(KZ_일별!$F$4:$F$1352,KZ_일별!$A$4:$A$1352,"&gt;="&amp;$A63,KZ_일별!$A$4:$A$1352,"&lt;="&amp;$B63),"")</f>
        <v>0.17048</v>
      </c>
      <c r="Z63" s="38" t="str">
        <f aca="false">IFERROR(AVERAGEIFS(KZ_일별!$G$4:$G$1352,KZ_일별!$A$4:$A$1352,"&gt;="&amp;$A63,KZ_일별!$A$4:$A$1352,"&lt;="&amp;$B63),"")</f>
        <v/>
      </c>
      <c r="AA63" s="39" t="n">
        <f aca="false">IF(OR(Y63="",W63=""),"",(Y63-W63)*10000)</f>
        <v>-2.6499999999996</v>
      </c>
      <c r="AB63" s="38" t="n">
        <f aca="false">IFERROR(AVERAGEIFS(KZ_일별!$H$4:$H$1352,KZ_일별!$A$4:$A$1352,"&gt;="&amp;$A63,KZ_일별!$A$4:$A$1352,"&lt;="&amp;$B63),"")</f>
        <v>0.171135</v>
      </c>
    </row>
    <row r="64" customFormat="false" ht="15" hidden="false" customHeight="false" outlineLevel="0" collapsed="false">
      <c r="A64" s="3" t="n">
        <v>45992</v>
      </c>
      <c r="B64" s="40" t="n">
        <f aca="false">EOMONTH(A64,0)</f>
        <v>46022</v>
      </c>
      <c r="C64" s="41" t="str">
        <f aca="false">YEAR(A64)&amp;"Q"&amp;ROUNDUP(MONTH(A64)/3,0)</f>
        <v>2025Q4</v>
      </c>
      <c r="D64" s="42" t="n">
        <f aca="false">YEAR(A64)</f>
        <v>2025</v>
      </c>
      <c r="E64" s="43" t="n">
        <f aca="false">LOOKUP($B64,정책금리_결정!$A$4:$A$70,정책금리_결정!$B$4:$B$70)</f>
        <v>0.0075</v>
      </c>
      <c r="F64" s="43" t="n">
        <f aca="false">IFERROR(AVERAGEIFS(JP_국채일별!$C$4:$C$1345,JP_국채일별!$A$4:$A$1345,"&gt;="&amp;$A64,JP_국채일별!$A$4:$A$1345,"&lt;="&amp;$B64),"")</f>
        <v>0.0118568181818182</v>
      </c>
      <c r="G64" s="43" t="n">
        <f aca="false">IFERROR(AVERAGEIFS(JP_등급별회사채!$D$4:$D$158,JP_등급별회사채!$A$4:$A$158,"&gt;="&amp;$A64,JP_등급별회사채!$A$4:$A$158,"&lt;="&amp;$B64),"")</f>
        <v>0.015895</v>
      </c>
      <c r="H64" s="43" t="n">
        <f aca="false">IFERROR(AVERAGEIFS(JP_등급별회사채!$B$4:$B$158,JP_등급별회사채!$A$4:$A$158,"&gt;="&amp;$A64,JP_등급별회사채!$A$4:$A$158,"&lt;="&amp;$B64),"")</f>
        <v>0.015085</v>
      </c>
      <c r="I64" s="44" t="n">
        <f aca="false">IF(OR(G64="",F64=""),"",(G64-F64)*10000)</f>
        <v>40.3818181818182</v>
      </c>
      <c r="J64" s="43" t="n">
        <f aca="false">LOOKUP($B64,정책금리_결정!$D$4:$D$70,정책금리_결정!$E$4:$E$70)</f>
        <v>0.03</v>
      </c>
      <c r="K64" s="43" t="n">
        <f aca="false">IFERROR(AVERAGEIFS(CN_일별!$B$4:$B$1372,CN_일별!$A$4:$A$1372,"&gt;="&amp;$A64,CN_일별!$A$4:$A$1372,"&lt;="&amp;$B64),"")</f>
        <v>0.0140452173913043</v>
      </c>
      <c r="L64" s="43" t="n">
        <f aca="false">IFERROR(AVERAGEIFS(CN_일별!$C$4:$C$1372,CN_일별!$A$4:$A$1372,"&gt;="&amp;$A64,CN_일별!$A$4:$A$1372,"&lt;="&amp;$B64),"")</f>
        <v>0.018408</v>
      </c>
      <c r="M64" s="43" t="n">
        <f aca="false">IFERROR(AVERAGEIFS(CN_일별!$D$4:$D$1372,CN_일별!$A$4:$A$1372,"&gt;="&amp;$A64,CN_일별!$A$4:$A$1372,"&lt;="&amp;$B64),"")</f>
        <v>0.0190777391304348</v>
      </c>
      <c r="N64" s="44" t="n">
        <f aca="false">IF(OR(L64="",K64=""),"",(L64-K64)*10000)</f>
        <v>43.6278260869565</v>
      </c>
      <c r="O64" s="43" t="n">
        <f aca="false">LOOKUP($B64,정책금리_결정!$G$4:$G$9,정책금리_결정!$H$4:$H$9)</f>
        <v>0.045</v>
      </c>
      <c r="P64" s="43" t="n">
        <f aca="false">IFERROR(AVERAGEIFS(VN_국채일별!$D$4:$D$1436,VN_국채일별!$A$4:$A$1436,"&gt;="&amp;$A64,VN_국채일별!$A$4:$A$1436,"&lt;="&amp;$B64),"")</f>
        <v>0.0316869565217391</v>
      </c>
      <c r="Q64" s="43" t="n">
        <f aca="false">IFERROR(SUMIFS(VN_은행채발행!$T$4:$T$712,VN_은행채발행!$C$4:$C$712,$A64)/SUMIFS(VN_은행채발행!$I$4:$I$712,VN_은행채발행!$C$4:$C$712,$A64,VN_은행채발행!$S$4:$S$712,1),"")</f>
        <v>0.0689227013832384</v>
      </c>
      <c r="R64" s="45" t="n">
        <f aca="false">COUNTIFS(VN_은행채발행!$C$4:$C$712,$A64,VN_은행채발행!$S$4:$S$712,1)</f>
        <v>15</v>
      </c>
      <c r="S64" s="46" t="n">
        <f aca="false">IFERROR(SUMIFS(VN_은행채발행!$U$4:$U$712,VN_은행채발행!$C$4:$C$712,$A64)/SUMIFS(VN_은행채발행!$Y$4:$Y$712,VN_은행채발행!$C$4:$C$712,$A64),"")</f>
        <v>374.343368592352</v>
      </c>
      <c r="T64" s="43" t="n">
        <f aca="false">IFERROR(SUMIFS(VN_은행채발행!$W$4:$W$712,VN_은행채발행!$C$4:$C$712,$A64)/SUMIFS(VN_은행채발행!$I$4:$I$712,VN_은행채발행!$C$4:$C$712,$A64,VN_은행채발행!$V$4:$V$712,1),"")</f>
        <v>0.058</v>
      </c>
      <c r="U64" s="46" t="n">
        <f aca="false">IFERROR(SUMIFS(VN_은행채발행!$X$4:$X$712,VN_은행채발행!$C$4:$C$712,$A64)/SUMIFS(VN_은행채발행!$Z$4:$Z$712,VN_은행채발행!$C$4:$C$712,$A64),"")</f>
        <v>268</v>
      </c>
      <c r="V64" s="43" t="n">
        <f aca="false">LOOKUP($B64,정책금리_결정!$J$4:$J$49,정책금리_결정!$K$4:$K$49)</f>
        <v>0.18</v>
      </c>
      <c r="W64" s="43" t="n">
        <f aca="false">IFERROR(AVERAGEIFS(KZ_일별!$C$4:$C$1352,KZ_일별!$A$4:$A$1352,"&gt;="&amp;$A64,KZ_일별!$A$4:$A$1352,"&lt;="&amp;$B64),"")</f>
        <v>0.165613636363636</v>
      </c>
      <c r="X64" s="43" t="n">
        <f aca="false">IFERROR(AVERAGEIFS(KZ_일별!$E$4:$E$1352,KZ_일별!$A$4:$A$1352,"&gt;="&amp;$A64,KZ_일별!$A$4:$A$1352,"&lt;="&amp;$B64),"")</f>
        <v>0.167136363636364</v>
      </c>
      <c r="Y64" s="43" t="n">
        <f aca="false">IFERROR(AVERAGEIFS(KZ_일별!$F$4:$F$1352,KZ_일별!$A$4:$A$1352,"&gt;="&amp;$A64,KZ_일별!$A$4:$A$1352,"&lt;="&amp;$B64),"")</f>
        <v>0.168290909090909</v>
      </c>
      <c r="Z64" s="43" t="str">
        <f aca="false">IFERROR(AVERAGEIFS(KZ_일별!$G$4:$G$1352,KZ_일별!$A$4:$A$1352,"&gt;="&amp;$A64,KZ_일별!$A$4:$A$1352,"&lt;="&amp;$B64),"")</f>
        <v/>
      </c>
      <c r="AA64" s="44" t="n">
        <f aca="false">IF(OR(Y64="",W64=""),"",(Y64-W64)*10000)</f>
        <v>26.7727272727272</v>
      </c>
      <c r="AB64" s="43" t="n">
        <f aca="false">IFERROR(AVERAGEIFS(KZ_일별!$H$4:$H$1352,KZ_일별!$A$4:$A$1352,"&gt;="&amp;$A64,KZ_일별!$A$4:$A$1352,"&lt;="&amp;$B64),"")</f>
        <v>0.170504545454545</v>
      </c>
    </row>
    <row r="65" customFormat="false" ht="15" hidden="false" customHeight="false" outlineLevel="0" collapsed="false">
      <c r="A65" s="28" t="n">
        <v>46023</v>
      </c>
      <c r="B65" s="29" t="n">
        <f aca="false">EOMONTH(A65,0)</f>
        <v>46053</v>
      </c>
      <c r="C65" s="5" t="str">
        <f aca="false">YEAR(A65)&amp;"Q"&amp;ROUNDUP(MONTH(A65)/3,0)</f>
        <v>2026Q1</v>
      </c>
      <c r="D65" s="30" t="n">
        <f aca="false">YEAR(A65)</f>
        <v>2026</v>
      </c>
      <c r="E65" s="31" t="n">
        <f aca="false">LOOKUP($B65,정책금리_결정!$A$4:$A$70,정책금리_결정!$B$4:$B$70)</f>
        <v>0.0075</v>
      </c>
      <c r="F65" s="31" t="n">
        <f aca="false">IFERROR(AVERAGEIFS(JP_국채일별!$C$4:$C$1345,JP_국채일별!$A$4:$A$1345,"&gt;="&amp;$A65,JP_국채일별!$A$4:$A$1345,"&lt;="&amp;$B65),"")</f>
        <v>0.0135752631578947</v>
      </c>
      <c r="G65" s="31" t="n">
        <f aca="false">IFERROR(AVERAGEIFS(JP_등급별회사채!$D$4:$D$158,JP_등급별회사채!$A$4:$A$158,"&gt;="&amp;$A65,JP_등급별회사채!$A$4:$A$158,"&lt;="&amp;$B65),"")</f>
        <v>0.01774</v>
      </c>
      <c r="H65" s="31" t="n">
        <f aca="false">IFERROR(AVERAGEIFS(JP_등급별회사채!$B$4:$B$158,JP_등급별회사채!$A$4:$A$158,"&gt;="&amp;$A65,JP_등급별회사채!$A$4:$A$158,"&lt;="&amp;$B65),"")</f>
        <v>0.01675</v>
      </c>
      <c r="I65" s="32" t="n">
        <f aca="false">IF(OR(G65="",F65=""),"",(G65-F65)*10000)</f>
        <v>41.6473684210526</v>
      </c>
      <c r="J65" s="33" t="n">
        <f aca="false">LOOKUP($B65,정책금리_결정!$D$4:$D$70,정책금리_결정!$E$4:$E$70)</f>
        <v>0.03</v>
      </c>
      <c r="K65" s="33" t="n">
        <f aca="false">IFERROR(AVERAGEIFS(CN_일별!$B$4:$B$1372,CN_일별!$A$4:$A$1372,"&gt;="&amp;$A65,CN_일별!$A$4:$A$1372,"&lt;="&amp;$B65),"")</f>
        <v>0.0143175238095238</v>
      </c>
      <c r="L65" s="33" t="n">
        <f aca="false">IFERROR(AVERAGEIFS(CN_일별!$C$4:$C$1372,CN_일별!$A$4:$A$1372,"&gt;="&amp;$A65,CN_일별!$A$4:$A$1372,"&lt;="&amp;$B65),"")</f>
        <v>0.0181039523809524</v>
      </c>
      <c r="M65" s="33" t="n">
        <f aca="false">IFERROR(AVERAGEIFS(CN_일별!$D$4:$D$1372,CN_일별!$A$4:$A$1372,"&gt;="&amp;$A65,CN_일별!$A$4:$A$1372,"&lt;="&amp;$B65),"")</f>
        <v>0.0187160476190476</v>
      </c>
      <c r="N65" s="34" t="n">
        <f aca="false">IF(OR(L65="",K65=""),"",(L65-K65)*10000)</f>
        <v>37.8642857142857</v>
      </c>
      <c r="O65" s="35" t="n">
        <f aca="false">LOOKUP($B65,정책금리_결정!$G$4:$G$9,정책금리_결정!$H$4:$H$9)</f>
        <v>0.045</v>
      </c>
      <c r="P65" s="35" t="n">
        <f aca="false">IFERROR(AVERAGEIFS(VN_국채일별!$D$4:$D$1436,VN_국채일별!$A$4:$A$1436,"&gt;="&amp;$A65,VN_국채일별!$A$4:$A$1436,"&lt;="&amp;$B65),"")</f>
        <v>0.0326831818181818</v>
      </c>
      <c r="Q65" s="35" t="str">
        <f aca="false">IFERROR(SUMIFS(VN_은행채발행!$T$4:$T$712,VN_은행채발행!$C$4:$C$712,$A65)/SUMIFS(VN_은행채발행!$I$4:$I$712,VN_은행채발행!$C$4:$C$712,$A65,VN_은행채발행!$S$4:$S$712,1),"")</f>
        <v/>
      </c>
      <c r="R65" s="36" t="n">
        <f aca="false">COUNTIFS(VN_은행채발행!$C$4:$C$712,$A65,VN_은행채발행!$S$4:$S$712,1)</f>
        <v>0</v>
      </c>
      <c r="S65" s="37" t="str">
        <f aca="false">IFERROR(SUMIFS(VN_은행채발행!$U$4:$U$712,VN_은행채발행!$C$4:$C$712,$A65)/SUMIFS(VN_은행채발행!$Y$4:$Y$712,VN_은행채발행!$C$4:$C$712,$A65),"")</f>
        <v/>
      </c>
      <c r="T65" s="35" t="str">
        <f aca="false">IFERROR(SUMIFS(VN_은행채발행!$W$4:$W$712,VN_은행채발행!$C$4:$C$712,$A65)/SUMIFS(VN_은행채발행!$I$4:$I$712,VN_은행채발행!$C$4:$C$712,$A65,VN_은행채발행!$V$4:$V$712,1),"")</f>
        <v/>
      </c>
      <c r="U65" s="37" t="str">
        <f aca="false">IFERROR(SUMIFS(VN_은행채발행!$X$4:$X$712,VN_은행채발행!$C$4:$C$712,$A65)/SUMIFS(VN_은행채발행!$Z$4:$Z$712,VN_은행채발행!$C$4:$C$712,$A65),"")</f>
        <v/>
      </c>
      <c r="V65" s="38" t="n">
        <f aca="false">LOOKUP($B65,정책금리_결정!$J$4:$J$49,정책금리_결정!$K$4:$K$49)</f>
        <v>0.18</v>
      </c>
      <c r="W65" s="38" t="n">
        <f aca="false">IFERROR(AVERAGEIFS(KZ_일별!$C$4:$C$1352,KZ_일별!$A$4:$A$1352,"&gt;="&amp;$A65,KZ_일별!$A$4:$A$1352,"&lt;="&amp;$B65),"")</f>
        <v>0.162494736842105</v>
      </c>
      <c r="X65" s="38" t="n">
        <f aca="false">IFERROR(AVERAGEIFS(KZ_일별!$E$4:$E$1352,KZ_일별!$A$4:$A$1352,"&gt;="&amp;$A65,KZ_일별!$A$4:$A$1352,"&lt;="&amp;$B65),"")</f>
        <v>0.159852631578947</v>
      </c>
      <c r="Y65" s="38" t="n">
        <f aca="false">IFERROR(AVERAGEIFS(KZ_일별!$F$4:$F$1352,KZ_일별!$A$4:$A$1352,"&gt;="&amp;$A65,KZ_일별!$A$4:$A$1352,"&lt;="&amp;$B65),"")</f>
        <v>0.166121052631579</v>
      </c>
      <c r="Z65" s="38" t="str">
        <f aca="false">IFERROR(AVERAGEIFS(KZ_일별!$G$4:$G$1352,KZ_일별!$A$4:$A$1352,"&gt;="&amp;$A65,KZ_일별!$A$4:$A$1352,"&lt;="&amp;$B65),"")</f>
        <v/>
      </c>
      <c r="AA65" s="39" t="n">
        <f aca="false">IF(OR(Y65="",W65=""),"",(Y65-W65)*10000)</f>
        <v>36.2631578947367</v>
      </c>
      <c r="AB65" s="38" t="n">
        <f aca="false">IFERROR(AVERAGEIFS(KZ_일별!$H$4:$H$1352,KZ_일별!$A$4:$A$1352,"&gt;="&amp;$A65,KZ_일별!$A$4:$A$1352,"&lt;="&amp;$B65),"")</f>
        <v>0.174136842105263</v>
      </c>
    </row>
    <row r="66" customFormat="false" ht="15" hidden="false" customHeight="false" outlineLevel="0" collapsed="false">
      <c r="A66" s="28" t="n">
        <v>46054</v>
      </c>
      <c r="B66" s="29" t="n">
        <f aca="false">EOMONTH(A66,0)</f>
        <v>46081</v>
      </c>
      <c r="C66" s="5" t="str">
        <f aca="false">YEAR(A66)&amp;"Q"&amp;ROUNDUP(MONTH(A66)/3,0)</f>
        <v>2026Q1</v>
      </c>
      <c r="D66" s="30" t="n">
        <f aca="false">YEAR(A66)</f>
        <v>2026</v>
      </c>
      <c r="E66" s="31" t="n">
        <f aca="false">LOOKUP($B66,정책금리_결정!$A$4:$A$70,정책금리_결정!$B$4:$B$70)</f>
        <v>0.0075</v>
      </c>
      <c r="F66" s="31" t="n">
        <f aca="false">IFERROR(AVERAGEIFS(JP_국채일별!$C$4:$C$1345,JP_국채일별!$A$4:$A$1345,"&gt;="&amp;$A66,JP_국채일별!$A$4:$A$1345,"&lt;="&amp;$B66),"")</f>
        <v>0.0138372222222222</v>
      </c>
      <c r="G66" s="31" t="n">
        <f aca="false">IFERROR(AVERAGEIFS(JP_등급별회사채!$D$4:$D$158,JP_등급별회사채!$A$4:$A$158,"&gt;="&amp;$A66,JP_등급별회사채!$A$4:$A$158,"&lt;="&amp;$B66),"")</f>
        <v>0.01826</v>
      </c>
      <c r="H66" s="31" t="n">
        <f aca="false">IFERROR(AVERAGEIFS(JP_등급별회사채!$B$4:$B$158,JP_등급별회사채!$A$4:$A$158,"&gt;="&amp;$A66,JP_등급별회사채!$A$4:$A$158,"&lt;="&amp;$B66),"")</f>
        <v>0.01743</v>
      </c>
      <c r="I66" s="32" t="n">
        <f aca="false">IF(OR(G66="",F66=""),"",(G66-F66)*10000)</f>
        <v>44.2277777777778</v>
      </c>
      <c r="J66" s="33" t="n">
        <f aca="false">LOOKUP($B66,정책금리_결정!$D$4:$D$70,정책금리_결정!$E$4:$E$70)</f>
        <v>0.03</v>
      </c>
      <c r="K66" s="33" t="n">
        <f aca="false">IFERROR(AVERAGEIFS(CN_일별!$B$4:$B$1372,CN_일별!$A$4:$A$1372,"&gt;="&amp;$A66,CN_일별!$A$4:$A$1372,"&lt;="&amp;$B66),"")</f>
        <v>0.013814625</v>
      </c>
      <c r="L66" s="33" t="n">
        <f aca="false">IFERROR(AVERAGEIFS(CN_일별!$C$4:$C$1372,CN_일별!$A$4:$A$1372,"&gt;="&amp;$A66,CN_일별!$A$4:$A$1372,"&lt;="&amp;$B66),"")</f>
        <v>0.01756125</v>
      </c>
      <c r="M66" s="33" t="n">
        <f aca="false">IFERROR(AVERAGEIFS(CN_일별!$D$4:$D$1372,CN_일별!$A$4:$A$1372,"&gt;="&amp;$A66,CN_일별!$A$4:$A$1372,"&lt;="&amp;$B66),"")</f>
        <v>0.0182199375</v>
      </c>
      <c r="N66" s="34" t="n">
        <f aca="false">IF(OR(L66="",K66=""),"",(L66-K66)*10000)</f>
        <v>37.46625</v>
      </c>
      <c r="O66" s="35" t="n">
        <f aca="false">LOOKUP($B66,정책금리_결정!$G$4:$G$9,정책금리_결정!$H$4:$H$9)</f>
        <v>0.045</v>
      </c>
      <c r="P66" s="35" t="n">
        <f aca="false">IFERROR(AVERAGEIFS(VN_국채일별!$D$4:$D$1436,VN_국채일별!$A$4:$A$1436,"&gt;="&amp;$A66,VN_국채일별!$A$4:$A$1436,"&lt;="&amp;$B66),"")</f>
        <v>0.033754</v>
      </c>
      <c r="Q66" s="35" t="str">
        <f aca="false">IFERROR(SUMIFS(VN_은행채발행!$T$4:$T$712,VN_은행채발행!$C$4:$C$712,$A66)/SUMIFS(VN_은행채발행!$I$4:$I$712,VN_은행채발행!$C$4:$C$712,$A66,VN_은행채발행!$S$4:$S$712,1),"")</f>
        <v/>
      </c>
      <c r="R66" s="36" t="n">
        <f aca="false">COUNTIFS(VN_은행채발행!$C$4:$C$712,$A66,VN_은행채발행!$S$4:$S$712,1)</f>
        <v>0</v>
      </c>
      <c r="S66" s="37" t="str">
        <f aca="false">IFERROR(SUMIFS(VN_은행채발행!$U$4:$U$712,VN_은행채발행!$C$4:$C$712,$A66)/SUMIFS(VN_은행채발행!$Y$4:$Y$712,VN_은행채발행!$C$4:$C$712,$A66),"")</f>
        <v/>
      </c>
      <c r="T66" s="35" t="str">
        <f aca="false">IFERROR(SUMIFS(VN_은행채발행!$W$4:$W$712,VN_은행채발행!$C$4:$C$712,$A66)/SUMIFS(VN_은행채발행!$I$4:$I$712,VN_은행채발행!$C$4:$C$712,$A66,VN_은행채발행!$V$4:$V$712,1),"")</f>
        <v/>
      </c>
      <c r="U66" s="37" t="str">
        <f aca="false">IFERROR(SUMIFS(VN_은행채발행!$X$4:$X$712,VN_은행채발행!$C$4:$C$712,$A66)/SUMIFS(VN_은행채발행!$Z$4:$Z$712,VN_은행채발행!$C$4:$C$712,$A66),"")</f>
        <v/>
      </c>
      <c r="V66" s="38" t="n">
        <f aca="false">LOOKUP($B66,정책금리_결정!$J$4:$J$49,정책금리_결정!$K$4:$K$49)</f>
        <v>0.18</v>
      </c>
      <c r="W66" s="38" t="n">
        <f aca="false">IFERROR(AVERAGEIFS(KZ_일별!$C$4:$C$1352,KZ_일별!$A$4:$A$1352,"&gt;="&amp;$A66,KZ_일별!$A$4:$A$1352,"&lt;="&amp;$B66),"")</f>
        <v>0.16259</v>
      </c>
      <c r="X66" s="38" t="n">
        <f aca="false">IFERROR(AVERAGEIFS(KZ_일별!$E$4:$E$1352,KZ_일별!$A$4:$A$1352,"&gt;="&amp;$A66,KZ_일별!$A$4:$A$1352,"&lt;="&amp;$B66),"")</f>
        <v>0.1578</v>
      </c>
      <c r="Y66" s="38" t="n">
        <f aca="false">IFERROR(AVERAGEIFS(KZ_일별!$F$4:$F$1352,KZ_일별!$A$4:$A$1352,"&gt;="&amp;$A66,KZ_일별!$A$4:$A$1352,"&lt;="&amp;$B66),"")</f>
        <v>0.167255</v>
      </c>
      <c r="Z66" s="38" t="str">
        <f aca="false">IFERROR(AVERAGEIFS(KZ_일별!$G$4:$G$1352,KZ_일별!$A$4:$A$1352,"&gt;="&amp;$A66,KZ_일별!$A$4:$A$1352,"&lt;="&amp;$B66),"")</f>
        <v/>
      </c>
      <c r="AA66" s="39" t="n">
        <f aca="false">IF(OR(Y66="",W66=""),"",(Y66-W66)*10000)</f>
        <v>46.65</v>
      </c>
      <c r="AB66" s="38" t="n">
        <f aca="false">IFERROR(AVERAGEIFS(KZ_일별!$H$4:$H$1352,KZ_일별!$A$4:$A$1352,"&gt;="&amp;$A66,KZ_일별!$A$4:$A$1352,"&lt;="&amp;$B66),"")</f>
        <v>0.172645</v>
      </c>
    </row>
    <row r="67" customFormat="false" ht="15" hidden="false" customHeight="false" outlineLevel="0" collapsed="false">
      <c r="A67" s="28" t="n">
        <v>46082</v>
      </c>
      <c r="B67" s="29" t="n">
        <f aca="false">EOMONTH(A67,0)</f>
        <v>46112</v>
      </c>
      <c r="C67" s="5" t="str">
        <f aca="false">YEAR(A67)&amp;"Q"&amp;ROUNDUP(MONTH(A67)/3,0)</f>
        <v>2026Q1</v>
      </c>
      <c r="D67" s="30" t="n">
        <f aca="false">YEAR(A67)</f>
        <v>2026</v>
      </c>
      <c r="E67" s="31" t="n">
        <f aca="false">LOOKUP($B67,정책금리_결정!$A$4:$A$70,정책금리_결정!$B$4:$B$70)</f>
        <v>0.0075</v>
      </c>
      <c r="F67" s="31" t="n">
        <f aca="false">IFERROR(AVERAGEIFS(JP_국채일별!$C$4:$C$1345,JP_국채일별!$A$4:$A$1345,"&gt;="&amp;$A67,JP_국채일별!$A$4:$A$1345,"&lt;="&amp;$B67),"")</f>
        <v>0.0140247619047619</v>
      </c>
      <c r="G67" s="31" t="n">
        <f aca="false">IFERROR(AVERAGEIFS(JP_등급별회사채!$D$4:$D$158,JP_등급별회사채!$A$4:$A$158,"&gt;="&amp;$A67,JP_등급별회사채!$A$4:$A$158,"&lt;="&amp;$B67),"")</f>
        <v>0.01817</v>
      </c>
      <c r="H67" s="31" t="n">
        <f aca="false">IFERROR(AVERAGEIFS(JP_등급별회사채!$B$4:$B$158,JP_등급별회사채!$A$4:$A$158,"&gt;="&amp;$A67,JP_등급별회사채!$A$4:$A$158,"&lt;="&amp;$B67),"")</f>
        <v>0.01724</v>
      </c>
      <c r="I67" s="32" t="n">
        <f aca="false">IF(OR(G67="",F67=""),"",(G67-F67)*10000)</f>
        <v>41.4523809523809</v>
      </c>
      <c r="J67" s="33" t="n">
        <f aca="false">LOOKUP($B67,정책금리_결정!$D$4:$D$70,정책금리_결정!$E$4:$E$70)</f>
        <v>0.03</v>
      </c>
      <c r="K67" s="33" t="n">
        <f aca="false">IFERROR(AVERAGEIFS(CN_일별!$B$4:$B$1372,CN_일별!$A$4:$A$1372,"&gt;="&amp;$A67,CN_일별!$A$4:$A$1372,"&lt;="&amp;$B67),"")</f>
        <v>0.0135402727272727</v>
      </c>
      <c r="L67" s="33" t="n">
        <f aca="false">IFERROR(AVERAGEIFS(CN_일별!$C$4:$C$1372,CN_일별!$A$4:$A$1372,"&gt;="&amp;$A67,CN_일별!$A$4:$A$1372,"&lt;="&amp;$B67),"")</f>
        <v>0.0169693181818182</v>
      </c>
      <c r="M67" s="33" t="n">
        <f aca="false">IFERROR(AVERAGEIFS(CN_일별!$D$4:$D$1372,CN_일별!$A$4:$A$1372,"&gt;="&amp;$A67,CN_일별!$A$4:$A$1372,"&lt;="&amp;$B67),"")</f>
        <v>0.0179172727272727</v>
      </c>
      <c r="N67" s="34" t="n">
        <f aca="false">IF(OR(L67="",K67=""),"",(L67-K67)*10000)</f>
        <v>34.2904545454546</v>
      </c>
      <c r="O67" s="35" t="n">
        <f aca="false">LOOKUP($B67,정책금리_결정!$G$4:$G$9,정책금리_결정!$H$4:$H$9)</f>
        <v>0.045</v>
      </c>
      <c r="P67" s="35" t="n">
        <f aca="false">IFERROR(AVERAGEIFS(VN_국채일별!$D$4:$D$1436,VN_국채일별!$A$4:$A$1436,"&gt;="&amp;$A67,VN_국채일별!$A$4:$A$1436,"&lt;="&amp;$B67),"")</f>
        <v>0.0347495454545455</v>
      </c>
      <c r="Q67" s="35" t="str">
        <f aca="false">IFERROR(SUMIFS(VN_은행채발행!$T$4:$T$712,VN_은행채발행!$C$4:$C$712,$A67)/SUMIFS(VN_은행채발행!$I$4:$I$712,VN_은행채발행!$C$4:$C$712,$A67,VN_은행채발행!$S$4:$S$712,1),"")</f>
        <v/>
      </c>
      <c r="R67" s="36" t="n">
        <f aca="false">COUNTIFS(VN_은행채발행!$C$4:$C$712,$A67,VN_은행채발행!$S$4:$S$712,1)</f>
        <v>0</v>
      </c>
      <c r="S67" s="37" t="str">
        <f aca="false">IFERROR(SUMIFS(VN_은행채발행!$U$4:$U$712,VN_은행채발행!$C$4:$C$712,$A67)/SUMIFS(VN_은행채발행!$Y$4:$Y$712,VN_은행채발행!$C$4:$C$712,$A67),"")</f>
        <v/>
      </c>
      <c r="T67" s="35" t="str">
        <f aca="false">IFERROR(SUMIFS(VN_은행채발행!$W$4:$W$712,VN_은행채발행!$C$4:$C$712,$A67)/SUMIFS(VN_은행채발행!$I$4:$I$712,VN_은행채발행!$C$4:$C$712,$A67,VN_은행채발행!$V$4:$V$712,1),"")</f>
        <v/>
      </c>
      <c r="U67" s="37" t="str">
        <f aca="false">IFERROR(SUMIFS(VN_은행채발행!$X$4:$X$712,VN_은행채발행!$C$4:$C$712,$A67)/SUMIFS(VN_은행채발행!$Z$4:$Z$712,VN_은행채발행!$C$4:$C$712,$A67),"")</f>
        <v/>
      </c>
      <c r="V67" s="38" t="n">
        <f aca="false">LOOKUP($B67,정책금리_결정!$J$4:$J$49,정책금리_결정!$K$4:$K$49)</f>
        <v>0.18</v>
      </c>
      <c r="W67" s="38" t="n">
        <f aca="false">IFERROR(AVERAGEIFS(KZ_일별!$C$4:$C$1352,KZ_일별!$A$4:$A$1352,"&gt;="&amp;$A67,KZ_일별!$A$4:$A$1352,"&lt;="&amp;$B67),"")</f>
        <v>0.160994444444444</v>
      </c>
      <c r="X67" s="38" t="n">
        <f aca="false">IFERROR(AVERAGEIFS(KZ_일별!$E$4:$E$1352,KZ_일별!$A$4:$A$1352,"&gt;="&amp;$A67,KZ_일별!$A$4:$A$1352,"&lt;="&amp;$B67),"")</f>
        <v>0.160111111111111</v>
      </c>
      <c r="Y67" s="38" t="n">
        <f aca="false">IFERROR(AVERAGEIFS(KZ_일별!$F$4:$F$1352,KZ_일별!$A$4:$A$1352,"&gt;="&amp;$A67,KZ_일별!$A$4:$A$1352,"&lt;="&amp;$B67),"")</f>
        <v>0.167344444444444</v>
      </c>
      <c r="Z67" s="38" t="str">
        <f aca="false">IFERROR(AVERAGEIFS(KZ_일별!$G$4:$G$1352,KZ_일별!$A$4:$A$1352,"&gt;="&amp;$A67,KZ_일별!$A$4:$A$1352,"&lt;="&amp;$B67),"")</f>
        <v/>
      </c>
      <c r="AA67" s="39" t="n">
        <f aca="false">IF(OR(Y67="",W67=""),"",(Y67-W67)*10000)</f>
        <v>63.4999999999999</v>
      </c>
      <c r="AB67" s="38" t="n">
        <f aca="false">IFERROR(AVERAGEIFS(KZ_일별!$H$4:$H$1352,KZ_일별!$A$4:$A$1352,"&gt;="&amp;$A67,KZ_일별!$A$4:$A$1352,"&lt;="&amp;$B67),"")</f>
        <v>0.178005555555556</v>
      </c>
    </row>
    <row r="68" customFormat="false" ht="15" hidden="false" customHeight="false" outlineLevel="0" collapsed="false">
      <c r="A68" s="28" t="n">
        <v>46113</v>
      </c>
      <c r="B68" s="29" t="n">
        <f aca="false">EOMONTH(A68,0)</f>
        <v>46142</v>
      </c>
      <c r="C68" s="5" t="str">
        <f aca="false">YEAR(A68)&amp;"Q"&amp;ROUNDUP(MONTH(A68)/3,0)</f>
        <v>2026Q2</v>
      </c>
      <c r="D68" s="30" t="n">
        <f aca="false">YEAR(A68)</f>
        <v>2026</v>
      </c>
      <c r="E68" s="31" t="n">
        <f aca="false">LOOKUP($B68,정책금리_결정!$A$4:$A$70,정책금리_결정!$B$4:$B$70)</f>
        <v>0.0075</v>
      </c>
      <c r="F68" s="31" t="n">
        <f aca="false">IFERROR(AVERAGEIFS(JP_국채일별!$C$4:$C$1345,JP_국채일별!$A$4:$A$1345,"&gt;="&amp;$A68,JP_국채일별!$A$4:$A$1345,"&lt;="&amp;$B68),"")</f>
        <v>0.0152176190476191</v>
      </c>
      <c r="G68" s="31" t="n">
        <f aca="false">IFERROR(AVERAGEIFS(JP_등급별회사채!$D$4:$D$158,JP_등급별회사채!$A$4:$A$158,"&gt;="&amp;$A68,JP_등급별회사채!$A$4:$A$158,"&lt;="&amp;$B68),"")</f>
        <v>0.01938</v>
      </c>
      <c r="H68" s="31" t="n">
        <f aca="false">IFERROR(AVERAGEIFS(JP_등급별회사채!$B$4:$B$158,JP_등급별회사채!$A$4:$A$158,"&gt;="&amp;$A68,JP_등급별회사채!$A$4:$A$158,"&lt;="&amp;$B68),"")</f>
        <v>0.01854</v>
      </c>
      <c r="I68" s="32" t="n">
        <f aca="false">IF(OR(G68="",F68=""),"",(G68-F68)*10000)</f>
        <v>41.6238095238095</v>
      </c>
      <c r="J68" s="33" t="n">
        <f aca="false">LOOKUP($B68,정책금리_결정!$D$4:$D$70,정책금리_결정!$E$4:$E$70)</f>
        <v>0.03</v>
      </c>
      <c r="K68" s="33" t="n">
        <f aca="false">IFERROR(AVERAGEIFS(CN_일별!$B$4:$B$1372,CN_일별!$A$4:$A$1372,"&gt;="&amp;$A68,CN_일별!$A$4:$A$1372,"&lt;="&amp;$B68),"")</f>
        <v>0.0132388095238095</v>
      </c>
      <c r="L68" s="33" t="n">
        <f aca="false">IFERROR(AVERAGEIFS(CN_일별!$C$4:$C$1372,CN_일별!$A$4:$A$1372,"&gt;="&amp;$A68,CN_일별!$A$4:$A$1372,"&lt;="&amp;$B68),"")</f>
        <v>0.0160901904761905</v>
      </c>
      <c r="M68" s="33" t="n">
        <f aca="false">IFERROR(AVERAGEIFS(CN_일별!$D$4:$D$1372,CN_일별!$A$4:$A$1372,"&gt;="&amp;$A68,CN_일별!$A$4:$A$1372,"&lt;="&amp;$B68),"")</f>
        <v>0.0172004285714286</v>
      </c>
      <c r="N68" s="34" t="n">
        <f aca="false">IF(OR(L68="",K68=""),"",(L68-K68)*10000)</f>
        <v>28.5138095238095</v>
      </c>
      <c r="O68" s="35" t="n">
        <f aca="false">LOOKUP($B68,정책금리_결정!$G$4:$G$9,정책금리_결정!$H$4:$H$9)</f>
        <v>0.045</v>
      </c>
      <c r="P68" s="35" t="n">
        <f aca="false">IFERROR(AVERAGEIFS(VN_국채일별!$D$4:$D$1436,VN_국채일별!$A$4:$A$1436,"&gt;="&amp;$A68,VN_국채일별!$A$4:$A$1436,"&lt;="&amp;$B68),"")</f>
        <v>0.035555</v>
      </c>
      <c r="Q68" s="35" t="n">
        <f aca="false">IFERROR(SUMIFS(VN_은행채발행!$T$4:$T$712,VN_은행채발행!$C$4:$C$712,$A68)/SUMIFS(VN_은행채발행!$I$4:$I$712,VN_은행채발행!$C$4:$C$712,$A68,VN_은행채발행!$S$4:$S$712,1),"")</f>
        <v>0.0857692307692308</v>
      </c>
      <c r="R68" s="36" t="n">
        <f aca="false">COUNTIFS(VN_은행채발행!$C$4:$C$712,$A68,VN_은행채발행!$S$4:$S$712,1)</f>
        <v>7</v>
      </c>
      <c r="S68" s="37" t="n">
        <f aca="false">IFERROR(SUMIFS(VN_은행채발행!$U$4:$U$712,VN_은행채발행!$C$4:$C$712,$A68)/SUMIFS(VN_은행채발행!$Y$4:$Y$712,VN_은행채발행!$C$4:$C$712,$A68),"")</f>
        <v>502.523076923077</v>
      </c>
      <c r="T68" s="35" t="str">
        <f aca="false">IFERROR(SUMIFS(VN_은행채발행!$W$4:$W$712,VN_은행채발행!$C$4:$C$712,$A68)/SUMIFS(VN_은행채발행!$I$4:$I$712,VN_은행채발행!$C$4:$C$712,$A68,VN_은행채발행!$V$4:$V$712,1),"")</f>
        <v/>
      </c>
      <c r="U68" s="37" t="str">
        <f aca="false">IFERROR(SUMIFS(VN_은행채발행!$X$4:$X$712,VN_은행채발행!$C$4:$C$712,$A68)/SUMIFS(VN_은행채발행!$Z$4:$Z$712,VN_은행채발행!$C$4:$C$712,$A68),"")</f>
        <v/>
      </c>
      <c r="V68" s="38" t="n">
        <f aca="false">LOOKUP($B68,정책금리_결정!$J$4:$J$49,정책금리_결정!$K$4:$K$49)</f>
        <v>0.18</v>
      </c>
      <c r="W68" s="38" t="n">
        <f aca="false">IFERROR(AVERAGEIFS(KZ_일별!$C$4:$C$1352,KZ_일별!$A$4:$A$1352,"&gt;="&amp;$A68,KZ_일별!$A$4:$A$1352,"&lt;="&amp;$B68),"")</f>
        <v>0.161322727272727</v>
      </c>
      <c r="X68" s="38" t="n">
        <f aca="false">IFERROR(AVERAGEIFS(KZ_일별!$E$4:$E$1352,KZ_일별!$A$4:$A$1352,"&gt;="&amp;$A68,KZ_일별!$A$4:$A$1352,"&lt;="&amp;$B68),"")</f>
        <v>0.166516818181818</v>
      </c>
      <c r="Y68" s="38" t="n">
        <f aca="false">IFERROR(AVERAGEIFS(KZ_일별!$F$4:$F$1352,KZ_일별!$A$4:$A$1352,"&gt;="&amp;$A68,KZ_일별!$A$4:$A$1352,"&lt;="&amp;$B68),"")</f>
        <v>0.167454545454545</v>
      </c>
      <c r="Z68" s="38" t="n">
        <f aca="false">IFERROR(AVERAGEIFS(KZ_일별!$G$4:$G$1352,KZ_일별!$A$4:$A$1352,"&gt;="&amp;$A68,KZ_일별!$A$4:$A$1352,"&lt;="&amp;$B68),"")</f>
        <v>0.152554545454545</v>
      </c>
      <c r="AA68" s="39" t="n">
        <f aca="false">IF(OR(Y68="",W68=""),"",(Y68-W68)*10000)</f>
        <v>61.3181818181818</v>
      </c>
      <c r="AB68" s="38" t="n">
        <f aca="false">IFERROR(AVERAGEIFS(KZ_일별!$H$4:$H$1352,KZ_일별!$A$4:$A$1352,"&gt;="&amp;$A68,KZ_일별!$A$4:$A$1352,"&lt;="&amp;$B68),"")</f>
        <v>0.180036363636364</v>
      </c>
    </row>
    <row r="69" customFormat="false" ht="15" hidden="false" customHeight="false" outlineLevel="0" collapsed="false">
      <c r="A69" s="28" t="n">
        <v>46143</v>
      </c>
      <c r="B69" s="29" t="n">
        <f aca="false">EOMONTH(A69,0)</f>
        <v>46173</v>
      </c>
      <c r="C69" s="5" t="str">
        <f aca="false">YEAR(A69)&amp;"Q"&amp;ROUNDUP(MONTH(A69)/3,0)</f>
        <v>2026Q2</v>
      </c>
      <c r="D69" s="30" t="n">
        <f aca="false">YEAR(A69)</f>
        <v>2026</v>
      </c>
      <c r="E69" s="31" t="n">
        <f aca="false">LOOKUP($B69,정책금리_결정!$A$4:$A$70,정책금리_결정!$B$4:$B$70)</f>
        <v>0.0075</v>
      </c>
      <c r="F69" s="31" t="n">
        <f aca="false">IFERROR(AVERAGEIFS(JP_국채일별!$C$4:$C$1345,JP_국채일별!$A$4:$A$1345,"&gt;="&amp;$A69,JP_국채일별!$A$4:$A$1345,"&lt;="&amp;$B69),"")</f>
        <v>0.0158883333333333</v>
      </c>
      <c r="G69" s="31" t="n">
        <f aca="false">IFERROR(AVERAGEIFS(JP_등급별회사채!$D$4:$D$158,JP_등급별회사채!$A$4:$A$158,"&gt;="&amp;$A69,JP_등급별회사채!$A$4:$A$158,"&lt;="&amp;$B69),"")</f>
        <v>0.0206</v>
      </c>
      <c r="H69" s="31" t="n">
        <f aca="false">IFERROR(AVERAGEIFS(JP_등급별회사채!$B$4:$B$158,JP_등급별회사채!$A$4:$A$158,"&gt;="&amp;$A69,JP_등급별회사채!$A$4:$A$158,"&lt;="&amp;$B69),"")</f>
        <v>0.01957</v>
      </c>
      <c r="I69" s="32" t="n">
        <f aca="false">IF(OR(G69="",F69=""),"",(G69-F69)*10000)</f>
        <v>47.1166666666667</v>
      </c>
      <c r="J69" s="33" t="n">
        <f aca="false">LOOKUP($B69,정책금리_결정!$D$4:$D$70,정책금리_결정!$E$4:$E$70)</f>
        <v>0.03</v>
      </c>
      <c r="K69" s="33" t="n">
        <f aca="false">IFERROR(AVERAGEIFS(CN_일별!$B$4:$B$1372,CN_일별!$A$4:$A$1372,"&gt;="&amp;$A69,CN_일별!$A$4:$A$1372,"&lt;="&amp;$B69),"")</f>
        <v>0.0128911052631579</v>
      </c>
      <c r="L69" s="33" t="n">
        <f aca="false">IFERROR(AVERAGEIFS(CN_일별!$C$4:$C$1372,CN_일별!$A$4:$A$1372,"&gt;="&amp;$A69,CN_일별!$A$4:$A$1372,"&lt;="&amp;$B69),"")</f>
        <v>0.0154468947368421</v>
      </c>
      <c r="M69" s="33" t="n">
        <f aca="false">IFERROR(AVERAGEIFS(CN_일별!$D$4:$D$1372,CN_일별!$A$4:$A$1372,"&gt;="&amp;$A69,CN_일별!$A$4:$A$1372,"&lt;="&amp;$B69),"")</f>
        <v>0.0168878947368421</v>
      </c>
      <c r="N69" s="34" t="n">
        <f aca="false">IF(OR(L69="",K69=""),"",(L69-K69)*10000)</f>
        <v>25.5578947368421</v>
      </c>
      <c r="O69" s="35" t="n">
        <f aca="false">LOOKUP($B69,정책금리_결정!$G$4:$G$9,정책금리_결정!$H$4:$H$9)</f>
        <v>0.045</v>
      </c>
      <c r="P69" s="35" t="n">
        <f aca="false">IFERROR(AVERAGEIFS(VN_국채일별!$D$4:$D$1436,VN_국채일별!$A$4:$A$1436,"&gt;="&amp;$A69,VN_국채일별!$A$4:$A$1436,"&lt;="&amp;$B69),"")</f>
        <v>0.0365161904761905</v>
      </c>
      <c r="Q69" s="35" t="n">
        <f aca="false">IFERROR(SUMIFS(VN_은행채발행!$T$4:$T$712,VN_은행채발행!$C$4:$C$712,$A69)/SUMIFS(VN_은행채발행!$I$4:$I$712,VN_은행채발행!$C$4:$C$712,$A69,VN_은행채발행!$S$4:$S$712,1),"")</f>
        <v>0.0841714285714286</v>
      </c>
      <c r="R69" s="36" t="n">
        <f aca="false">COUNTIFS(VN_은행채발행!$C$4:$C$712,$A69,VN_은행채발행!$S$4:$S$712,1)</f>
        <v>10</v>
      </c>
      <c r="S69" s="37" t="n">
        <f aca="false">IFERROR(SUMIFS(VN_은행채발행!$U$4:$U$712,VN_은행채발행!$C$4:$C$712,$A69)/SUMIFS(VN_은행채발행!$Y$4:$Y$712,VN_은행채발행!$C$4:$C$712,$A69),"")</f>
        <v>479.065714285714</v>
      </c>
      <c r="T69" s="35" t="str">
        <f aca="false">IFERROR(SUMIFS(VN_은행채발행!$W$4:$W$712,VN_은행채발행!$C$4:$C$712,$A69)/SUMIFS(VN_은행채발행!$I$4:$I$712,VN_은행채발행!$C$4:$C$712,$A69,VN_은행채발행!$V$4:$V$712,1),"")</f>
        <v/>
      </c>
      <c r="U69" s="37" t="str">
        <f aca="false">IFERROR(SUMIFS(VN_은행채발행!$X$4:$X$712,VN_은행채발행!$C$4:$C$712,$A69)/SUMIFS(VN_은행채발행!$Z$4:$Z$712,VN_은행채발행!$C$4:$C$712,$A69),"")</f>
        <v/>
      </c>
      <c r="V69" s="38" t="n">
        <f aca="false">LOOKUP($B69,정책금리_결정!$J$4:$J$49,정책금리_결정!$K$4:$K$49)</f>
        <v>0.18</v>
      </c>
      <c r="W69" s="38" t="n">
        <f aca="false">IFERROR(AVERAGEIFS(KZ_일별!$C$4:$C$1352,KZ_일별!$A$4:$A$1352,"&gt;="&amp;$A69,KZ_일별!$A$4:$A$1352,"&lt;="&amp;$B69),"")</f>
        <v>0.163052941176471</v>
      </c>
      <c r="X69" s="38" t="n">
        <f aca="false">IFERROR(AVERAGEIFS(KZ_일별!$E$4:$E$1352,KZ_일별!$A$4:$A$1352,"&gt;="&amp;$A69,KZ_일별!$A$4:$A$1352,"&lt;="&amp;$B69),"")</f>
        <v>0.167494117647059</v>
      </c>
      <c r="Y69" s="38" t="n">
        <f aca="false">IFERROR(AVERAGEIFS(KZ_일별!$F$4:$F$1352,KZ_일별!$A$4:$A$1352,"&gt;="&amp;$A69,KZ_일별!$A$4:$A$1352,"&lt;="&amp;$B69),"")</f>
        <v>0.167529411764706</v>
      </c>
      <c r="Z69" s="38" t="n">
        <f aca="false">IFERROR(AVERAGEIFS(KZ_일별!$G$4:$G$1352,KZ_일별!$A$4:$A$1352,"&gt;="&amp;$A69,KZ_일별!$A$4:$A$1352,"&lt;="&amp;$B69),"")</f>
        <v>0.153435294117647</v>
      </c>
      <c r="AA69" s="39" t="n">
        <f aca="false">IF(OR(Y69="",W69=""),"",(Y69-W69)*10000)</f>
        <v>44.7647058823528</v>
      </c>
      <c r="AB69" s="38" t="n">
        <f aca="false">IFERROR(AVERAGEIFS(KZ_일별!$H$4:$H$1352,KZ_일별!$A$4:$A$1352,"&gt;="&amp;$A69,KZ_일별!$A$4:$A$1352,"&lt;="&amp;$B69),"")</f>
        <v>0.177441176470588</v>
      </c>
    </row>
    <row r="70" customFormat="false" ht="15" hidden="false" customHeight="false" outlineLevel="0" collapsed="false">
      <c r="A70" s="28" t="n">
        <v>46174</v>
      </c>
      <c r="B70" s="29" t="n">
        <f aca="false">EOMONTH(A70,0)</f>
        <v>46203</v>
      </c>
      <c r="C70" s="5" t="str">
        <f aca="false">YEAR(A70)&amp;"Q"&amp;ROUNDUP(MONTH(A70)/3,0)</f>
        <v>2026Q2</v>
      </c>
      <c r="D70" s="30" t="n">
        <f aca="false">YEAR(A70)</f>
        <v>2026</v>
      </c>
      <c r="E70" s="31" t="n">
        <f aca="false">LOOKUP($B70,정책금리_결정!$A$4:$A$70,정책금리_결정!$B$4:$B$70)</f>
        <v>0.01</v>
      </c>
      <c r="F70" s="31" t="n">
        <f aca="false">IFERROR(AVERAGEIFS(JP_국채일별!$C$4:$C$1345,JP_국채일별!$A$4:$A$1345,"&gt;="&amp;$A70,JP_국채일별!$A$4:$A$1345,"&lt;="&amp;$B70),"")</f>
        <v>0.015645</v>
      </c>
      <c r="G70" s="31" t="n">
        <f aca="false">IFERROR(AVERAGEIFS(JP_등급별회사채!$D$4:$D$158,JP_등급별회사채!$A$4:$A$158,"&gt;="&amp;$A70,JP_등급별회사채!$A$4:$A$158,"&lt;="&amp;$B70),"")</f>
        <v>0.01972</v>
      </c>
      <c r="H70" s="31" t="n">
        <f aca="false">IFERROR(AVERAGEIFS(JP_등급별회사채!$B$4:$B$158,JP_등급별회사채!$A$4:$A$158,"&gt;="&amp;$A70,JP_등급별회사채!$A$4:$A$158,"&lt;="&amp;$B70),"")</f>
        <v>0.01902</v>
      </c>
      <c r="I70" s="32" t="n">
        <f aca="false">IF(OR(G70="",F70=""),"",(G70-F70)*10000)</f>
        <v>40.75</v>
      </c>
      <c r="J70" s="33" t="n">
        <f aca="false">LOOKUP($B70,정책금리_결정!$D$4:$D$70,정책금리_결정!$E$4:$E$70)</f>
        <v>0.03</v>
      </c>
      <c r="K70" s="33" t="n">
        <f aca="false">IFERROR(AVERAGEIFS(CN_일별!$B$4:$B$1372,CN_일별!$A$4:$A$1372,"&gt;="&amp;$A70,CN_일별!$A$4:$A$1372,"&lt;="&amp;$B70),"")</f>
        <v>0.0129384285714286</v>
      </c>
      <c r="L70" s="33" t="n">
        <f aca="false">IFERROR(AVERAGEIFS(CN_일별!$C$4:$C$1372,CN_일별!$A$4:$A$1372,"&gt;="&amp;$A70,CN_일별!$A$4:$A$1372,"&lt;="&amp;$B70),"")</f>
        <v>0.0151660476190476</v>
      </c>
      <c r="M70" s="33" t="n">
        <f aca="false">IFERROR(AVERAGEIFS(CN_일별!$D$4:$D$1372,CN_일별!$A$4:$A$1372,"&gt;="&amp;$A70,CN_일별!$A$4:$A$1372,"&lt;="&amp;$B70),"")</f>
        <v>0.0164798095238095</v>
      </c>
      <c r="N70" s="34" t="n">
        <f aca="false">IF(OR(L70="",K70=""),"",(L70-K70)*10000)</f>
        <v>22.2761904761905</v>
      </c>
      <c r="O70" s="35" t="n">
        <f aca="false">LOOKUP($B70,정책금리_결정!$G$4:$G$9,정책금리_결정!$H$4:$H$9)</f>
        <v>0.045</v>
      </c>
      <c r="P70" s="35" t="n">
        <f aca="false">IFERROR(AVERAGEIFS(VN_국채일별!$D$4:$D$1436,VN_국채일별!$A$4:$A$1436,"&gt;="&amp;$A70,VN_국채일별!$A$4:$A$1436,"&lt;="&amp;$B70),"")</f>
        <v>0.0371118181818182</v>
      </c>
      <c r="Q70" s="35" t="n">
        <f aca="false">IFERROR(SUMIFS(VN_은행채발행!$T$4:$T$712,VN_은행채발행!$C$4:$C$712,$A70)/SUMIFS(VN_은행채발행!$I$4:$I$712,VN_은행채발행!$C$4:$C$712,$A70,VN_은행채발행!$S$4:$S$712,1),"")</f>
        <v>0.0844202792064658</v>
      </c>
      <c r="R70" s="36" t="n">
        <f aca="false">COUNTIFS(VN_은행채발행!$C$4:$C$712,$A70,VN_은행채발행!$S$4:$S$712,1)</f>
        <v>10</v>
      </c>
      <c r="S70" s="37" t="n">
        <f aca="false">IFERROR(SUMIFS(VN_은행채발행!$U$4:$U$712,VN_은행채발행!$C$4:$C$712,$A70)/SUMIFS(VN_은행채발행!$Y$4:$Y$712,VN_은행채발행!$C$4:$C$712,$A70),"")</f>
        <v>477.392872887583</v>
      </c>
      <c r="T70" s="35" t="str">
        <f aca="false">IFERROR(SUMIFS(VN_은행채발행!$W$4:$W$712,VN_은행채발행!$C$4:$C$712,$A70)/SUMIFS(VN_은행채발행!$I$4:$I$712,VN_은행채발행!$C$4:$C$712,$A70,VN_은행채발행!$V$4:$V$712,1),"")</f>
        <v/>
      </c>
      <c r="U70" s="37" t="str">
        <f aca="false">IFERROR(SUMIFS(VN_은행채발행!$X$4:$X$712,VN_은행채발행!$C$4:$C$712,$A70)/SUMIFS(VN_은행채발행!$Z$4:$Z$712,VN_은행채발행!$C$4:$C$712,$A70),"")</f>
        <v/>
      </c>
      <c r="V70" s="38" t="n">
        <f aca="false">LOOKUP($B70,정책금리_결정!$J$4:$J$49,정책금리_결정!$K$4:$K$49)</f>
        <v>0.17</v>
      </c>
      <c r="W70" s="38" t="n">
        <f aca="false">IFERROR(AVERAGEIFS(KZ_일별!$C$4:$C$1352,KZ_일별!$A$4:$A$1352,"&gt;="&amp;$A70,KZ_일별!$A$4:$A$1352,"&lt;="&amp;$B70),"")</f>
        <v>0.163840909090909</v>
      </c>
      <c r="X70" s="38" t="n">
        <f aca="false">IFERROR(AVERAGEIFS(KZ_일별!$E$4:$E$1352,KZ_일별!$A$4:$A$1352,"&gt;="&amp;$A70,KZ_일별!$A$4:$A$1352,"&lt;="&amp;$B70),"")</f>
        <v>0.165367727272727</v>
      </c>
      <c r="Y70" s="38" t="n">
        <f aca="false">IFERROR(AVERAGEIFS(KZ_일별!$F$4:$F$1352,KZ_일별!$A$4:$A$1352,"&gt;="&amp;$A70,KZ_일별!$A$4:$A$1352,"&lt;="&amp;$B70),"")</f>
        <v>0.165986363636364</v>
      </c>
      <c r="Z70" s="38" t="n">
        <f aca="false">IFERROR(AVERAGEIFS(KZ_일별!$G$4:$G$1352,KZ_일별!$A$4:$A$1352,"&gt;="&amp;$A70,KZ_일별!$A$4:$A$1352,"&lt;="&amp;$B70),"")</f>
        <v>0.15265</v>
      </c>
      <c r="AA70" s="39" t="n">
        <f aca="false">IF(OR(Y70="",W70=""),"",(Y70-W70)*10000)</f>
        <v>21.4545454545453</v>
      </c>
      <c r="AB70" s="38" t="n">
        <f aca="false">IFERROR(AVERAGEIFS(KZ_일별!$H$4:$H$1352,KZ_일별!$A$4:$A$1352,"&gt;="&amp;$A70,KZ_일별!$A$4:$A$1352,"&lt;="&amp;$B70),"")</f>
        <v>0.170490909090909</v>
      </c>
    </row>
    <row r="72" customFormat="false" ht="15" hidden="false" customHeight="false" outlineLevel="0" collapsed="false">
      <c r="A72" s="4" t="s">
        <v>77</v>
      </c>
    </row>
  </sheetData>
  <mergeCells count="4">
    <mergeCell ref="E3:I3"/>
    <mergeCell ref="J3:N3"/>
    <mergeCell ref="O3:U3"/>
    <mergeCell ref="V3:A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2" min="10" style="0" width="10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7"/>
    <col collapsed="false" customWidth="true" hidden="false" outlineLevel="0" max="18" min="17" style="0" width="11"/>
    <col collapsed="false" customWidth="true" hidden="false" outlineLevel="0" max="19" min="19" style="0" width="10"/>
    <col collapsed="false" customWidth="true" hidden="false" outlineLevel="0" max="22" min="20" style="0" width="9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5" min="25" style="0" width="10"/>
    <col collapsed="false" customWidth="true" hidden="false" outlineLevel="0" max="26" min="26" style="0" width="9"/>
  </cols>
  <sheetData>
    <row r="1" customFormat="false" ht="19.4" hidden="false" customHeight="false" outlineLevel="0" collapsed="false">
      <c r="A1" s="1" t="s">
        <v>78</v>
      </c>
    </row>
    <row r="2" customFormat="false" ht="15" hidden="false" customHeight="false" outlineLevel="0" collapsed="false">
      <c r="A2" s="4" t="s">
        <v>79</v>
      </c>
    </row>
    <row r="3" customFormat="false" ht="15" hidden="false" customHeight="true" outlineLevel="0" collapsed="false">
      <c r="C3" s="23" t="s">
        <v>45</v>
      </c>
      <c r="D3" s="23"/>
      <c r="E3" s="23"/>
      <c r="F3" s="23"/>
      <c r="G3" s="23"/>
      <c r="H3" s="24" t="s">
        <v>46</v>
      </c>
      <c r="I3" s="24"/>
      <c r="J3" s="24"/>
      <c r="K3" s="24"/>
      <c r="L3" s="24"/>
      <c r="M3" s="25" t="s">
        <v>47</v>
      </c>
      <c r="N3" s="25"/>
      <c r="O3" s="25"/>
      <c r="P3" s="25"/>
      <c r="Q3" s="25"/>
      <c r="R3" s="25"/>
      <c r="S3" s="25"/>
      <c r="T3" s="26" t="s">
        <v>48</v>
      </c>
      <c r="U3" s="26"/>
      <c r="V3" s="26"/>
      <c r="W3" s="26"/>
      <c r="X3" s="26"/>
      <c r="Y3" s="26"/>
      <c r="Z3" s="26"/>
    </row>
    <row r="4" customFormat="false" ht="54" hidden="false" customHeight="true" outlineLevel="0" collapsed="false">
      <c r="A4" s="6" t="s">
        <v>80</v>
      </c>
      <c r="B4" s="6" t="s">
        <v>81</v>
      </c>
      <c r="C4" s="6" t="s">
        <v>53</v>
      </c>
      <c r="D4" s="27" t="s">
        <v>54</v>
      </c>
      <c r="E4" s="6" t="s">
        <v>55</v>
      </c>
      <c r="F4" s="6" t="s">
        <v>56</v>
      </c>
      <c r="G4" s="6" t="s">
        <v>57</v>
      </c>
      <c r="H4" s="27" t="s">
        <v>58</v>
      </c>
      <c r="I4" s="6" t="s">
        <v>59</v>
      </c>
      <c r="J4" s="6" t="s">
        <v>60</v>
      </c>
      <c r="K4" s="27" t="s">
        <v>61</v>
      </c>
      <c r="L4" s="6" t="s">
        <v>62</v>
      </c>
      <c r="M4" s="6" t="s">
        <v>63</v>
      </c>
      <c r="N4" s="27" t="s">
        <v>64</v>
      </c>
      <c r="O4" s="6" t="s">
        <v>65</v>
      </c>
      <c r="P4" s="6" t="s">
        <v>66</v>
      </c>
      <c r="Q4" s="6" t="s">
        <v>67</v>
      </c>
      <c r="R4" s="27" t="s">
        <v>68</v>
      </c>
      <c r="S4" s="27" t="s">
        <v>69</v>
      </c>
      <c r="T4" s="6" t="s">
        <v>70</v>
      </c>
      <c r="U4" s="6" t="s">
        <v>71</v>
      </c>
      <c r="V4" s="6" t="s">
        <v>72</v>
      </c>
      <c r="W4" s="6" t="s">
        <v>73</v>
      </c>
      <c r="X4" s="27" t="s">
        <v>74</v>
      </c>
      <c r="Y4" s="6" t="s">
        <v>75</v>
      </c>
      <c r="Z4" s="27" t="s">
        <v>76</v>
      </c>
    </row>
    <row r="5" customFormat="false" ht="15" hidden="false" customHeight="false" outlineLevel="0" collapsed="false">
      <c r="A5" s="47" t="s">
        <v>82</v>
      </c>
      <c r="B5" s="29" t="n">
        <f aca="false">EOMONTH(DATE(2021,3,1),0)</f>
        <v>44286</v>
      </c>
      <c r="C5" s="48" t="n">
        <f aca="false">LOOKUP($B5,정책금리_결정!$A$4:$A$70,정책금리_결정!$B$4:$B$70)</f>
        <v>-0.001</v>
      </c>
      <c r="D5" s="48" t="n">
        <f aca="false">IFERROR(AVERAGEIFS(월별!$F$5:$F$70,월별!$C$5:$C$70,"2021Q1"),"")</f>
        <v>-0.00126061403508772</v>
      </c>
      <c r="E5" s="48" t="n">
        <f aca="false">IFERROR(AVERAGEIFS(월별!$G$5:$G$70,월별!$C$5:$C$70,"2021Q1"),"")</f>
        <v>0.00137136363636364</v>
      </c>
      <c r="F5" s="48" t="n">
        <f aca="false">IFERROR(AVERAGEIFS(월별!$H$5:$H$70,월별!$C$5:$C$70,"2021Q1"),"")</f>
        <v>0.00135119696969697</v>
      </c>
      <c r="G5" s="49" t="n">
        <f aca="false">IFERROR(AVERAGEIFS(월별!$I$5:$I$70,월별!$C$5:$C$70,"2021Q1"),"")</f>
        <v>26.3197767145136</v>
      </c>
      <c r="H5" s="48" t="n">
        <f aca="false">LOOKUP($B5,정책금리_결정!$D$4:$D$70,정책금리_결정!$E$4:$E$70)</f>
        <v>0.0385</v>
      </c>
      <c r="I5" s="48" t="n">
        <f aca="false">IFERROR(AVERAGEIFS(월별!$K$5:$K$70,월별!$C$5:$C$70,"2021Q1"),"")</f>
        <v>0.0287072794117647</v>
      </c>
      <c r="J5" s="48" t="n">
        <f aca="false">IFERROR(AVERAGEIFS(월별!$L$5:$L$70,월별!$C$5:$C$70,"2021Q1"),"")</f>
        <v>0.0340407494884911</v>
      </c>
      <c r="K5" s="48" t="n">
        <f aca="false">IFERROR(AVERAGEIFS(월별!$M$5:$M$70,월별!$C$5:$C$70,"2021Q1"),"")</f>
        <v>0.036201583716965</v>
      </c>
      <c r="L5" s="49" t="n">
        <f aca="false">IFERROR(AVERAGEIFS(월별!$N$5:$N$70,월별!$C$5:$C$70,"2021Q1"),"")</f>
        <v>53.3347007672634</v>
      </c>
      <c r="M5" s="48" t="n">
        <f aca="false">LOOKUP($B5,정책금리_결정!$G$4:$G$9,정책금리_결정!$H$4:$H$9)</f>
        <v>0.04</v>
      </c>
      <c r="N5" s="48" t="n">
        <f aca="false">IFERROR(AVERAGEIFS(월별!$P$5:$P$70,월별!$C$5:$C$70,"2021Q1"),"")</f>
        <v>0.00630767253278123</v>
      </c>
      <c r="O5" s="48" t="str">
        <f aca="false">IFERROR(SUMIFS(VN_은행채발행!$T$4:$T$712,VN_은행채발행!$D$4:$D$712,"2021Q1")/SUMIFS(VN_은행채발행!$I$4:$I$712,VN_은행채발행!$D$4:$D$712,"2021Q1",VN_은행채발행!$S$4:$S$712,1),"")</f>
        <v/>
      </c>
      <c r="P5" s="50" t="n">
        <f aca="false">SUMIFS(월별!$R$5:$R$70,월별!$C$5:$C$70,"2021Q1")</f>
        <v>0</v>
      </c>
      <c r="Q5" s="49" t="str">
        <f aca="false">IFERROR(SUMIFS(VN_은행채발행!$U$4:$U$712,VN_은행채발행!$D$4:$D$712,"2021Q1")/SUMIFS(VN_은행채발행!$Y$4:$Y$712,VN_은행채발행!$D$4:$D$712,"2021Q1"),"")</f>
        <v/>
      </c>
      <c r="R5" s="48" t="str">
        <f aca="false">IFERROR(SUMIFS(VN_은행채발행!$W$4:$W$712,VN_은행채발행!$D$4:$D$712,"2021Q1")/SUMIFS(VN_은행채발행!$I$4:$I$712,VN_은행채발행!$D$4:$D$712,"2021Q1",VN_은행채발행!$V$4:$V$712,1),"")</f>
        <v/>
      </c>
      <c r="S5" s="49" t="str">
        <f aca="false">IFERROR(SUMIFS(VN_은행채발행!$X$4:$X$712,VN_은행채발행!$D$4:$D$712,"2021Q1")/SUMIFS(VN_은행채발행!$Z$4:$Z$712,VN_은행채발행!$D$4:$D$712,"2021Q1"),"")</f>
        <v/>
      </c>
      <c r="T5" s="48" t="n">
        <f aca="false">LOOKUP($B5,정책금리_결정!$J$4:$J$49,정책금리_결정!$K$4:$K$49)</f>
        <v>0.09</v>
      </c>
      <c r="U5" s="48" t="str">
        <f aca="false">IFERROR(AVERAGEIFS(월별!$W$5:$W$70,월별!$C$5:$C$70,"2021Q1"),"")</f>
        <v/>
      </c>
      <c r="V5" s="48" t="str">
        <f aca="false">IFERROR(AVERAGEIFS(월별!$X$5:$X$70,월별!$C$5:$C$70,"2021Q1"),"")</f>
        <v/>
      </c>
      <c r="W5" s="48" t="n">
        <f aca="false">IFERROR(AVERAGEIFS(월별!$Y$5:$Y$70,월별!$C$5:$C$70,"2021Q1"),"")</f>
        <v>0.107088021442495</v>
      </c>
      <c r="X5" s="48" t="str">
        <f aca="false">IFERROR(AVERAGEIFS(월별!$Z$5:$Z$70,월별!$C$5:$C$70,"2021Q1"),"")</f>
        <v/>
      </c>
      <c r="Y5" s="49" t="str">
        <f aca="false">IFERROR(AVERAGEIFS(월별!$AA$5:$AA$70,월별!$C$5:$C$70,"2021Q1"),"")</f>
        <v/>
      </c>
      <c r="Z5" s="48" t="n">
        <f aca="false">IFERROR(AVERAGEIFS(월별!$AB$5:$AB$70,월별!$C$5:$C$70,"2021Q1"),"")</f>
        <v>0.0870173684210526</v>
      </c>
    </row>
    <row r="6" customFormat="false" ht="15" hidden="false" customHeight="false" outlineLevel="0" collapsed="false">
      <c r="A6" s="47" t="s">
        <v>83</v>
      </c>
      <c r="B6" s="29" t="n">
        <f aca="false">EOMONTH(DATE(2021,6,1),0)</f>
        <v>44377</v>
      </c>
      <c r="C6" s="48" t="n">
        <f aca="false">LOOKUP($B6,정책금리_결정!$A$4:$A$70,정책금리_결정!$B$4:$B$70)</f>
        <v>-0.001</v>
      </c>
      <c r="D6" s="48" t="n">
        <f aca="false">IFERROR(AVERAGEIFS(월별!$F$5:$F$70,월별!$C$5:$C$70,"2021Q2"),"")</f>
        <v>-0.00133670274170274</v>
      </c>
      <c r="E6" s="48" t="n">
        <f aca="false">IFERROR(AVERAGEIFS(월별!$G$5:$G$70,월별!$C$5:$C$70,"2021Q2"),"")</f>
        <v>0.00122333333333333</v>
      </c>
      <c r="F6" s="48" t="n">
        <f aca="false">IFERROR(AVERAGEIFS(월별!$H$5:$H$70,월별!$C$5:$C$70,"2021Q2"),"")</f>
        <v>0.000801666666666667</v>
      </c>
      <c r="G6" s="49" t="n">
        <f aca="false">IFERROR(AVERAGEIFS(월별!$I$5:$I$70,월별!$C$5:$C$70,"2021Q2"),"")</f>
        <v>25.6003607503608</v>
      </c>
      <c r="H6" s="48" t="n">
        <f aca="false">LOOKUP($B6,정책금리_결정!$D$4:$D$70,정책금리_결정!$E$4:$E$70)</f>
        <v>0.0385</v>
      </c>
      <c r="I6" s="48" t="n">
        <f aca="false">IFERROR(AVERAGEIFS(월별!$K$5:$K$70,월별!$C$5:$C$70,"2021Q2"),"")</f>
        <v>0.0278856002126528</v>
      </c>
      <c r="J6" s="48" t="n">
        <f aca="false">IFERROR(AVERAGEIFS(월별!$L$5:$L$70,월별!$C$5:$C$70,"2021Q2"),"")</f>
        <v>0.0327118528898003</v>
      </c>
      <c r="K6" s="48" t="n">
        <f aca="false">IFERROR(AVERAGEIFS(월별!$M$5:$M$70,월별!$C$5:$C$70,"2021Q2"),"")</f>
        <v>0.0346131987924356</v>
      </c>
      <c r="L6" s="49" t="n">
        <f aca="false">IFERROR(AVERAGEIFS(월별!$N$5:$N$70,월별!$C$5:$C$70,"2021Q2"),"")</f>
        <v>48.2625267714742</v>
      </c>
      <c r="M6" s="48" t="n">
        <f aca="false">LOOKUP($B6,정책금리_결정!$G$4:$G$9,정책금리_결정!$H$4:$H$9)</f>
        <v>0.04</v>
      </c>
      <c r="N6" s="48" t="n">
        <f aca="false">IFERROR(AVERAGEIFS(월별!$P$5:$P$70,월별!$C$5:$C$70,"2021Q2"),"")</f>
        <v>0.0072592784992785</v>
      </c>
      <c r="O6" s="48" t="str">
        <f aca="false">IFERROR(SUMIFS(VN_은행채발행!$T$4:$T$712,VN_은행채발행!$D$4:$D$712,"2021Q2")/SUMIFS(VN_은행채발행!$I$4:$I$712,VN_은행채발행!$D$4:$D$712,"2021Q2",VN_은행채발행!$S$4:$S$712,1),"")</f>
        <v/>
      </c>
      <c r="P6" s="50" t="n">
        <f aca="false">SUMIFS(월별!$R$5:$R$70,월별!$C$5:$C$70,"2021Q2")</f>
        <v>0</v>
      </c>
      <c r="Q6" s="49" t="str">
        <f aca="false">IFERROR(SUMIFS(VN_은행채발행!$U$4:$U$712,VN_은행채발행!$D$4:$D$712,"2021Q2")/SUMIFS(VN_은행채발행!$Y$4:$Y$712,VN_은행채발행!$D$4:$D$712,"2021Q2"),"")</f>
        <v/>
      </c>
      <c r="R6" s="48" t="str">
        <f aca="false">IFERROR(SUMIFS(VN_은행채발행!$W$4:$W$712,VN_은행채발행!$D$4:$D$712,"2021Q2")/SUMIFS(VN_은행채발행!$I$4:$I$712,VN_은행채발행!$D$4:$D$712,"2021Q2",VN_은행채발행!$V$4:$V$712,1),"")</f>
        <v/>
      </c>
      <c r="S6" s="49" t="str">
        <f aca="false">IFERROR(SUMIFS(VN_은행채발행!$X$4:$X$712,VN_은행채발행!$D$4:$D$712,"2021Q2")/SUMIFS(VN_은행채발행!$Z$4:$Z$712,VN_은행채발행!$D$4:$D$712,"2021Q2"),"")</f>
        <v/>
      </c>
      <c r="T6" s="48" t="n">
        <f aca="false">LOOKUP($B6,정책금리_결정!$J$4:$J$49,정책금리_결정!$K$4:$K$49)</f>
        <v>0.09</v>
      </c>
      <c r="U6" s="48" t="str">
        <f aca="false">IFERROR(AVERAGEIFS(월별!$W$5:$W$70,월별!$C$5:$C$70,"2021Q2"),"")</f>
        <v/>
      </c>
      <c r="V6" s="48" t="str">
        <f aca="false">IFERROR(AVERAGEIFS(월별!$X$5:$X$70,월별!$C$5:$C$70,"2021Q2"),"")</f>
        <v/>
      </c>
      <c r="W6" s="48" t="n">
        <f aca="false">IFERROR(AVERAGEIFS(월별!$Y$5:$Y$70,월별!$C$5:$C$70,"2021Q2"),"")</f>
        <v>0.105666498316498</v>
      </c>
      <c r="X6" s="48" t="str">
        <f aca="false">IFERROR(AVERAGEIFS(월별!$Z$5:$Z$70,월별!$C$5:$C$70,"2021Q2"),"")</f>
        <v/>
      </c>
      <c r="Y6" s="49" t="str">
        <f aca="false">IFERROR(AVERAGEIFS(월별!$AA$5:$AA$70,월별!$C$5:$C$70,"2021Q2"),"")</f>
        <v/>
      </c>
      <c r="Z6" s="48" t="n">
        <f aca="false">IFERROR(AVERAGEIFS(월별!$AB$5:$AB$70,월별!$C$5:$C$70,"2021Q2"),"")</f>
        <v>0.0838513468013468</v>
      </c>
    </row>
    <row r="7" customFormat="false" ht="15" hidden="false" customHeight="false" outlineLevel="0" collapsed="false">
      <c r="A7" s="47" t="s">
        <v>84</v>
      </c>
      <c r="B7" s="29" t="n">
        <f aca="false">EOMONTH(DATE(2021,9,1),0)</f>
        <v>44469</v>
      </c>
      <c r="C7" s="48" t="n">
        <f aca="false">LOOKUP($B7,정책금리_결정!$A$4:$A$70,정책금리_결정!$B$4:$B$70)</f>
        <v>-0.001</v>
      </c>
      <c r="D7" s="48" t="n">
        <f aca="false">IFERROR(AVERAGEIFS(월별!$F$5:$F$70,월별!$C$5:$C$70,"2021Q3"),"")</f>
        <v>-0.00131799206349206</v>
      </c>
      <c r="E7" s="48" t="n">
        <f aca="false">IFERROR(AVERAGEIFS(월별!$G$5:$G$70,월별!$C$5:$C$70,"2021Q3"),"")</f>
        <v>0.0010875</v>
      </c>
      <c r="F7" s="48" t="n">
        <f aca="false">IFERROR(AVERAGEIFS(월별!$H$5:$H$70,월별!$C$5:$C$70,"2021Q3"),"")</f>
        <v>0.00068</v>
      </c>
      <c r="G7" s="49" t="n">
        <f aca="false">IFERROR(AVERAGEIFS(월별!$I$5:$I$70,월별!$C$5:$C$70,"2021Q3"),"")</f>
        <v>24.0549206349206</v>
      </c>
      <c r="H7" s="48" t="n">
        <f aca="false">LOOKUP($B7,정책금리_결정!$D$4:$D$70,정책금리_결정!$E$4:$E$70)</f>
        <v>0.0385</v>
      </c>
      <c r="I7" s="48" t="n">
        <f aca="false">IFERROR(AVERAGEIFS(월별!$K$5:$K$70,월별!$C$5:$C$70,"2021Q3"),"")</f>
        <v>0.0259191666666667</v>
      </c>
      <c r="J7" s="48" t="n">
        <f aca="false">IFERROR(AVERAGEIFS(월별!$L$5:$L$70,월별!$C$5:$C$70,"2021Q3"),"")</f>
        <v>0.0296607272727273</v>
      </c>
      <c r="K7" s="48" t="n">
        <f aca="false">IFERROR(AVERAGEIFS(월별!$M$5:$M$70,월별!$C$5:$C$70,"2021Q3"),"")</f>
        <v>0.031301803030303</v>
      </c>
      <c r="L7" s="49" t="n">
        <f aca="false">IFERROR(AVERAGEIFS(월별!$N$5:$N$70,월별!$C$5:$C$70,"2021Q3"),"")</f>
        <v>37.4156060606061</v>
      </c>
      <c r="M7" s="48" t="n">
        <f aca="false">LOOKUP($B7,정책금리_결정!$G$4:$G$9,정책금리_결정!$H$4:$H$9)</f>
        <v>0.04</v>
      </c>
      <c r="N7" s="48" t="n">
        <f aca="false">IFERROR(AVERAGEIFS(월별!$P$5:$P$70,월별!$C$5:$C$70,"2021Q3"),"")</f>
        <v>0.00719909090909091</v>
      </c>
      <c r="O7" s="48" t="n">
        <f aca="false">IFERROR(SUMIFS(VN_은행채발행!$T$4:$T$712,VN_은행채발행!$D$4:$D$712,"2021Q3")/SUMIFS(VN_은행채발행!$I$4:$I$712,VN_은행채발행!$D$4:$D$712,"2021Q3",VN_은행채발행!$S$4:$S$712,1),"")</f>
        <v>0.0380269636576788</v>
      </c>
      <c r="P7" s="50" t="n">
        <f aca="false">SUMIFS(월별!$R$5:$R$70,월별!$C$5:$C$70,"2021Q3")</f>
        <v>10</v>
      </c>
      <c r="Q7" s="49" t="n">
        <f aca="false">IFERROR(SUMIFS(VN_은행채발행!$U$4:$U$712,VN_은행채발행!$D$4:$D$712,"2021Q3")/SUMIFS(VN_은행채발행!$Y$4:$Y$712,VN_은행채발행!$D$4:$D$712,"2021Q3"),"")</f>
        <v>314.391441969519</v>
      </c>
      <c r="R7" s="48" t="str">
        <f aca="false">IFERROR(SUMIFS(VN_은행채발행!$W$4:$W$712,VN_은행채발행!$D$4:$D$712,"2021Q3")/SUMIFS(VN_은행채발행!$I$4:$I$712,VN_은행채발행!$D$4:$D$712,"2021Q3",VN_은행채발행!$V$4:$V$712,1),"")</f>
        <v/>
      </c>
      <c r="S7" s="49" t="str">
        <f aca="false">IFERROR(SUMIFS(VN_은행채발행!$X$4:$X$712,VN_은행채발행!$D$4:$D$712,"2021Q3")/SUMIFS(VN_은행채발행!$Z$4:$Z$712,VN_은행채발행!$D$4:$D$712,"2021Q3"),"")</f>
        <v/>
      </c>
      <c r="T7" s="48" t="n">
        <f aca="false">LOOKUP($B7,정책금리_결정!$J$4:$J$49,정책금리_결정!$K$4:$K$49)</f>
        <v>0.095</v>
      </c>
      <c r="U7" s="48" t="str">
        <f aca="false">IFERROR(AVERAGEIFS(월별!$W$5:$W$70,월별!$C$5:$C$70,"2021Q3"),"")</f>
        <v/>
      </c>
      <c r="V7" s="48" t="str">
        <f aca="false">IFERROR(AVERAGEIFS(월별!$X$5:$X$70,월별!$C$5:$C$70,"2021Q3"),"")</f>
        <v/>
      </c>
      <c r="W7" s="48" t="n">
        <f aca="false">IFERROR(AVERAGEIFS(월별!$Y$5:$Y$70,월별!$C$5:$C$70,"2021Q3"),"")</f>
        <v>0.103301053391053</v>
      </c>
      <c r="X7" s="48" t="str">
        <f aca="false">IFERROR(AVERAGEIFS(월별!$Z$5:$Z$70,월별!$C$5:$C$70,"2021Q3"),"")</f>
        <v/>
      </c>
      <c r="Y7" s="49" t="str">
        <f aca="false">IFERROR(AVERAGEIFS(월별!$AA$5:$AA$70,월별!$C$5:$C$70,"2021Q3"),"")</f>
        <v/>
      </c>
      <c r="Z7" s="48" t="n">
        <f aca="false">IFERROR(AVERAGEIFS(월별!$AB$5:$AB$70,월별!$C$5:$C$70,"2021Q3"),"")</f>
        <v>0.087903088023088</v>
      </c>
    </row>
    <row r="8" customFormat="false" ht="15" hidden="false" customHeight="false" outlineLevel="0" collapsed="false">
      <c r="A8" s="47" t="s">
        <v>85</v>
      </c>
      <c r="B8" s="29" t="n">
        <f aca="false">EOMONTH(DATE(2021,12,1),0)</f>
        <v>44561</v>
      </c>
      <c r="C8" s="48" t="n">
        <f aca="false">LOOKUP($B8,정책금리_결정!$A$4:$A$70,정책금리_결정!$B$4:$B$70)</f>
        <v>-0.001</v>
      </c>
      <c r="D8" s="48" t="n">
        <f aca="false">IFERROR(AVERAGEIFS(월별!$F$5:$F$70,월별!$C$5:$C$70,"2021Q4"),"")</f>
        <v>-0.00112920057720058</v>
      </c>
      <c r="E8" s="48" t="n">
        <f aca="false">IFERROR(AVERAGEIFS(월별!$G$5:$G$70,월별!$C$5:$C$70,"2021Q4"),"")</f>
        <v>0.00116833333333333</v>
      </c>
      <c r="F8" s="48" t="n">
        <f aca="false">IFERROR(AVERAGEIFS(월별!$H$5:$H$70,월별!$C$5:$C$70,"2021Q4"),"")</f>
        <v>0.0008775</v>
      </c>
      <c r="G8" s="49" t="n">
        <f aca="false">IFERROR(AVERAGEIFS(월별!$I$5:$I$70,월별!$C$5:$C$70,"2021Q4"),"")</f>
        <v>22.9753391053391</v>
      </c>
      <c r="H8" s="48" t="n">
        <f aca="false">LOOKUP($B8,정책금리_결정!$D$4:$D$70,정책금리_결정!$E$4:$E$70)</f>
        <v>0.038</v>
      </c>
      <c r="I8" s="48" t="n">
        <f aca="false">IFERROR(AVERAGEIFS(월별!$K$5:$K$70,월별!$C$5:$C$70,"2021Q4"),"")</f>
        <v>0.0260942168875455</v>
      </c>
      <c r="J8" s="48" t="n">
        <f aca="false">IFERROR(AVERAGEIFS(월별!$L$5:$L$70,월별!$C$5:$C$70,"2021Q4"),"")</f>
        <v>0.0296044299387739</v>
      </c>
      <c r="K8" s="48" t="n">
        <f aca="false">IFERROR(AVERAGEIFS(월별!$M$5:$M$70,월별!$C$5:$C$70,"2021Q4"),"")</f>
        <v>0.0312854886460513</v>
      </c>
      <c r="L8" s="49" t="n">
        <f aca="false">IFERROR(AVERAGEIFS(월별!$N$5:$N$70,월별!$C$5:$C$70,"2021Q4"),"")</f>
        <v>35.102130512284</v>
      </c>
      <c r="M8" s="48" t="n">
        <f aca="false">LOOKUP($B8,정책금리_결정!$G$4:$G$9,정책금리_결정!$H$4:$H$9)</f>
        <v>0.04</v>
      </c>
      <c r="N8" s="48" t="n">
        <f aca="false">IFERROR(AVERAGEIFS(월별!$P$5:$P$70,월별!$C$5:$C$70,"2021Q4"),"")</f>
        <v>0.00703911569107221</v>
      </c>
      <c r="O8" s="48" t="n">
        <f aca="false">IFERROR(SUMIFS(VN_은행채발행!$T$4:$T$712,VN_은행채발행!$D$4:$D$712,"2021Q4")/SUMIFS(VN_은행채발행!$I$4:$I$712,VN_은행채발행!$D$4:$D$712,"2021Q4",VN_은행채발행!$S$4:$S$712,1),"")</f>
        <v>0.0328859416445623</v>
      </c>
      <c r="P8" s="50" t="n">
        <f aca="false">SUMIFS(월별!$R$5:$R$70,월별!$C$5:$C$70,"2021Q4")</f>
        <v>22</v>
      </c>
      <c r="Q8" s="49" t="n">
        <f aca="false">IFERROR(SUMIFS(VN_은행채발행!$U$4:$U$712,VN_은행채발행!$D$4:$D$712,"2021Q4")/SUMIFS(VN_은행채발행!$Y$4:$Y$712,VN_은행채발행!$D$4:$D$712,"2021Q4"),"")</f>
        <v>262.526790450928</v>
      </c>
      <c r="R8" s="48" t="str">
        <f aca="false">IFERROR(SUMIFS(VN_은행채발행!$W$4:$W$712,VN_은행채발행!$D$4:$D$712,"2021Q4")/SUMIFS(VN_은행채발행!$I$4:$I$712,VN_은행채발행!$D$4:$D$712,"2021Q4",VN_은행채발행!$V$4:$V$712,1),"")</f>
        <v/>
      </c>
      <c r="S8" s="49" t="str">
        <f aca="false">IFERROR(SUMIFS(VN_은행채발행!$X$4:$X$712,VN_은행채발행!$D$4:$D$712,"2021Q4")/SUMIFS(VN_은행채발행!$Z$4:$Z$712,VN_은행채발행!$D$4:$D$712,"2021Q4"),"")</f>
        <v/>
      </c>
      <c r="T8" s="48" t="n">
        <f aca="false">LOOKUP($B8,정책금리_결정!$J$4:$J$49,정책금리_결정!$K$4:$K$49)</f>
        <v>0.0975</v>
      </c>
      <c r="U8" s="48" t="str">
        <f aca="false">IFERROR(AVERAGEIFS(월별!$W$5:$W$70,월별!$C$5:$C$70,"2021Q4"),"")</f>
        <v/>
      </c>
      <c r="V8" s="48" t="str">
        <f aca="false">IFERROR(AVERAGEIFS(월별!$X$5:$X$70,월별!$C$5:$C$70,"2021Q4"),"")</f>
        <v/>
      </c>
      <c r="W8" s="48" t="n">
        <f aca="false">IFERROR(AVERAGEIFS(월별!$Y$5:$Y$70,월별!$C$5:$C$70,"2021Q4"),"")</f>
        <v>0.10347937950938</v>
      </c>
      <c r="X8" s="48" t="str">
        <f aca="false">IFERROR(AVERAGEIFS(월별!$Z$5:$Z$70,월별!$C$5:$C$70,"2021Q4"),"")</f>
        <v/>
      </c>
      <c r="Y8" s="49" t="str">
        <f aca="false">IFERROR(AVERAGEIFS(월별!$AA$5:$AA$70,월별!$C$5:$C$70,"2021Q4"),"")</f>
        <v/>
      </c>
      <c r="Z8" s="48" t="n">
        <f aca="false">IFERROR(AVERAGEIFS(월별!$AB$5:$AB$70,월별!$C$5:$C$70,"2021Q4"),"")</f>
        <v>0.096303152958153</v>
      </c>
    </row>
    <row r="9" customFormat="false" ht="15" hidden="false" customHeight="false" outlineLevel="0" collapsed="false">
      <c r="A9" s="47" t="s">
        <v>86</v>
      </c>
      <c r="B9" s="29" t="n">
        <f aca="false">EOMONTH(DATE(2022,3,1),0)</f>
        <v>44651</v>
      </c>
      <c r="C9" s="48" t="n">
        <f aca="false">LOOKUP($B9,정책금리_결정!$A$4:$A$70,정책금리_결정!$B$4:$B$70)</f>
        <v>-0.001</v>
      </c>
      <c r="D9" s="48" t="n">
        <f aca="false">IFERROR(AVERAGEIFS(월별!$F$5:$F$70,월별!$C$5:$C$70,"2022Q1"),"")</f>
        <v>-0.000349379762537657</v>
      </c>
      <c r="E9" s="48" t="n">
        <f aca="false">IFERROR(AVERAGEIFS(월별!$G$5:$G$70,월별!$C$5:$C$70,"2022Q1"),"")</f>
        <v>0.00178333333333333</v>
      </c>
      <c r="F9" s="48" t="n">
        <f aca="false">IFERROR(AVERAGEIFS(월별!$H$5:$H$70,월별!$C$5:$C$70,"2022Q1"),"")</f>
        <v>0.00151833333333333</v>
      </c>
      <c r="G9" s="49" t="n">
        <f aca="false">IFERROR(AVERAGEIFS(월별!$I$5:$I$70,월별!$C$5:$C$70,"2022Q1"),"")</f>
        <v>21.3271309587099</v>
      </c>
      <c r="H9" s="48" t="n">
        <f aca="false">LOOKUP($B9,정책금리_결정!$D$4:$D$70,정책금리_결정!$E$4:$E$70)</f>
        <v>0.037</v>
      </c>
      <c r="I9" s="48" t="n">
        <f aca="false">IFERROR(AVERAGEIFS(월별!$K$5:$K$70,월별!$C$5:$C$70,"2022Q1"),"")</f>
        <v>0.0234618475672878</v>
      </c>
      <c r="J9" s="48" t="n">
        <f aca="false">IFERROR(AVERAGEIFS(월별!$L$5:$L$70,월별!$C$5:$C$70,"2022Q1"),"")</f>
        <v>0.0281321876293996</v>
      </c>
      <c r="K9" s="48" t="n">
        <f aca="false">IFERROR(AVERAGEIFS(월별!$M$5:$M$70,월별!$C$5:$C$70,"2022Q1"),"")</f>
        <v>0.0292712140269151</v>
      </c>
      <c r="L9" s="49" t="n">
        <f aca="false">IFERROR(AVERAGEIFS(월별!$N$5:$N$70,월별!$C$5:$C$70,"2022Q1"),"")</f>
        <v>46.703400621118</v>
      </c>
      <c r="M9" s="48" t="n">
        <f aca="false">LOOKUP($B9,정책금리_결정!$G$4:$G$9,정책금리_결정!$H$4:$H$9)</f>
        <v>0.04</v>
      </c>
      <c r="N9" s="48" t="n">
        <f aca="false">IFERROR(AVERAGEIFS(월별!$P$5:$P$70,월별!$C$5:$C$70,"2022Q1"),"")</f>
        <v>0.0107808726708075</v>
      </c>
      <c r="O9" s="48" t="str">
        <f aca="false">IFERROR(SUMIFS(VN_은행채발행!$T$4:$T$712,VN_은행채발행!$D$4:$D$712,"2022Q1")/SUMIFS(VN_은행채발행!$I$4:$I$712,VN_은행채발행!$D$4:$D$712,"2022Q1",VN_은행채발행!$S$4:$S$712,1),"")</f>
        <v/>
      </c>
      <c r="P9" s="50" t="n">
        <f aca="false">SUMIFS(월별!$R$5:$R$70,월별!$C$5:$C$70,"2022Q1")</f>
        <v>0</v>
      </c>
      <c r="Q9" s="49" t="str">
        <f aca="false">IFERROR(SUMIFS(VN_은행채발행!$U$4:$U$712,VN_은행채발행!$D$4:$D$712,"2022Q1")/SUMIFS(VN_은행채발행!$Y$4:$Y$712,VN_은행채발행!$D$4:$D$712,"2022Q1"),"")</f>
        <v/>
      </c>
      <c r="R9" s="48" t="str">
        <f aca="false">IFERROR(SUMIFS(VN_은행채발행!$W$4:$W$712,VN_은행채발행!$D$4:$D$712,"2022Q1")/SUMIFS(VN_은행채발행!$I$4:$I$712,VN_은행채발행!$D$4:$D$712,"2022Q1",VN_은행채발행!$V$4:$V$712,1),"")</f>
        <v/>
      </c>
      <c r="S9" s="49" t="str">
        <f aca="false">IFERROR(SUMIFS(VN_은행채발행!$X$4:$X$712,VN_은행채발행!$D$4:$D$712,"2022Q1")/SUMIFS(VN_은행채발행!$Z$4:$Z$712,VN_은행채발행!$D$4:$D$712,"2022Q1"),"")</f>
        <v/>
      </c>
      <c r="T9" s="48" t="n">
        <f aca="false">LOOKUP($B9,정책금리_결정!$J$4:$J$49,정책금리_결정!$K$4:$K$49)</f>
        <v>0.135</v>
      </c>
      <c r="U9" s="48" t="n">
        <f aca="false">IFERROR(AVERAGEIFS(월별!$W$5:$W$70,월별!$C$5:$C$70,"2022Q1"),"")</f>
        <v>0.116192857142857</v>
      </c>
      <c r="V9" s="48" t="n">
        <f aca="false">IFERROR(AVERAGEIFS(월별!$X$5:$X$70,월별!$C$5:$C$70,"2022Q1"),"")</f>
        <v>0.1148825</v>
      </c>
      <c r="W9" s="48" t="n">
        <f aca="false">IFERROR(AVERAGEIFS(월별!$Y$5:$Y$70,월별!$C$5:$C$70,"2022Q1"),"")</f>
        <v>0.107389736842105</v>
      </c>
      <c r="X9" s="48" t="str">
        <f aca="false">IFERROR(AVERAGEIFS(월별!$Z$5:$Z$70,월별!$C$5:$C$70,"2022Q1"),"")</f>
        <v/>
      </c>
      <c r="Y9" s="49" t="n">
        <f aca="false">IFERROR(AVERAGEIFS(월별!$AA$5:$AA$70,월별!$C$5:$C$70,"2022Q1"),"")</f>
        <v>-53.0864661654136</v>
      </c>
      <c r="Z9" s="48" t="n">
        <f aca="false">IFERROR(AVERAGEIFS(월별!$AB$5:$AB$70,월별!$C$5:$C$70,"2022Q1"),"")</f>
        <v>0.117939932920537</v>
      </c>
    </row>
    <row r="10" customFormat="false" ht="15" hidden="false" customHeight="false" outlineLevel="0" collapsed="false">
      <c r="A10" s="47" t="s">
        <v>87</v>
      </c>
      <c r="B10" s="29" t="n">
        <f aca="false">EOMONTH(DATE(2022,6,1),0)</f>
        <v>44742</v>
      </c>
      <c r="C10" s="48" t="n">
        <f aca="false">LOOKUP($B10,정책금리_결정!$A$4:$A$70,정책금리_결정!$B$4:$B$70)</f>
        <v>-0.001</v>
      </c>
      <c r="D10" s="48" t="n">
        <f aca="false">IFERROR(AVERAGEIFS(월별!$F$5:$F$70,월별!$C$5:$C$70,"2022Q2"),"")</f>
        <v>-0.00043414673046252</v>
      </c>
      <c r="E10" s="48" t="n">
        <f aca="false">IFERROR(AVERAGEIFS(월별!$G$5:$G$70,월별!$C$5:$C$70,"2022Q2"),"")</f>
        <v>0.00188583333333333</v>
      </c>
      <c r="F10" s="48" t="n">
        <f aca="false">IFERROR(AVERAGEIFS(월별!$H$5:$H$70,월별!$C$5:$C$70,"2022Q2"),"")</f>
        <v>0.00165083333333333</v>
      </c>
      <c r="G10" s="49" t="n">
        <f aca="false">IFERROR(AVERAGEIFS(월별!$I$5:$I$70,월별!$C$5:$C$70,"2022Q2"),"")</f>
        <v>23.1998006379585</v>
      </c>
      <c r="H10" s="48" t="n">
        <f aca="false">LOOKUP($B10,정책금리_결정!$D$4:$D$70,정책금리_결정!$E$4:$E$70)</f>
        <v>0.037</v>
      </c>
      <c r="I10" s="48" t="n">
        <f aca="false">IFERROR(AVERAGEIFS(월별!$K$5:$K$70,월별!$C$5:$C$70,"2022Q2"),"")</f>
        <v>0.0238116944444444</v>
      </c>
      <c r="J10" s="48" t="n">
        <f aca="false">IFERROR(AVERAGEIFS(월별!$L$5:$L$70,월별!$C$5:$C$70,"2022Q2"),"")</f>
        <v>0.0279968904761905</v>
      </c>
      <c r="K10" s="48" t="n">
        <f aca="false">IFERROR(AVERAGEIFS(월별!$M$5:$M$70,월별!$C$5:$C$70,"2022Q2"),"")</f>
        <v>0.0292637063492064</v>
      </c>
      <c r="L10" s="49" t="n">
        <f aca="false">IFERROR(AVERAGEIFS(월별!$N$5:$N$70,월별!$C$5:$C$70,"2022Q2"),"")</f>
        <v>41.8519603174603</v>
      </c>
      <c r="M10" s="48" t="n">
        <f aca="false">LOOKUP($B10,정책금리_결정!$G$4:$G$9,정책금리_결정!$H$4:$H$9)</f>
        <v>0.04</v>
      </c>
      <c r="N10" s="48" t="n">
        <f aca="false">IFERROR(AVERAGEIFS(월별!$P$5:$P$70,월별!$C$5:$C$70,"2022Q2"),"")</f>
        <v>0.0219918614718615</v>
      </c>
      <c r="O10" s="48" t="n">
        <f aca="false">IFERROR(SUMIFS(VN_은행채발행!$T$4:$T$712,VN_은행채발행!$D$4:$D$712,"2022Q2")/SUMIFS(VN_은행채발행!$I$4:$I$712,VN_은행채발행!$D$4:$D$712,"2022Q2",VN_은행채발행!$S$4:$S$712,1),"")</f>
        <v>0.0433378378378378</v>
      </c>
      <c r="P10" s="50" t="n">
        <f aca="false">SUMIFS(월별!$R$5:$R$70,월별!$C$5:$C$70,"2022Q2")</f>
        <v>8</v>
      </c>
      <c r="Q10" s="49" t="n">
        <f aca="false">IFERROR(SUMIFS(VN_은행채발행!$U$4:$U$712,VN_은행채발행!$D$4:$D$712,"2022Q2")/SUMIFS(VN_은행채발행!$Y$4:$Y$712,VN_은행채발행!$D$4:$D$712,"2022Q2"),"")</f>
        <v>201.85</v>
      </c>
      <c r="R10" s="48" t="n">
        <f aca="false">IFERROR(SUMIFS(VN_은행채발행!$W$4:$W$712,VN_은행채발행!$D$4:$D$712,"2022Q2")/SUMIFS(VN_은행채발행!$I$4:$I$712,VN_은행채발행!$D$4:$D$712,"2022Q2",VN_은행채발행!$V$4:$V$712,1),"")</f>
        <v>0.068</v>
      </c>
      <c r="S10" s="49" t="str">
        <f aca="false">IFERROR(SUMIFS(VN_은행채발행!$X$4:$X$712,VN_은행채발행!$D$4:$D$712,"2022Q2")/SUMIFS(VN_은행채발행!$Z$4:$Z$712,VN_은행채발행!$D$4:$D$712,"2022Q2"),"")</f>
        <v/>
      </c>
      <c r="T10" s="48" t="n">
        <f aca="false">LOOKUP($B10,정책금리_결정!$J$4:$J$49,정책금리_결정!$K$4:$K$49)</f>
        <v>0.14</v>
      </c>
      <c r="U10" s="48" t="n">
        <f aca="false">IFERROR(AVERAGEIFS(월별!$W$5:$W$70,월별!$C$5:$C$70,"2022Q2"),"")</f>
        <v>0.13399356345409</v>
      </c>
      <c r="V10" s="48" t="n">
        <f aca="false">IFERROR(AVERAGEIFS(월별!$X$5:$X$70,월별!$C$5:$C$70,"2022Q2"),"")</f>
        <v>0.12040408141566</v>
      </c>
      <c r="W10" s="48" t="n">
        <f aca="false">IFERROR(AVERAGEIFS(월별!$Y$5:$Y$70,월별!$C$5:$C$70,"2022Q2"),"")</f>
        <v>0.113496282372598</v>
      </c>
      <c r="X10" s="48" t="str">
        <f aca="false">IFERROR(AVERAGEIFS(월별!$Z$5:$Z$70,월별!$C$5:$C$70,"2022Q2"),"")</f>
        <v/>
      </c>
      <c r="Y10" s="49" t="n">
        <f aca="false">IFERROR(AVERAGEIFS(월별!$AA$5:$AA$70,월별!$C$5:$C$70,"2022Q2"),"")</f>
        <v>-204.972810814916</v>
      </c>
      <c r="Z10" s="48" t="n">
        <f aca="false">IFERROR(AVERAGEIFS(월별!$AB$5:$AB$70,월별!$C$5:$C$70,"2022Q2"),"")</f>
        <v>0.138962098427888</v>
      </c>
    </row>
    <row r="11" customFormat="false" ht="15" hidden="false" customHeight="false" outlineLevel="0" collapsed="false">
      <c r="A11" s="47" t="s">
        <v>88</v>
      </c>
      <c r="B11" s="29" t="n">
        <f aca="false">EOMONTH(DATE(2022,9,1),0)</f>
        <v>44834</v>
      </c>
      <c r="C11" s="48" t="n">
        <f aca="false">LOOKUP($B11,정책금리_결정!$A$4:$A$70,정책금리_결정!$B$4:$B$70)</f>
        <v>-0.001</v>
      </c>
      <c r="D11" s="48" t="n">
        <f aca="false">IFERROR(AVERAGEIFS(월별!$F$5:$F$70,월별!$C$5:$C$70,"2022Q3"),"")</f>
        <v>-0.00076269696969697</v>
      </c>
      <c r="E11" s="48" t="n">
        <f aca="false">IFERROR(AVERAGEIFS(월별!$G$5:$G$70,월별!$C$5:$C$70,"2022Q3"),"")</f>
        <v>0.00205027777777778</v>
      </c>
      <c r="F11" s="48" t="n">
        <f aca="false">IFERROR(AVERAGEIFS(월별!$H$5:$H$70,월별!$C$5:$C$70,"2022Q3"),"")</f>
        <v>0.00160472222222222</v>
      </c>
      <c r="G11" s="49" t="n">
        <f aca="false">IFERROR(AVERAGEIFS(월별!$I$5:$I$70,월별!$C$5:$C$70,"2022Q3"),"")</f>
        <v>28.1297474747475</v>
      </c>
      <c r="H11" s="48" t="n">
        <f aca="false">LOOKUP($B11,정책금리_결정!$D$4:$D$70,정책금리_결정!$E$4:$E$70)</f>
        <v>0.0365</v>
      </c>
      <c r="I11" s="48" t="n">
        <f aca="false">IFERROR(AVERAGEIFS(월별!$K$5:$K$70,월별!$C$5:$C$70,"2022Q3"),"")</f>
        <v>0.0230263298826777</v>
      </c>
      <c r="J11" s="48" t="n">
        <f aca="false">IFERROR(AVERAGEIFS(월별!$L$5:$L$70,월별!$C$5:$C$70,"2022Q3"),"")</f>
        <v>0.0258624748102139</v>
      </c>
      <c r="K11" s="48" t="n">
        <f aca="false">IFERROR(AVERAGEIFS(월별!$M$5:$M$70,월별!$C$5:$C$70,"2022Q3"),"")</f>
        <v>0.026794812284334</v>
      </c>
      <c r="L11" s="49" t="n">
        <f aca="false">IFERROR(AVERAGEIFS(월별!$N$5:$N$70,월별!$C$5:$C$70,"2022Q3"),"")</f>
        <v>28.3614492753623</v>
      </c>
      <c r="M11" s="48" t="n">
        <f aca="false">LOOKUP($B11,정책금리_결정!$G$4:$G$9,정책금리_결정!$H$4:$H$9)</f>
        <v>0.05</v>
      </c>
      <c r="N11" s="48" t="n">
        <f aca="false">IFERROR(AVERAGEIFS(월별!$P$5:$P$70,월별!$C$5:$C$70,"2022Q3"),"")</f>
        <v>0.0317342405420666</v>
      </c>
      <c r="O11" s="48" t="str">
        <f aca="false">IFERROR(SUMIFS(VN_은행채발행!$T$4:$T$712,VN_은행채발행!$D$4:$D$712,"2022Q3")/SUMIFS(VN_은행채발행!$I$4:$I$712,VN_은행채발행!$D$4:$D$712,"2022Q3",VN_은행채발행!$S$4:$S$712,1),"")</f>
        <v/>
      </c>
      <c r="P11" s="50" t="n">
        <f aca="false">SUMIFS(월별!$R$5:$R$70,월별!$C$5:$C$70,"2022Q3")</f>
        <v>0</v>
      </c>
      <c r="Q11" s="49" t="str">
        <f aca="false">IFERROR(SUMIFS(VN_은행채발행!$U$4:$U$712,VN_은행채발행!$D$4:$D$712,"2022Q3")/SUMIFS(VN_은행채발행!$Y$4:$Y$712,VN_은행채발행!$D$4:$D$712,"2022Q3"),"")</f>
        <v/>
      </c>
      <c r="R11" s="48" t="str">
        <f aca="false">IFERROR(SUMIFS(VN_은행채발행!$W$4:$W$712,VN_은행채발행!$D$4:$D$712,"2022Q3")/SUMIFS(VN_은행채발행!$I$4:$I$712,VN_은행채발행!$D$4:$D$712,"2022Q3",VN_은행채발행!$V$4:$V$712,1),"")</f>
        <v/>
      </c>
      <c r="S11" s="49" t="str">
        <f aca="false">IFERROR(SUMIFS(VN_은행채발행!$X$4:$X$712,VN_은행채발행!$D$4:$D$712,"2022Q3")/SUMIFS(VN_은행채발행!$Z$4:$Z$712,VN_은행채발행!$D$4:$D$712,"2022Q3"),"")</f>
        <v/>
      </c>
      <c r="T11" s="48" t="n">
        <f aca="false">LOOKUP($B11,정책금리_결정!$J$4:$J$49,정책금리_결정!$K$4:$K$49)</f>
        <v>0.145</v>
      </c>
      <c r="U11" s="48" t="n">
        <f aca="false">IFERROR(AVERAGEIFS(월별!$W$5:$W$70,월별!$C$5:$C$70,"2022Q3"),"")</f>
        <v>0.129495909090909</v>
      </c>
      <c r="V11" s="48" t="n">
        <f aca="false">IFERROR(AVERAGEIFS(월별!$X$5:$X$70,월별!$C$5:$C$70,"2022Q3"),"")</f>
        <v>0.134590051948052</v>
      </c>
      <c r="W11" s="48" t="n">
        <f aca="false">IFERROR(AVERAGEIFS(월별!$Y$5:$Y$70,월별!$C$5:$C$70,"2022Q3"),"")</f>
        <v>0.11713196969697</v>
      </c>
      <c r="X11" s="48" t="str">
        <f aca="false">IFERROR(AVERAGEIFS(월별!$Z$5:$Z$70,월별!$C$5:$C$70,"2022Q3"),"")</f>
        <v/>
      </c>
      <c r="Y11" s="49" t="n">
        <f aca="false">IFERROR(AVERAGEIFS(월별!$AA$5:$AA$70,월별!$C$5:$C$70,"2022Q3"),"")</f>
        <v>-123.639393939394</v>
      </c>
      <c r="Z11" s="48" t="n">
        <f aca="false">IFERROR(AVERAGEIFS(월별!$AB$5:$AB$70,월별!$C$5:$C$70,"2022Q3"),"")</f>
        <v>0.137797121212121</v>
      </c>
    </row>
    <row r="12" customFormat="false" ht="15" hidden="false" customHeight="false" outlineLevel="0" collapsed="false">
      <c r="A12" s="47" t="s">
        <v>89</v>
      </c>
      <c r="B12" s="29" t="n">
        <f aca="false">EOMONTH(DATE(2022,12,1),0)</f>
        <v>44926</v>
      </c>
      <c r="C12" s="48" t="n">
        <f aca="false">LOOKUP($B12,정책금리_결정!$A$4:$A$70,정책금리_결정!$B$4:$B$70)</f>
        <v>-0.001</v>
      </c>
      <c r="D12" s="48" t="n">
        <f aca="false">IFERROR(AVERAGEIFS(월별!$F$5:$F$70,월별!$C$5:$C$70,"2022Q4"),"")</f>
        <v>-0.000147757575757576</v>
      </c>
      <c r="E12" s="48" t="n">
        <f aca="false">IFERROR(AVERAGEIFS(월별!$G$5:$G$70,월별!$C$5:$C$70,"2022Q4"),"")</f>
        <v>0.00282333333333333</v>
      </c>
      <c r="F12" s="48" t="n">
        <f aca="false">IFERROR(AVERAGEIFS(월별!$H$5:$H$70,월별!$C$5:$C$70,"2022Q4"),"")</f>
        <v>0.00232333333333333</v>
      </c>
      <c r="G12" s="49" t="n">
        <f aca="false">IFERROR(AVERAGEIFS(월별!$I$5:$I$70,월별!$C$5:$C$70,"2022Q4"),"")</f>
        <v>29.7109090909091</v>
      </c>
      <c r="H12" s="48" t="n">
        <f aca="false">LOOKUP($B12,정책금리_결정!$D$4:$D$70,정책금리_결정!$E$4:$E$70)</f>
        <v>0.0365</v>
      </c>
      <c r="I12" s="48" t="n">
        <f aca="false">IFERROR(AVERAGEIFS(월별!$K$5:$K$70,월별!$C$5:$C$70,"2022Q4"),"")</f>
        <v>0.0238229887278583</v>
      </c>
      <c r="J12" s="48" t="n">
        <f aca="false">IFERROR(AVERAGEIFS(월별!$L$5:$L$70,월별!$C$5:$C$70,"2022Q4"),"")</f>
        <v>0.0269167206119163</v>
      </c>
      <c r="K12" s="48" t="n">
        <f aca="false">IFERROR(AVERAGEIFS(월별!$M$5:$M$70,월별!$C$5:$C$70,"2022Q4"),"")</f>
        <v>0.0291579138486312</v>
      </c>
      <c r="L12" s="49" t="n">
        <f aca="false">IFERROR(AVERAGEIFS(월별!$N$5:$N$70,월별!$C$5:$C$70,"2022Q4"),"")</f>
        <v>30.9373188405797</v>
      </c>
      <c r="M12" s="48" t="n">
        <f aca="false">LOOKUP($B12,정책금리_결정!$G$4:$G$9,정책금리_결정!$H$4:$H$9)</f>
        <v>0.06</v>
      </c>
      <c r="N12" s="48" t="n">
        <f aca="false">IFERROR(AVERAGEIFS(월별!$P$5:$P$70,월별!$C$5:$C$70,"2022Q4"),"")</f>
        <v>0.0497660533910534</v>
      </c>
      <c r="O12" s="48" t="str">
        <f aca="false">IFERROR(SUMIFS(VN_은행채발행!$T$4:$T$712,VN_은행채발행!$D$4:$D$712,"2022Q4")/SUMIFS(VN_은행채발행!$I$4:$I$712,VN_은행채발행!$D$4:$D$712,"2022Q4",VN_은행채발행!$S$4:$S$712,1),"")</f>
        <v/>
      </c>
      <c r="P12" s="50" t="n">
        <f aca="false">SUMIFS(월별!$R$5:$R$70,월별!$C$5:$C$70,"2022Q4")</f>
        <v>0</v>
      </c>
      <c r="Q12" s="49" t="str">
        <f aca="false">IFERROR(SUMIFS(VN_은행채발행!$U$4:$U$712,VN_은행채발행!$D$4:$D$712,"2022Q4")/SUMIFS(VN_은행채발행!$Y$4:$Y$712,VN_은행채발행!$D$4:$D$712,"2022Q4"),"")</f>
        <v/>
      </c>
      <c r="R12" s="48" t="str">
        <f aca="false">IFERROR(SUMIFS(VN_은행채발행!$W$4:$W$712,VN_은행채발행!$D$4:$D$712,"2022Q4")/SUMIFS(VN_은행채발행!$I$4:$I$712,VN_은행채발행!$D$4:$D$712,"2022Q4",VN_은행채발행!$V$4:$V$712,1),"")</f>
        <v/>
      </c>
      <c r="S12" s="49" t="str">
        <f aca="false">IFERROR(SUMIFS(VN_은행채발행!$X$4:$X$712,VN_은행채발행!$D$4:$D$712,"2022Q4")/SUMIFS(VN_은행채발행!$Z$4:$Z$712,VN_은행채발행!$D$4:$D$712,"2022Q4"),"")</f>
        <v/>
      </c>
      <c r="T12" s="48" t="n">
        <f aca="false">LOOKUP($B12,정책금리_결정!$J$4:$J$49,정책금리_결정!$K$4:$K$49)</f>
        <v>0.1675</v>
      </c>
      <c r="U12" s="48" t="n">
        <f aca="false">IFERROR(AVERAGEIFS(월별!$W$5:$W$70,월별!$C$5:$C$70,"2022Q4"),"")</f>
        <v>0.129450613275613</v>
      </c>
      <c r="V12" s="48" t="n">
        <f aca="false">IFERROR(AVERAGEIFS(월별!$X$5:$X$70,월별!$C$5:$C$70,"2022Q4"),"")</f>
        <v>0.148156224272803</v>
      </c>
      <c r="W12" s="48" t="n">
        <f aca="false">IFERROR(AVERAGEIFS(월별!$Y$5:$Y$70,월별!$C$5:$C$70,"2022Q4"),"")</f>
        <v>0.123416082251082</v>
      </c>
      <c r="X12" s="48" t="str">
        <f aca="false">IFERROR(AVERAGEIFS(월별!$Z$5:$Z$70,월별!$C$5:$C$70,"2022Q4"),"")</f>
        <v/>
      </c>
      <c r="Y12" s="49" t="n">
        <f aca="false">IFERROR(AVERAGEIFS(월별!$AA$5:$AA$70,월별!$C$5:$C$70,"2022Q4"),"")</f>
        <v>-60.3453102453103</v>
      </c>
      <c r="Z12" s="48" t="n">
        <f aca="false">IFERROR(AVERAGEIFS(월별!$AB$5:$AB$70,월별!$C$5:$C$70,"2022Q4"),"")</f>
        <v>0.154461594516595</v>
      </c>
    </row>
    <row r="13" customFormat="false" ht="15" hidden="false" customHeight="false" outlineLevel="0" collapsed="false">
      <c r="A13" s="47" t="s">
        <v>90</v>
      </c>
      <c r="B13" s="29" t="n">
        <f aca="false">EOMONTH(DATE(2023,3,1),0)</f>
        <v>45016</v>
      </c>
      <c r="C13" s="48" t="n">
        <f aca="false">LOOKUP($B13,정책금리_결정!$A$4:$A$70,정책금리_결정!$B$4:$B$70)</f>
        <v>-0.001</v>
      </c>
      <c r="D13" s="48" t="n">
        <f aca="false">IFERROR(AVERAGEIFS(월별!$F$5:$F$70,월별!$C$5:$C$70,"2023Q1"),"")</f>
        <v>8.46092503987239E-006</v>
      </c>
      <c r="E13" s="48" t="n">
        <f aca="false">IFERROR(AVERAGEIFS(월별!$G$5:$G$70,월별!$C$5:$C$70,"2023Q1"),"")</f>
        <v>0.00359</v>
      </c>
      <c r="F13" s="48" t="n">
        <f aca="false">IFERROR(AVERAGEIFS(월별!$H$5:$H$70,월별!$C$5:$C$70,"2023Q1"),"")</f>
        <v>0.00284666666666667</v>
      </c>
      <c r="G13" s="49" t="n">
        <f aca="false">IFERROR(AVERAGEIFS(월별!$I$5:$I$70,월별!$C$5:$C$70,"2023Q1"),"")</f>
        <v>35.8153907496013</v>
      </c>
      <c r="H13" s="48" t="n">
        <f aca="false">LOOKUP($B13,정책금리_결정!$D$4:$D$70,정책금리_결정!$E$4:$E$70)</f>
        <v>0.0365</v>
      </c>
      <c r="I13" s="48" t="n">
        <f aca="false">IFERROR(AVERAGEIFS(월별!$K$5:$K$70,월별!$C$5:$C$70,"2023Q1"),"")</f>
        <v>0.0252665682769726</v>
      </c>
      <c r="J13" s="48" t="n">
        <f aca="false">IFERROR(AVERAGEIFS(월별!$L$5:$L$70,월별!$C$5:$C$70,"2023Q1"),"")</f>
        <v>0.0288728895330113</v>
      </c>
      <c r="K13" s="48" t="n">
        <f aca="false">IFERROR(AVERAGEIFS(월별!$M$5:$M$70,월별!$C$5:$C$70,"2023Q1"),"")</f>
        <v>0.0314823984702093</v>
      </c>
      <c r="L13" s="49" t="n">
        <f aca="false">IFERROR(AVERAGEIFS(월별!$N$5:$N$70,월별!$C$5:$C$70,"2023Q1"),"")</f>
        <v>36.0632125603865</v>
      </c>
      <c r="M13" s="48" t="n">
        <f aca="false">LOOKUP($B13,정책금리_결정!$G$4:$G$9,정책금리_결정!$H$4:$H$9)</f>
        <v>0.06</v>
      </c>
      <c r="N13" s="48" t="n">
        <f aca="false">IFERROR(AVERAGEIFS(월별!$P$5:$P$70,월별!$C$5:$C$70,"2023Q1"),"")</f>
        <v>0.0413676277997365</v>
      </c>
      <c r="O13" s="48" t="str">
        <f aca="false">IFERROR(SUMIFS(VN_은행채발행!$T$4:$T$712,VN_은행채발행!$D$4:$D$712,"2023Q1")/SUMIFS(VN_은행채발행!$I$4:$I$712,VN_은행채발행!$D$4:$D$712,"2023Q1",VN_은행채발행!$S$4:$S$712,1),"")</f>
        <v/>
      </c>
      <c r="P13" s="50" t="n">
        <f aca="false">SUMIFS(월별!$R$5:$R$70,월별!$C$5:$C$70,"2023Q1")</f>
        <v>0</v>
      </c>
      <c r="Q13" s="49" t="str">
        <f aca="false">IFERROR(SUMIFS(VN_은행채발행!$U$4:$U$712,VN_은행채발행!$D$4:$D$712,"2023Q1")/SUMIFS(VN_은행채발행!$Y$4:$Y$712,VN_은행채발행!$D$4:$D$712,"2023Q1"),"")</f>
        <v/>
      </c>
      <c r="R13" s="48" t="str">
        <f aca="false">IFERROR(SUMIFS(VN_은행채발행!$W$4:$W$712,VN_은행채발행!$D$4:$D$712,"2023Q1")/SUMIFS(VN_은행채발행!$I$4:$I$712,VN_은행채발행!$D$4:$D$712,"2023Q1",VN_은행채발행!$V$4:$V$712,1),"")</f>
        <v/>
      </c>
      <c r="S13" s="49" t="str">
        <f aca="false">IFERROR(SUMIFS(VN_은행채발행!$X$4:$X$712,VN_은행채발행!$D$4:$D$712,"2023Q1")/SUMIFS(VN_은행채발행!$Z$4:$Z$712,VN_은행채발행!$D$4:$D$712,"2023Q1"),"")</f>
        <v/>
      </c>
      <c r="T13" s="48" t="n">
        <f aca="false">LOOKUP($B13,정책금리_결정!$J$4:$J$49,정책금리_결정!$K$4:$K$49)</f>
        <v>0.1675</v>
      </c>
      <c r="U13" s="48" t="n">
        <f aca="false">IFERROR(AVERAGEIFS(월별!$W$5:$W$70,월별!$C$5:$C$70,"2023Q1"),"")</f>
        <v>0.137805701754386</v>
      </c>
      <c r="V13" s="48" t="n">
        <f aca="false">IFERROR(AVERAGEIFS(월별!$X$5:$X$70,월별!$C$5:$C$70,"2023Q1"),"")</f>
        <v>0.158442236842105</v>
      </c>
      <c r="W13" s="48" t="n">
        <f aca="false">IFERROR(AVERAGEIFS(월별!$Y$5:$Y$70,월별!$C$5:$C$70,"2023Q1"),"")</f>
        <v>0.131496140350877</v>
      </c>
      <c r="X13" s="48" t="str">
        <f aca="false">IFERROR(AVERAGEIFS(월별!$Z$5:$Z$70,월별!$C$5:$C$70,"2023Q1"),"")</f>
        <v/>
      </c>
      <c r="Y13" s="49" t="n">
        <f aca="false">IFERROR(AVERAGEIFS(월별!$AA$5:$AA$70,월별!$C$5:$C$70,"2023Q1"),"")</f>
        <v>-63.0956140350877</v>
      </c>
      <c r="Z13" s="48" t="n">
        <f aca="false">IFERROR(AVERAGEIFS(월별!$AB$5:$AB$70,월별!$C$5:$C$70,"2023Q1"),"")</f>
        <v>0.161741578947368</v>
      </c>
    </row>
    <row r="14" customFormat="false" ht="15" hidden="false" customHeight="false" outlineLevel="0" collapsed="false">
      <c r="A14" s="47" t="s">
        <v>91</v>
      </c>
      <c r="B14" s="29" t="n">
        <f aca="false">EOMONTH(DATE(2023,6,1),0)</f>
        <v>45107</v>
      </c>
      <c r="C14" s="48" t="n">
        <f aca="false">LOOKUP($B14,정책금리_결정!$A$4:$A$70,정책금리_결정!$B$4:$B$70)</f>
        <v>-0.001</v>
      </c>
      <c r="D14" s="48" t="n">
        <f aca="false">IFERROR(AVERAGEIFS(월별!$F$5:$F$70,월별!$C$5:$C$70,"2023Q2"),"")</f>
        <v>-0.000417287878787879</v>
      </c>
      <c r="E14" s="48" t="n">
        <f aca="false">IFERROR(AVERAGEIFS(월별!$G$5:$G$70,월별!$C$5:$C$70,"2023Q2"),"")</f>
        <v>0.00298</v>
      </c>
      <c r="F14" s="48" t="n">
        <f aca="false">IFERROR(AVERAGEIFS(월별!$H$5:$H$70,월별!$C$5:$C$70,"2023Q2"),"")</f>
        <v>0.00254333333333333</v>
      </c>
      <c r="G14" s="49" t="n">
        <f aca="false">IFERROR(AVERAGEIFS(월별!$I$5:$I$70,월별!$C$5:$C$70,"2023Q2"),"")</f>
        <v>33.9728787878788</v>
      </c>
      <c r="H14" s="48" t="n">
        <f aca="false">LOOKUP($B14,정책금리_결정!$D$4:$D$70,정책금리_결정!$E$4:$E$70)</f>
        <v>0.0355</v>
      </c>
      <c r="I14" s="48" t="n">
        <f aca="false">IFERROR(AVERAGEIFS(월별!$K$5:$K$70,월별!$C$5:$C$70,"2023Q2"),"")</f>
        <v>0.0236782714285714</v>
      </c>
      <c r="J14" s="48" t="n">
        <f aca="false">IFERROR(AVERAGEIFS(월별!$L$5:$L$70,월별!$C$5:$C$70,"2023Q2"),"")</f>
        <v>0.027518946031746</v>
      </c>
      <c r="K14" s="48" t="n">
        <f aca="false">IFERROR(AVERAGEIFS(월별!$M$5:$M$70,월별!$C$5:$C$70,"2023Q2"),"")</f>
        <v>0.0291291880952381</v>
      </c>
      <c r="L14" s="49" t="n">
        <f aca="false">IFERROR(AVERAGEIFS(월별!$N$5:$N$70,월별!$C$5:$C$70,"2023Q2"),"")</f>
        <v>38.406746031746</v>
      </c>
      <c r="M14" s="48" t="n">
        <f aca="false">LOOKUP($B14,정책금리_결정!$G$4:$G$9,정책금리_결정!$H$4:$H$9)</f>
        <v>0.045</v>
      </c>
      <c r="N14" s="48" t="n">
        <f aca="false">IFERROR(AVERAGEIFS(월별!$P$5:$P$70,월별!$C$5:$C$70,"2023Q2"),"")</f>
        <v>0.0269092101449275</v>
      </c>
      <c r="O14" s="48" t="n">
        <f aca="false">IFERROR(SUMIFS(VN_은행채발행!$T$4:$T$712,VN_은행채발행!$D$4:$D$712,"2023Q2")/SUMIFS(VN_은행채발행!$I$4:$I$712,VN_은행채발행!$D$4:$D$712,"2023Q2",VN_은행채발행!$S$4:$S$712,1),"")</f>
        <v>0.0741111111111111</v>
      </c>
      <c r="P14" s="50" t="n">
        <f aca="false">SUMIFS(월별!$R$5:$R$70,월별!$C$5:$C$70,"2023Q2")</f>
        <v>2</v>
      </c>
      <c r="Q14" s="49" t="n">
        <f aca="false">IFERROR(SUMIFS(VN_은행채발행!$U$4:$U$712,VN_은행채발행!$D$4:$D$712,"2023Q2")/SUMIFS(VN_은행채발행!$Y$4:$Y$712,VN_은행채발행!$D$4:$D$712,"2023Q2"),"")</f>
        <v>511.983333333333</v>
      </c>
      <c r="R14" s="48" t="str">
        <f aca="false">IFERROR(SUMIFS(VN_은행채발행!$W$4:$W$712,VN_은행채발행!$D$4:$D$712,"2023Q2")/SUMIFS(VN_은행채발행!$I$4:$I$712,VN_은행채발행!$D$4:$D$712,"2023Q2",VN_은행채발행!$V$4:$V$712,1),"")</f>
        <v/>
      </c>
      <c r="S14" s="49" t="str">
        <f aca="false">IFERROR(SUMIFS(VN_은행채발행!$X$4:$X$712,VN_은행채발행!$D$4:$D$712,"2023Q2")/SUMIFS(VN_은행채발행!$Z$4:$Z$712,VN_은행채발행!$D$4:$D$712,"2023Q2"),"")</f>
        <v/>
      </c>
      <c r="T14" s="48" t="n">
        <f aca="false">LOOKUP($B14,정책금리_결정!$J$4:$J$49,정책금리_결정!$K$4:$K$49)</f>
        <v>0.1675</v>
      </c>
      <c r="U14" s="48" t="n">
        <f aca="false">IFERROR(AVERAGEIFS(월별!$W$5:$W$70,월별!$C$5:$C$70,"2023Q2"),"")</f>
        <v>0.132409047619048</v>
      </c>
      <c r="V14" s="48" t="n">
        <f aca="false">IFERROR(AVERAGEIFS(월별!$X$5:$X$70,월별!$C$5:$C$70,"2023Q2"),"")</f>
        <v>0.14334546031746</v>
      </c>
      <c r="W14" s="48" t="n">
        <f aca="false">IFERROR(AVERAGEIFS(월별!$Y$5:$Y$70,월별!$C$5:$C$70,"2023Q2"),"")</f>
        <v>0.138090476190476</v>
      </c>
      <c r="X14" s="48" t="str">
        <f aca="false">IFERROR(AVERAGEIFS(월별!$Z$5:$Z$70,월별!$C$5:$C$70,"2023Q2"),"")</f>
        <v/>
      </c>
      <c r="Y14" s="49" t="n">
        <f aca="false">IFERROR(AVERAGEIFS(월별!$AA$5:$AA$70,월별!$C$5:$C$70,"2023Q2"),"")</f>
        <v>56.8142857142857</v>
      </c>
      <c r="Z14" s="48" t="n">
        <f aca="false">IFERROR(AVERAGEIFS(월별!$AB$5:$AB$70,월별!$C$5:$C$70,"2023Q2"),"")</f>
        <v>0.165644126984127</v>
      </c>
    </row>
    <row r="15" customFormat="false" ht="15" hidden="false" customHeight="false" outlineLevel="0" collapsed="false">
      <c r="A15" s="47" t="s">
        <v>92</v>
      </c>
      <c r="B15" s="29" t="n">
        <f aca="false">EOMONTH(DATE(2023,9,1),0)</f>
        <v>45199</v>
      </c>
      <c r="C15" s="48" t="n">
        <f aca="false">LOOKUP($B15,정책금리_결정!$A$4:$A$70,정책금리_결정!$B$4:$B$70)</f>
        <v>-0.001</v>
      </c>
      <c r="D15" s="48" t="n">
        <f aca="false">IFERROR(AVERAGEIFS(월별!$F$5:$F$70,월별!$C$5:$C$70,"2023Q3"),"")</f>
        <v>0.000333212121212121</v>
      </c>
      <c r="E15" s="48" t="n">
        <f aca="false">IFERROR(AVERAGEIFS(월별!$G$5:$G$70,월별!$C$5:$C$70,"2023Q3"),"")</f>
        <v>0.00382333333333333</v>
      </c>
      <c r="F15" s="48" t="n">
        <f aca="false">IFERROR(AVERAGEIFS(월별!$H$5:$H$70,월별!$C$5:$C$70,"2023Q3"),"")</f>
        <v>0.00353666666666667</v>
      </c>
      <c r="G15" s="49" t="n">
        <f aca="false">IFERROR(AVERAGEIFS(월별!$I$5:$I$70,월별!$C$5:$C$70,"2023Q3"),"")</f>
        <v>34.9012121212121</v>
      </c>
      <c r="H15" s="48" t="n">
        <f aca="false">LOOKUP($B15,정책금리_결정!$D$4:$D$70,정책금리_결정!$E$4:$E$70)</f>
        <v>0.0345</v>
      </c>
      <c r="I15" s="48" t="n">
        <f aca="false">IFERROR(AVERAGEIFS(월별!$K$5:$K$70,월별!$C$5:$C$70,"2023Q3"),"")</f>
        <v>0.0227298668391994</v>
      </c>
      <c r="J15" s="48" t="n">
        <f aca="false">IFERROR(AVERAGEIFS(월별!$L$5:$L$70,월별!$C$5:$C$70,"2023Q3"),"")</f>
        <v>0.026441967184265</v>
      </c>
      <c r="K15" s="48" t="n">
        <f aca="false">IFERROR(AVERAGEIFS(월별!$M$5:$M$70,월별!$C$5:$C$70,"2023Q3"),"")</f>
        <v>0.0275183527260179</v>
      </c>
      <c r="L15" s="49" t="n">
        <f aca="false">IFERROR(AVERAGEIFS(월별!$N$5:$N$70,월별!$C$5:$C$70,"2023Q3"),"")</f>
        <v>37.1210034506556</v>
      </c>
      <c r="M15" s="48" t="n">
        <f aca="false">LOOKUP($B15,정책금리_결정!$G$4:$G$9,정책금리_결정!$H$4:$H$9)</f>
        <v>0.045</v>
      </c>
      <c r="N15" s="48" t="n">
        <f aca="false">IFERROR(AVERAGEIFS(월별!$P$5:$P$70,월별!$C$5:$C$70,"2023Q3"),"")</f>
        <v>0.0191131677018634</v>
      </c>
      <c r="O15" s="48" t="n">
        <f aca="false">IFERROR(SUMIFS(VN_은행채발행!$T$4:$T$712,VN_은행채발행!$D$4:$D$712,"2023Q3")/SUMIFS(VN_은행채발행!$I$4:$I$712,VN_은행채발행!$D$4:$D$712,"2023Q3",VN_은행채발행!$S$4:$S$712,1),"")</f>
        <v>0.0660553191489362</v>
      </c>
      <c r="P15" s="50" t="n">
        <f aca="false">SUMIFS(월별!$R$5:$R$70,월별!$C$5:$C$70,"2023Q3")</f>
        <v>14</v>
      </c>
      <c r="Q15" s="49" t="n">
        <f aca="false">IFERROR(SUMIFS(VN_은행채발행!$U$4:$U$712,VN_은행채발행!$D$4:$D$712,"2023Q3")/SUMIFS(VN_은행채발행!$Y$4:$Y$712,VN_은행채발행!$D$4:$D$712,"2023Q3"),"")</f>
        <v>473.930212765957</v>
      </c>
      <c r="R15" s="48" t="str">
        <f aca="false">IFERROR(SUMIFS(VN_은행채발행!$W$4:$W$712,VN_은행채발행!$D$4:$D$712,"2023Q3")/SUMIFS(VN_은행채발행!$I$4:$I$712,VN_은행채발행!$D$4:$D$712,"2023Q3",VN_은행채발행!$V$4:$V$712,1),"")</f>
        <v/>
      </c>
      <c r="S15" s="49" t="str">
        <f aca="false">IFERROR(SUMIFS(VN_은행채발행!$X$4:$X$712,VN_은행채발행!$D$4:$D$712,"2023Q3")/SUMIFS(VN_은행채발행!$Z$4:$Z$712,VN_은행채발행!$D$4:$D$712,"2023Q3"),"")</f>
        <v/>
      </c>
      <c r="T15" s="48" t="n">
        <f aca="false">LOOKUP($B15,정책금리_결정!$J$4:$J$49,정책금리_결정!$K$4:$K$49)</f>
        <v>0.165</v>
      </c>
      <c r="U15" s="48" t="n">
        <f aca="false">IFERROR(AVERAGEIFS(월별!$W$5:$W$70,월별!$C$5:$C$70,"2023Q3"),"")</f>
        <v>0.135736875901876</v>
      </c>
      <c r="V15" s="48" t="n">
        <f aca="false">IFERROR(AVERAGEIFS(월별!$X$5:$X$70,월별!$C$5:$C$70,"2023Q3"),"")</f>
        <v>0.14052645705172</v>
      </c>
      <c r="W15" s="48" t="n">
        <f aca="false">IFERROR(AVERAGEIFS(월별!$Y$5:$Y$70,월별!$C$5:$C$70,"2023Q3"),"")</f>
        <v>0.141773722943723</v>
      </c>
      <c r="X15" s="48" t="str">
        <f aca="false">IFERROR(AVERAGEIFS(월별!$Z$5:$Z$70,월별!$C$5:$C$70,"2023Q3"),"")</f>
        <v/>
      </c>
      <c r="Y15" s="49" t="n">
        <f aca="false">IFERROR(AVERAGEIFS(월별!$AA$5:$AA$70,월별!$C$5:$C$70,"2023Q3"),"")</f>
        <v>60.3684704184703</v>
      </c>
      <c r="Z15" s="48" t="n">
        <f aca="false">IFERROR(AVERAGEIFS(월별!$AB$5:$AB$70,월별!$C$5:$C$70,"2023Q3"),"")</f>
        <v>0.169775634920635</v>
      </c>
    </row>
    <row r="16" customFormat="false" ht="15" hidden="false" customHeight="false" outlineLevel="0" collapsed="false">
      <c r="A16" s="47" t="s">
        <v>93</v>
      </c>
      <c r="B16" s="29" t="n">
        <f aca="false">EOMONTH(DATE(2023,12,1),0)</f>
        <v>45291</v>
      </c>
      <c r="C16" s="48" t="n">
        <f aca="false">LOOKUP($B16,정책금리_결정!$A$4:$A$70,정책금리_결정!$B$4:$B$70)</f>
        <v>-0.001</v>
      </c>
      <c r="D16" s="48" t="n">
        <f aca="false">IFERROR(AVERAGEIFS(월별!$F$5:$F$70,월별!$C$5:$C$70,"2023Q4"),"")</f>
        <v>0.00118943650793651</v>
      </c>
      <c r="E16" s="48" t="n">
        <f aca="false">IFERROR(AVERAGEIFS(월별!$G$5:$G$70,월별!$C$5:$C$70,"2023Q4"),"")</f>
        <v>0.00481</v>
      </c>
      <c r="F16" s="48" t="n">
        <f aca="false">IFERROR(AVERAGEIFS(월별!$H$5:$H$70,월별!$C$5:$C$70,"2023Q4"),"")</f>
        <v>0.00448</v>
      </c>
      <c r="G16" s="49" t="n">
        <f aca="false">IFERROR(AVERAGEIFS(월별!$I$5:$I$70,월별!$C$5:$C$70,"2023Q4"),"")</f>
        <v>36.2056349206349</v>
      </c>
      <c r="H16" s="48" t="n">
        <f aca="false">LOOKUP($B16,정책금리_결정!$D$4:$D$70,정책금리_결정!$E$4:$E$70)</f>
        <v>0.0345</v>
      </c>
      <c r="I16" s="48" t="n">
        <f aca="false">IFERROR(AVERAGEIFS(월별!$K$5:$K$70,월별!$C$5:$C$70,"2023Q4"),"")</f>
        <v>0.0243349633173844</v>
      </c>
      <c r="J16" s="48" t="n">
        <f aca="false">IFERROR(AVERAGEIFS(월별!$L$5:$L$70,월별!$C$5:$C$70,"2023Q4"),"")</f>
        <v>0.0277658883572568</v>
      </c>
      <c r="K16" s="48" t="n">
        <f aca="false">IFERROR(AVERAGEIFS(월별!$M$5:$M$70,월별!$C$5:$C$70,"2023Q4"),"")</f>
        <v>0.0289564330143541</v>
      </c>
      <c r="L16" s="49" t="n">
        <f aca="false">IFERROR(AVERAGEIFS(월별!$N$5:$N$70,월별!$C$5:$C$70,"2023Q4"),"")</f>
        <v>34.3092503987241</v>
      </c>
      <c r="M16" s="48" t="n">
        <f aca="false">LOOKUP($B16,정책금리_결정!$G$4:$G$9,정책금리_결정!$H$4:$H$9)</f>
        <v>0.045</v>
      </c>
      <c r="N16" s="48" t="n">
        <f aca="false">IFERROR(AVERAGEIFS(월별!$P$5:$P$70,월별!$C$5:$C$70,"2023Q4"),"")</f>
        <v>0.0188067171717172</v>
      </c>
      <c r="O16" s="48" t="n">
        <f aca="false">IFERROR(SUMIFS(VN_은행채발행!$T$4:$T$712,VN_은행채발행!$D$4:$D$712,"2023Q4")/SUMIFS(VN_은행채발행!$I$4:$I$712,VN_은행채발행!$D$4:$D$712,"2023Q4",VN_은행채발행!$S$4:$S$712,1),"")</f>
        <v>0.0558558823529412</v>
      </c>
      <c r="P16" s="50" t="n">
        <f aca="false">SUMIFS(월별!$R$5:$R$70,월별!$C$5:$C$70,"2023Q4")</f>
        <v>24</v>
      </c>
      <c r="Q16" s="49" t="n">
        <f aca="false">IFERROR(SUMIFS(VN_은행채발행!$U$4:$U$712,VN_은행채발행!$D$4:$D$712,"2023Q4")/SUMIFS(VN_은행채발행!$Y$4:$Y$712,VN_은행채발행!$D$4:$D$712,"2023Q4"),"")</f>
        <v>376.632647058824</v>
      </c>
      <c r="R16" s="48" t="str">
        <f aca="false">IFERROR(SUMIFS(VN_은행채발행!$W$4:$W$712,VN_은행채발행!$D$4:$D$712,"2023Q4")/SUMIFS(VN_은행채발행!$I$4:$I$712,VN_은행채발행!$D$4:$D$712,"2023Q4",VN_은행채발행!$V$4:$V$712,1),"")</f>
        <v/>
      </c>
      <c r="S16" s="49" t="str">
        <f aca="false">IFERROR(SUMIFS(VN_은행채발행!$X$4:$X$712,VN_은행채발행!$D$4:$D$712,"2023Q4")/SUMIFS(VN_은행채발행!$Z$4:$Z$712,VN_은행채발행!$D$4:$D$712,"2023Q4"),"")</f>
        <v/>
      </c>
      <c r="T16" s="48" t="n">
        <f aca="false">LOOKUP($B16,정책금리_결정!$J$4:$J$49,정책금리_결정!$K$4:$K$49)</f>
        <v>0.1575</v>
      </c>
      <c r="U16" s="48" t="n">
        <f aca="false">IFERROR(AVERAGEIFS(월별!$W$5:$W$70,월별!$C$5:$C$70,"2023Q4"),"")</f>
        <v>0.137361818181818</v>
      </c>
      <c r="V16" s="48" t="n">
        <f aca="false">IFERROR(AVERAGEIFS(월별!$X$5:$X$70,월별!$C$5:$C$70,"2023Q4"),"")</f>
        <v>0.140076465367965</v>
      </c>
      <c r="W16" s="48" t="n">
        <f aca="false">IFERROR(AVERAGEIFS(월별!$Y$5:$Y$70,월별!$C$5:$C$70,"2023Q4"),"")</f>
        <v>0.14507626984127</v>
      </c>
      <c r="X16" s="48" t="str">
        <f aca="false">IFERROR(AVERAGEIFS(월별!$Z$5:$Z$70,월별!$C$5:$C$70,"2023Q4"),"")</f>
        <v/>
      </c>
      <c r="Y16" s="49" t="n">
        <f aca="false">IFERROR(AVERAGEIFS(월별!$AA$5:$AA$70,월별!$C$5:$C$70,"2023Q4"),"")</f>
        <v>77.1445165945167</v>
      </c>
      <c r="Z16" s="48" t="n">
        <f aca="false">IFERROR(AVERAGEIFS(월별!$AB$5:$AB$70,월별!$C$5:$C$70,"2023Q4"),"")</f>
        <v>0.157144372294372</v>
      </c>
    </row>
    <row r="17" customFormat="false" ht="15" hidden="false" customHeight="false" outlineLevel="0" collapsed="false">
      <c r="A17" s="47" t="s">
        <v>94</v>
      </c>
      <c r="B17" s="29" t="n">
        <f aca="false">EOMONTH(DATE(2024,3,1),0)</f>
        <v>45382</v>
      </c>
      <c r="C17" s="48" t="n">
        <f aca="false">LOOKUP($B17,정책금리_결정!$A$4:$A$70,정책금리_결정!$B$4:$B$70)</f>
        <v>0.0005</v>
      </c>
      <c r="D17" s="48" t="n">
        <f aca="false">IFERROR(AVERAGEIFS(월별!$F$5:$F$70,월별!$C$5:$C$70,"2024Q1"),"")</f>
        <v>0.00128070175438597</v>
      </c>
      <c r="E17" s="48" t="n">
        <f aca="false">IFERROR(AVERAGEIFS(월별!$G$5:$G$70,월별!$C$5:$C$70,"2024Q1"),"")</f>
        <v>0.00495333333333333</v>
      </c>
      <c r="F17" s="48" t="n">
        <f aca="false">IFERROR(AVERAGEIFS(월별!$H$5:$H$70,월별!$C$5:$C$70,"2024Q1"),"")</f>
        <v>0.00437</v>
      </c>
      <c r="G17" s="49" t="n">
        <f aca="false">IFERROR(AVERAGEIFS(월별!$I$5:$I$70,월별!$C$5:$C$70,"2024Q1"),"")</f>
        <v>36.7263157894737</v>
      </c>
      <c r="H17" s="48" t="n">
        <f aca="false">LOOKUP($B17,정책금리_결정!$D$4:$D$70,정책금리_결정!$E$4:$E$70)</f>
        <v>0.0345</v>
      </c>
      <c r="I17" s="48" t="n">
        <f aca="false">IFERROR(AVERAGEIFS(월별!$K$5:$K$70,월별!$C$5:$C$70,"2024Q1"),"")</f>
        <v>0.0218085360750361</v>
      </c>
      <c r="J17" s="48" t="n">
        <f aca="false">IFERROR(AVERAGEIFS(월별!$L$5:$L$70,월별!$C$5:$C$70,"2024Q1"),"")</f>
        <v>0.0249123174603175</v>
      </c>
      <c r="K17" s="48" t="n">
        <f aca="false">IFERROR(AVERAGEIFS(월별!$M$5:$M$70,월별!$C$5:$C$70,"2024Q1"),"")</f>
        <v>0.0258288328523329</v>
      </c>
      <c r="L17" s="49" t="n">
        <f aca="false">IFERROR(AVERAGEIFS(월별!$N$5:$N$70,월별!$C$5:$C$70,"2024Q1"),"")</f>
        <v>31.0378138528139</v>
      </c>
      <c r="M17" s="48" t="n">
        <f aca="false">LOOKUP($B17,정책금리_결정!$G$4:$G$9,정책금리_결정!$H$4:$H$9)</f>
        <v>0.045</v>
      </c>
      <c r="N17" s="48" t="n">
        <f aca="false">IFERROR(AVERAGEIFS(월별!$P$5:$P$70,월별!$C$5:$C$70,"2024Q1"),"")</f>
        <v>0.0147029675638371</v>
      </c>
      <c r="O17" s="48" t="str">
        <f aca="false">IFERROR(SUMIFS(VN_은행채발행!$T$4:$T$712,VN_은행채발행!$D$4:$D$712,"2024Q1")/SUMIFS(VN_은행채발행!$I$4:$I$712,VN_은행채발행!$D$4:$D$712,"2024Q1",VN_은행채발행!$S$4:$S$712,1),"")</f>
        <v/>
      </c>
      <c r="P17" s="50" t="n">
        <f aca="false">SUMIFS(월별!$R$5:$R$70,월별!$C$5:$C$70,"2024Q1")</f>
        <v>0</v>
      </c>
      <c r="Q17" s="49" t="str">
        <f aca="false">IFERROR(SUMIFS(VN_은행채발행!$U$4:$U$712,VN_은행채발행!$D$4:$D$712,"2024Q1")/SUMIFS(VN_은행채발행!$Y$4:$Y$712,VN_은행채발행!$D$4:$D$712,"2024Q1"),"")</f>
        <v/>
      </c>
      <c r="R17" s="48" t="str">
        <f aca="false">IFERROR(SUMIFS(VN_은행채발행!$W$4:$W$712,VN_은행채발행!$D$4:$D$712,"2024Q1")/SUMIFS(VN_은행채발행!$I$4:$I$712,VN_은행채발행!$D$4:$D$712,"2024Q1",VN_은행채발행!$V$4:$V$712,1),"")</f>
        <v/>
      </c>
      <c r="S17" s="49" t="str">
        <f aca="false">IFERROR(SUMIFS(VN_은행채발행!$X$4:$X$712,VN_은행채발행!$D$4:$D$712,"2024Q1")/SUMIFS(VN_은행채발행!$Z$4:$Z$712,VN_은행채발행!$D$4:$D$712,"2024Q1"),"")</f>
        <v/>
      </c>
      <c r="T17" s="48" t="n">
        <f aca="false">LOOKUP($B17,정책금리_결정!$J$4:$J$49,정책금리_결정!$K$4:$K$49)</f>
        <v>0.1475</v>
      </c>
      <c r="U17" s="48" t="n">
        <f aca="false">IFERROR(AVERAGEIFS(월별!$W$5:$W$70,월별!$C$5:$C$70,"2024Q1"),"")</f>
        <v>0.12205929038282</v>
      </c>
      <c r="V17" s="48" t="n">
        <f aca="false">IFERROR(AVERAGEIFS(월별!$X$5:$X$70,월별!$C$5:$C$70,"2024Q1"),"")</f>
        <v>0.130266031746032</v>
      </c>
      <c r="W17" s="48" t="n">
        <f aca="false">IFERROR(AVERAGEIFS(월별!$Y$5:$Y$70,월별!$C$5:$C$70,"2024Q1"),"")</f>
        <v>0.142837161531279</v>
      </c>
      <c r="X17" s="48" t="str">
        <f aca="false">IFERROR(AVERAGEIFS(월별!$Z$5:$Z$70,월별!$C$5:$C$70,"2024Q1"),"")</f>
        <v/>
      </c>
      <c r="Y17" s="49" t="n">
        <f aca="false">IFERROR(AVERAGEIFS(월별!$AA$5:$AA$70,월별!$C$5:$C$70,"2024Q1"),"")</f>
        <v>207.778711484594</v>
      </c>
      <c r="Z17" s="48" t="n">
        <f aca="false">IFERROR(AVERAGEIFS(월별!$AB$5:$AB$70,월별!$C$5:$C$70,"2024Q1"),"")</f>
        <v>0.143536881419234</v>
      </c>
    </row>
    <row r="18" customFormat="false" ht="15" hidden="false" customHeight="false" outlineLevel="0" collapsed="false">
      <c r="A18" s="47" t="s">
        <v>95</v>
      </c>
      <c r="B18" s="29" t="n">
        <f aca="false">EOMONTH(DATE(2024,6,1),0)</f>
        <v>45473</v>
      </c>
      <c r="C18" s="48" t="n">
        <f aca="false">LOOKUP($B18,정책금리_결정!$A$4:$A$70,정책금리_결정!$B$4:$B$70)</f>
        <v>0.0005</v>
      </c>
      <c r="D18" s="48" t="n">
        <f aca="false">IFERROR(AVERAGEIFS(월별!$F$5:$F$70,월별!$C$5:$C$70,"2024Q2"),"")</f>
        <v>0.00343007936507937</v>
      </c>
      <c r="E18" s="48" t="n">
        <f aca="false">IFERROR(AVERAGEIFS(월별!$G$5:$G$70,월별!$C$5:$C$70,"2024Q2"),"")</f>
        <v>0.00687</v>
      </c>
      <c r="F18" s="48" t="n">
        <f aca="false">IFERROR(AVERAGEIFS(월별!$H$5:$H$70,월별!$C$5:$C$70,"2024Q2"),"")</f>
        <v>0.00616</v>
      </c>
      <c r="G18" s="49" t="n">
        <f aca="false">IFERROR(AVERAGEIFS(월별!$I$5:$I$70,월별!$C$5:$C$70,"2024Q2"),"")</f>
        <v>34.3992063492063</v>
      </c>
      <c r="H18" s="48" t="n">
        <f aca="false">LOOKUP($B18,정책금리_결정!$D$4:$D$70,정책금리_결정!$E$4:$E$70)</f>
        <v>0.0345</v>
      </c>
      <c r="I18" s="48" t="n">
        <f aca="false">IFERROR(AVERAGEIFS(월별!$K$5:$K$70,월별!$C$5:$C$70,"2024Q2"),"")</f>
        <v>0.0194954310397205</v>
      </c>
      <c r="J18" s="48" t="n">
        <f aca="false">IFERROR(AVERAGEIFS(월별!$L$5:$L$70,월별!$C$5:$C$70,"2024Q2"),"")</f>
        <v>0.0221521200349358</v>
      </c>
      <c r="K18" s="48" t="n">
        <f aca="false">IFERROR(AVERAGEIFS(월별!$M$5:$M$70,월별!$C$5:$C$70,"2024Q2"),"")</f>
        <v>0.0227787030075188</v>
      </c>
      <c r="L18" s="49" t="n">
        <f aca="false">IFERROR(AVERAGEIFS(월별!$N$5:$N$70,월별!$C$5:$C$70,"2024Q2"),"")</f>
        <v>26.5668899521531</v>
      </c>
      <c r="M18" s="48" t="n">
        <f aca="false">LOOKUP($B18,정책금리_결정!$G$4:$G$9,정책금리_결정!$H$4:$H$9)</f>
        <v>0.045</v>
      </c>
      <c r="N18" s="48" t="n">
        <f aca="false">IFERROR(AVERAGEIFS(월별!$P$5:$P$70,월별!$C$5:$C$70,"2024Q2"),"")</f>
        <v>0.0198017114624506</v>
      </c>
      <c r="O18" s="48" t="n">
        <f aca="false">IFERROR(SUMIFS(VN_은행채발행!$T$4:$T$712,VN_은행채발행!$D$4:$D$712,"2024Q2")/SUMIFS(VN_은행채발행!$I$4:$I$712,VN_은행채발행!$D$4:$D$712,"2024Q2",VN_은행채발행!$S$4:$S$712,1),"")</f>
        <v>0.047368909512761</v>
      </c>
      <c r="P18" s="50" t="n">
        <f aca="false">SUMIFS(월별!$R$5:$R$70,월별!$C$5:$C$70,"2024Q2")</f>
        <v>25</v>
      </c>
      <c r="Q18" s="49" t="n">
        <f aca="false">IFERROR(SUMIFS(VN_은행채발행!$U$4:$U$712,VN_은행채발행!$D$4:$D$712,"2024Q2")/SUMIFS(VN_은행채발행!$Y$4:$Y$712,VN_은행채발행!$D$4:$D$712,"2024Q2"),"")</f>
        <v>275.558236658933</v>
      </c>
      <c r="R18" s="48" t="str">
        <f aca="false">IFERROR(SUMIFS(VN_은행채발행!$W$4:$W$712,VN_은행채발행!$D$4:$D$712,"2024Q2")/SUMIFS(VN_은행채발행!$I$4:$I$712,VN_은행채발행!$D$4:$D$712,"2024Q2",VN_은행채발행!$V$4:$V$712,1),"")</f>
        <v/>
      </c>
      <c r="S18" s="49" t="str">
        <f aca="false">IFERROR(SUMIFS(VN_은행채발행!$X$4:$X$712,VN_은행채발행!$D$4:$D$712,"2024Q2")/SUMIFS(VN_은행채발행!$Z$4:$Z$712,VN_은행채발행!$D$4:$D$712,"2024Q2"),"")</f>
        <v/>
      </c>
      <c r="T18" s="48" t="n">
        <f aca="false">LOOKUP($B18,정책금리_결정!$J$4:$J$49,정책금리_결정!$K$4:$K$49)</f>
        <v>0.145</v>
      </c>
      <c r="U18" s="48" t="n">
        <f aca="false">IFERROR(AVERAGEIFS(월별!$W$5:$W$70,월별!$C$5:$C$70,"2024Q2"),"")</f>
        <v>0.123144848484848</v>
      </c>
      <c r="V18" s="48" t="n">
        <f aca="false">IFERROR(AVERAGEIFS(월별!$X$5:$X$70,월별!$C$5:$C$70,"2024Q2"),"")</f>
        <v>0.12922</v>
      </c>
      <c r="W18" s="48" t="n">
        <f aca="false">IFERROR(AVERAGEIFS(월별!$Y$5:$Y$70,월별!$C$5:$C$70,"2024Q2"),"")</f>
        <v>0.140693333333333</v>
      </c>
      <c r="X18" s="48" t="str">
        <f aca="false">IFERROR(AVERAGEIFS(월별!$Z$5:$Z$70,월별!$C$5:$C$70,"2024Q2"),"")</f>
        <v/>
      </c>
      <c r="Y18" s="49" t="n">
        <f aca="false">IFERROR(AVERAGEIFS(월별!$AA$5:$AA$70,월별!$C$5:$C$70,"2024Q2"),"")</f>
        <v>175.484848484848</v>
      </c>
      <c r="Z18" s="48" t="n">
        <f aca="false">IFERROR(AVERAGEIFS(월별!$AB$5:$AB$70,월별!$C$5:$C$70,"2024Q2"),"")</f>
        <v>0.136215454545455</v>
      </c>
    </row>
    <row r="19" customFormat="false" ht="15" hidden="false" customHeight="false" outlineLevel="0" collapsed="false">
      <c r="A19" s="47" t="s">
        <v>96</v>
      </c>
      <c r="B19" s="29" t="n">
        <f aca="false">EOMONTH(DATE(2024,9,1),0)</f>
        <v>45565</v>
      </c>
      <c r="C19" s="48" t="n">
        <f aca="false">LOOKUP($B19,정책금리_결정!$A$4:$A$70,정책금리_결정!$B$4:$B$70)</f>
        <v>0.0025</v>
      </c>
      <c r="D19" s="48" t="n">
        <f aca="false">IFERROR(AVERAGEIFS(월별!$F$5:$F$70,월별!$C$5:$C$70,"2024Q3"),"")</f>
        <v>0.00380669970380497</v>
      </c>
      <c r="E19" s="48" t="n">
        <f aca="false">IFERROR(AVERAGEIFS(월별!$G$5:$G$70,월별!$C$5:$C$70,"2024Q3"),"")</f>
        <v>0.00705333333333333</v>
      </c>
      <c r="F19" s="48" t="n">
        <f aca="false">IFERROR(AVERAGEIFS(월별!$H$5:$H$70,월별!$C$5:$C$70,"2024Q3"),"")</f>
        <v>0.00637</v>
      </c>
      <c r="G19" s="49" t="n">
        <f aca="false">IFERROR(AVERAGEIFS(월별!$I$5:$I$70,월별!$C$5:$C$70,"2024Q3"),"")</f>
        <v>32.4663362952837</v>
      </c>
      <c r="H19" s="48" t="n">
        <f aca="false">LOOKUP($B19,정책금리_결정!$D$4:$D$70,정책금리_결정!$E$4:$E$70)</f>
        <v>0.0335</v>
      </c>
      <c r="I19" s="48" t="n">
        <f aca="false">IFERROR(AVERAGEIFS(월별!$K$5:$K$70,월별!$C$5:$C$70,"2024Q3"),"")</f>
        <v>0.016786224104398</v>
      </c>
      <c r="J19" s="48" t="n">
        <f aca="false">IFERROR(AVERAGEIFS(월별!$L$5:$L$70,월별!$C$5:$C$70,"2024Q3"),"")</f>
        <v>0.0202504969257795</v>
      </c>
      <c r="K19" s="48" t="n">
        <f aca="false">IFERROR(AVERAGEIFS(월별!$M$5:$M$70,월별!$C$5:$C$70,"2024Q3"),"")</f>
        <v>0.0208999102202146</v>
      </c>
      <c r="L19" s="49" t="n">
        <f aca="false">IFERROR(AVERAGEIFS(월별!$N$5:$N$70,월별!$C$5:$C$70,"2024Q3"),"")</f>
        <v>34.6427282138152</v>
      </c>
      <c r="M19" s="48" t="n">
        <f aca="false">LOOKUP($B19,정책금리_결정!$G$4:$G$9,정책금리_결정!$H$4:$H$9)</f>
        <v>0.045</v>
      </c>
      <c r="N19" s="48" t="n">
        <f aca="false">IFERROR(AVERAGEIFS(월별!$P$5:$P$70,월별!$C$5:$C$70,"2024Q3"),"")</f>
        <v>0.0200139042599912</v>
      </c>
      <c r="O19" s="48" t="n">
        <f aca="false">IFERROR(SUMIFS(VN_은행채발행!$T$4:$T$712,VN_은행채발행!$D$4:$D$712,"2024Q3")/SUMIFS(VN_은행채발행!$I$4:$I$712,VN_은행채발행!$D$4:$D$712,"2024Q3",VN_은행채발행!$S$4:$S$712,1),"")</f>
        <v>0.055247619047619</v>
      </c>
      <c r="P19" s="50" t="n">
        <f aca="false">SUMIFS(월별!$R$5:$R$70,월별!$C$5:$C$70,"2024Q3")</f>
        <v>37</v>
      </c>
      <c r="Q19" s="49" t="n">
        <f aca="false">IFERROR(SUMIFS(VN_은행채발행!$U$4:$U$712,VN_은행채발행!$D$4:$D$712,"2024Q3")/SUMIFS(VN_은행채발행!$Y$4:$Y$712,VN_은행채발행!$D$4:$D$712,"2024Q3"),"")</f>
        <v>353.104380952381</v>
      </c>
      <c r="R19" s="48" t="n">
        <f aca="false">IFERROR(SUMIFS(VN_은행채발행!$W$4:$W$712,VN_은행채발행!$D$4:$D$712,"2024Q3")/SUMIFS(VN_은행채발행!$I$4:$I$712,VN_은행채발행!$D$4:$D$712,"2024Q3",VN_은행채발행!$V$4:$V$712,1),"")</f>
        <v>0.0583413533834586</v>
      </c>
      <c r="S19" s="49" t="n">
        <f aca="false">IFERROR(SUMIFS(VN_은행채발행!$X$4:$X$712,VN_은행채발행!$D$4:$D$712,"2024Q3")/SUMIFS(VN_은행채발행!$Z$4:$Z$712,VN_은행채발행!$D$4:$D$712,"2024Q3"),"")</f>
        <v>377.96992481203</v>
      </c>
      <c r="T19" s="48" t="n">
        <f aca="false">LOOKUP($B19,정책금리_결정!$J$4:$J$49,정책금리_결정!$K$4:$K$49)</f>
        <v>0.1425</v>
      </c>
      <c r="U19" s="48" t="n">
        <f aca="false">IFERROR(AVERAGEIFS(월별!$W$5:$W$70,월별!$C$5:$C$70,"2024Q3"),"")</f>
        <v>0.129300577200577</v>
      </c>
      <c r="V19" s="48" t="n">
        <f aca="false">IFERROR(AVERAGEIFS(월별!$X$5:$X$70,월별!$C$5:$C$70,"2024Q3"),"")</f>
        <v>0.131708253968254</v>
      </c>
      <c r="W19" s="48" t="n">
        <f aca="false">IFERROR(AVERAGEIFS(월별!$Y$5:$Y$70,월별!$C$5:$C$70,"2024Q3"),"")</f>
        <v>0.138636435786436</v>
      </c>
      <c r="X19" s="48" t="str">
        <f aca="false">IFERROR(AVERAGEIFS(월별!$Z$5:$Z$70,월별!$C$5:$C$70,"2024Q3"),"")</f>
        <v/>
      </c>
      <c r="Y19" s="49" t="n">
        <f aca="false">IFERROR(AVERAGEIFS(월별!$AA$5:$AA$70,월별!$C$5:$C$70,"2024Q3"),"")</f>
        <v>93.3585858585858</v>
      </c>
      <c r="Z19" s="48" t="n">
        <f aca="false">IFERROR(AVERAGEIFS(월별!$AB$5:$AB$70,월별!$C$5:$C$70,"2024Q3"),"")</f>
        <v>0.132700432900433</v>
      </c>
    </row>
    <row r="20" customFormat="false" ht="15" hidden="false" customHeight="false" outlineLevel="0" collapsed="false">
      <c r="A20" s="47" t="s">
        <v>97</v>
      </c>
      <c r="B20" s="29" t="n">
        <f aca="false">EOMONTH(DATE(2024,12,1),0)</f>
        <v>45657</v>
      </c>
      <c r="C20" s="48" t="n">
        <f aca="false">LOOKUP($B20,정책금리_결정!$A$4:$A$70,정책금리_결정!$B$4:$B$70)</f>
        <v>0.0025</v>
      </c>
      <c r="D20" s="48" t="n">
        <f aca="false">IFERROR(AVERAGEIFS(월별!$F$5:$F$70,월별!$C$5:$C$70,"2024Q4"),"")</f>
        <v>0.00526861111111111</v>
      </c>
      <c r="E20" s="48" t="n">
        <f aca="false">IFERROR(AVERAGEIFS(월별!$G$5:$G$70,월별!$C$5:$C$70,"2024Q4"),"")</f>
        <v>0.00873333333333333</v>
      </c>
      <c r="F20" s="48" t="n">
        <f aca="false">IFERROR(AVERAGEIFS(월별!$H$5:$H$70,월별!$C$5:$C$70,"2024Q4"),"")</f>
        <v>0.00818666666666667</v>
      </c>
      <c r="G20" s="49" t="n">
        <f aca="false">IFERROR(AVERAGEIFS(월별!$I$5:$I$70,월별!$C$5:$C$70,"2024Q4"),"")</f>
        <v>34.6472222222222</v>
      </c>
      <c r="H20" s="48" t="n">
        <f aca="false">LOOKUP($B20,정책금리_결정!$D$4:$D$70,정책금리_결정!$E$4:$E$70)</f>
        <v>0.031</v>
      </c>
      <c r="I20" s="48" t="n">
        <f aca="false">IFERROR(AVERAGEIFS(월별!$K$5:$K$70,월별!$C$5:$C$70,"2024Q4"),"")</f>
        <v>0.0145672756132756</v>
      </c>
      <c r="J20" s="48" t="n">
        <f aca="false">IFERROR(AVERAGEIFS(월별!$L$5:$L$70,월별!$C$5:$C$70,"2024Q4"),"")</f>
        <v>0.0196673446495025</v>
      </c>
      <c r="K20" s="48" t="n">
        <f aca="false">IFERROR(AVERAGEIFS(월별!$M$5:$M$70,월별!$C$5:$C$70,"2024Q4"),"")</f>
        <v>0.0208854576972735</v>
      </c>
      <c r="L20" s="49" t="n">
        <f aca="false">IFERROR(AVERAGEIFS(월별!$N$5:$N$70,월별!$C$5:$C$70,"2024Q4"),"")</f>
        <v>51.0006903622693</v>
      </c>
      <c r="M20" s="48" t="n">
        <f aca="false">LOOKUP($B20,정책금리_결정!$G$4:$G$9,정책금리_결정!$H$4:$H$9)</f>
        <v>0.045</v>
      </c>
      <c r="N20" s="48" t="n">
        <f aca="false">IFERROR(AVERAGEIFS(월별!$P$5:$P$70,월별!$C$5:$C$70,"2024Q4"),"")</f>
        <v>0.0199337885061798</v>
      </c>
      <c r="O20" s="48" t="n">
        <f aca="false">IFERROR(SUMIFS(VN_은행채발행!$T$4:$T$712,VN_은행채발행!$D$4:$D$712,"2024Q4")/SUMIFS(VN_은행채발행!$I$4:$I$712,VN_은행채발행!$D$4:$D$712,"2024Q4",VN_은행채발행!$S$4:$S$712,1),"")</f>
        <v>0.0540434782608696</v>
      </c>
      <c r="P20" s="50" t="n">
        <f aca="false">SUMIFS(월별!$R$5:$R$70,월별!$C$5:$C$70,"2024Q4")</f>
        <v>27</v>
      </c>
      <c r="Q20" s="49" t="n">
        <f aca="false">IFERROR(SUMIFS(VN_은행채발행!$U$4:$U$712,VN_은행채발행!$D$4:$D$712,"2024Q4")/SUMIFS(VN_은행채발행!$Y$4:$Y$712,VN_은행채발행!$D$4:$D$712,"2024Q4"),"")</f>
        <v>340.858132045089</v>
      </c>
      <c r="R20" s="48" t="n">
        <f aca="false">IFERROR(SUMIFS(VN_은행채발행!$W$4:$W$712,VN_은행채발행!$D$4:$D$712,"2024Q4")/SUMIFS(VN_은행채발행!$I$4:$I$712,VN_은행채발행!$D$4:$D$712,"2024Q4",VN_은행채발행!$V$4:$V$712,1),"")</f>
        <v>0.049</v>
      </c>
      <c r="S20" s="49" t="n">
        <f aca="false">IFERROR(SUMIFS(VN_은행채발행!$X$4:$X$712,VN_은행채발행!$D$4:$D$712,"2024Q4")/SUMIFS(VN_은행채발행!$Z$4:$Z$712,VN_은행채발행!$D$4:$D$712,"2024Q4"),"")</f>
        <v>295.5</v>
      </c>
      <c r="T20" s="48" t="n">
        <f aca="false">LOOKUP($B20,정책금리_결정!$J$4:$J$49,정책금리_결정!$K$4:$K$49)</f>
        <v>0.1525</v>
      </c>
      <c r="U20" s="48" t="n">
        <f aca="false">IFERROR(AVERAGEIFS(월별!$W$5:$W$70,월별!$C$5:$C$70,"2024Q4"),"")</f>
        <v>0.121818181818182</v>
      </c>
      <c r="V20" s="48" t="n">
        <f aca="false">IFERROR(AVERAGEIFS(월별!$X$5:$X$70,월별!$C$5:$C$70,"2024Q4"),"")</f>
        <v>0.131152886002886</v>
      </c>
      <c r="W20" s="48" t="n">
        <f aca="false">IFERROR(AVERAGEIFS(월별!$Y$5:$Y$70,월별!$C$5:$C$70,"2024Q4"),"")</f>
        <v>0.136873448773449</v>
      </c>
      <c r="X20" s="48" t="str">
        <f aca="false">IFERROR(AVERAGEIFS(월별!$Z$5:$Z$70,월별!$C$5:$C$70,"2024Q4"),"")</f>
        <v/>
      </c>
      <c r="Y20" s="49" t="n">
        <f aca="false">IFERROR(AVERAGEIFS(월별!$AA$5:$AA$70,월별!$C$5:$C$70,"2024Q4"),"")</f>
        <v>150.55266955267</v>
      </c>
      <c r="Z20" s="48" t="n">
        <f aca="false">IFERROR(AVERAGEIFS(월별!$AB$5:$AB$70,월별!$C$5:$C$70,"2024Q4"),"")</f>
        <v>0.14114595959596</v>
      </c>
    </row>
    <row r="21" customFormat="false" ht="15" hidden="false" customHeight="false" outlineLevel="0" collapsed="false">
      <c r="A21" s="47" t="s">
        <v>98</v>
      </c>
      <c r="B21" s="29" t="n">
        <f aca="false">EOMONTH(DATE(2025,3,1),0)</f>
        <v>45747</v>
      </c>
      <c r="C21" s="48" t="n">
        <f aca="false">LOOKUP($B21,정책금리_결정!$A$4:$A$70,정책금리_결정!$B$4:$B$70)</f>
        <v>0.005</v>
      </c>
      <c r="D21" s="48" t="n">
        <f aca="false">IFERROR(AVERAGEIFS(월별!$F$5:$F$70,월별!$C$5:$C$70,"2025Q1"),"")</f>
        <v>0.00822586257309942</v>
      </c>
      <c r="E21" s="48" t="n">
        <f aca="false">IFERROR(AVERAGEIFS(월별!$G$5:$G$70,월별!$C$5:$C$70,"2025Q1"),"")</f>
        <v>0.0118333333333333</v>
      </c>
      <c r="F21" s="48" t="n">
        <f aca="false">IFERROR(AVERAGEIFS(월별!$H$5:$H$70,월별!$C$5:$C$70,"2025Q1"),"")</f>
        <v>0.0111933333333333</v>
      </c>
      <c r="G21" s="49" t="n">
        <f aca="false">IFERROR(AVERAGEIFS(월별!$I$5:$I$70,월별!$C$5:$C$70,"2025Q1"),"")</f>
        <v>36.0747076023392</v>
      </c>
      <c r="H21" s="48" t="n">
        <f aca="false">LOOKUP($B21,정책금리_결정!$D$4:$D$70,정책금리_결정!$E$4:$E$70)</f>
        <v>0.031</v>
      </c>
      <c r="I21" s="48" t="n">
        <f aca="false">IFERROR(AVERAGEIFS(월별!$K$5:$K$70,월별!$C$5:$C$70,"2025Q1"),"")</f>
        <v>0.014192208855472</v>
      </c>
      <c r="J21" s="48" t="n">
        <f aca="false">IFERROR(AVERAGEIFS(월별!$L$5:$L$70,월별!$C$5:$C$70,"2025Q1"),"")</f>
        <v>0.0181389941520468</v>
      </c>
      <c r="K21" s="48" t="n">
        <f aca="false">IFERROR(AVERAGEIFS(월별!$M$5:$M$70,월별!$C$5:$C$70,"2025Q1"),"")</f>
        <v>0.0192669665831245</v>
      </c>
      <c r="L21" s="49" t="n">
        <f aca="false">IFERROR(AVERAGEIFS(월별!$N$5:$N$70,월별!$C$5:$C$70,"2025Q1"),"")</f>
        <v>39.4678529657477</v>
      </c>
      <c r="M21" s="48" t="n">
        <f aca="false">LOOKUP($B21,정책금리_결정!$G$4:$G$9,정책금리_결정!$H$4:$H$9)</f>
        <v>0.045</v>
      </c>
      <c r="N21" s="48" t="n">
        <f aca="false">IFERROR(AVERAGEIFS(월별!$P$5:$P$70,월별!$C$5:$C$70,"2025Q1"),"")</f>
        <v>0.0223689044168392</v>
      </c>
      <c r="O21" s="48" t="str">
        <f aca="false">IFERROR(SUMIFS(VN_은행채발행!$T$4:$T$712,VN_은행채발행!$D$4:$D$712,"2025Q1")/SUMIFS(VN_은행채발행!$I$4:$I$712,VN_은행채발행!$D$4:$D$712,"2025Q1",VN_은행채발행!$S$4:$S$712,1),"")</f>
        <v/>
      </c>
      <c r="P21" s="50" t="n">
        <f aca="false">SUMIFS(월별!$R$5:$R$70,월별!$C$5:$C$70,"2025Q1")</f>
        <v>0</v>
      </c>
      <c r="Q21" s="49" t="str">
        <f aca="false">IFERROR(SUMIFS(VN_은행채발행!$U$4:$U$712,VN_은행채발행!$D$4:$D$712,"2025Q1")/SUMIFS(VN_은행채발행!$Y$4:$Y$712,VN_은행채발행!$D$4:$D$712,"2025Q1"),"")</f>
        <v/>
      </c>
      <c r="R21" s="48" t="str">
        <f aca="false">IFERROR(SUMIFS(VN_은행채발행!$W$4:$W$712,VN_은행채발행!$D$4:$D$712,"2025Q1")/SUMIFS(VN_은행채발행!$I$4:$I$712,VN_은행채발행!$D$4:$D$712,"2025Q1",VN_은행채발행!$V$4:$V$712,1),"")</f>
        <v/>
      </c>
      <c r="S21" s="49" t="str">
        <f aca="false">IFERROR(SUMIFS(VN_은행채발행!$X$4:$X$712,VN_은행채발행!$D$4:$D$712,"2025Q1")/SUMIFS(VN_은행채발행!$Z$4:$Z$712,VN_은행채발행!$D$4:$D$712,"2025Q1"),"")</f>
        <v/>
      </c>
      <c r="T21" s="48" t="n">
        <f aca="false">LOOKUP($B21,정책금리_결정!$J$4:$J$49,정책금리_결정!$K$4:$K$49)</f>
        <v>0.165</v>
      </c>
      <c r="U21" s="48" t="n">
        <f aca="false">IFERROR(AVERAGEIFS(월별!$W$5:$W$70,월별!$C$5:$C$70,"2025Q1"),"")</f>
        <v>0.130669215686275</v>
      </c>
      <c r="V21" s="48" t="n">
        <f aca="false">IFERROR(AVERAGEIFS(월별!$X$5:$X$70,월별!$C$5:$C$70,"2025Q1"),"")</f>
        <v>0.136192528379773</v>
      </c>
      <c r="W21" s="48" t="n">
        <f aca="false">IFERROR(AVERAGEIFS(월별!$Y$5:$Y$70,월별!$C$5:$C$70,"2025Q1"),"")</f>
        <v>0.141444705882353</v>
      </c>
      <c r="X21" s="48" t="str">
        <f aca="false">IFERROR(AVERAGEIFS(월별!$Z$5:$Z$70,월별!$C$5:$C$70,"2025Q1"),"")</f>
        <v/>
      </c>
      <c r="Y21" s="49" t="n">
        <f aca="false">IFERROR(AVERAGEIFS(월별!$AA$5:$AA$70,월별!$C$5:$C$70,"2025Q1"),"")</f>
        <v>107.754901960784</v>
      </c>
      <c r="Z21" s="48" t="n">
        <f aca="false">IFERROR(AVERAGEIFS(월별!$AB$5:$AB$70,월별!$C$5:$C$70,"2025Q1"),"")</f>
        <v>0.150463039215686</v>
      </c>
    </row>
    <row r="22" customFormat="false" ht="15" hidden="false" customHeight="false" outlineLevel="0" collapsed="false">
      <c r="A22" s="47" t="s">
        <v>99</v>
      </c>
      <c r="B22" s="29" t="n">
        <f aca="false">EOMONTH(DATE(2025,6,1),0)</f>
        <v>45838</v>
      </c>
      <c r="C22" s="48" t="n">
        <f aca="false">LOOKUP($B22,정책금리_결정!$A$4:$A$70,정책금리_결정!$B$4:$B$70)</f>
        <v>0.005</v>
      </c>
      <c r="D22" s="48" t="n">
        <f aca="false">IFERROR(AVERAGEIFS(월별!$F$5:$F$70,월별!$C$5:$C$70,"2025Q2"),"")</f>
        <v>0.00763005555555556</v>
      </c>
      <c r="E22" s="48" t="n">
        <f aca="false">IFERROR(AVERAGEIFS(월별!$G$5:$G$70,월별!$C$5:$C$70,"2025Q2"),"")</f>
        <v>0.0110866666666667</v>
      </c>
      <c r="F22" s="48" t="n">
        <f aca="false">IFERROR(AVERAGEIFS(월별!$H$5:$H$70,월별!$C$5:$C$70,"2025Q2"),"")</f>
        <v>0.0104666666666667</v>
      </c>
      <c r="G22" s="49" t="n">
        <f aca="false">IFERROR(AVERAGEIFS(월별!$I$5:$I$70,월별!$C$5:$C$70,"2025Q2"),"")</f>
        <v>34.5661111111111</v>
      </c>
      <c r="H22" s="48" t="n">
        <f aca="false">LOOKUP($B22,정책금리_결정!$D$4:$D$70,정책금리_결정!$E$4:$E$70)</f>
        <v>0.03</v>
      </c>
      <c r="I22" s="48" t="n">
        <f aca="false">IFERROR(AVERAGEIFS(월별!$K$5:$K$70,월별!$C$5:$C$70,"2025Q2"),"")</f>
        <v>0.0146906993620415</v>
      </c>
      <c r="J22" s="48" t="n">
        <f aca="false">IFERROR(AVERAGEIFS(월별!$L$5:$L$70,월별!$C$5:$C$70,"2025Q2"),"")</f>
        <v>0.0177595777511962</v>
      </c>
      <c r="K22" s="48" t="n">
        <f aca="false">IFERROR(AVERAGEIFS(월별!$M$5:$M$70,월별!$C$5:$C$70,"2025Q2"),"")</f>
        <v>0.018622169138756</v>
      </c>
      <c r="L22" s="49" t="n">
        <f aca="false">IFERROR(AVERAGEIFS(월별!$N$5:$N$70,월별!$C$5:$C$70,"2025Q2"),"")</f>
        <v>30.6887838915471</v>
      </c>
      <c r="M22" s="48" t="n">
        <f aca="false">LOOKUP($B22,정책금리_결정!$G$4:$G$9,정책금리_결정!$H$4:$H$9)</f>
        <v>0.045</v>
      </c>
      <c r="N22" s="48" t="n">
        <f aca="false">IFERROR(AVERAGEIFS(월별!$P$5:$P$70,월별!$C$5:$C$70,"2025Q2"),"")</f>
        <v>0.0232496897546898</v>
      </c>
      <c r="O22" s="48" t="n">
        <f aca="false">IFERROR(SUMIFS(VN_은행채발행!$T$4:$T$712,VN_은행채발행!$D$4:$D$712,"2025Q2")/SUMIFS(VN_은행채발행!$I$4:$I$712,VN_은행채발행!$D$4:$D$712,"2025Q2",VN_은행채발행!$S$4:$S$712,1),"")</f>
        <v>0.0524095335725269</v>
      </c>
      <c r="P22" s="50" t="n">
        <f aca="false">SUMIFS(월별!$R$5:$R$70,월별!$C$5:$C$70,"2025Q2")</f>
        <v>51</v>
      </c>
      <c r="Q22" s="49" t="n">
        <f aca="false">IFERROR(SUMIFS(VN_은행채발행!$U$4:$U$712,VN_은행채발행!$D$4:$D$712,"2025Q2")/SUMIFS(VN_은행채발행!$Y$4:$Y$712,VN_은행채발행!$D$4:$D$712,"2025Q2"),"")</f>
        <v>291.767196309585</v>
      </c>
      <c r="R22" s="48" t="str">
        <f aca="false">IFERROR(SUMIFS(VN_은행채발행!$W$4:$W$712,VN_은행채발행!$D$4:$D$712,"2025Q2")/SUMIFS(VN_은행채발행!$I$4:$I$712,VN_은행채발행!$D$4:$D$712,"2025Q2",VN_은행채발행!$V$4:$V$712,1),"")</f>
        <v/>
      </c>
      <c r="S22" s="49" t="str">
        <f aca="false">IFERROR(SUMIFS(VN_은행채발행!$X$4:$X$712,VN_은행채발행!$D$4:$D$712,"2025Q2")/SUMIFS(VN_은행채발행!$Z$4:$Z$712,VN_은행채발행!$D$4:$D$712,"2025Q2"),"")</f>
        <v/>
      </c>
      <c r="T22" s="48" t="n">
        <f aca="false">LOOKUP($B22,정책금리_결정!$J$4:$J$49,정책금리_결정!$K$4:$K$49)</f>
        <v>0.165</v>
      </c>
      <c r="U22" s="48" t="n">
        <f aca="false">IFERROR(AVERAGEIFS(월별!$W$5:$W$70,월별!$C$5:$C$70,"2025Q2"),"")</f>
        <v>0.156906618819777</v>
      </c>
      <c r="V22" s="48" t="n">
        <f aca="false">IFERROR(AVERAGEIFS(월별!$X$5:$X$70,월별!$C$5:$C$70,"2025Q2"),"")</f>
        <v>0.157083425039872</v>
      </c>
      <c r="W22" s="48" t="n">
        <f aca="false">IFERROR(AVERAGEIFS(월별!$Y$5:$Y$70,월별!$C$5:$C$70,"2025Q2"),"")</f>
        <v>0.147391802232855</v>
      </c>
      <c r="X22" s="48" t="str">
        <f aca="false">IFERROR(AVERAGEIFS(월별!$Z$5:$Z$70,월별!$C$5:$C$70,"2025Q2"),"")</f>
        <v/>
      </c>
      <c r="Y22" s="49" t="n">
        <f aca="false">IFERROR(AVERAGEIFS(월별!$AA$5:$AA$70,월별!$C$5:$C$70,"2025Q2"),"")</f>
        <v>-95.1481658692184</v>
      </c>
      <c r="Z22" s="48" t="n">
        <f aca="false">IFERROR(AVERAGEIFS(월별!$AB$5:$AB$70,월별!$C$5:$C$70,"2025Q2"),"")</f>
        <v>0.156996419457735</v>
      </c>
    </row>
    <row r="23" customFormat="false" ht="15" hidden="false" customHeight="false" outlineLevel="0" collapsed="false">
      <c r="A23" s="47" t="s">
        <v>100</v>
      </c>
      <c r="B23" s="29" t="n">
        <f aca="false">EOMONTH(DATE(2025,9,1),0)</f>
        <v>45930</v>
      </c>
      <c r="C23" s="48" t="n">
        <f aca="false">LOOKUP($B23,정책금리_결정!$A$4:$A$70,정책금리_결정!$B$4:$B$70)</f>
        <v>0.005</v>
      </c>
      <c r="D23" s="48" t="n">
        <f aca="false">IFERROR(AVERAGEIFS(월별!$F$5:$F$70,월별!$C$5:$C$70,"2025Q3"),"")</f>
        <v>0.0090320303030303</v>
      </c>
      <c r="E23" s="48" t="n">
        <f aca="false">IFERROR(AVERAGEIFS(월별!$G$5:$G$70,월별!$C$5:$C$70,"2025Q3"),"")</f>
        <v>0.0128533333333333</v>
      </c>
      <c r="F23" s="48" t="n">
        <f aca="false">IFERROR(AVERAGEIFS(월별!$H$5:$H$70,월별!$C$5:$C$70,"2025Q3"),"")</f>
        <v>0.01221</v>
      </c>
      <c r="G23" s="49" t="n">
        <f aca="false">IFERROR(AVERAGEIFS(월별!$I$5:$I$70,월별!$C$5:$C$70,"2025Q3"),"")</f>
        <v>38.2130303030303</v>
      </c>
      <c r="H23" s="48" t="n">
        <f aca="false">LOOKUP($B23,정책금리_결정!$D$4:$D$70,정책금리_결정!$E$4:$E$70)</f>
        <v>0.03</v>
      </c>
      <c r="I23" s="48" t="n">
        <f aca="false">IFERROR(AVERAGEIFS(월별!$K$5:$K$70,월별!$C$5:$C$70,"2025Q3"),"")</f>
        <v>0.0146112974465148</v>
      </c>
      <c r="J23" s="48" t="n">
        <f aca="false">IFERROR(AVERAGEIFS(월별!$L$5:$L$70,월별!$C$5:$C$70,"2025Q3"),"")</f>
        <v>0.017874160110421</v>
      </c>
      <c r="K23" s="48" t="n">
        <f aca="false">IFERROR(AVERAGEIFS(월별!$M$5:$M$70,월별!$C$5:$C$70,"2025Q3"),"")</f>
        <v>0.0188763947550035</v>
      </c>
      <c r="L23" s="49" t="n">
        <f aca="false">IFERROR(AVERAGEIFS(월별!$N$5:$N$70,월별!$C$5:$C$70,"2025Q3"),"")</f>
        <v>32.6286266390614</v>
      </c>
      <c r="M23" s="48" t="n">
        <f aca="false">LOOKUP($B23,정책금리_결정!$G$4:$G$9,정책금리_결정!$H$4:$H$9)</f>
        <v>0.045</v>
      </c>
      <c r="N23" s="48" t="n">
        <f aca="false">IFERROR(AVERAGEIFS(월별!$P$5:$P$70,월별!$C$5:$C$70,"2025Q3"),"")</f>
        <v>0.027265211117385</v>
      </c>
      <c r="O23" s="48" t="n">
        <f aca="false">IFERROR(SUMIFS(VN_은행채발행!$T$4:$T$712,VN_은행채발행!$D$4:$D$712,"2025Q3")/SUMIFS(VN_은행채발행!$I$4:$I$712,VN_은행채발행!$D$4:$D$712,"2025Q3",VN_은행채발행!$S$4:$S$712,1),"")</f>
        <v>0.0554432444852941</v>
      </c>
      <c r="P23" s="50" t="n">
        <f aca="false">SUMIFS(월별!$R$5:$R$70,월별!$C$5:$C$70,"2025Q3")</f>
        <v>24</v>
      </c>
      <c r="Q23" s="49" t="n">
        <f aca="false">IFERROR(SUMIFS(VN_은행채발행!$U$4:$U$712,VN_은행채발행!$D$4:$D$712,"2025Q3")/SUMIFS(VN_은행채발행!$Y$4:$Y$712,VN_은행채발행!$D$4:$D$712,"2025Q3"),"")</f>
        <v>285.331066176471</v>
      </c>
      <c r="R23" s="48" t="n">
        <f aca="false">IFERROR(SUMIFS(VN_은행채발행!$W$4:$W$712,VN_은행채발행!$D$4:$D$712,"2025Q3")/SUMIFS(VN_은행채발행!$I$4:$I$712,VN_은행채발행!$D$4:$D$712,"2025Q3",VN_은행채발행!$V$4:$V$712,1),"")</f>
        <v>0.052</v>
      </c>
      <c r="S23" s="49" t="n">
        <f aca="false">IFERROR(SUMIFS(VN_은행채발행!$X$4:$X$712,VN_은행채발행!$D$4:$D$712,"2025Q3")/SUMIFS(VN_은행채발행!$Z$4:$Z$712,VN_은행채발행!$D$4:$D$712,"2025Q3"),"")</f>
        <v>280.4</v>
      </c>
      <c r="T23" s="48" t="n">
        <f aca="false">LOOKUP($B23,정책금리_결정!$J$4:$J$49,정책금리_결정!$K$4:$K$49)</f>
        <v>0.165</v>
      </c>
      <c r="U23" s="48" t="n">
        <f aca="false">IFERROR(AVERAGEIFS(월별!$W$5:$W$70,월별!$C$5:$C$70,"2025Q3"),"")</f>
        <v>0.169226623376623</v>
      </c>
      <c r="V23" s="48" t="n">
        <f aca="false">IFERROR(AVERAGEIFS(월별!$X$5:$X$70,월별!$C$5:$C$70,"2025Q3"),"")</f>
        <v>0.16981443001443</v>
      </c>
      <c r="W23" s="48" t="n">
        <f aca="false">IFERROR(AVERAGEIFS(월별!$Y$5:$Y$70,월별!$C$5:$C$70,"2025Q3"),"")</f>
        <v>0.158219913419913</v>
      </c>
      <c r="X23" s="48" t="str">
        <f aca="false">IFERROR(AVERAGEIFS(월별!$Z$5:$Z$70,월별!$C$5:$C$70,"2025Q3"),"")</f>
        <v/>
      </c>
      <c r="Y23" s="49" t="n">
        <f aca="false">IFERROR(AVERAGEIFS(월별!$AA$5:$AA$70,월별!$C$5:$C$70,"2025Q3"),"")</f>
        <v>-110.0670995671</v>
      </c>
      <c r="Z23" s="48" t="n">
        <f aca="false">IFERROR(AVERAGEIFS(월별!$AB$5:$AB$70,월별!$C$5:$C$70,"2025Q3"),"")</f>
        <v>0.156583910533911</v>
      </c>
    </row>
    <row r="24" customFormat="false" ht="15" hidden="false" customHeight="false" outlineLevel="0" collapsed="false">
      <c r="A24" s="51" t="s">
        <v>101</v>
      </c>
      <c r="B24" s="40" t="n">
        <f aca="false">EOMONTH(DATE(2025,12,1),0)</f>
        <v>46022</v>
      </c>
      <c r="C24" s="43" t="n">
        <f aca="false">LOOKUP($B24,정책금리_결정!$A$4:$A$70,정책금리_결정!$B$4:$B$70)</f>
        <v>0.0075</v>
      </c>
      <c r="D24" s="43" t="n">
        <f aca="false">IFERROR(AVERAGEIFS(월별!$F$5:$F$70,월별!$C$5:$C$70,"2025Q4"),"")</f>
        <v>0.0107592255892256</v>
      </c>
      <c r="E24" s="43" t="n">
        <f aca="false">IFERROR(AVERAGEIFS(월별!$G$5:$G$70,월별!$C$5:$C$70,"2025Q4"),"")</f>
        <v>0.0146116666666667</v>
      </c>
      <c r="F24" s="43" t="n">
        <f aca="false">IFERROR(AVERAGEIFS(월별!$H$5:$H$70,월별!$C$5:$C$70,"2025Q4"),"")</f>
        <v>0.0139316666666667</v>
      </c>
      <c r="G24" s="46" t="n">
        <f aca="false">IFERROR(AVERAGEIFS(월별!$I$5:$I$70,월별!$C$5:$C$70,"2025Q4"),"")</f>
        <v>38.5244107744108</v>
      </c>
      <c r="H24" s="43" t="n">
        <f aca="false">LOOKUP($B24,정책금리_결정!$D$4:$D$70,정책금리_결정!$E$4:$E$70)</f>
        <v>0.03</v>
      </c>
      <c r="I24" s="43" t="n">
        <f aca="false">IFERROR(AVERAGEIFS(월별!$K$5:$K$70,월별!$C$5:$C$70,"2025Q4"),"")</f>
        <v>0.0144780076489533</v>
      </c>
      <c r="J24" s="43" t="n">
        <f aca="false">IFERROR(AVERAGEIFS(월별!$L$5:$L$70,월별!$C$5:$C$70,"2025Q4"),"")</f>
        <v>0.0183706407407407</v>
      </c>
      <c r="K24" s="43" t="n">
        <f aca="false">IFERROR(AVERAGEIFS(월별!$M$5:$M$70,월별!$C$5:$C$70,"2025Q4"),"")</f>
        <v>0.0191154260064412</v>
      </c>
      <c r="L24" s="46" t="n">
        <f aca="false">IFERROR(AVERAGEIFS(월별!$N$5:$N$70,월별!$C$5:$C$70,"2025Q4"),"")</f>
        <v>38.9263309178744</v>
      </c>
      <c r="M24" s="43" t="n">
        <f aca="false">LOOKUP($B24,정책금리_결정!$G$4:$G$9,정책금리_결정!$H$4:$H$9)</f>
        <v>0.045</v>
      </c>
      <c r="N24" s="43" t="n">
        <f aca="false">IFERROR(AVERAGEIFS(월별!$P$5:$P$70,월별!$C$5:$C$70,"2025Q4"),"")</f>
        <v>0.0309426666666667</v>
      </c>
      <c r="O24" s="43" t="n">
        <f aca="false">IFERROR(SUMIFS(VN_은행채발행!$T$4:$T$712,VN_은행채발행!$D$4:$D$712,"2025Q4")/SUMIFS(VN_은행채발행!$I$4:$I$712,VN_은행채발행!$D$4:$D$712,"2025Q4",VN_은행채발행!$S$4:$S$712,1),"")</f>
        <v>0.0659758852922007</v>
      </c>
      <c r="P24" s="45" t="n">
        <f aca="false">SUMIFS(월별!$R$5:$R$70,월별!$C$5:$C$70,"2025Q4")</f>
        <v>32</v>
      </c>
      <c r="Q24" s="46" t="n">
        <f aca="false">IFERROR(SUMIFS(VN_은행채발행!$U$4:$U$712,VN_은행채발행!$D$4:$D$712,"2025Q4")/SUMIFS(VN_은행채발행!$Y$4:$Y$712,VN_은행채발행!$D$4:$D$712,"2025Q4"),"")</f>
        <v>349.958396697806</v>
      </c>
      <c r="R24" s="43" t="n">
        <f aca="false">IFERROR(SUMIFS(VN_은행채발행!$W$4:$W$712,VN_은행채발행!$D$4:$D$712,"2025Q4")/SUMIFS(VN_은행채발행!$I$4:$I$712,VN_은행채발행!$D$4:$D$712,"2025Q4",VN_은행채발행!$V$4:$V$712,1),"")</f>
        <v>0.058</v>
      </c>
      <c r="S24" s="46" t="n">
        <f aca="false">IFERROR(SUMIFS(VN_은행채발행!$X$4:$X$712,VN_은행채발행!$D$4:$D$712,"2025Q4")/SUMIFS(VN_은행채발행!$Z$4:$Z$712,VN_은행채발행!$D$4:$D$712,"2025Q4"),"")</f>
        <v>268</v>
      </c>
      <c r="T24" s="43" t="n">
        <f aca="false">LOOKUP($B24,정책금리_결정!$J$4:$J$49,정책금리_결정!$K$4:$K$49)</f>
        <v>0.18</v>
      </c>
      <c r="U24" s="43" t="n">
        <f aca="false">IFERROR(AVERAGEIFS(월별!$W$5:$W$70,월별!$C$5:$C$70,"2025Q4"),"")</f>
        <v>0.168787727272727</v>
      </c>
      <c r="V24" s="43" t="n">
        <f aca="false">IFERROR(AVERAGEIFS(월별!$X$5:$X$70,월별!$C$5:$C$70,"2025Q4"),"")</f>
        <v>0.169319075757576</v>
      </c>
      <c r="W24" s="43" t="n">
        <f aca="false">IFERROR(AVERAGEIFS(월별!$Y$5:$Y$70,월별!$C$5:$C$70,"2025Q4"),"")</f>
        <v>0.168100909090909</v>
      </c>
      <c r="X24" s="43" t="str">
        <f aca="false">IFERROR(AVERAGEIFS(월별!$Z$5:$Z$70,월별!$C$5:$C$70,"2025Q4"),"")</f>
        <v/>
      </c>
      <c r="Y24" s="46" t="n">
        <f aca="false">IFERROR(AVERAGEIFS(월별!$AA$5:$AA$70,월별!$C$5:$C$70,"2025Q4"),"")</f>
        <v>-6.86818181818168</v>
      </c>
      <c r="Z24" s="43" t="n">
        <f aca="false">IFERROR(AVERAGEIFS(월별!$AB$5:$AB$70,월별!$C$5:$C$70,"2025Q4"),"")</f>
        <v>0.169193484848485</v>
      </c>
    </row>
    <row r="25" customFormat="false" ht="15" hidden="false" customHeight="false" outlineLevel="0" collapsed="false">
      <c r="A25" s="47" t="s">
        <v>102</v>
      </c>
      <c r="B25" s="29" t="n">
        <f aca="false">EOMONTH(DATE(2026,3,1),0)</f>
        <v>46112</v>
      </c>
      <c r="C25" s="48" t="n">
        <f aca="false">LOOKUP($B25,정책금리_결정!$A$4:$A$70,정책금리_결정!$B$4:$B$70)</f>
        <v>0.0075</v>
      </c>
      <c r="D25" s="48" t="n">
        <f aca="false">IFERROR(AVERAGEIFS(월별!$F$5:$F$70,월별!$C$5:$C$70,"2026Q1"),"")</f>
        <v>0.0138124157616263</v>
      </c>
      <c r="E25" s="48" t="n">
        <f aca="false">IFERROR(AVERAGEIFS(월별!$G$5:$G$70,월별!$C$5:$C$70,"2026Q1"),"")</f>
        <v>0.0180566666666667</v>
      </c>
      <c r="F25" s="48" t="n">
        <f aca="false">IFERROR(AVERAGEIFS(월별!$H$5:$H$70,월별!$C$5:$C$70,"2026Q1"),"")</f>
        <v>0.01714</v>
      </c>
      <c r="G25" s="49" t="n">
        <f aca="false">IFERROR(AVERAGEIFS(월별!$I$5:$I$70,월별!$C$5:$C$70,"2026Q1"),"")</f>
        <v>42.4425090504038</v>
      </c>
      <c r="H25" s="48" t="n">
        <f aca="false">LOOKUP($B25,정책금리_결정!$D$4:$D$70,정책금리_결정!$E$4:$E$70)</f>
        <v>0.03</v>
      </c>
      <c r="I25" s="48" t="n">
        <f aca="false">IFERROR(AVERAGEIFS(월별!$K$5:$K$70,월별!$C$5:$C$70,"2026Q1"),"")</f>
        <v>0.0138908071789322</v>
      </c>
      <c r="J25" s="48" t="n">
        <f aca="false">IFERROR(AVERAGEIFS(월별!$L$5:$L$70,월별!$C$5:$C$70,"2026Q1"),"")</f>
        <v>0.0175448401875902</v>
      </c>
      <c r="K25" s="48" t="n">
        <f aca="false">IFERROR(AVERAGEIFS(월별!$M$5:$M$70,월별!$C$5:$C$70,"2026Q1"),"")</f>
        <v>0.0182844192821068</v>
      </c>
      <c r="L25" s="49" t="n">
        <f aca="false">IFERROR(AVERAGEIFS(월별!$N$5:$N$70,월별!$C$5:$C$70,"2026Q1"),"")</f>
        <v>36.5403300865801</v>
      </c>
      <c r="M25" s="48" t="n">
        <f aca="false">LOOKUP($B25,정책금리_결정!$G$4:$G$9,정책금리_결정!$H$4:$H$9)</f>
        <v>0.045</v>
      </c>
      <c r="N25" s="48" t="n">
        <f aca="false">IFERROR(AVERAGEIFS(월별!$P$5:$P$70,월별!$C$5:$C$70,"2026Q1"),"")</f>
        <v>0.0337289090909091</v>
      </c>
      <c r="O25" s="48" t="str">
        <f aca="false">IFERROR(SUMIFS(VN_은행채발행!$T$4:$T$712,VN_은행채발행!$D$4:$D$712,"2026Q1")/SUMIFS(VN_은행채발행!$I$4:$I$712,VN_은행채발행!$D$4:$D$712,"2026Q1",VN_은행채발행!$S$4:$S$712,1),"")</f>
        <v/>
      </c>
      <c r="P25" s="50" t="n">
        <f aca="false">SUMIFS(월별!$R$5:$R$70,월별!$C$5:$C$70,"2026Q1")</f>
        <v>0</v>
      </c>
      <c r="Q25" s="49" t="str">
        <f aca="false">IFERROR(SUMIFS(VN_은행채발행!$U$4:$U$712,VN_은행채발행!$D$4:$D$712,"2026Q1")/SUMIFS(VN_은행채발행!$Y$4:$Y$712,VN_은행채발행!$D$4:$D$712,"2026Q1"),"")</f>
        <v/>
      </c>
      <c r="R25" s="48" t="str">
        <f aca="false">IFERROR(SUMIFS(VN_은행채발행!$W$4:$W$712,VN_은행채발행!$D$4:$D$712,"2026Q1")/SUMIFS(VN_은행채발행!$I$4:$I$712,VN_은행채발행!$D$4:$D$712,"2026Q1",VN_은행채발행!$V$4:$V$712,1),"")</f>
        <v/>
      </c>
      <c r="S25" s="49" t="str">
        <f aca="false">IFERROR(SUMIFS(VN_은행채발행!$X$4:$X$712,VN_은행채발행!$D$4:$D$712,"2026Q1")/SUMIFS(VN_은행채발행!$Z$4:$Z$712,VN_은행채발행!$D$4:$D$712,"2026Q1"),"")</f>
        <v/>
      </c>
      <c r="T25" s="48" t="n">
        <f aca="false">LOOKUP($B25,정책금리_결정!$J$4:$J$49,정책금리_결정!$K$4:$K$49)</f>
        <v>0.18</v>
      </c>
      <c r="U25" s="48" t="n">
        <f aca="false">IFERROR(AVERAGEIFS(월별!$W$5:$W$70,월별!$C$5:$C$70,"2026Q1"),"")</f>
        <v>0.162026393762183</v>
      </c>
      <c r="V25" s="48" t="n">
        <f aca="false">IFERROR(AVERAGEIFS(월별!$X$5:$X$70,월별!$C$5:$C$70,"2026Q1"),"")</f>
        <v>0.159254580896686</v>
      </c>
      <c r="W25" s="48" t="n">
        <f aca="false">IFERROR(AVERAGEIFS(월별!$Y$5:$Y$70,월별!$C$5:$C$70,"2026Q1"),"")</f>
        <v>0.166906832358674</v>
      </c>
      <c r="X25" s="48" t="str">
        <f aca="false">IFERROR(AVERAGEIFS(월별!$Z$5:$Z$70,월별!$C$5:$C$70,"2026Q1"),"")</f>
        <v/>
      </c>
      <c r="Y25" s="49" t="n">
        <f aca="false">IFERROR(AVERAGEIFS(월별!$AA$5:$AA$70,월별!$C$5:$C$70,"2026Q1"),"")</f>
        <v>48.8043859649122</v>
      </c>
      <c r="Z25" s="48" t="n">
        <f aca="false">IFERROR(AVERAGEIFS(월별!$AB$5:$AB$70,월별!$C$5:$C$70,"2026Q1"),"")</f>
        <v>0.174929132553606</v>
      </c>
    </row>
    <row r="26" customFormat="false" ht="15" hidden="false" customHeight="false" outlineLevel="0" collapsed="false">
      <c r="A26" s="47" t="s">
        <v>103</v>
      </c>
      <c r="B26" s="29" t="n">
        <f aca="false">EOMONTH(DATE(2026,6,1),0)</f>
        <v>46203</v>
      </c>
      <c r="C26" s="48" t="n">
        <f aca="false">LOOKUP($B26,정책금리_결정!$A$4:$A$70,정책금리_결정!$B$4:$B$70)</f>
        <v>0.01</v>
      </c>
      <c r="D26" s="48" t="n">
        <f aca="false">IFERROR(AVERAGEIFS(월별!$F$5:$F$70,월별!$C$5:$C$70,"2026Q2"),"")</f>
        <v>0.0155836507936508</v>
      </c>
      <c r="E26" s="48" t="n">
        <f aca="false">IFERROR(AVERAGEIFS(월별!$G$5:$G$70,월별!$C$5:$C$70,"2026Q2"),"")</f>
        <v>0.0199</v>
      </c>
      <c r="F26" s="48" t="n">
        <f aca="false">IFERROR(AVERAGEIFS(월별!$H$5:$H$70,월별!$C$5:$C$70,"2026Q2"),"")</f>
        <v>0.0190433333333333</v>
      </c>
      <c r="G26" s="49" t="n">
        <f aca="false">IFERROR(AVERAGEIFS(월별!$I$5:$I$70,월별!$C$5:$C$70,"2026Q2"),"")</f>
        <v>43.1634920634921</v>
      </c>
      <c r="H26" s="48" t="n">
        <f aca="false">LOOKUP($B26,정책금리_결정!$D$4:$D$70,정책금리_결정!$E$4:$E$70)</f>
        <v>0.03</v>
      </c>
      <c r="I26" s="48" t="n">
        <f aca="false">IFERROR(AVERAGEIFS(월별!$K$5:$K$70,월별!$C$5:$C$70,"2026Q2"),"")</f>
        <v>0.0130227811194653</v>
      </c>
      <c r="J26" s="48" t="n">
        <f aca="false">IFERROR(AVERAGEIFS(월별!$L$5:$L$70,월별!$C$5:$C$70,"2026Q2"),"")</f>
        <v>0.0155677109440267</v>
      </c>
      <c r="K26" s="48" t="n">
        <f aca="false">IFERROR(AVERAGEIFS(월별!$M$5:$M$70,월별!$C$5:$C$70,"2026Q2"),"")</f>
        <v>0.0168560442773601</v>
      </c>
      <c r="L26" s="49" t="n">
        <f aca="false">IFERROR(AVERAGEIFS(월별!$N$5:$N$70,월별!$C$5:$C$70,"2026Q2"),"")</f>
        <v>25.449298245614</v>
      </c>
      <c r="M26" s="48" t="n">
        <f aca="false">LOOKUP($B26,정책금리_결정!$G$4:$G$9,정책금리_결정!$H$4:$H$9)</f>
        <v>0.045</v>
      </c>
      <c r="N26" s="48" t="n">
        <f aca="false">IFERROR(AVERAGEIFS(월별!$P$5:$P$70,월별!$C$5:$C$70,"2026Q2"),"")</f>
        <v>0.0363943362193362</v>
      </c>
      <c r="O26" s="48" t="n">
        <f aca="false">IFERROR(SUMIFS(VN_은행채발행!$T$4:$T$712,VN_은행채발행!$D$4:$D$712,"2026Q2")/SUMIFS(VN_은행채발행!$I$4:$I$712,VN_은행채발행!$D$4:$D$712,"2026Q2",VN_은행채발행!$S$4:$S$712,1),"")</f>
        <v>0.0847191113126275</v>
      </c>
      <c r="P26" s="50" t="n">
        <f aca="false">SUMIFS(월별!$R$5:$R$70,월별!$C$5:$C$70,"2026Q2")</f>
        <v>27</v>
      </c>
      <c r="Q26" s="49" t="n">
        <f aca="false">IFERROR(SUMIFS(VN_은행채발행!$U$4:$U$712,VN_은행채발행!$D$4:$D$712,"2026Q2")/SUMIFS(VN_은행채발행!$Y$4:$Y$712,VN_은행채발행!$D$4:$D$712,"2026Q2"),"")</f>
        <v>485.462865563364</v>
      </c>
      <c r="R26" s="48" t="str">
        <f aca="false">IFERROR(SUMIFS(VN_은행채발행!$W$4:$W$712,VN_은행채발행!$D$4:$D$712,"2026Q2")/SUMIFS(VN_은행채발행!$I$4:$I$712,VN_은행채발행!$D$4:$D$712,"2026Q2",VN_은행채발행!$V$4:$V$712,1),"")</f>
        <v/>
      </c>
      <c r="S26" s="49" t="str">
        <f aca="false">IFERROR(SUMIFS(VN_은행채발행!$X$4:$X$712,VN_은행채발행!$D$4:$D$712,"2026Q2")/SUMIFS(VN_은행채발행!$Z$4:$Z$712,VN_은행채발행!$D$4:$D$712,"2026Q2"),"")</f>
        <v/>
      </c>
      <c r="T26" s="48" t="n">
        <f aca="false">LOOKUP($B26,정책금리_결정!$J$4:$J$49,정책금리_결정!$K$4:$K$49)</f>
        <v>0.17</v>
      </c>
      <c r="U26" s="48" t="n">
        <f aca="false">IFERROR(AVERAGEIFS(월별!$W$5:$W$70,월별!$C$5:$C$70,"2026Q2"),"")</f>
        <v>0.162738859180036</v>
      </c>
      <c r="V26" s="48" t="n">
        <f aca="false">IFERROR(AVERAGEIFS(월별!$X$5:$X$70,월별!$C$5:$C$70,"2026Q2"),"")</f>
        <v>0.166459554367201</v>
      </c>
      <c r="W26" s="48" t="n">
        <f aca="false">IFERROR(AVERAGEIFS(월별!$Y$5:$Y$70,월별!$C$5:$C$70,"2026Q2"),"")</f>
        <v>0.166990106951872</v>
      </c>
      <c r="X26" s="48" t="n">
        <f aca="false">IFERROR(AVERAGEIFS(월별!$Z$5:$Z$70,월별!$C$5:$C$70,"2026Q2"),"")</f>
        <v>0.152879946524064</v>
      </c>
      <c r="Y26" s="49" t="n">
        <f aca="false">IFERROR(AVERAGEIFS(월별!$AA$5:$AA$70,월별!$C$5:$C$70,"2026Q2"),"")</f>
        <v>42.51247771836</v>
      </c>
      <c r="Z26" s="48" t="n">
        <f aca="false">IFERROR(AVERAGEIFS(월별!$AB$5:$AB$70,월별!$C$5:$C$70,"2026Q2"),"")</f>
        <v>0.175989483065954</v>
      </c>
    </row>
    <row r="27" customFormat="false" ht="15" hidden="false" customHeight="false" outlineLevel="0" collapsed="false">
      <c r="A27" s="2" t="s">
        <v>104</v>
      </c>
    </row>
    <row r="28" customFormat="false" ht="15" hidden="false" customHeight="false" outlineLevel="0" collapsed="false">
      <c r="A28" s="47" t="s">
        <v>105</v>
      </c>
      <c r="B28" s="29" t="n">
        <f aca="false">EOMONTH(DATE(2021,12,1),0)</f>
        <v>44561</v>
      </c>
      <c r="C28" s="48" t="n">
        <f aca="false">LOOKUP($B28,정책금리_결정!$A$4:$A$70,정책금리_결정!$B$4:$B$70)</f>
        <v>-0.001</v>
      </c>
      <c r="D28" s="48" t="n">
        <f aca="false">IFERROR(AVERAGEIFS(월별!$F$5:$F$70,월별!$D$5:$D$70,2021),"")</f>
        <v>-0.00126112735437078</v>
      </c>
      <c r="E28" s="48" t="n">
        <f aca="false">IFERROR(AVERAGEIFS(월별!$G$5:$G$70,월별!$D$5:$D$70,2021),"")</f>
        <v>0.00121263257575758</v>
      </c>
      <c r="F28" s="48" t="n">
        <f aca="false">IFERROR(AVERAGEIFS(월별!$H$5:$H$70,월별!$D$5:$D$70,2021),"")</f>
        <v>0.000927590909090909</v>
      </c>
      <c r="G28" s="49" t="n">
        <f aca="false">IFERROR(AVERAGEIFS(월별!$I$5:$I$70,월별!$D$5:$D$70,2021),"")</f>
        <v>24.7375993012835</v>
      </c>
      <c r="H28" s="48" t="n">
        <f aca="false">LOOKUP($B28,정책금리_결정!$D$4:$D$70,정책금리_결정!$E$4:$E$70)</f>
        <v>0.038</v>
      </c>
      <c r="I28" s="48" t="n">
        <f aca="false">IFERROR(AVERAGEIFS(월별!$K$5:$K$70,월별!$D$5:$D$70,2021),"")</f>
        <v>0.0271515657946574</v>
      </c>
      <c r="J28" s="48" t="n">
        <f aca="false">IFERROR(AVERAGEIFS(월별!$L$5:$L$70,월별!$D$5:$D$70,2021),"")</f>
        <v>0.0315044398974481</v>
      </c>
      <c r="K28" s="48" t="n">
        <f aca="false">IFERROR(AVERAGEIFS(월별!$M$5:$M$70,월별!$D$5:$D$70,2021),"")</f>
        <v>0.0333505185464388</v>
      </c>
      <c r="L28" s="49" t="n">
        <f aca="false">IFERROR(AVERAGEIFS(월별!$N$5:$N$70,월별!$D$5:$D$70,2021),"")</f>
        <v>43.5287410279069</v>
      </c>
      <c r="M28" s="48" t="n">
        <f aca="false">LOOKUP($B28,정책금리_결정!$G$4:$G$9,정책금리_결정!$H$4:$H$9)</f>
        <v>0.04</v>
      </c>
      <c r="N28" s="48" t="n">
        <f aca="false">IFERROR(AVERAGEIFS(월별!$P$5:$P$70,월별!$D$5:$D$70,2021),"")</f>
        <v>0.00695128940805571</v>
      </c>
      <c r="O28" s="48" t="n">
        <f aca="false">IFERROR(SUMIFS(VN_은행채발행!$T$4:$T$712,VN_은행채발행!$C$4:$C$712,"&gt;="&amp;DATE(2021,1,1),VN_은행채발행!$C$4:$C$712,"&lt;="&amp;$B28)/SUMIFS(VN_은행채발행!$I$4:$I$712,VN_은행채발행!$C$4:$C$712,"&gt;="&amp;DATE(2021,1,1),VN_은행채발행!$C$4:$C$712,"&lt;="&amp;$B28,VN_은행채발행!$S$4:$S$712,1),"")</f>
        <v>0.0344875821767714</v>
      </c>
      <c r="P28" s="50" t="n">
        <f aca="false">SUMIFS(월별!$R$5:$R$70,월별!$D$5:$D$70,2021)</f>
        <v>32</v>
      </c>
      <c r="Q28" s="49" t="n">
        <f aca="false">IFERROR(SUMIFS(VN_은행채발행!$U$4:$U$712,VN_은행채발행!$C$4:$C$712,"&gt;="&amp;DATE(2021,1,1),VN_은행채발행!$C$4:$C$712,"&lt;="&amp;$B28)/SUMIFS(VN_은행채발행!$Y$4:$Y$712,VN_은행채발행!$C$4:$C$712,"&gt;="&amp;DATE(2021,1,1),VN_은행채발행!$C$4:$C$712,"&lt;="&amp;$B28),"")</f>
        <v>278.68476990504</v>
      </c>
      <c r="R28" s="48" t="str">
        <f aca="false">IFERROR(SUMIFS(VN_은행채발행!$W$4:$W$712,VN_은행채발행!$C$4:$C$712,"&gt;="&amp;DATE(2021,1,1),VN_은행채발행!$C$4:$C$712,"&lt;="&amp;$B28)/SUMIFS(VN_은행채발행!$I$4:$I$712,VN_은행채발행!$C$4:$C$712,"&gt;="&amp;DATE(2021,1,1),VN_은행채발행!$C$4:$C$712,"&lt;="&amp;$B28,VN_은행채발행!$V$4:$V$712,1),"")</f>
        <v/>
      </c>
      <c r="S28" s="49" t="str">
        <f aca="false">IFERROR(SUMIFS(VN_은행채발행!$X$4:$X$712,VN_은행채발행!$C$4:$C$712,"&gt;="&amp;DATE(2021,1,1),VN_은행채발행!$C$4:$C$712,"&lt;="&amp;$B28)/SUMIFS(VN_은행채발행!$Z$4:$Z$712,VN_은행채발행!$C$4:$C$712,"&gt;="&amp;DATE(2021,1,1),VN_은행채발행!$C$4:$C$712,"&lt;="&amp;$B28),"")</f>
        <v/>
      </c>
      <c r="T28" s="48" t="n">
        <f aca="false">LOOKUP($B28,정책금리_결정!$J$4:$J$49,정책금리_결정!$K$4:$K$49)</f>
        <v>0.0975</v>
      </c>
      <c r="U28" s="48" t="str">
        <f aca="false">IFERROR(AVERAGEIFS(월별!$W$5:$W$70,월별!$D$5:$D$70,2021),"")</f>
        <v/>
      </c>
      <c r="V28" s="48" t="str">
        <f aca="false">IFERROR(AVERAGEIFS(월별!$X$5:$X$70,월별!$D$5:$D$70,2021),"")</f>
        <v/>
      </c>
      <c r="W28" s="48" t="n">
        <f aca="false">IFERROR(AVERAGEIFS(월별!$Y$5:$Y$70,월별!$D$5:$D$70,2021),"")</f>
        <v>0.104883738164857</v>
      </c>
      <c r="X28" s="48" t="str">
        <f aca="false">IFERROR(AVERAGEIFS(월별!$Z$5:$Z$70,월별!$D$5:$D$70,2021),"")</f>
        <v/>
      </c>
      <c r="Y28" s="49" t="str">
        <f aca="false">IFERROR(AVERAGEIFS(월별!$AA$5:$AA$70,월별!$D$5:$D$70,2021),"")</f>
        <v/>
      </c>
      <c r="Z28" s="48" t="n">
        <f aca="false">IFERROR(AVERAGEIFS(월별!$AB$5:$AB$70,월별!$D$5:$D$70,2021),"")</f>
        <v>0.0887687390509101</v>
      </c>
    </row>
    <row r="29" customFormat="false" ht="15" hidden="false" customHeight="false" outlineLevel="0" collapsed="false">
      <c r="A29" s="47" t="s">
        <v>106</v>
      </c>
      <c r="B29" s="29" t="n">
        <f aca="false">EOMONTH(DATE(2022,12,1),0)</f>
        <v>44926</v>
      </c>
      <c r="C29" s="48" t="n">
        <f aca="false">LOOKUP($B29,정책금리_결정!$A$4:$A$70,정책금리_결정!$B$4:$B$70)</f>
        <v>-0.001</v>
      </c>
      <c r="D29" s="48" t="n">
        <f aca="false">IFERROR(AVERAGEIFS(월별!$F$5:$F$70,월별!$D$5:$D$70,2022),"")</f>
        <v>-0.000423495259613681</v>
      </c>
      <c r="E29" s="48" t="n">
        <f aca="false">IFERROR(AVERAGEIFS(월별!$G$5:$G$70,월별!$D$5:$D$70,2022),"")</f>
        <v>0.00213569444444444</v>
      </c>
      <c r="F29" s="48" t="n">
        <f aca="false">IFERROR(AVERAGEIFS(월별!$H$5:$H$70,월별!$D$5:$D$70,2022),"")</f>
        <v>0.00177430555555556</v>
      </c>
      <c r="G29" s="49" t="n">
        <f aca="false">IFERROR(AVERAGEIFS(월별!$I$5:$I$70,월별!$D$5:$D$70,2022),"")</f>
        <v>25.5918970405813</v>
      </c>
      <c r="H29" s="48" t="n">
        <f aca="false">LOOKUP($B29,정책금리_결정!$D$4:$D$70,정책금리_결정!$E$4:$E$70)</f>
        <v>0.0365</v>
      </c>
      <c r="I29" s="48" t="n">
        <f aca="false">IFERROR(AVERAGEIFS(월별!$K$5:$K$70,월별!$D$5:$D$70,2022),"")</f>
        <v>0.0235307151555671</v>
      </c>
      <c r="J29" s="48" t="n">
        <f aca="false">IFERROR(AVERAGEIFS(월별!$L$5:$L$70,월별!$D$5:$D$70,2022),"")</f>
        <v>0.0272270683819301</v>
      </c>
      <c r="K29" s="48" t="n">
        <f aca="false">IFERROR(AVERAGEIFS(월별!$M$5:$M$70,월별!$D$5:$D$70,2022),"")</f>
        <v>0.0286219116272717</v>
      </c>
      <c r="L29" s="49" t="n">
        <f aca="false">IFERROR(AVERAGEIFS(월별!$N$5:$N$70,월별!$D$5:$D$70,2022),"")</f>
        <v>36.9635322636301</v>
      </c>
      <c r="M29" s="48" t="n">
        <f aca="false">LOOKUP($B29,정책금리_결정!$G$4:$G$9,정책금리_결정!$H$4:$H$9)</f>
        <v>0.06</v>
      </c>
      <c r="N29" s="48" t="n">
        <f aca="false">IFERROR(AVERAGEIFS(월별!$P$5:$P$70,월별!$D$5:$D$70,2022),"")</f>
        <v>0.0285682570189472</v>
      </c>
      <c r="O29" s="48" t="n">
        <f aca="false">IFERROR(SUMIFS(VN_은행채발행!$T$4:$T$712,VN_은행채발행!$C$4:$C$712,"&gt;="&amp;DATE(2022,1,1),VN_은행채발행!$C$4:$C$712,"&lt;="&amp;$B29)/SUMIFS(VN_은행채발행!$I$4:$I$712,VN_은행채발행!$C$4:$C$712,"&gt;="&amp;DATE(2022,1,1),VN_은행채발행!$C$4:$C$712,"&lt;="&amp;$B29,VN_은행채발행!$S$4:$S$712,1),"")</f>
        <v>0.0433378378378378</v>
      </c>
      <c r="P29" s="50" t="n">
        <f aca="false">SUMIFS(월별!$R$5:$R$70,월별!$D$5:$D$70,2022)</f>
        <v>8</v>
      </c>
      <c r="Q29" s="49" t="n">
        <f aca="false">IFERROR(SUMIFS(VN_은행채발행!$U$4:$U$712,VN_은행채발행!$C$4:$C$712,"&gt;="&amp;DATE(2022,1,1),VN_은행채발행!$C$4:$C$712,"&lt;="&amp;$B29)/SUMIFS(VN_은행채발행!$Y$4:$Y$712,VN_은행채발행!$C$4:$C$712,"&gt;="&amp;DATE(2022,1,1),VN_은행채발행!$C$4:$C$712,"&lt;="&amp;$B29),"")</f>
        <v>201.85</v>
      </c>
      <c r="R29" s="48" t="n">
        <f aca="false">IFERROR(SUMIFS(VN_은행채발행!$W$4:$W$712,VN_은행채발행!$C$4:$C$712,"&gt;="&amp;DATE(2022,1,1),VN_은행채발행!$C$4:$C$712,"&lt;="&amp;$B29)/SUMIFS(VN_은행채발행!$I$4:$I$712,VN_은행채발행!$C$4:$C$712,"&gt;="&amp;DATE(2022,1,1),VN_은행채발행!$C$4:$C$712,"&lt;="&amp;$B29,VN_은행채발행!$V$4:$V$712,1),"")</f>
        <v>0.068</v>
      </c>
      <c r="S29" s="49" t="str">
        <f aca="false">IFERROR(SUMIFS(VN_은행채발행!$X$4:$X$712,VN_은행채발행!$C$4:$C$712,"&gt;="&amp;DATE(2022,1,1),VN_은행채발행!$C$4:$C$712,"&lt;="&amp;$B29)/SUMIFS(VN_은행채발행!$Z$4:$Z$712,VN_은행채발행!$C$4:$C$712,"&gt;="&amp;DATE(2022,1,1),VN_은행채발행!$C$4:$C$712,"&lt;="&amp;$B29),"")</f>
        <v/>
      </c>
      <c r="T29" s="48" t="n">
        <f aca="false">LOOKUP($B29,정책금리_결정!$J$4:$J$49,정책금리_결정!$K$4:$K$49)</f>
        <v>0.1675</v>
      </c>
      <c r="U29" s="48" t="n">
        <f aca="false">IFERROR(AVERAGEIFS(월별!$W$5:$W$70,월별!$D$5:$D$70,2022),"")</f>
        <v>0.129501311460469</v>
      </c>
      <c r="V29" s="48" t="n">
        <f aca="false">IFERROR(AVERAGEIFS(월별!$X$5:$X$70,월별!$D$5:$D$70,2022),"")</f>
        <v>0.132433357290955</v>
      </c>
      <c r="W29" s="48" t="n">
        <f aca="false">IFERROR(AVERAGEIFS(월별!$Y$5:$Y$70,월별!$D$5:$D$70,2022),"")</f>
        <v>0.115358517790689</v>
      </c>
      <c r="X29" s="48" t="str">
        <f aca="false">IFERROR(AVERAGEIFS(월별!$Z$5:$Z$70,월별!$D$5:$D$70,2022),"")</f>
        <v/>
      </c>
      <c r="Y29" s="49" t="n">
        <f aca="false">IFERROR(AVERAGEIFS(월별!$AA$5:$AA$70,월별!$D$5:$D$70,2022),"")</f>
        <v>-121.995901116427</v>
      </c>
      <c r="Z29" s="48" t="n">
        <f aca="false">IFERROR(AVERAGEIFS(월별!$AB$5:$AB$70,월별!$D$5:$D$70,2022),"")</f>
        <v>0.137290186769285</v>
      </c>
    </row>
    <row r="30" customFormat="false" ht="15" hidden="false" customHeight="false" outlineLevel="0" collapsed="false">
      <c r="A30" s="47" t="s">
        <v>107</v>
      </c>
      <c r="B30" s="29" t="n">
        <f aca="false">EOMONTH(DATE(2023,12,1),0)</f>
        <v>45291</v>
      </c>
      <c r="C30" s="48" t="n">
        <f aca="false">LOOKUP($B30,정책금리_결정!$A$4:$A$70,정책금리_결정!$B$4:$B$70)</f>
        <v>-0.001</v>
      </c>
      <c r="D30" s="48" t="n">
        <f aca="false">IFERROR(AVERAGEIFS(월별!$F$5:$F$70,월별!$D$5:$D$70,2023),"")</f>
        <v>0.000278455418850156</v>
      </c>
      <c r="E30" s="48" t="n">
        <f aca="false">IFERROR(AVERAGEIFS(월별!$G$5:$G$70,월별!$D$5:$D$70,2023),"")</f>
        <v>0.00380083333333333</v>
      </c>
      <c r="F30" s="48" t="n">
        <f aca="false">IFERROR(AVERAGEIFS(월별!$H$5:$H$70,월별!$D$5:$D$70,2023),"")</f>
        <v>0.00335166666666667</v>
      </c>
      <c r="G30" s="49" t="n">
        <f aca="false">IFERROR(AVERAGEIFS(월별!$I$5:$I$70,월별!$D$5:$D$70,2023),"")</f>
        <v>35.2237791448318</v>
      </c>
      <c r="H30" s="48" t="n">
        <f aca="false">LOOKUP($B30,정책금리_결정!$D$4:$D$70,정책금리_결정!$E$4:$E$70)</f>
        <v>0.0345</v>
      </c>
      <c r="I30" s="48" t="n">
        <f aca="false">IFERROR(AVERAGEIFS(월별!$K$5:$K$70,월별!$D$5:$D$70,2023),"")</f>
        <v>0.024002417465532</v>
      </c>
      <c r="J30" s="48" t="n">
        <f aca="false">IFERROR(AVERAGEIFS(월별!$L$5:$L$70,월별!$D$5:$D$70,2023),"")</f>
        <v>0.0276499227765698</v>
      </c>
      <c r="K30" s="48" t="n">
        <f aca="false">IFERROR(AVERAGEIFS(월별!$M$5:$M$70,월별!$D$5:$D$70,2023),"")</f>
        <v>0.0292715930764549</v>
      </c>
      <c r="L30" s="49" t="n">
        <f aca="false">IFERROR(AVERAGEIFS(월별!$N$5:$N$70,월별!$D$5:$D$70,2023),"")</f>
        <v>36.4750531103781</v>
      </c>
      <c r="M30" s="48" t="n">
        <f aca="false">LOOKUP($B30,정책금리_결정!$G$4:$G$9,정책금리_결정!$H$4:$H$9)</f>
        <v>0.045</v>
      </c>
      <c r="N30" s="48" t="n">
        <f aca="false">IFERROR(AVERAGEIFS(월별!$P$5:$P$70,월별!$D$5:$D$70,2023),"")</f>
        <v>0.0265491807045611</v>
      </c>
      <c r="O30" s="48" t="n">
        <f aca="false">IFERROR(SUMIFS(VN_은행채발행!$T$4:$T$712,VN_은행채발행!$C$4:$C$712,"&gt;="&amp;DATE(2023,1,1),VN_은행채발행!$C$4:$C$712,"&lt;="&amp;$B30)/SUMIFS(VN_은행채발행!$I$4:$I$712,VN_은행채발행!$C$4:$C$712,"&gt;="&amp;DATE(2023,1,1),VN_은행채발행!$C$4:$C$712,"&lt;="&amp;$B30,VN_은행채발행!$S$4:$S$712,1),"")</f>
        <v>0.0604519392917369</v>
      </c>
      <c r="P30" s="50" t="n">
        <f aca="false">SUMIFS(월별!$R$5:$R$70,월별!$D$5:$D$70,2023)</f>
        <v>40</v>
      </c>
      <c r="Q30" s="49" t="n">
        <f aca="false">IFERROR(SUMIFS(VN_은행채발행!$U$4:$U$712,VN_은행채발행!$C$4:$C$712,"&gt;="&amp;DATE(2023,1,1),VN_은행채발행!$C$4:$C$712,"&lt;="&amp;$B30)/SUMIFS(VN_은행채발행!$Y$4:$Y$712,VN_은행채발행!$C$4:$C$712,"&gt;="&amp;DATE(2023,1,1),VN_은행채발행!$C$4:$C$712,"&lt;="&amp;$B30),"")</f>
        <v>419.29915682968</v>
      </c>
      <c r="R30" s="48" t="str">
        <f aca="false">IFERROR(SUMIFS(VN_은행채발행!$W$4:$W$712,VN_은행채발행!$C$4:$C$712,"&gt;="&amp;DATE(2023,1,1),VN_은행채발행!$C$4:$C$712,"&lt;="&amp;$B30)/SUMIFS(VN_은행채발행!$I$4:$I$712,VN_은행채발행!$C$4:$C$712,"&gt;="&amp;DATE(2023,1,1),VN_은행채발행!$C$4:$C$712,"&lt;="&amp;$B30,VN_은행채발행!$V$4:$V$712,1),"")</f>
        <v/>
      </c>
      <c r="S30" s="49" t="str">
        <f aca="false">IFERROR(SUMIFS(VN_은행채발행!$X$4:$X$712,VN_은행채발행!$C$4:$C$712,"&gt;="&amp;DATE(2023,1,1),VN_은행채발행!$C$4:$C$712,"&lt;="&amp;$B30)/SUMIFS(VN_은행채발행!$Z$4:$Z$712,VN_은행채발행!$C$4:$C$712,"&gt;="&amp;DATE(2023,1,1),VN_은행채발행!$C$4:$C$712,"&lt;="&amp;$B30),"")</f>
        <v/>
      </c>
      <c r="T30" s="48" t="n">
        <f aca="false">LOOKUP($B30,정책금리_결정!$J$4:$J$49,정책금리_결정!$K$4:$K$49)</f>
        <v>0.1575</v>
      </c>
      <c r="U30" s="48" t="n">
        <f aca="false">IFERROR(AVERAGEIFS(월별!$W$5:$W$70,월별!$D$5:$D$70,2023),"")</f>
        <v>0.135828360864282</v>
      </c>
      <c r="V30" s="48" t="n">
        <f aca="false">IFERROR(AVERAGEIFS(월별!$X$5:$X$70,월별!$D$5:$D$70,2023),"")</f>
        <v>0.145597654894813</v>
      </c>
      <c r="W30" s="48" t="n">
        <f aca="false">IFERROR(AVERAGEIFS(월별!$Y$5:$Y$70,월별!$D$5:$D$70,2023),"")</f>
        <v>0.139109152331587</v>
      </c>
      <c r="X30" s="48" t="str">
        <f aca="false">IFERROR(AVERAGEIFS(월별!$Z$5:$Z$70,월별!$D$5:$D$70,2023),"")</f>
        <v/>
      </c>
      <c r="Y30" s="49" t="n">
        <f aca="false">IFERROR(AVERAGEIFS(월별!$AA$5:$AA$70,월별!$D$5:$D$70,2023),"")</f>
        <v>32.8079146730462</v>
      </c>
      <c r="Z30" s="48" t="n">
        <f aca="false">IFERROR(AVERAGEIFS(월별!$AB$5:$AB$70,월별!$D$5:$D$70,2023),"")</f>
        <v>0.163576428286626</v>
      </c>
    </row>
    <row r="31" customFormat="false" ht="15" hidden="false" customHeight="false" outlineLevel="0" collapsed="false">
      <c r="A31" s="47" t="s">
        <v>108</v>
      </c>
      <c r="B31" s="29" t="n">
        <f aca="false">EOMONTH(DATE(2024,12,1),0)</f>
        <v>45657</v>
      </c>
      <c r="C31" s="48" t="n">
        <f aca="false">LOOKUP($B31,정책금리_결정!$A$4:$A$70,정책금리_결정!$B$4:$B$70)</f>
        <v>0.0025</v>
      </c>
      <c r="D31" s="48" t="n">
        <f aca="false">IFERROR(AVERAGEIFS(월별!$F$5:$F$70,월별!$D$5:$D$70,2024),"")</f>
        <v>0.00344652298359535</v>
      </c>
      <c r="E31" s="48" t="n">
        <f aca="false">IFERROR(AVERAGEIFS(월별!$G$5:$G$70,월별!$D$5:$D$70,2024),"")</f>
        <v>0.0069025</v>
      </c>
      <c r="F31" s="48" t="n">
        <f aca="false">IFERROR(AVERAGEIFS(월별!$H$5:$H$70,월별!$D$5:$D$70,2024),"")</f>
        <v>0.00627166666666667</v>
      </c>
      <c r="G31" s="49" t="n">
        <f aca="false">IFERROR(AVERAGEIFS(월별!$I$5:$I$70,월별!$D$5:$D$70,2024),"")</f>
        <v>34.5597701640465</v>
      </c>
      <c r="H31" s="48" t="n">
        <f aca="false">LOOKUP($B31,정책금리_결정!$D$4:$D$70,정책금리_결정!$E$4:$E$70)</f>
        <v>0.031</v>
      </c>
      <c r="I31" s="48" t="n">
        <f aca="false">IFERROR(AVERAGEIFS(월별!$K$5:$K$70,월별!$D$5:$D$70,2024),"")</f>
        <v>0.0181643667081076</v>
      </c>
      <c r="J31" s="48" t="n">
        <f aca="false">IFERROR(AVERAGEIFS(월별!$L$5:$L$70,월별!$D$5:$D$70,2024),"")</f>
        <v>0.0217455697676338</v>
      </c>
      <c r="K31" s="48" t="n">
        <f aca="false">IFERROR(AVERAGEIFS(월별!$M$5:$M$70,월별!$D$5:$D$70,2024),"")</f>
        <v>0.0225982259443349</v>
      </c>
      <c r="L31" s="49" t="n">
        <f aca="false">IFERROR(AVERAGEIFS(월별!$N$5:$N$70,월별!$D$5:$D$70,2024),"")</f>
        <v>35.8120305952629</v>
      </c>
      <c r="M31" s="48" t="n">
        <f aca="false">LOOKUP($B31,정책금리_결정!$G$4:$G$9,정책금리_결정!$H$4:$H$9)</f>
        <v>0.045</v>
      </c>
      <c r="N31" s="48" t="n">
        <f aca="false">IFERROR(AVERAGEIFS(월별!$P$5:$P$70,월별!$D$5:$D$70,2024),"")</f>
        <v>0.0186130929481147</v>
      </c>
      <c r="O31" s="48" t="n">
        <f aca="false">IFERROR(SUMIFS(VN_은행채발행!$T$4:$T$712,VN_은행채발행!$C$4:$C$712,"&gt;="&amp;DATE(2024,1,1),VN_은행채발행!$C$4:$C$712,"&lt;="&amp;$B31)/SUMIFS(VN_은행채발행!$I$4:$I$712,VN_은행채발행!$C$4:$C$712,"&gt;="&amp;DATE(2024,1,1),VN_은행채발행!$C$4:$C$712,"&lt;="&amp;$B31,VN_은행채발행!$S$4:$S$712,1),"")</f>
        <v>0.0522712198973549</v>
      </c>
      <c r="P31" s="50" t="n">
        <f aca="false">SUMIFS(월별!$R$5:$R$70,월별!$D$5:$D$70,2024)</f>
        <v>89</v>
      </c>
      <c r="Q31" s="49" t="n">
        <f aca="false">IFERROR(SUMIFS(VN_은행채발행!$U$4:$U$712,VN_은행채발행!$C$4:$C$712,"&gt;="&amp;DATE(2024,1,1),VN_은행채발행!$C$4:$C$712,"&lt;="&amp;$B31)/SUMIFS(VN_은행채발행!$Y$4:$Y$712,VN_은행채발행!$C$4:$C$712,"&gt;="&amp;DATE(2024,1,1),VN_은행채발행!$C$4:$C$712,"&lt;="&amp;$B31),"")</f>
        <v>323.712475325701</v>
      </c>
      <c r="R31" s="48" t="n">
        <f aca="false">IFERROR(SUMIFS(VN_은행채발행!$W$4:$W$712,VN_은행채발행!$C$4:$C$712,"&gt;="&amp;DATE(2024,1,1),VN_은행채발행!$C$4:$C$712,"&lt;="&amp;$B31)/SUMIFS(VN_은행채발행!$I$4:$I$712,VN_은행채발행!$C$4:$C$712,"&gt;="&amp;DATE(2024,1,1),VN_은행채발행!$C$4:$C$712,"&lt;="&amp;$B31,VN_은행채발행!$V$4:$V$712,1),"")</f>
        <v>0.05133095684803</v>
      </c>
      <c r="S31" s="49" t="n">
        <f aca="false">IFERROR(SUMIFS(VN_은행채발행!$X$4:$X$712,VN_은행채발행!$C$4:$C$712,"&gt;="&amp;DATE(2024,1,1),VN_은행채발행!$C$4:$C$712,"&lt;="&amp;$B31)/SUMIFS(VN_은행채발행!$Z$4:$Z$712,VN_은행채발행!$C$4:$C$712,"&gt;="&amp;DATE(2024,1,1),VN_은행채발행!$C$4:$C$712,"&lt;="&amp;$B31),"")</f>
        <v>316.078799249531</v>
      </c>
      <c r="T31" s="48" t="n">
        <f aca="false">LOOKUP($B31,정책금리_결정!$J$4:$J$49,정책금리_결정!$K$4:$K$49)</f>
        <v>0.1525</v>
      </c>
      <c r="U31" s="48" t="n">
        <f aca="false">IFERROR(AVERAGEIFS(월별!$W$5:$W$70,월별!$D$5:$D$70,2024),"")</f>
        <v>0.124080724471607</v>
      </c>
      <c r="V31" s="48" t="n">
        <f aca="false">IFERROR(AVERAGEIFS(월별!$X$5:$X$70,월별!$D$5:$D$70,2024),"")</f>
        <v>0.130586792929293</v>
      </c>
      <c r="W31" s="48" t="n">
        <f aca="false">IFERROR(AVERAGEIFS(월별!$Y$5:$Y$70,월별!$D$5:$D$70,2024),"")</f>
        <v>0.139760094856124</v>
      </c>
      <c r="X31" s="48" t="str">
        <f aca="false">IFERROR(AVERAGEIFS(월별!$Z$5:$Z$70,월별!$D$5:$D$70,2024),"")</f>
        <v/>
      </c>
      <c r="Y31" s="49" t="n">
        <f aca="false">IFERROR(AVERAGEIFS(월별!$AA$5:$AA$70,월별!$D$5:$D$70,2024),"")</f>
        <v>156.793703845174</v>
      </c>
      <c r="Z31" s="48" t="n">
        <f aca="false">IFERROR(AVERAGEIFS(월별!$AB$5:$AB$70,월별!$D$5:$D$70,2024),"")</f>
        <v>0.13839968211527</v>
      </c>
    </row>
    <row r="32" customFormat="false" ht="15" hidden="false" customHeight="false" outlineLevel="0" collapsed="false">
      <c r="A32" s="51" t="s">
        <v>109</v>
      </c>
      <c r="B32" s="40" t="n">
        <f aca="false">EOMONTH(DATE(2025,12,1),0)</f>
        <v>46022</v>
      </c>
      <c r="C32" s="43" t="n">
        <f aca="false">LOOKUP($B32,정책금리_결정!$A$4:$A$70,정책금리_결정!$B$4:$B$70)</f>
        <v>0.0075</v>
      </c>
      <c r="D32" s="43" t="n">
        <f aca="false">IFERROR(AVERAGEIFS(월별!$F$5:$F$70,월별!$D$5:$D$70,2025),"")</f>
        <v>0.00891179350522772</v>
      </c>
      <c r="E32" s="43" t="n">
        <f aca="false">IFERROR(AVERAGEIFS(월별!$G$5:$G$70,월별!$D$5:$D$70,2025),"")</f>
        <v>0.01259625</v>
      </c>
      <c r="F32" s="43" t="n">
        <f aca="false">IFERROR(AVERAGEIFS(월별!$H$5:$H$70,월별!$D$5:$D$70,2025),"")</f>
        <v>0.0119504166666667</v>
      </c>
      <c r="G32" s="46" t="n">
        <f aca="false">IFERROR(AVERAGEIFS(월별!$I$5:$I$70,월별!$D$5:$D$70,2025),"")</f>
        <v>36.8445649477228</v>
      </c>
      <c r="H32" s="43" t="n">
        <f aca="false">LOOKUP($B32,정책금리_결정!$D$4:$D$70,정책금리_결정!$E$4:$E$70)</f>
        <v>0.03</v>
      </c>
      <c r="I32" s="43" t="n">
        <f aca="false">IFERROR(AVERAGEIFS(월별!$K$5:$K$70,월별!$D$5:$D$70,2025),"")</f>
        <v>0.0144930533282454</v>
      </c>
      <c r="J32" s="43" t="n">
        <f aca="false">IFERROR(AVERAGEIFS(월별!$L$5:$L$70,월별!$D$5:$D$70,2025),"")</f>
        <v>0.0180358431886012</v>
      </c>
      <c r="K32" s="43" t="n">
        <f aca="false">IFERROR(AVERAGEIFS(월별!$M$5:$M$70,월별!$D$5:$D$70,2025),"")</f>
        <v>0.0189702391208313</v>
      </c>
      <c r="L32" s="46" t="n">
        <f aca="false">IFERROR(AVERAGEIFS(월별!$N$5:$N$70,월별!$D$5:$D$70,2025),"")</f>
        <v>35.4278986035576</v>
      </c>
      <c r="M32" s="43" t="n">
        <f aca="false">LOOKUP($B32,정책금리_결정!$G$4:$G$9,정책금리_결정!$H$4:$H$9)</f>
        <v>0.045</v>
      </c>
      <c r="N32" s="43" t="n">
        <f aca="false">IFERROR(AVERAGEIFS(월별!$P$5:$P$70,월별!$D$5:$D$70,2025),"")</f>
        <v>0.0259566179888952</v>
      </c>
      <c r="O32" s="43" t="n">
        <f aca="false">IFERROR(SUMIFS(VN_은행채발행!$T$4:$T$712,VN_은행채발행!$C$4:$C$712,"&gt;="&amp;DATE(2025,1,1),VN_은행채발행!$C$4:$C$712,"&lt;="&amp;$B32)/SUMIFS(VN_은행채발행!$I$4:$I$712,VN_은행채발행!$C$4:$C$712,"&gt;="&amp;DATE(2025,1,1),VN_은행채발행!$C$4:$C$712,"&lt;="&amp;$B32,VN_은행채발행!$S$4:$S$712,1),"")</f>
        <v>0.0564527525387493</v>
      </c>
      <c r="P32" s="45" t="n">
        <f aca="false">SUMIFS(월별!$R$5:$R$70,월별!$D$5:$D$70,2025)</f>
        <v>107</v>
      </c>
      <c r="Q32" s="46" t="n">
        <f aca="false">IFERROR(SUMIFS(VN_은행채발행!$U$4:$U$712,VN_은행채발행!$C$4:$C$712,"&gt;="&amp;DATE(2025,1,1),VN_은행채발행!$C$4:$C$712,"&lt;="&amp;$B32)/SUMIFS(VN_은행채발행!$Y$4:$Y$712,VN_은행채발행!$C$4:$C$712,"&gt;="&amp;DATE(2025,1,1),VN_은행채발행!$C$4:$C$712,"&lt;="&amp;$B32),"")</f>
        <v>304.586226616783</v>
      </c>
      <c r="R32" s="43" t="n">
        <f aca="false">IFERROR(SUMIFS(VN_은행채발행!$W$4:$W$712,VN_은행채발행!$C$4:$C$712,"&gt;="&amp;DATE(2025,1,1),VN_은행채발행!$C$4:$C$712,"&lt;="&amp;$B32)/SUMIFS(VN_은행채발행!$I$4:$I$712,VN_은행채발행!$C$4:$C$712,"&gt;="&amp;DATE(2025,1,1),VN_은행채발행!$C$4:$C$712,"&lt;="&amp;$B32,VN_은행채발행!$V$4:$V$712,1),"")</f>
        <v>0.0532605042016807</v>
      </c>
      <c r="S32" s="46" t="n">
        <f aca="false">IFERROR(SUMIFS(VN_은행채발행!$X$4:$X$712,VN_은행채발행!$C$4:$C$712,"&gt;="&amp;DATE(2025,1,1),VN_은행채발행!$C$4:$C$712,"&lt;="&amp;$B32)/SUMIFS(VN_은행채발행!$Z$4:$Z$712,VN_은행채발행!$C$4:$C$712,"&gt;="&amp;DATE(2025,1,1),VN_은행채발행!$C$4:$C$712,"&lt;="&amp;$B32),"")</f>
        <v>277.794957983193</v>
      </c>
      <c r="T32" s="43" t="n">
        <f aca="false">LOOKUP($B32,정책금리_결정!$J$4:$J$49,정책금리_결정!$K$4:$K$49)</f>
        <v>0.18</v>
      </c>
      <c r="U32" s="43" t="n">
        <f aca="false">IFERROR(AVERAGEIFS(월별!$W$5:$W$70,월별!$D$5:$D$70,2025),"")</f>
        <v>0.15639754628885</v>
      </c>
      <c r="V32" s="43" t="n">
        <f aca="false">IFERROR(AVERAGEIFS(월별!$X$5:$X$70,월별!$D$5:$D$70,2025),"")</f>
        <v>0.158102364797913</v>
      </c>
      <c r="W32" s="43" t="n">
        <f aca="false">IFERROR(AVERAGEIFS(월별!$Y$5:$Y$70,월별!$D$5:$D$70,2025),"")</f>
        <v>0.153789332656508</v>
      </c>
      <c r="X32" s="43" t="str">
        <f aca="false">IFERROR(AVERAGEIFS(월별!$Z$5:$Z$70,월별!$D$5:$D$70,2025),"")</f>
        <v/>
      </c>
      <c r="Y32" s="46" t="n">
        <f aca="false">IFERROR(AVERAGEIFS(월별!$AA$5:$AA$70,월별!$D$5:$D$70,2025),"")</f>
        <v>-26.0821363234289</v>
      </c>
      <c r="Z32" s="43" t="n">
        <f aca="false">IFERROR(AVERAGEIFS(월별!$AB$5:$AB$70,월별!$D$5:$D$70,2025),"")</f>
        <v>0.158309213513954</v>
      </c>
    </row>
    <row r="33" customFormat="false" ht="15" hidden="false" customHeight="false" outlineLevel="0" collapsed="false">
      <c r="A33" s="47" t="s">
        <v>110</v>
      </c>
      <c r="B33" s="29" t="n">
        <f aca="false">EOMONTH(DATE(2026,6,1),0)</f>
        <v>46203</v>
      </c>
      <c r="C33" s="48" t="n">
        <f aca="false">LOOKUP($B33,정책금리_결정!$A$4:$A$70,정책금리_결정!$B$4:$B$70)</f>
        <v>0.01</v>
      </c>
      <c r="D33" s="48" t="n">
        <f aca="false">IFERROR(AVERAGEIFS(월별!$F$5:$F$70,월별!$D$5:$D$70,2026),"")</f>
        <v>0.0146980332776385</v>
      </c>
      <c r="E33" s="48" t="n">
        <f aca="false">IFERROR(AVERAGEIFS(월별!$G$5:$G$70,월별!$D$5:$D$70,2026),"")</f>
        <v>0.0189783333333333</v>
      </c>
      <c r="F33" s="48" t="n">
        <f aca="false">IFERROR(AVERAGEIFS(월별!$H$5:$H$70,월별!$D$5:$D$70,2026),"")</f>
        <v>0.0180916666666667</v>
      </c>
      <c r="G33" s="49" t="n">
        <f aca="false">IFERROR(AVERAGEIFS(월별!$I$5:$I$70,월별!$D$5:$D$70,2026),"")</f>
        <v>42.8030005569479</v>
      </c>
      <c r="H33" s="48" t="n">
        <f aca="false">LOOKUP($B33,정책금리_결정!$D$4:$D$70,정책금리_결정!$E$4:$E$70)</f>
        <v>0.03</v>
      </c>
      <c r="I33" s="48" t="n">
        <f aca="false">IFERROR(AVERAGEIFS(월별!$K$5:$K$70,월별!$D$5:$D$70,2026),"")</f>
        <v>0.0134567941491988</v>
      </c>
      <c r="J33" s="48" t="n">
        <f aca="false">IFERROR(AVERAGEIFS(월별!$L$5:$L$70,월별!$D$5:$D$70,2026),"")</f>
        <v>0.0165562755658085</v>
      </c>
      <c r="K33" s="48" t="n">
        <f aca="false">IFERROR(AVERAGEIFS(월별!$M$5:$M$70,월별!$D$5:$D$70,2026),"")</f>
        <v>0.0175702317797334</v>
      </c>
      <c r="L33" s="49" t="n">
        <f aca="false">IFERROR(AVERAGEIFS(월별!$N$5:$N$70,월별!$D$5:$D$70,2026),"")</f>
        <v>30.9948141660971</v>
      </c>
      <c r="M33" s="48" t="n">
        <f aca="false">LOOKUP($B33,정책금리_결정!$G$4:$G$9,정책금리_결정!$H$4:$H$9)</f>
        <v>0.045</v>
      </c>
      <c r="N33" s="48" t="n">
        <f aca="false">IFERROR(AVERAGEIFS(월별!$P$5:$P$70,월별!$D$5:$D$70,2026),"")</f>
        <v>0.0350616226551227</v>
      </c>
      <c r="O33" s="48" t="n">
        <f aca="false">IFERROR(SUMIFS(VN_은행채발행!$T$4:$T$712,VN_은행채발행!$C$4:$C$712,"&gt;="&amp;DATE(2026,1,1),VN_은행채발행!$C$4:$C$712,"&lt;="&amp;$B33)/SUMIFS(VN_은행채발행!$I$4:$I$712,VN_은행채발행!$C$4:$C$712,"&gt;="&amp;DATE(2026,1,1),VN_은행채발행!$C$4:$C$712,"&lt;="&amp;$B33,VN_은행채발행!$S$4:$S$712,1),"")</f>
        <v>0.0847191113126275</v>
      </c>
      <c r="P33" s="50" t="n">
        <f aca="false">SUMIFS(월별!$R$5:$R$70,월별!$D$5:$D$70,2026)</f>
        <v>27</v>
      </c>
      <c r="Q33" s="49" t="n">
        <f aca="false">IFERROR(SUMIFS(VN_은행채발행!$U$4:$U$712,VN_은행채발행!$C$4:$C$712,"&gt;="&amp;DATE(2026,1,1),VN_은행채발행!$C$4:$C$712,"&lt;="&amp;$B33)/SUMIFS(VN_은행채발행!$Y$4:$Y$712,VN_은행채발행!$C$4:$C$712,"&gt;="&amp;DATE(2026,1,1),VN_은행채발행!$C$4:$C$712,"&lt;="&amp;$B33),"")</f>
        <v>485.462865563364</v>
      </c>
      <c r="R33" s="48" t="str">
        <f aca="false">IFERROR(SUMIFS(VN_은행채발행!$W$4:$W$712,VN_은행채발행!$C$4:$C$712,"&gt;="&amp;DATE(2026,1,1),VN_은행채발행!$C$4:$C$712,"&lt;="&amp;$B33)/SUMIFS(VN_은행채발행!$I$4:$I$712,VN_은행채발행!$C$4:$C$712,"&gt;="&amp;DATE(2026,1,1),VN_은행채발행!$C$4:$C$712,"&lt;="&amp;$B33,VN_은행채발행!$V$4:$V$712,1),"")</f>
        <v/>
      </c>
      <c r="S33" s="49" t="str">
        <f aca="false">IFERROR(SUMIFS(VN_은행채발행!$X$4:$X$712,VN_은행채발행!$C$4:$C$712,"&gt;="&amp;DATE(2026,1,1),VN_은행채발행!$C$4:$C$712,"&lt;="&amp;$B33)/SUMIFS(VN_은행채발행!$Z$4:$Z$712,VN_은행채발행!$C$4:$C$712,"&gt;="&amp;DATE(2026,1,1),VN_은행채발행!$C$4:$C$712,"&lt;="&amp;$B33),"")</f>
        <v/>
      </c>
      <c r="T33" s="48" t="n">
        <f aca="false">LOOKUP($B33,정책금리_결정!$J$4:$J$49,정책금리_결정!$K$4:$K$49)</f>
        <v>0.17</v>
      </c>
      <c r="U33" s="48" t="n">
        <f aca="false">IFERROR(AVERAGEIFS(월별!$W$5:$W$70,월별!$D$5:$D$70,2026),"")</f>
        <v>0.162382626471109</v>
      </c>
      <c r="V33" s="48" t="n">
        <f aca="false">IFERROR(AVERAGEIFS(월별!$X$5:$X$70,월별!$D$5:$D$70,2026),"")</f>
        <v>0.162857067631944</v>
      </c>
      <c r="W33" s="48" t="n">
        <f aca="false">IFERROR(AVERAGEIFS(월별!$Y$5:$Y$70,월별!$D$5:$D$70,2026),"")</f>
        <v>0.166948469655273</v>
      </c>
      <c r="X33" s="48" t="n">
        <f aca="false">IFERROR(AVERAGEIFS(월별!$Z$5:$Z$70,월별!$D$5:$D$70,2026),"")</f>
        <v>0.152879946524064</v>
      </c>
      <c r="Y33" s="49" t="n">
        <f aca="false">IFERROR(AVERAGEIFS(월별!$AA$5:$AA$70,월별!$D$5:$D$70,2026),"")</f>
        <v>45.6584318416361</v>
      </c>
      <c r="Z33" s="48" t="n">
        <f aca="false">IFERROR(AVERAGEIFS(월별!$AB$5:$AB$70,월별!$D$5:$D$70,2026),"")</f>
        <v>0.17545930780978</v>
      </c>
    </row>
  </sheetData>
  <mergeCells count="4">
    <mergeCell ref="C3:G3"/>
    <mergeCell ref="H3:L3"/>
    <mergeCell ref="M3:S3"/>
    <mergeCell ref="T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Z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4" min="11" style="0" width="9"/>
    <col collapsed="false" customWidth="true" hidden="false" outlineLevel="0" max="15" min="15" style="0" width="4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1" min="20" style="0" width="10"/>
    <col collapsed="false" customWidth="true" hidden="false" outlineLevel="0" max="22" min="22" style="0" width="9"/>
    <col collapsed="false" customWidth="true" hidden="false" outlineLevel="0" max="26" min="23" style="0" width="10"/>
  </cols>
  <sheetData>
    <row r="1" customFormat="false" ht="15" hidden="false" customHeight="false" outlineLevel="0" collapsed="false">
      <c r="A1" s="2" t="s">
        <v>111</v>
      </c>
    </row>
    <row r="2" customFormat="false" ht="15" hidden="false" customHeight="false" outlineLevel="0" collapsed="false">
      <c r="A2" s="4" t="s">
        <v>112</v>
      </c>
    </row>
    <row r="3" customFormat="false" ht="38.05" hidden="false" customHeight="false" outlineLevel="0" collapsed="false">
      <c r="A3" s="6" t="s">
        <v>113</v>
      </c>
      <c r="B3" s="6" t="s">
        <v>114</v>
      </c>
      <c r="C3" s="6" t="s">
        <v>115</v>
      </c>
      <c r="D3" s="6" t="s">
        <v>51</v>
      </c>
      <c r="E3" s="6" t="s">
        <v>116</v>
      </c>
      <c r="F3" s="6" t="s">
        <v>117</v>
      </c>
      <c r="G3" s="6" t="s">
        <v>118</v>
      </c>
      <c r="H3" s="6" t="s">
        <v>119</v>
      </c>
      <c r="I3" s="6" t="s">
        <v>120</v>
      </c>
      <c r="J3" s="6" t="s">
        <v>121</v>
      </c>
      <c r="K3" s="6" t="s">
        <v>122</v>
      </c>
      <c r="L3" s="6" t="s">
        <v>123</v>
      </c>
      <c r="M3" s="6" t="s">
        <v>124</v>
      </c>
      <c r="N3" s="6" t="s">
        <v>125</v>
      </c>
      <c r="O3" s="6" t="s">
        <v>126</v>
      </c>
      <c r="P3" s="6" t="s">
        <v>16</v>
      </c>
      <c r="Q3" s="6" t="s">
        <v>127</v>
      </c>
      <c r="R3" s="6" t="s">
        <v>128</v>
      </c>
      <c r="S3" s="6" t="s">
        <v>129</v>
      </c>
      <c r="T3" s="6" t="s">
        <v>130</v>
      </c>
      <c r="U3" s="6" t="s">
        <v>131</v>
      </c>
      <c r="V3" s="27" t="s">
        <v>132</v>
      </c>
      <c r="W3" s="27" t="s">
        <v>133</v>
      </c>
      <c r="X3" s="27" t="s">
        <v>134</v>
      </c>
      <c r="Y3" s="6" t="s">
        <v>135</v>
      </c>
      <c r="Z3" s="27" t="s">
        <v>136</v>
      </c>
    </row>
    <row r="4" customFormat="false" ht="15" hidden="false" customHeight="false" outlineLevel="0" collapsed="false">
      <c r="A4" s="47" t="s">
        <v>137</v>
      </c>
      <c r="B4" s="52" t="n">
        <v>44410</v>
      </c>
      <c r="C4" s="53" t="n">
        <f aca="false">DATE(YEAR(B4),MONTH(B4),1)</f>
        <v>44409</v>
      </c>
      <c r="D4" s="5" t="str">
        <f aca="false">YEAR(B4)&amp;"Q"&amp;ROUNDUP(MONTH(B4)/3,0)</f>
        <v>2021Q3</v>
      </c>
      <c r="E4" s="47" t="s">
        <v>138</v>
      </c>
      <c r="F4" s="54" t="s">
        <v>139</v>
      </c>
      <c r="G4" s="47" t="s">
        <v>140</v>
      </c>
      <c r="H4" s="47" t="s">
        <v>141</v>
      </c>
      <c r="I4" s="55" t="n">
        <v>50</v>
      </c>
      <c r="J4" s="56" t="n">
        <v>7</v>
      </c>
      <c r="K4" s="54" t="s">
        <v>142</v>
      </c>
      <c r="L4" s="57" t="n">
        <v>0.076</v>
      </c>
      <c r="N4" s="47" t="s">
        <v>143</v>
      </c>
      <c r="O4" s="47" t="s">
        <v>144</v>
      </c>
      <c r="P4" s="47"/>
      <c r="Q4" s="48" t="n">
        <f aca="false">IF($J4="","",IFERROR(IF($J4&lt;=1,INDEX(VN_국채일별!$B$4:$B$1436,MATCH($B4,VN_국채일별!$A$4:$A$1436,1)),IF($J4&lt;=2,INDEX(VN_국채일별!$B$4:$B$1436,MATCH($B4,VN_국채일별!$A$4:$A$1436,1))+(INDEX(VN_국채일별!$C$4:$C$1436,MATCH($B4,VN_국채일별!$A$4:$A$1436,1))-INDEX(VN_국채일별!$B$4:$B$1436,MATCH($B4,VN_국채일별!$A$4:$A$1436,1)))*($J4-1),IF($J4&lt;=3,INDEX(VN_국채일별!$C$4:$C$1436,MATCH($B4,VN_국채일별!$A$4:$A$1436,1))+(INDEX(VN_국채일별!$D$4:$D$1436,MATCH($B4,VN_국채일별!$A$4:$A$1436,1))-INDEX(VN_국채일별!$C$4:$C$1436,MATCH($B4,VN_국채일별!$A$4:$A$1436,1)))*($J4-2),IF($J4&lt;=5,INDEX(VN_국채일별!$D$4:$D$1436,MATCH($B4,VN_국채일별!$A$4:$A$1436,1))+(INDEX(VN_국채일별!$E$4:$E$1436,MATCH($B4,VN_국채일별!$A$4:$A$1436,1))-INDEX(VN_국채일별!$D$4:$D$1436,MATCH($B4,VN_국채일별!$A$4:$A$1436,1)))*($J4-3)/2,IF($J4&lt;=7,INDEX(VN_국채일별!$E$4:$E$1436,MATCH($B4,VN_국채일별!$A$4:$A$1436,1))+(INDEX(VN_국채일별!$F$4:$F$1436,MATCH($B4,VN_국채일별!$A$4:$A$1436,1))-INDEX(VN_국채일별!$E$4:$E$1436,MATCH($B4,VN_국채일별!$A$4:$A$1436,1)))*($J4-5)/2,IF($J4&lt;=10,INDEX(VN_국채일별!$F$4:$F$1436,MATCH($B4,VN_국채일별!$A$4:$A$1436,1))+(INDEX(VN_국채일별!$G$4:$G$1436,MATCH($B4,VN_국채일별!$A$4:$A$1436,1))-INDEX(VN_국채일별!$F$4:$F$1436,MATCH($B4,VN_국채일별!$A$4:$A$1436,1)))*($J4-7)/3,INDEX(VN_국채일별!$G$4:$G$1436,MATCH($B4,VN_국채일별!$A$4:$A$1436,1)))))))),""))</f>
        <v>0.01321</v>
      </c>
      <c r="R4" s="58" t="n">
        <f aca="false">IF(OR(L4="",Q4=""),"",(L4-Q4)*10000)</f>
        <v>627.9</v>
      </c>
      <c r="S4" s="30" t="n">
        <f aca="false">IF(AND(K4="고정",N4="N",J4&gt;=2,J4&lt;=4,I4&lt;&gt;""),1,0)</f>
        <v>0</v>
      </c>
      <c r="T4" s="59" t="n">
        <f aca="false">IF(S4=1,I4*L4,0)</f>
        <v>0</v>
      </c>
      <c r="U4" s="60" t="n">
        <f aca="false">IF(AND(S4=1,ISNUMBER(R4)),I4*R4,0)</f>
        <v>0</v>
      </c>
      <c r="V4" s="30" t="n">
        <f aca="false">IF(AND(F4="Big4(국영)",K4="고정",N4="N",I4&lt;&gt;""),1,0)</f>
        <v>0</v>
      </c>
      <c r="W4" s="59" t="n">
        <f aca="false">IF(V4=1,I4*L4,0)</f>
        <v>0</v>
      </c>
      <c r="X4" s="60" t="n">
        <f aca="false">IF(AND(V4=1,ISNUMBER(R4)),I4*R4,0)</f>
        <v>0</v>
      </c>
      <c r="Y4" s="61" t="n">
        <f aca="false">IF(AND(S4=1,ISNUMBER(R4)),I4,0)</f>
        <v>0</v>
      </c>
      <c r="Z4" s="61" t="n">
        <f aca="false">IF(AND(V4=1,ISNUMBER(R4)),I4,0)</f>
        <v>0</v>
      </c>
    </row>
    <row r="5" customFormat="false" ht="15" hidden="false" customHeight="false" outlineLevel="0" collapsed="false">
      <c r="A5" s="47" t="s">
        <v>137</v>
      </c>
      <c r="B5" s="52" t="n">
        <v>44419</v>
      </c>
      <c r="C5" s="53" t="n">
        <f aca="false">DATE(YEAR(B5),MONTH(B5),1)</f>
        <v>44409</v>
      </c>
      <c r="D5" s="5" t="str">
        <f aca="false">YEAR(B5)&amp;"Q"&amp;ROUNDUP(MONTH(B5)/3,0)</f>
        <v>2021Q3</v>
      </c>
      <c r="E5" s="47" t="s">
        <v>145</v>
      </c>
      <c r="F5" s="54" t="s">
        <v>139</v>
      </c>
      <c r="G5" s="47" t="s">
        <v>146</v>
      </c>
      <c r="H5" s="47" t="s">
        <v>147</v>
      </c>
      <c r="I5" s="55" t="n">
        <v>1000</v>
      </c>
      <c r="J5" s="56" t="n">
        <v>3</v>
      </c>
      <c r="K5" s="54" t="s">
        <v>142</v>
      </c>
      <c r="L5" s="57" t="n">
        <v>0.037</v>
      </c>
      <c r="N5" s="47" t="s">
        <v>148</v>
      </c>
      <c r="O5" s="47" t="s">
        <v>149</v>
      </c>
      <c r="P5" s="47"/>
      <c r="Q5" s="48" t="n">
        <f aca="false">IF($J5="","",IFERROR(IF($J5&lt;=1,INDEX(VN_국채일별!$B$4:$B$1436,MATCH($B5,VN_국채일별!$A$4:$A$1436,1)),IF($J5&lt;=2,INDEX(VN_국채일별!$B$4:$B$1436,MATCH($B5,VN_국채일별!$A$4:$A$1436,1))+(INDEX(VN_국채일별!$C$4:$C$1436,MATCH($B5,VN_국채일별!$A$4:$A$1436,1))-INDEX(VN_국채일별!$B$4:$B$1436,MATCH($B5,VN_국채일별!$A$4:$A$1436,1)))*($J5-1),IF($J5&lt;=3,INDEX(VN_국채일별!$C$4:$C$1436,MATCH($B5,VN_국채일별!$A$4:$A$1436,1))+(INDEX(VN_국채일별!$D$4:$D$1436,MATCH($B5,VN_국채일별!$A$4:$A$1436,1))-INDEX(VN_국채일별!$C$4:$C$1436,MATCH($B5,VN_국채일별!$A$4:$A$1436,1)))*($J5-2),IF($J5&lt;=5,INDEX(VN_국채일별!$D$4:$D$1436,MATCH($B5,VN_국채일별!$A$4:$A$1436,1))+(INDEX(VN_국채일별!$E$4:$E$1436,MATCH($B5,VN_국채일별!$A$4:$A$1436,1))-INDEX(VN_국채일별!$D$4:$D$1436,MATCH($B5,VN_국채일별!$A$4:$A$1436,1)))*($J5-3)/2,IF($J5&lt;=7,INDEX(VN_국채일별!$E$4:$E$1436,MATCH($B5,VN_국채일별!$A$4:$A$1436,1))+(INDEX(VN_국채일별!$F$4:$F$1436,MATCH($B5,VN_국채일별!$A$4:$A$1436,1))-INDEX(VN_국채일별!$E$4:$E$1436,MATCH($B5,VN_국채일별!$A$4:$A$1436,1)))*($J5-5)/2,IF($J5&lt;=10,INDEX(VN_국채일별!$F$4:$F$1436,MATCH($B5,VN_국채일별!$A$4:$A$1436,1))+(INDEX(VN_국채일별!$G$4:$G$1436,MATCH($B5,VN_국채일별!$A$4:$A$1436,1))-INDEX(VN_국채일별!$F$4:$F$1436,MATCH($B5,VN_국채일별!$A$4:$A$1436,1)))*($J5-7)/3,INDEX(VN_국채일별!$G$4:$G$1436,MATCH($B5,VN_국채일별!$A$4:$A$1436,1)))))))),""))</f>
        <v>0.00701</v>
      </c>
      <c r="R5" s="58" t="n">
        <f aca="false">IF(OR(L5="",Q5=""),"",(L5-Q5)*10000)</f>
        <v>299.9</v>
      </c>
      <c r="S5" s="30" t="n">
        <f aca="false">IF(AND(K5="고정",N5="N",J5&gt;=2,J5&lt;=4,I5&lt;&gt;""),1,0)</f>
        <v>1</v>
      </c>
      <c r="T5" s="59" t="n">
        <f aca="false">IF(S5=1,I5*L5,0)</f>
        <v>37</v>
      </c>
      <c r="U5" s="60" t="n">
        <f aca="false">IF(AND(S5=1,ISNUMBER(R5)),I5*R5,0)</f>
        <v>299900</v>
      </c>
      <c r="V5" s="30" t="n">
        <f aca="false">IF(AND(F5="Big4(국영)",K5="고정",N5="N",I5&lt;&gt;""),1,0)</f>
        <v>0</v>
      </c>
      <c r="W5" s="59" t="n">
        <f aca="false">IF(V5=1,I5*L5,0)</f>
        <v>0</v>
      </c>
      <c r="X5" s="60" t="n">
        <f aca="false">IF(AND(V5=1,ISNUMBER(R5)),I5*R5,0)</f>
        <v>0</v>
      </c>
      <c r="Y5" s="61" t="n">
        <f aca="false">IF(AND(S5=1,ISNUMBER(R5)),I5,0)</f>
        <v>1000</v>
      </c>
      <c r="Z5" s="61" t="n">
        <f aca="false">IF(AND(V5=1,ISNUMBER(R5)),I5,0)</f>
        <v>0</v>
      </c>
    </row>
    <row r="6" customFormat="false" ht="15" hidden="false" customHeight="false" outlineLevel="0" collapsed="false">
      <c r="A6" s="47" t="s">
        <v>137</v>
      </c>
      <c r="B6" s="52" t="n">
        <v>44420</v>
      </c>
      <c r="C6" s="53" t="n">
        <f aca="false">DATE(YEAR(B6),MONTH(B6),1)</f>
        <v>44409</v>
      </c>
      <c r="D6" s="5" t="str">
        <f aca="false">YEAR(B6)&amp;"Q"&amp;ROUNDUP(MONTH(B6)/3,0)</f>
        <v>2021Q3</v>
      </c>
      <c r="E6" s="47" t="s">
        <v>150</v>
      </c>
      <c r="F6" s="54" t="s">
        <v>139</v>
      </c>
      <c r="G6" s="47" t="s">
        <v>151</v>
      </c>
      <c r="H6" s="47" t="s">
        <v>152</v>
      </c>
      <c r="I6" s="55" t="n">
        <v>150</v>
      </c>
      <c r="J6" s="56" t="n">
        <v>7</v>
      </c>
      <c r="K6" s="54" t="s">
        <v>153</v>
      </c>
      <c r="M6" s="57" t="n">
        <v>0.07575</v>
      </c>
      <c r="N6" s="47" t="s">
        <v>143</v>
      </c>
      <c r="O6" s="47" t="s">
        <v>154</v>
      </c>
      <c r="P6" s="47"/>
      <c r="Q6" s="48" t="n">
        <f aca="false">IF($J6="","",IFERROR(IF($J6&lt;=1,INDEX(VN_국채일별!$B$4:$B$1436,MATCH($B6,VN_국채일별!$A$4:$A$1436,1)),IF($J6&lt;=2,INDEX(VN_국채일별!$B$4:$B$1436,MATCH($B6,VN_국채일별!$A$4:$A$1436,1))+(INDEX(VN_국채일별!$C$4:$C$1436,MATCH($B6,VN_국채일별!$A$4:$A$1436,1))-INDEX(VN_국채일별!$B$4:$B$1436,MATCH($B6,VN_국채일별!$A$4:$A$1436,1)))*($J6-1),IF($J6&lt;=3,INDEX(VN_국채일별!$C$4:$C$1436,MATCH($B6,VN_국채일별!$A$4:$A$1436,1))+(INDEX(VN_국채일별!$D$4:$D$1436,MATCH($B6,VN_국채일별!$A$4:$A$1436,1))-INDEX(VN_국채일별!$C$4:$C$1436,MATCH($B6,VN_국채일별!$A$4:$A$1436,1)))*($J6-2),IF($J6&lt;=5,INDEX(VN_국채일별!$D$4:$D$1436,MATCH($B6,VN_국채일별!$A$4:$A$1436,1))+(INDEX(VN_국채일별!$E$4:$E$1436,MATCH($B6,VN_국채일별!$A$4:$A$1436,1))-INDEX(VN_국채일별!$D$4:$D$1436,MATCH($B6,VN_국채일별!$A$4:$A$1436,1)))*($J6-3)/2,IF($J6&lt;=7,INDEX(VN_국채일별!$E$4:$E$1436,MATCH($B6,VN_국채일별!$A$4:$A$1436,1))+(INDEX(VN_국채일별!$F$4:$F$1436,MATCH($B6,VN_국채일별!$A$4:$A$1436,1))-INDEX(VN_국채일별!$E$4:$E$1436,MATCH($B6,VN_국채일별!$A$4:$A$1436,1)))*($J6-5)/2,IF($J6&lt;=10,INDEX(VN_국채일별!$F$4:$F$1436,MATCH($B6,VN_국채일별!$A$4:$A$1436,1))+(INDEX(VN_국채일별!$G$4:$G$1436,MATCH($B6,VN_국채일별!$A$4:$A$1436,1))-INDEX(VN_국채일별!$F$4:$F$1436,MATCH($B6,VN_국채일별!$A$4:$A$1436,1)))*($J6-7)/3,INDEX(VN_국채일별!$G$4:$G$1436,MATCH($B6,VN_국채일별!$A$4:$A$1436,1)))))))),""))</f>
        <v>0.01241</v>
      </c>
      <c r="R6" s="58" t="str">
        <f aca="false">IF(OR(L6="",Q6=""),"",(L6-Q6)*10000)</f>
        <v/>
      </c>
      <c r="S6" s="30" t="n">
        <f aca="false">IF(AND(K6="고정",N6="N",J6&gt;=2,J6&lt;=4,I6&lt;&gt;""),1,0)</f>
        <v>0</v>
      </c>
      <c r="T6" s="59" t="n">
        <f aca="false">IF(S6=1,I6*L6,0)</f>
        <v>0</v>
      </c>
      <c r="U6" s="60" t="n">
        <f aca="false">IF(AND(S6=1,ISNUMBER(R6)),I6*R6,0)</f>
        <v>0</v>
      </c>
      <c r="V6" s="30" t="n">
        <f aca="false">IF(AND(F6="Big4(국영)",K6="고정",N6="N",I6&lt;&gt;""),1,0)</f>
        <v>0</v>
      </c>
      <c r="W6" s="59" t="n">
        <f aca="false">IF(V6=1,I6*L6,0)</f>
        <v>0</v>
      </c>
      <c r="X6" s="60" t="n">
        <f aca="false">IF(AND(V6=1,ISNUMBER(R6)),I6*R6,0)</f>
        <v>0</v>
      </c>
      <c r="Y6" s="61" t="n">
        <f aca="false">IF(AND(S6=1,ISNUMBER(R6)),I6,0)</f>
        <v>0</v>
      </c>
      <c r="Z6" s="61" t="n">
        <f aca="false">IF(AND(V6=1,ISNUMBER(R6)),I6,0)</f>
        <v>0</v>
      </c>
    </row>
    <row r="7" customFormat="false" ht="15" hidden="false" customHeight="false" outlineLevel="0" collapsed="false">
      <c r="A7" s="47" t="s">
        <v>137</v>
      </c>
      <c r="B7" s="52" t="n">
        <v>44420</v>
      </c>
      <c r="C7" s="53" t="n">
        <f aca="false">DATE(YEAR(B7),MONTH(B7),1)</f>
        <v>44409</v>
      </c>
      <c r="D7" s="5" t="str">
        <f aca="false">YEAR(B7)&amp;"Q"&amp;ROUNDUP(MONTH(B7)/3,0)</f>
        <v>2021Q3</v>
      </c>
      <c r="E7" s="62" t="s">
        <v>155</v>
      </c>
      <c r="F7" s="62" t="s">
        <v>156</v>
      </c>
      <c r="G7" s="47" t="s">
        <v>157</v>
      </c>
      <c r="H7" s="47" t="s">
        <v>158</v>
      </c>
      <c r="I7" s="55" t="n">
        <v>500</v>
      </c>
      <c r="J7" s="56" t="n">
        <v>8</v>
      </c>
      <c r="K7" s="54" t="s">
        <v>153</v>
      </c>
      <c r="M7" s="57" t="n">
        <v>0.0645</v>
      </c>
      <c r="N7" s="47" t="s">
        <v>143</v>
      </c>
      <c r="O7" s="47" t="s">
        <v>159</v>
      </c>
      <c r="P7" s="47"/>
      <c r="Q7" s="48" t="n">
        <f aca="false">IF($J7="","",IFERROR(IF($J7&lt;=1,INDEX(VN_국채일별!$B$4:$B$1436,MATCH($B7,VN_국채일별!$A$4:$A$1436,1)),IF($J7&lt;=2,INDEX(VN_국채일별!$B$4:$B$1436,MATCH($B7,VN_국채일별!$A$4:$A$1436,1))+(INDEX(VN_국채일별!$C$4:$C$1436,MATCH($B7,VN_국채일별!$A$4:$A$1436,1))-INDEX(VN_국채일별!$B$4:$B$1436,MATCH($B7,VN_국채일별!$A$4:$A$1436,1)))*($J7-1),IF($J7&lt;=3,INDEX(VN_국채일별!$C$4:$C$1436,MATCH($B7,VN_국채일별!$A$4:$A$1436,1))+(INDEX(VN_국채일별!$D$4:$D$1436,MATCH($B7,VN_국채일별!$A$4:$A$1436,1))-INDEX(VN_국채일별!$C$4:$C$1436,MATCH($B7,VN_국채일별!$A$4:$A$1436,1)))*($J7-2),IF($J7&lt;=5,INDEX(VN_국채일별!$D$4:$D$1436,MATCH($B7,VN_국채일별!$A$4:$A$1436,1))+(INDEX(VN_국채일별!$E$4:$E$1436,MATCH($B7,VN_국채일별!$A$4:$A$1436,1))-INDEX(VN_국채일별!$D$4:$D$1436,MATCH($B7,VN_국채일별!$A$4:$A$1436,1)))*($J7-3)/2,IF($J7&lt;=7,INDEX(VN_국채일별!$E$4:$E$1436,MATCH($B7,VN_국채일별!$A$4:$A$1436,1))+(INDEX(VN_국채일별!$F$4:$F$1436,MATCH($B7,VN_국채일별!$A$4:$A$1436,1))-INDEX(VN_국채일별!$E$4:$E$1436,MATCH($B7,VN_국채일별!$A$4:$A$1436,1)))*($J7-5)/2,IF($J7&lt;=10,INDEX(VN_국채일별!$F$4:$F$1436,MATCH($B7,VN_국채일별!$A$4:$A$1436,1))+(INDEX(VN_국채일별!$G$4:$G$1436,MATCH($B7,VN_국채일별!$A$4:$A$1436,1))-INDEX(VN_국채일별!$F$4:$F$1436,MATCH($B7,VN_국채일별!$A$4:$A$1436,1)))*($J7-7)/3,INDEX(VN_국채일별!$G$4:$G$1436,MATCH($B7,VN_국채일별!$A$4:$A$1436,1)))))))),""))</f>
        <v>0.0151266666666667</v>
      </c>
      <c r="R7" s="58" t="str">
        <f aca="false">IF(OR(L7="",Q7=""),"",(L7-Q7)*10000)</f>
        <v/>
      </c>
      <c r="S7" s="30" t="n">
        <f aca="false">IF(AND(K7="고정",N7="N",J7&gt;=2,J7&lt;=4,I7&lt;&gt;""),1,0)</f>
        <v>0</v>
      </c>
      <c r="T7" s="59" t="n">
        <f aca="false">IF(S7=1,I7*L7,0)</f>
        <v>0</v>
      </c>
      <c r="U7" s="60" t="n">
        <f aca="false">IF(AND(S7=1,ISNUMBER(R7)),I7*R7,0)</f>
        <v>0</v>
      </c>
      <c r="V7" s="30" t="n">
        <f aca="false">IF(AND(F7="Big4(국영)",K7="고정",N7="N",I7&lt;&gt;""),1,0)</f>
        <v>0</v>
      </c>
      <c r="W7" s="59" t="n">
        <f aca="false">IF(V7=1,I7*L7,0)</f>
        <v>0</v>
      </c>
      <c r="X7" s="60" t="n">
        <f aca="false">IF(AND(V7=1,ISNUMBER(R7)),I7*R7,0)</f>
        <v>0</v>
      </c>
      <c r="Y7" s="61" t="n">
        <f aca="false">IF(AND(S7=1,ISNUMBER(R7)),I7,0)</f>
        <v>0</v>
      </c>
      <c r="Z7" s="61" t="n">
        <f aca="false">IF(AND(V7=1,ISNUMBER(R7)),I7,0)</f>
        <v>0</v>
      </c>
    </row>
    <row r="8" customFormat="false" ht="15" hidden="false" customHeight="false" outlineLevel="0" collapsed="false">
      <c r="A8" s="47" t="s">
        <v>137</v>
      </c>
      <c r="B8" s="52" t="n">
        <v>44423</v>
      </c>
      <c r="C8" s="53" t="n">
        <f aca="false">DATE(YEAR(B8),MONTH(B8),1)</f>
        <v>44409</v>
      </c>
      <c r="D8" s="5" t="str">
        <f aca="false">YEAR(B8)&amp;"Q"&amp;ROUNDUP(MONTH(B8)/3,0)</f>
        <v>2021Q3</v>
      </c>
      <c r="E8" s="47" t="s">
        <v>160</v>
      </c>
      <c r="F8" s="54" t="s">
        <v>139</v>
      </c>
      <c r="G8" s="47" t="s">
        <v>161</v>
      </c>
      <c r="H8" s="47" t="s">
        <v>162</v>
      </c>
      <c r="I8" s="55" t="n">
        <v>100</v>
      </c>
      <c r="K8" s="54" t="s">
        <v>153</v>
      </c>
      <c r="N8" s="47" t="s">
        <v>148</v>
      </c>
      <c r="O8" s="47" t="s">
        <v>163</v>
      </c>
      <c r="P8" s="54" t="s">
        <v>164</v>
      </c>
      <c r="Q8" s="48" t="str">
        <f aca="false">IF($J8="","",IFERROR(IF($J8&lt;=1,INDEX(VN_국채일별!$B$4:$B$1436,MATCH($B8,VN_국채일별!$A$4:$A$1436,1)),IF($J8&lt;=2,INDEX(VN_국채일별!$B$4:$B$1436,MATCH($B8,VN_국채일별!$A$4:$A$1436,1))+(INDEX(VN_국채일별!$C$4:$C$1436,MATCH($B8,VN_국채일별!$A$4:$A$1436,1))-INDEX(VN_국채일별!$B$4:$B$1436,MATCH($B8,VN_국채일별!$A$4:$A$1436,1)))*($J8-1),IF($J8&lt;=3,INDEX(VN_국채일별!$C$4:$C$1436,MATCH($B8,VN_국채일별!$A$4:$A$1436,1))+(INDEX(VN_국채일별!$D$4:$D$1436,MATCH($B8,VN_국채일별!$A$4:$A$1436,1))-INDEX(VN_국채일별!$C$4:$C$1436,MATCH($B8,VN_국채일별!$A$4:$A$1436,1)))*($J8-2),IF($J8&lt;=5,INDEX(VN_국채일별!$D$4:$D$1436,MATCH($B8,VN_국채일별!$A$4:$A$1436,1))+(INDEX(VN_국채일별!$E$4:$E$1436,MATCH($B8,VN_국채일별!$A$4:$A$1436,1))-INDEX(VN_국채일별!$D$4:$D$1436,MATCH($B8,VN_국채일별!$A$4:$A$1436,1)))*($J8-3)/2,IF($J8&lt;=7,INDEX(VN_국채일별!$E$4:$E$1436,MATCH($B8,VN_국채일별!$A$4:$A$1436,1))+(INDEX(VN_국채일별!$F$4:$F$1436,MATCH($B8,VN_국채일별!$A$4:$A$1436,1))-INDEX(VN_국채일별!$E$4:$E$1436,MATCH($B8,VN_국채일별!$A$4:$A$1436,1)))*($J8-5)/2,IF($J8&lt;=10,INDEX(VN_국채일별!$F$4:$F$1436,MATCH($B8,VN_국채일별!$A$4:$A$1436,1))+(INDEX(VN_국채일별!$G$4:$G$1436,MATCH($B8,VN_국채일별!$A$4:$A$1436,1))-INDEX(VN_국채일별!$F$4:$F$1436,MATCH($B8,VN_국채일별!$A$4:$A$1436,1)))*($J8-7)/3,INDEX(VN_국채일별!$G$4:$G$1436,MATCH($B8,VN_국채일별!$A$4:$A$1436,1)))))))),""))</f>
        <v/>
      </c>
      <c r="R8" s="58" t="str">
        <f aca="false">IF(OR(L8="",Q8=""),"",(L8-Q8)*10000)</f>
        <v/>
      </c>
      <c r="S8" s="30" t="n">
        <f aca="false">IF(AND(K8="고정",N8="N",J8&gt;=2,J8&lt;=4,I8&lt;&gt;""),1,0)</f>
        <v>0</v>
      </c>
      <c r="T8" s="59" t="n">
        <f aca="false">IF(S8=1,I8*L8,0)</f>
        <v>0</v>
      </c>
      <c r="U8" s="60" t="n">
        <f aca="false">IF(AND(S8=1,ISNUMBER(R8)),I8*R8,0)</f>
        <v>0</v>
      </c>
      <c r="V8" s="30" t="n">
        <f aca="false">IF(AND(F8="Big4(국영)",K8="고정",N8="N",I8&lt;&gt;""),1,0)</f>
        <v>0</v>
      </c>
      <c r="W8" s="59" t="n">
        <f aca="false">IF(V8=1,I8*L8,0)</f>
        <v>0</v>
      </c>
      <c r="X8" s="60" t="n">
        <f aca="false">IF(AND(V8=1,ISNUMBER(R8)),I8*R8,0)</f>
        <v>0</v>
      </c>
      <c r="Y8" s="61" t="n">
        <f aca="false">IF(AND(S8=1,ISNUMBER(R8)),I8,0)</f>
        <v>0</v>
      </c>
      <c r="Z8" s="61" t="n">
        <f aca="false">IF(AND(V8=1,ISNUMBER(R8)),I8,0)</f>
        <v>0</v>
      </c>
    </row>
    <row r="9" customFormat="false" ht="15" hidden="false" customHeight="false" outlineLevel="0" collapsed="false">
      <c r="A9" s="47" t="s">
        <v>137</v>
      </c>
      <c r="B9" s="52" t="n">
        <v>44423</v>
      </c>
      <c r="C9" s="53" t="n">
        <f aca="false">DATE(YEAR(B9),MONTH(B9),1)</f>
        <v>44409</v>
      </c>
      <c r="D9" s="5" t="str">
        <f aca="false">YEAR(B9)&amp;"Q"&amp;ROUNDUP(MONTH(B9)/3,0)</f>
        <v>2021Q3</v>
      </c>
      <c r="E9" s="47" t="s">
        <v>138</v>
      </c>
      <c r="F9" s="54" t="s">
        <v>139</v>
      </c>
      <c r="G9" s="47" t="s">
        <v>140</v>
      </c>
      <c r="H9" s="47" t="s">
        <v>165</v>
      </c>
      <c r="I9" s="55" t="n">
        <v>50</v>
      </c>
      <c r="J9" s="56" t="n">
        <v>7</v>
      </c>
      <c r="K9" s="54" t="s">
        <v>142</v>
      </c>
      <c r="L9" s="57" t="n">
        <v>0.076</v>
      </c>
      <c r="N9" s="47" t="s">
        <v>143</v>
      </c>
      <c r="O9" s="47" t="s">
        <v>144</v>
      </c>
      <c r="P9" s="54" t="s">
        <v>164</v>
      </c>
      <c r="Q9" s="48" t="n">
        <f aca="false">IF($J9="","",IFERROR(IF($J9&lt;=1,INDEX(VN_국채일별!$B$4:$B$1436,MATCH($B9,VN_국채일별!$A$4:$A$1436,1)),IF($J9&lt;=2,INDEX(VN_국채일별!$B$4:$B$1436,MATCH($B9,VN_국채일별!$A$4:$A$1436,1))+(INDEX(VN_국채일별!$C$4:$C$1436,MATCH($B9,VN_국채일별!$A$4:$A$1436,1))-INDEX(VN_국채일별!$B$4:$B$1436,MATCH($B9,VN_국채일별!$A$4:$A$1436,1)))*($J9-1),IF($J9&lt;=3,INDEX(VN_국채일별!$C$4:$C$1436,MATCH($B9,VN_국채일별!$A$4:$A$1436,1))+(INDEX(VN_국채일별!$D$4:$D$1436,MATCH($B9,VN_국채일별!$A$4:$A$1436,1))-INDEX(VN_국채일별!$C$4:$C$1436,MATCH($B9,VN_국채일별!$A$4:$A$1436,1)))*($J9-2),IF($J9&lt;=5,INDEX(VN_국채일별!$D$4:$D$1436,MATCH($B9,VN_국채일별!$A$4:$A$1436,1))+(INDEX(VN_국채일별!$E$4:$E$1436,MATCH($B9,VN_국채일별!$A$4:$A$1436,1))-INDEX(VN_국채일별!$D$4:$D$1436,MATCH($B9,VN_국채일별!$A$4:$A$1436,1)))*($J9-3)/2,IF($J9&lt;=7,INDEX(VN_국채일별!$E$4:$E$1436,MATCH($B9,VN_국채일별!$A$4:$A$1436,1))+(INDEX(VN_국채일별!$F$4:$F$1436,MATCH($B9,VN_국채일별!$A$4:$A$1436,1))-INDEX(VN_국채일별!$E$4:$E$1436,MATCH($B9,VN_국채일별!$A$4:$A$1436,1)))*($J9-5)/2,IF($J9&lt;=10,INDEX(VN_국채일별!$F$4:$F$1436,MATCH($B9,VN_국채일별!$A$4:$A$1436,1))+(INDEX(VN_국채일별!$G$4:$G$1436,MATCH($B9,VN_국채일별!$A$4:$A$1436,1))-INDEX(VN_국채일별!$F$4:$F$1436,MATCH($B9,VN_국채일별!$A$4:$A$1436,1)))*($J9-7)/3,INDEX(VN_국채일별!$G$4:$G$1436,MATCH($B9,VN_국채일별!$A$4:$A$1436,1)))))))),""))</f>
        <v>0.01277</v>
      </c>
      <c r="R9" s="58" t="n">
        <f aca="false">IF(OR(L9="",Q9=""),"",(L9-Q9)*10000)</f>
        <v>632.3</v>
      </c>
      <c r="S9" s="30" t="n">
        <f aca="false">IF(AND(K9="고정",N9="N",J9&gt;=2,J9&lt;=4,I9&lt;&gt;""),1,0)</f>
        <v>0</v>
      </c>
      <c r="T9" s="59" t="n">
        <f aca="false">IF(S9=1,I9*L9,0)</f>
        <v>0</v>
      </c>
      <c r="U9" s="60" t="n">
        <f aca="false">IF(AND(S9=1,ISNUMBER(R9)),I9*R9,0)</f>
        <v>0</v>
      </c>
      <c r="V9" s="30" t="n">
        <f aca="false">IF(AND(F9="Big4(국영)",K9="고정",N9="N",I9&lt;&gt;""),1,0)</f>
        <v>0</v>
      </c>
      <c r="W9" s="59" t="n">
        <f aca="false">IF(V9=1,I9*L9,0)</f>
        <v>0</v>
      </c>
      <c r="X9" s="60" t="n">
        <f aca="false">IF(AND(V9=1,ISNUMBER(R9)),I9*R9,0)</f>
        <v>0</v>
      </c>
      <c r="Y9" s="61" t="n">
        <f aca="false">IF(AND(S9=1,ISNUMBER(R9)),I9,0)</f>
        <v>0</v>
      </c>
      <c r="Z9" s="61" t="n">
        <f aca="false">IF(AND(V9=1,ISNUMBER(R9)),I9,0)</f>
        <v>0</v>
      </c>
    </row>
    <row r="10" customFormat="false" ht="15" hidden="false" customHeight="false" outlineLevel="0" collapsed="false">
      <c r="A10" s="47" t="s">
        <v>137</v>
      </c>
      <c r="B10" s="52" t="n">
        <v>44424</v>
      </c>
      <c r="C10" s="53" t="n">
        <f aca="false">DATE(YEAR(B10),MONTH(B10),1)</f>
        <v>44409</v>
      </c>
      <c r="D10" s="5" t="str">
        <f aca="false">YEAR(B10)&amp;"Q"&amp;ROUNDUP(MONTH(B10)/3,0)</f>
        <v>2021Q3</v>
      </c>
      <c r="E10" s="47" t="s">
        <v>166</v>
      </c>
      <c r="F10" s="54" t="s">
        <v>139</v>
      </c>
      <c r="G10" s="47" t="s">
        <v>167</v>
      </c>
      <c r="H10" s="47" t="s">
        <v>168</v>
      </c>
      <c r="I10" s="55" t="n">
        <v>500</v>
      </c>
      <c r="J10" s="56" t="n">
        <v>2</v>
      </c>
      <c r="K10" s="54" t="s">
        <v>142</v>
      </c>
      <c r="L10" s="57" t="n">
        <v>0.035</v>
      </c>
      <c r="N10" s="47" t="s">
        <v>148</v>
      </c>
      <c r="O10" s="47" t="s">
        <v>169</v>
      </c>
      <c r="P10" s="47"/>
      <c r="Q10" s="48" t="n">
        <f aca="false">IF($J10="","",IFERROR(IF($J10&lt;=1,INDEX(VN_국채일별!$B$4:$B$1436,MATCH($B10,VN_국채일별!$A$4:$A$1436,1)),IF($J10&lt;=2,INDEX(VN_국채일별!$B$4:$B$1436,MATCH($B10,VN_국채일별!$A$4:$A$1436,1))+(INDEX(VN_국채일별!$C$4:$C$1436,MATCH($B10,VN_국채일별!$A$4:$A$1436,1))-INDEX(VN_국채일별!$B$4:$B$1436,MATCH($B10,VN_국채일별!$A$4:$A$1436,1)))*($J10-1),IF($J10&lt;=3,INDEX(VN_국채일별!$C$4:$C$1436,MATCH($B10,VN_국채일별!$A$4:$A$1436,1))+(INDEX(VN_국채일별!$D$4:$D$1436,MATCH($B10,VN_국채일별!$A$4:$A$1436,1))-INDEX(VN_국채일별!$C$4:$C$1436,MATCH($B10,VN_국채일별!$A$4:$A$1436,1)))*($J10-2),IF($J10&lt;=5,INDEX(VN_국채일별!$D$4:$D$1436,MATCH($B10,VN_국채일별!$A$4:$A$1436,1))+(INDEX(VN_국채일별!$E$4:$E$1436,MATCH($B10,VN_국채일별!$A$4:$A$1436,1))-INDEX(VN_국채일별!$D$4:$D$1436,MATCH($B10,VN_국채일별!$A$4:$A$1436,1)))*($J10-3)/2,IF($J10&lt;=7,INDEX(VN_국채일별!$E$4:$E$1436,MATCH($B10,VN_국채일별!$A$4:$A$1436,1))+(INDEX(VN_국채일별!$F$4:$F$1436,MATCH($B10,VN_국채일별!$A$4:$A$1436,1))-INDEX(VN_국채일별!$E$4:$E$1436,MATCH($B10,VN_국채일별!$A$4:$A$1436,1)))*($J10-5)/2,IF($J10&lt;=10,INDEX(VN_국채일별!$F$4:$F$1436,MATCH($B10,VN_국채일별!$A$4:$A$1436,1))+(INDEX(VN_국채일별!$G$4:$G$1436,MATCH($B10,VN_국채일별!$A$4:$A$1436,1))-INDEX(VN_국채일별!$F$4:$F$1436,MATCH($B10,VN_국채일별!$A$4:$A$1436,1)))*($J10-7)/3,INDEX(VN_국채일별!$G$4:$G$1436,MATCH($B10,VN_국채일별!$A$4:$A$1436,1)))))))),""))</f>
        <v>0.00586</v>
      </c>
      <c r="R10" s="58" t="n">
        <f aca="false">IF(OR(L10="",Q10=""),"",(L10-Q10)*10000)</f>
        <v>291.4</v>
      </c>
      <c r="S10" s="30" t="n">
        <f aca="false">IF(AND(K10="고정",N10="N",J10&gt;=2,J10&lt;=4,I10&lt;&gt;""),1,0)</f>
        <v>1</v>
      </c>
      <c r="T10" s="59" t="n">
        <f aca="false">IF(S10=1,I10*L10,0)</f>
        <v>17.5</v>
      </c>
      <c r="U10" s="60" t="n">
        <f aca="false">IF(AND(S10=1,ISNUMBER(R10)),I10*R10,0)</f>
        <v>145700</v>
      </c>
      <c r="V10" s="30" t="n">
        <f aca="false">IF(AND(F10="Big4(국영)",K10="고정",N10="N",I10&lt;&gt;""),1,0)</f>
        <v>0</v>
      </c>
      <c r="W10" s="59" t="n">
        <f aca="false">IF(V10=1,I10*L10,0)</f>
        <v>0</v>
      </c>
      <c r="X10" s="60" t="n">
        <f aca="false">IF(AND(V10=1,ISNUMBER(R10)),I10*R10,0)</f>
        <v>0</v>
      </c>
      <c r="Y10" s="61" t="n">
        <f aca="false">IF(AND(S10=1,ISNUMBER(R10)),I10,0)</f>
        <v>500</v>
      </c>
      <c r="Z10" s="61" t="n">
        <f aca="false">IF(AND(V10=1,ISNUMBER(R10)),I10,0)</f>
        <v>0</v>
      </c>
    </row>
    <row r="11" customFormat="false" ht="15" hidden="false" customHeight="false" outlineLevel="0" collapsed="false">
      <c r="A11" s="47" t="s">
        <v>137</v>
      </c>
      <c r="B11" s="52" t="n">
        <v>44424</v>
      </c>
      <c r="C11" s="53" t="n">
        <f aca="false">DATE(YEAR(B11),MONTH(B11),1)</f>
        <v>44409</v>
      </c>
      <c r="D11" s="5" t="str">
        <f aca="false">YEAR(B11)&amp;"Q"&amp;ROUNDUP(MONTH(B11)/3,0)</f>
        <v>2021Q3</v>
      </c>
      <c r="E11" s="47" t="s">
        <v>150</v>
      </c>
      <c r="F11" s="54" t="s">
        <v>139</v>
      </c>
      <c r="G11" s="47" t="s">
        <v>170</v>
      </c>
      <c r="H11" s="47" t="s">
        <v>171</v>
      </c>
      <c r="I11" s="55" t="n">
        <v>100</v>
      </c>
      <c r="J11" s="56" t="n">
        <v>7</v>
      </c>
      <c r="K11" s="54" t="s">
        <v>153</v>
      </c>
      <c r="M11" s="57" t="n">
        <v>0.07575</v>
      </c>
      <c r="N11" s="47" t="s">
        <v>143</v>
      </c>
      <c r="O11" s="47" t="s">
        <v>172</v>
      </c>
      <c r="P11" s="47"/>
      <c r="Q11" s="48" t="n">
        <f aca="false">IF($J11="","",IFERROR(IF($J11&lt;=1,INDEX(VN_국채일별!$B$4:$B$1436,MATCH($B11,VN_국채일별!$A$4:$A$1436,1)),IF($J11&lt;=2,INDEX(VN_국채일별!$B$4:$B$1436,MATCH($B11,VN_국채일별!$A$4:$A$1436,1))+(INDEX(VN_국채일별!$C$4:$C$1436,MATCH($B11,VN_국채일별!$A$4:$A$1436,1))-INDEX(VN_국채일별!$B$4:$B$1436,MATCH($B11,VN_국채일별!$A$4:$A$1436,1)))*($J11-1),IF($J11&lt;=3,INDEX(VN_국채일별!$C$4:$C$1436,MATCH($B11,VN_국채일별!$A$4:$A$1436,1))+(INDEX(VN_국채일별!$D$4:$D$1436,MATCH($B11,VN_국채일별!$A$4:$A$1436,1))-INDEX(VN_국채일별!$C$4:$C$1436,MATCH($B11,VN_국채일별!$A$4:$A$1436,1)))*($J11-2),IF($J11&lt;=5,INDEX(VN_국채일별!$D$4:$D$1436,MATCH($B11,VN_국채일별!$A$4:$A$1436,1))+(INDEX(VN_국채일별!$E$4:$E$1436,MATCH($B11,VN_국채일별!$A$4:$A$1436,1))-INDEX(VN_국채일별!$D$4:$D$1436,MATCH($B11,VN_국채일별!$A$4:$A$1436,1)))*($J11-3)/2,IF($J11&lt;=7,INDEX(VN_국채일별!$E$4:$E$1436,MATCH($B11,VN_국채일별!$A$4:$A$1436,1))+(INDEX(VN_국채일별!$F$4:$F$1436,MATCH($B11,VN_국채일별!$A$4:$A$1436,1))-INDEX(VN_국채일별!$E$4:$E$1436,MATCH($B11,VN_국채일별!$A$4:$A$1436,1)))*($J11-5)/2,IF($J11&lt;=10,INDEX(VN_국채일별!$F$4:$F$1436,MATCH($B11,VN_국채일별!$A$4:$A$1436,1))+(INDEX(VN_국채일별!$G$4:$G$1436,MATCH($B11,VN_국채일별!$A$4:$A$1436,1))-INDEX(VN_국채일별!$F$4:$F$1436,MATCH($B11,VN_국채일별!$A$4:$A$1436,1)))*($J11-7)/3,INDEX(VN_국채일별!$G$4:$G$1436,MATCH($B11,VN_국채일별!$A$4:$A$1436,1)))))))),""))</f>
        <v>0.01242</v>
      </c>
      <c r="R11" s="58" t="str">
        <f aca="false">IF(OR(L11="",Q11=""),"",(L11-Q11)*10000)</f>
        <v/>
      </c>
      <c r="S11" s="30" t="n">
        <f aca="false">IF(AND(K11="고정",N11="N",J11&gt;=2,J11&lt;=4,I11&lt;&gt;""),1,0)</f>
        <v>0</v>
      </c>
      <c r="T11" s="59" t="n">
        <f aca="false">IF(S11=1,I11*L11,0)</f>
        <v>0</v>
      </c>
      <c r="U11" s="60" t="n">
        <f aca="false">IF(AND(S11=1,ISNUMBER(R11)),I11*R11,0)</f>
        <v>0</v>
      </c>
      <c r="V11" s="30" t="n">
        <f aca="false">IF(AND(F11="Big4(국영)",K11="고정",N11="N",I11&lt;&gt;""),1,0)</f>
        <v>0</v>
      </c>
      <c r="W11" s="59" t="n">
        <f aca="false">IF(V11=1,I11*L11,0)</f>
        <v>0</v>
      </c>
      <c r="X11" s="60" t="n">
        <f aca="false">IF(AND(V11=1,ISNUMBER(R11)),I11*R11,0)</f>
        <v>0</v>
      </c>
      <c r="Y11" s="61" t="n">
        <f aca="false">IF(AND(S11=1,ISNUMBER(R11)),I11,0)</f>
        <v>0</v>
      </c>
      <c r="Z11" s="61" t="n">
        <f aca="false">IF(AND(V11=1,ISNUMBER(R11)),I11,0)</f>
        <v>0</v>
      </c>
    </row>
    <row r="12" customFormat="false" ht="15" hidden="false" customHeight="false" outlineLevel="0" collapsed="false">
      <c r="A12" s="47" t="s">
        <v>137</v>
      </c>
      <c r="B12" s="52" t="n">
        <v>44424</v>
      </c>
      <c r="C12" s="53" t="n">
        <f aca="false">DATE(YEAR(B12),MONTH(B12),1)</f>
        <v>44409</v>
      </c>
      <c r="D12" s="5" t="str">
        <f aca="false">YEAR(B12)&amp;"Q"&amp;ROUNDUP(MONTH(B12)/3,0)</f>
        <v>2021Q3</v>
      </c>
      <c r="E12" s="62" t="s">
        <v>173</v>
      </c>
      <c r="F12" s="62" t="s">
        <v>156</v>
      </c>
      <c r="G12" s="47" t="s">
        <v>174</v>
      </c>
      <c r="H12" s="47" t="s">
        <v>175</v>
      </c>
      <c r="I12" s="55" t="n">
        <v>720</v>
      </c>
      <c r="J12" s="56" t="n">
        <v>8</v>
      </c>
      <c r="K12" s="54" t="s">
        <v>153</v>
      </c>
      <c r="M12" s="57" t="n">
        <v>0.0643</v>
      </c>
      <c r="N12" s="47" t="s">
        <v>143</v>
      </c>
      <c r="O12" s="47" t="s">
        <v>176</v>
      </c>
      <c r="P12" s="47"/>
      <c r="Q12" s="48" t="n">
        <f aca="false">IF($J12="","",IFERROR(IF($J12&lt;=1,INDEX(VN_국채일별!$B$4:$B$1436,MATCH($B12,VN_국채일별!$A$4:$A$1436,1)),IF($J12&lt;=2,INDEX(VN_국채일별!$B$4:$B$1436,MATCH($B12,VN_국채일별!$A$4:$A$1436,1))+(INDEX(VN_국채일별!$C$4:$C$1436,MATCH($B12,VN_국채일별!$A$4:$A$1436,1))-INDEX(VN_국채일별!$B$4:$B$1436,MATCH($B12,VN_국채일별!$A$4:$A$1436,1)))*($J12-1),IF($J12&lt;=3,INDEX(VN_국채일별!$C$4:$C$1436,MATCH($B12,VN_국채일별!$A$4:$A$1436,1))+(INDEX(VN_국채일별!$D$4:$D$1436,MATCH($B12,VN_국채일별!$A$4:$A$1436,1))-INDEX(VN_국채일별!$C$4:$C$1436,MATCH($B12,VN_국채일별!$A$4:$A$1436,1)))*($J12-2),IF($J12&lt;=5,INDEX(VN_국채일별!$D$4:$D$1436,MATCH($B12,VN_국채일별!$A$4:$A$1436,1))+(INDEX(VN_국채일별!$E$4:$E$1436,MATCH($B12,VN_국채일별!$A$4:$A$1436,1))-INDEX(VN_국채일별!$D$4:$D$1436,MATCH($B12,VN_국채일별!$A$4:$A$1436,1)))*($J12-3)/2,IF($J12&lt;=7,INDEX(VN_국채일별!$E$4:$E$1436,MATCH($B12,VN_국채일별!$A$4:$A$1436,1))+(INDEX(VN_국채일별!$F$4:$F$1436,MATCH($B12,VN_국채일별!$A$4:$A$1436,1))-INDEX(VN_국채일별!$E$4:$E$1436,MATCH($B12,VN_국채일별!$A$4:$A$1436,1)))*($J12-5)/2,IF($J12&lt;=10,INDEX(VN_국채일별!$F$4:$F$1436,MATCH($B12,VN_국채일별!$A$4:$A$1436,1))+(INDEX(VN_국채일별!$G$4:$G$1436,MATCH($B12,VN_국채일별!$A$4:$A$1436,1))-INDEX(VN_국채일별!$F$4:$F$1436,MATCH($B12,VN_국채일별!$A$4:$A$1436,1)))*($J12-7)/3,INDEX(VN_국채일별!$G$4:$G$1436,MATCH($B12,VN_국채일별!$A$4:$A$1436,1)))))))),""))</f>
        <v>0.0150666666666667</v>
      </c>
      <c r="R12" s="58" t="str">
        <f aca="false">IF(OR(L12="",Q12=""),"",(L12-Q12)*10000)</f>
        <v/>
      </c>
      <c r="S12" s="30" t="n">
        <f aca="false">IF(AND(K12="고정",N12="N",J12&gt;=2,J12&lt;=4,I12&lt;&gt;""),1,0)</f>
        <v>0</v>
      </c>
      <c r="T12" s="59" t="n">
        <f aca="false">IF(S12=1,I12*L12,0)</f>
        <v>0</v>
      </c>
      <c r="U12" s="60" t="n">
        <f aca="false">IF(AND(S12=1,ISNUMBER(R12)),I12*R12,0)</f>
        <v>0</v>
      </c>
      <c r="V12" s="30" t="n">
        <f aca="false">IF(AND(F12="Big4(국영)",K12="고정",N12="N",I12&lt;&gt;""),1,0)</f>
        <v>0</v>
      </c>
      <c r="W12" s="59" t="n">
        <f aca="false">IF(V12=1,I12*L12,0)</f>
        <v>0</v>
      </c>
      <c r="X12" s="60" t="n">
        <f aca="false">IF(AND(V12=1,ISNUMBER(R12)),I12*R12,0)</f>
        <v>0</v>
      </c>
      <c r="Y12" s="61" t="n">
        <f aca="false">IF(AND(S12=1,ISNUMBER(R12)),I12,0)</f>
        <v>0</v>
      </c>
      <c r="Z12" s="61" t="n">
        <f aca="false">IF(AND(V12=1,ISNUMBER(R12)),I12,0)</f>
        <v>0</v>
      </c>
    </row>
    <row r="13" customFormat="false" ht="15" hidden="false" customHeight="false" outlineLevel="0" collapsed="false">
      <c r="A13" s="47" t="s">
        <v>137</v>
      </c>
      <c r="B13" s="52" t="n">
        <v>44426</v>
      </c>
      <c r="C13" s="53" t="n">
        <f aca="false">DATE(YEAR(B13),MONTH(B13),1)</f>
        <v>44409</v>
      </c>
      <c r="D13" s="5" t="str">
        <f aca="false">YEAR(B13)&amp;"Q"&amp;ROUNDUP(MONTH(B13)/3,0)</f>
        <v>2021Q3</v>
      </c>
      <c r="E13" s="62" t="s">
        <v>155</v>
      </c>
      <c r="F13" s="62" t="s">
        <v>156</v>
      </c>
      <c r="G13" s="47" t="s">
        <v>157</v>
      </c>
      <c r="H13" s="47" t="s">
        <v>177</v>
      </c>
      <c r="I13" s="55" t="n">
        <v>100</v>
      </c>
      <c r="J13" s="56" t="n">
        <v>8</v>
      </c>
      <c r="K13" s="54" t="s">
        <v>153</v>
      </c>
      <c r="M13" s="57" t="n">
        <v>0.0643</v>
      </c>
      <c r="N13" s="47" t="s">
        <v>143</v>
      </c>
      <c r="O13" s="47" t="s">
        <v>178</v>
      </c>
      <c r="P13" s="47"/>
      <c r="Q13" s="48" t="n">
        <f aca="false">IF($J13="","",IFERROR(IF($J13&lt;=1,INDEX(VN_국채일별!$B$4:$B$1436,MATCH($B13,VN_국채일별!$A$4:$A$1436,1)),IF($J13&lt;=2,INDEX(VN_국채일별!$B$4:$B$1436,MATCH($B13,VN_국채일별!$A$4:$A$1436,1))+(INDEX(VN_국채일별!$C$4:$C$1436,MATCH($B13,VN_국채일별!$A$4:$A$1436,1))-INDEX(VN_국채일별!$B$4:$B$1436,MATCH($B13,VN_국채일별!$A$4:$A$1436,1)))*($J13-1),IF($J13&lt;=3,INDEX(VN_국채일별!$C$4:$C$1436,MATCH($B13,VN_국채일별!$A$4:$A$1436,1))+(INDEX(VN_국채일별!$D$4:$D$1436,MATCH($B13,VN_국채일별!$A$4:$A$1436,1))-INDEX(VN_국채일별!$C$4:$C$1436,MATCH($B13,VN_국채일별!$A$4:$A$1436,1)))*($J13-2),IF($J13&lt;=5,INDEX(VN_국채일별!$D$4:$D$1436,MATCH($B13,VN_국채일별!$A$4:$A$1436,1))+(INDEX(VN_국채일별!$E$4:$E$1436,MATCH($B13,VN_국채일별!$A$4:$A$1436,1))-INDEX(VN_국채일별!$D$4:$D$1436,MATCH($B13,VN_국채일별!$A$4:$A$1436,1)))*($J13-3)/2,IF($J13&lt;=7,INDEX(VN_국채일별!$E$4:$E$1436,MATCH($B13,VN_국채일별!$A$4:$A$1436,1))+(INDEX(VN_국채일별!$F$4:$F$1436,MATCH($B13,VN_국채일별!$A$4:$A$1436,1))-INDEX(VN_국채일별!$E$4:$E$1436,MATCH($B13,VN_국채일별!$A$4:$A$1436,1)))*($J13-5)/2,IF($J13&lt;=10,INDEX(VN_국채일별!$F$4:$F$1436,MATCH($B13,VN_국채일별!$A$4:$A$1436,1))+(INDEX(VN_국채일별!$G$4:$G$1436,MATCH($B13,VN_국채일별!$A$4:$A$1436,1))-INDEX(VN_국채일별!$F$4:$F$1436,MATCH($B13,VN_국채일별!$A$4:$A$1436,1)))*($J13-7)/3,INDEX(VN_국채일별!$G$4:$G$1436,MATCH($B13,VN_국채일별!$A$4:$A$1436,1)))))))),""))</f>
        <v>0.0148966666666667</v>
      </c>
      <c r="R13" s="58" t="str">
        <f aca="false">IF(OR(L13="",Q13=""),"",(L13-Q13)*10000)</f>
        <v/>
      </c>
      <c r="S13" s="30" t="n">
        <f aca="false">IF(AND(K13="고정",N13="N",J13&gt;=2,J13&lt;=4,I13&lt;&gt;""),1,0)</f>
        <v>0</v>
      </c>
      <c r="T13" s="59" t="n">
        <f aca="false">IF(S13=1,I13*L13,0)</f>
        <v>0</v>
      </c>
      <c r="U13" s="60" t="n">
        <f aca="false">IF(AND(S13=1,ISNUMBER(R13)),I13*R13,0)</f>
        <v>0</v>
      </c>
      <c r="V13" s="30" t="n">
        <f aca="false">IF(AND(F13="Big4(국영)",K13="고정",N13="N",I13&lt;&gt;""),1,0)</f>
        <v>0</v>
      </c>
      <c r="W13" s="59" t="n">
        <f aca="false">IF(V13=1,I13*L13,0)</f>
        <v>0</v>
      </c>
      <c r="X13" s="60" t="n">
        <f aca="false">IF(AND(V13=1,ISNUMBER(R13)),I13*R13,0)</f>
        <v>0</v>
      </c>
      <c r="Y13" s="61" t="n">
        <f aca="false">IF(AND(S13=1,ISNUMBER(R13)),I13,0)</f>
        <v>0</v>
      </c>
      <c r="Z13" s="61" t="n">
        <f aca="false">IF(AND(V13=1,ISNUMBER(R13)),I13,0)</f>
        <v>0</v>
      </c>
    </row>
    <row r="14" customFormat="false" ht="15" hidden="false" customHeight="false" outlineLevel="0" collapsed="false">
      <c r="A14" s="47" t="s">
        <v>137</v>
      </c>
      <c r="B14" s="52" t="n">
        <v>44427</v>
      </c>
      <c r="C14" s="53" t="n">
        <f aca="false">DATE(YEAR(B14),MONTH(B14),1)</f>
        <v>44409</v>
      </c>
      <c r="D14" s="5" t="str">
        <f aca="false">YEAR(B14)&amp;"Q"&amp;ROUNDUP(MONTH(B14)/3,0)</f>
        <v>2021Q3</v>
      </c>
      <c r="E14" s="47" t="s">
        <v>150</v>
      </c>
      <c r="F14" s="54" t="s">
        <v>139</v>
      </c>
      <c r="G14" s="47" t="s">
        <v>170</v>
      </c>
      <c r="H14" s="47" t="s">
        <v>179</v>
      </c>
      <c r="I14" s="55" t="n">
        <v>50</v>
      </c>
      <c r="J14" s="56" t="n">
        <v>7</v>
      </c>
      <c r="K14" s="54" t="s">
        <v>153</v>
      </c>
      <c r="M14" s="57" t="n">
        <v>0.07575</v>
      </c>
      <c r="N14" s="47" t="s">
        <v>143</v>
      </c>
      <c r="O14" s="47" t="s">
        <v>180</v>
      </c>
      <c r="P14" s="47"/>
      <c r="Q14" s="48" t="n">
        <f aca="false">IF($J14="","",IFERROR(IF($J14&lt;=1,INDEX(VN_국채일별!$B$4:$B$1436,MATCH($B14,VN_국채일별!$A$4:$A$1436,1)),IF($J14&lt;=2,INDEX(VN_국채일별!$B$4:$B$1436,MATCH($B14,VN_국채일별!$A$4:$A$1436,1))+(INDEX(VN_국채일별!$C$4:$C$1436,MATCH($B14,VN_국채일별!$A$4:$A$1436,1))-INDEX(VN_국채일별!$B$4:$B$1436,MATCH($B14,VN_국채일별!$A$4:$A$1436,1)))*($J14-1),IF($J14&lt;=3,INDEX(VN_국채일별!$C$4:$C$1436,MATCH($B14,VN_국채일별!$A$4:$A$1436,1))+(INDEX(VN_국채일별!$D$4:$D$1436,MATCH($B14,VN_국채일별!$A$4:$A$1436,1))-INDEX(VN_국채일별!$C$4:$C$1436,MATCH($B14,VN_국채일별!$A$4:$A$1436,1)))*($J14-2),IF($J14&lt;=5,INDEX(VN_국채일별!$D$4:$D$1436,MATCH($B14,VN_국채일별!$A$4:$A$1436,1))+(INDEX(VN_국채일별!$E$4:$E$1436,MATCH($B14,VN_국채일별!$A$4:$A$1436,1))-INDEX(VN_국채일별!$D$4:$D$1436,MATCH($B14,VN_국채일별!$A$4:$A$1436,1)))*($J14-3)/2,IF($J14&lt;=7,INDEX(VN_국채일별!$E$4:$E$1436,MATCH($B14,VN_국채일별!$A$4:$A$1436,1))+(INDEX(VN_국채일별!$F$4:$F$1436,MATCH($B14,VN_국채일별!$A$4:$A$1436,1))-INDEX(VN_국채일별!$E$4:$E$1436,MATCH($B14,VN_국채일별!$A$4:$A$1436,1)))*($J14-5)/2,IF($J14&lt;=10,INDEX(VN_국채일별!$F$4:$F$1436,MATCH($B14,VN_국채일별!$A$4:$A$1436,1))+(INDEX(VN_국채일별!$G$4:$G$1436,MATCH($B14,VN_국채일별!$A$4:$A$1436,1))-INDEX(VN_국채일별!$F$4:$F$1436,MATCH($B14,VN_국채일별!$A$4:$A$1436,1)))*($J14-7)/3,INDEX(VN_국채일별!$G$4:$G$1436,MATCH($B14,VN_국채일별!$A$4:$A$1436,1)))))))),""))</f>
        <v>0.01206</v>
      </c>
      <c r="R14" s="58" t="str">
        <f aca="false">IF(OR(L14="",Q14=""),"",(L14-Q14)*10000)</f>
        <v/>
      </c>
      <c r="S14" s="30" t="n">
        <f aca="false">IF(AND(K14="고정",N14="N",J14&gt;=2,J14&lt;=4,I14&lt;&gt;""),1,0)</f>
        <v>0</v>
      </c>
      <c r="T14" s="59" t="n">
        <f aca="false">IF(S14=1,I14*L14,0)</f>
        <v>0</v>
      </c>
      <c r="U14" s="60" t="n">
        <f aca="false">IF(AND(S14=1,ISNUMBER(R14)),I14*R14,0)</f>
        <v>0</v>
      </c>
      <c r="V14" s="30" t="n">
        <f aca="false">IF(AND(F14="Big4(국영)",K14="고정",N14="N",I14&lt;&gt;""),1,0)</f>
        <v>0</v>
      </c>
      <c r="W14" s="59" t="n">
        <f aca="false">IF(V14=1,I14*L14,0)</f>
        <v>0</v>
      </c>
      <c r="X14" s="60" t="n">
        <f aca="false">IF(AND(V14=1,ISNUMBER(R14)),I14*R14,0)</f>
        <v>0</v>
      </c>
      <c r="Y14" s="61" t="n">
        <f aca="false">IF(AND(S14=1,ISNUMBER(R14)),I14,0)</f>
        <v>0</v>
      </c>
      <c r="Z14" s="61" t="n">
        <f aca="false">IF(AND(V14=1,ISNUMBER(R14)),I14,0)</f>
        <v>0</v>
      </c>
    </row>
    <row r="15" customFormat="false" ht="15" hidden="false" customHeight="false" outlineLevel="0" collapsed="false">
      <c r="A15" s="47" t="s">
        <v>137</v>
      </c>
      <c r="B15" s="52" t="n">
        <v>44432</v>
      </c>
      <c r="C15" s="53" t="n">
        <f aca="false">DATE(YEAR(B15),MONTH(B15),1)</f>
        <v>44409</v>
      </c>
      <c r="D15" s="5" t="str">
        <f aca="false">YEAR(B15)&amp;"Q"&amp;ROUNDUP(MONTH(B15)/3,0)</f>
        <v>2021Q3</v>
      </c>
      <c r="E15" s="47" t="s">
        <v>181</v>
      </c>
      <c r="F15" s="54" t="s">
        <v>139</v>
      </c>
      <c r="G15" s="47" t="s">
        <v>182</v>
      </c>
      <c r="H15" s="47" t="s">
        <v>183</v>
      </c>
      <c r="I15" s="55" t="n">
        <v>1000</v>
      </c>
      <c r="J15" s="56" t="n">
        <v>3</v>
      </c>
      <c r="K15" s="54" t="s">
        <v>142</v>
      </c>
      <c r="L15" s="57" t="n">
        <v>0.035</v>
      </c>
      <c r="N15" s="47" t="s">
        <v>148</v>
      </c>
      <c r="O15" s="47" t="s">
        <v>169</v>
      </c>
      <c r="P15" s="47"/>
      <c r="Q15" s="48" t="n">
        <f aca="false">IF($J15="","",IFERROR(IF($J15&lt;=1,INDEX(VN_국채일별!$B$4:$B$1436,MATCH($B15,VN_국채일별!$A$4:$A$1436,1)),IF($J15&lt;=2,INDEX(VN_국채일별!$B$4:$B$1436,MATCH($B15,VN_국채일별!$A$4:$A$1436,1))+(INDEX(VN_국채일별!$C$4:$C$1436,MATCH($B15,VN_국채일별!$A$4:$A$1436,1))-INDEX(VN_국채일별!$B$4:$B$1436,MATCH($B15,VN_국채일별!$A$4:$A$1436,1)))*($J15-1),IF($J15&lt;=3,INDEX(VN_국채일별!$C$4:$C$1436,MATCH($B15,VN_국채일별!$A$4:$A$1436,1))+(INDEX(VN_국채일별!$D$4:$D$1436,MATCH($B15,VN_국채일별!$A$4:$A$1436,1))-INDEX(VN_국채일별!$C$4:$C$1436,MATCH($B15,VN_국채일별!$A$4:$A$1436,1)))*($J15-2),IF($J15&lt;=5,INDEX(VN_국채일별!$D$4:$D$1436,MATCH($B15,VN_국채일별!$A$4:$A$1436,1))+(INDEX(VN_국채일별!$E$4:$E$1436,MATCH($B15,VN_국채일별!$A$4:$A$1436,1))-INDEX(VN_국채일별!$D$4:$D$1436,MATCH($B15,VN_국채일별!$A$4:$A$1436,1)))*($J15-3)/2,IF($J15&lt;=7,INDEX(VN_국채일별!$E$4:$E$1436,MATCH($B15,VN_국채일별!$A$4:$A$1436,1))+(INDEX(VN_국채일별!$F$4:$F$1436,MATCH($B15,VN_국채일별!$A$4:$A$1436,1))-INDEX(VN_국채일별!$E$4:$E$1436,MATCH($B15,VN_국채일별!$A$4:$A$1436,1)))*($J15-5)/2,IF($J15&lt;=10,INDEX(VN_국채일별!$F$4:$F$1436,MATCH($B15,VN_국채일별!$A$4:$A$1436,1))+(INDEX(VN_국채일별!$G$4:$G$1436,MATCH($B15,VN_국채일별!$A$4:$A$1436,1))-INDEX(VN_국채일별!$F$4:$F$1436,MATCH($B15,VN_국채일별!$A$4:$A$1436,1)))*($J15-7)/3,INDEX(VN_국채일별!$G$4:$G$1436,MATCH($B15,VN_국채일별!$A$4:$A$1436,1)))))))),""))</f>
        <v>0.00638</v>
      </c>
      <c r="R15" s="58" t="n">
        <f aca="false">IF(OR(L15="",Q15=""),"",(L15-Q15)*10000)</f>
        <v>286.2</v>
      </c>
      <c r="S15" s="30" t="n">
        <f aca="false">IF(AND(K15="고정",N15="N",J15&gt;=2,J15&lt;=4,I15&lt;&gt;""),1,0)</f>
        <v>1</v>
      </c>
      <c r="T15" s="59" t="n">
        <f aca="false">IF(S15=1,I15*L15,0)</f>
        <v>35</v>
      </c>
      <c r="U15" s="60" t="n">
        <f aca="false">IF(AND(S15=1,ISNUMBER(R15)),I15*R15,0)</f>
        <v>286200</v>
      </c>
      <c r="V15" s="30" t="n">
        <f aca="false">IF(AND(F15="Big4(국영)",K15="고정",N15="N",I15&lt;&gt;""),1,0)</f>
        <v>0</v>
      </c>
      <c r="W15" s="59" t="n">
        <f aca="false">IF(V15=1,I15*L15,0)</f>
        <v>0</v>
      </c>
      <c r="X15" s="60" t="n">
        <f aca="false">IF(AND(V15=1,ISNUMBER(R15)),I15*R15,0)</f>
        <v>0</v>
      </c>
      <c r="Y15" s="61" t="n">
        <f aca="false">IF(AND(S15=1,ISNUMBER(R15)),I15,0)</f>
        <v>1000</v>
      </c>
      <c r="Z15" s="61" t="n">
        <f aca="false">IF(AND(V15=1,ISNUMBER(R15)),I15,0)</f>
        <v>0</v>
      </c>
    </row>
    <row r="16" customFormat="false" ht="15" hidden="false" customHeight="false" outlineLevel="0" collapsed="false">
      <c r="A16" s="47" t="s">
        <v>137</v>
      </c>
      <c r="B16" s="52" t="n">
        <v>44432</v>
      </c>
      <c r="C16" s="53" t="n">
        <f aca="false">DATE(YEAR(B16),MONTH(B16),1)</f>
        <v>44409</v>
      </c>
      <c r="D16" s="5" t="str">
        <f aca="false">YEAR(B16)&amp;"Q"&amp;ROUNDUP(MONTH(B16)/3,0)</f>
        <v>2021Q3</v>
      </c>
      <c r="E16" s="47" t="s">
        <v>181</v>
      </c>
      <c r="F16" s="54" t="s">
        <v>139</v>
      </c>
      <c r="G16" s="47" t="s">
        <v>182</v>
      </c>
      <c r="H16" s="47" t="s">
        <v>184</v>
      </c>
      <c r="I16" s="55" t="n">
        <v>1000</v>
      </c>
      <c r="J16" s="56" t="n">
        <v>3</v>
      </c>
      <c r="K16" s="54" t="s">
        <v>142</v>
      </c>
      <c r="L16" s="57" t="n">
        <v>0.035</v>
      </c>
      <c r="N16" s="47" t="s">
        <v>148</v>
      </c>
      <c r="O16" s="47" t="s">
        <v>169</v>
      </c>
      <c r="P16" s="47"/>
      <c r="Q16" s="48" t="n">
        <f aca="false">IF($J16="","",IFERROR(IF($J16&lt;=1,INDEX(VN_국채일별!$B$4:$B$1436,MATCH($B16,VN_국채일별!$A$4:$A$1436,1)),IF($J16&lt;=2,INDEX(VN_국채일별!$B$4:$B$1436,MATCH($B16,VN_국채일별!$A$4:$A$1436,1))+(INDEX(VN_국채일별!$C$4:$C$1436,MATCH($B16,VN_국채일별!$A$4:$A$1436,1))-INDEX(VN_국채일별!$B$4:$B$1436,MATCH($B16,VN_국채일별!$A$4:$A$1436,1)))*($J16-1),IF($J16&lt;=3,INDEX(VN_국채일별!$C$4:$C$1436,MATCH($B16,VN_국채일별!$A$4:$A$1436,1))+(INDEX(VN_국채일별!$D$4:$D$1436,MATCH($B16,VN_국채일별!$A$4:$A$1436,1))-INDEX(VN_국채일별!$C$4:$C$1436,MATCH($B16,VN_국채일별!$A$4:$A$1436,1)))*($J16-2),IF($J16&lt;=5,INDEX(VN_국채일별!$D$4:$D$1436,MATCH($B16,VN_국채일별!$A$4:$A$1436,1))+(INDEX(VN_국채일별!$E$4:$E$1436,MATCH($B16,VN_국채일별!$A$4:$A$1436,1))-INDEX(VN_국채일별!$D$4:$D$1436,MATCH($B16,VN_국채일별!$A$4:$A$1436,1)))*($J16-3)/2,IF($J16&lt;=7,INDEX(VN_국채일별!$E$4:$E$1436,MATCH($B16,VN_국채일별!$A$4:$A$1436,1))+(INDEX(VN_국채일별!$F$4:$F$1436,MATCH($B16,VN_국채일별!$A$4:$A$1436,1))-INDEX(VN_국채일별!$E$4:$E$1436,MATCH($B16,VN_국채일별!$A$4:$A$1436,1)))*($J16-5)/2,IF($J16&lt;=10,INDEX(VN_국채일별!$F$4:$F$1436,MATCH($B16,VN_국채일별!$A$4:$A$1436,1))+(INDEX(VN_국채일별!$G$4:$G$1436,MATCH($B16,VN_국채일별!$A$4:$A$1436,1))-INDEX(VN_국채일별!$F$4:$F$1436,MATCH($B16,VN_국채일별!$A$4:$A$1436,1)))*($J16-7)/3,INDEX(VN_국채일별!$G$4:$G$1436,MATCH($B16,VN_국채일별!$A$4:$A$1436,1)))))))),""))</f>
        <v>0.00638</v>
      </c>
      <c r="R16" s="58" t="n">
        <f aca="false">IF(OR(L16="",Q16=""),"",(L16-Q16)*10000)</f>
        <v>286.2</v>
      </c>
      <c r="S16" s="30" t="n">
        <f aca="false">IF(AND(K16="고정",N16="N",J16&gt;=2,J16&lt;=4,I16&lt;&gt;""),1,0)</f>
        <v>1</v>
      </c>
      <c r="T16" s="59" t="n">
        <f aca="false">IF(S16=1,I16*L16,0)</f>
        <v>35</v>
      </c>
      <c r="U16" s="60" t="n">
        <f aca="false">IF(AND(S16=1,ISNUMBER(R16)),I16*R16,0)</f>
        <v>286200</v>
      </c>
      <c r="V16" s="30" t="n">
        <f aca="false">IF(AND(F16="Big4(국영)",K16="고정",N16="N",I16&lt;&gt;""),1,0)</f>
        <v>0</v>
      </c>
      <c r="W16" s="59" t="n">
        <f aca="false">IF(V16=1,I16*L16,0)</f>
        <v>0</v>
      </c>
      <c r="X16" s="60" t="n">
        <f aca="false">IF(AND(V16=1,ISNUMBER(R16)),I16*R16,0)</f>
        <v>0</v>
      </c>
      <c r="Y16" s="61" t="n">
        <f aca="false">IF(AND(S16=1,ISNUMBER(R16)),I16,0)</f>
        <v>1000</v>
      </c>
      <c r="Z16" s="61" t="n">
        <f aca="false">IF(AND(V16=1,ISNUMBER(R16)),I16,0)</f>
        <v>0</v>
      </c>
    </row>
    <row r="17" customFormat="false" ht="15" hidden="false" customHeight="false" outlineLevel="0" collapsed="false">
      <c r="A17" s="47" t="s">
        <v>137</v>
      </c>
      <c r="B17" s="52" t="n">
        <v>44433</v>
      </c>
      <c r="C17" s="53" t="n">
        <f aca="false">DATE(YEAR(B17),MONTH(B17),1)</f>
        <v>44409</v>
      </c>
      <c r="D17" s="5" t="str">
        <f aca="false">YEAR(B17)&amp;"Q"&amp;ROUNDUP(MONTH(B17)/3,0)</f>
        <v>2021Q3</v>
      </c>
      <c r="E17" s="47" t="s">
        <v>150</v>
      </c>
      <c r="F17" s="54" t="s">
        <v>139</v>
      </c>
      <c r="G17" s="47" t="s">
        <v>170</v>
      </c>
      <c r="H17" s="47" t="s">
        <v>185</v>
      </c>
      <c r="I17" s="55" t="n">
        <v>600</v>
      </c>
      <c r="J17" s="56" t="n">
        <v>4</v>
      </c>
      <c r="K17" s="54" t="s">
        <v>142</v>
      </c>
      <c r="L17" s="57" t="n">
        <v>0.038</v>
      </c>
      <c r="N17" s="47" t="s">
        <v>148</v>
      </c>
      <c r="O17" s="47" t="s">
        <v>186</v>
      </c>
      <c r="P17" s="47"/>
      <c r="Q17" s="48" t="n">
        <f aca="false">IF($J17="","",IFERROR(IF($J17&lt;=1,INDEX(VN_국채일별!$B$4:$B$1436,MATCH($B17,VN_국채일별!$A$4:$A$1436,1)),IF($J17&lt;=2,INDEX(VN_국채일별!$B$4:$B$1436,MATCH($B17,VN_국채일별!$A$4:$A$1436,1))+(INDEX(VN_국채일별!$C$4:$C$1436,MATCH($B17,VN_국채일별!$A$4:$A$1436,1))-INDEX(VN_국채일별!$B$4:$B$1436,MATCH($B17,VN_국채일별!$A$4:$A$1436,1)))*($J17-1),IF($J17&lt;=3,INDEX(VN_국채일별!$C$4:$C$1436,MATCH($B17,VN_국채일별!$A$4:$A$1436,1))+(INDEX(VN_국채일별!$D$4:$D$1436,MATCH($B17,VN_국채일별!$A$4:$A$1436,1))-INDEX(VN_국채일별!$C$4:$C$1436,MATCH($B17,VN_국채일별!$A$4:$A$1436,1)))*($J17-2),IF($J17&lt;=5,INDEX(VN_국채일별!$D$4:$D$1436,MATCH($B17,VN_국채일별!$A$4:$A$1436,1))+(INDEX(VN_국채일별!$E$4:$E$1436,MATCH($B17,VN_국채일별!$A$4:$A$1436,1))-INDEX(VN_국채일별!$D$4:$D$1436,MATCH($B17,VN_국채일별!$A$4:$A$1436,1)))*($J17-3)/2,IF($J17&lt;=7,INDEX(VN_국채일별!$E$4:$E$1436,MATCH($B17,VN_국채일별!$A$4:$A$1436,1))+(INDEX(VN_국채일별!$F$4:$F$1436,MATCH($B17,VN_국채일별!$A$4:$A$1436,1))-INDEX(VN_국채일별!$E$4:$E$1436,MATCH($B17,VN_국채일별!$A$4:$A$1436,1)))*($J17-5)/2,IF($J17&lt;=10,INDEX(VN_국채일별!$F$4:$F$1436,MATCH($B17,VN_국채일별!$A$4:$A$1436,1))+(INDEX(VN_국채일별!$G$4:$G$1436,MATCH($B17,VN_국채일별!$A$4:$A$1436,1))-INDEX(VN_국채일별!$F$4:$F$1436,MATCH($B17,VN_국채일별!$A$4:$A$1436,1)))*($J17-7)/3,INDEX(VN_국채일별!$G$4:$G$1436,MATCH($B17,VN_국채일별!$A$4:$A$1436,1)))))))),""))</f>
        <v>0.0074</v>
      </c>
      <c r="R17" s="58" t="n">
        <f aca="false">IF(OR(L17="",Q17=""),"",(L17-Q17)*10000)</f>
        <v>306</v>
      </c>
      <c r="S17" s="30" t="n">
        <f aca="false">IF(AND(K17="고정",N17="N",J17&gt;=2,J17&lt;=4,I17&lt;&gt;""),1,0)</f>
        <v>1</v>
      </c>
      <c r="T17" s="59" t="n">
        <f aca="false">IF(S17=1,I17*L17,0)</f>
        <v>22.8</v>
      </c>
      <c r="U17" s="60" t="n">
        <f aca="false">IF(AND(S17=1,ISNUMBER(R17)),I17*R17,0)</f>
        <v>183600</v>
      </c>
      <c r="V17" s="30" t="n">
        <f aca="false">IF(AND(F17="Big4(국영)",K17="고정",N17="N",I17&lt;&gt;""),1,0)</f>
        <v>0</v>
      </c>
      <c r="W17" s="59" t="n">
        <f aca="false">IF(V17=1,I17*L17,0)</f>
        <v>0</v>
      </c>
      <c r="X17" s="60" t="n">
        <f aca="false">IF(AND(V17=1,ISNUMBER(R17)),I17*R17,0)</f>
        <v>0</v>
      </c>
      <c r="Y17" s="61" t="n">
        <f aca="false">IF(AND(S17=1,ISNUMBER(R17)),I17,0)</f>
        <v>600</v>
      </c>
      <c r="Z17" s="61" t="n">
        <f aca="false">IF(AND(V17=1,ISNUMBER(R17)),I17,0)</f>
        <v>0</v>
      </c>
    </row>
    <row r="18" customFormat="false" ht="15" hidden="false" customHeight="false" outlineLevel="0" collapsed="false">
      <c r="A18" s="47" t="s">
        <v>137</v>
      </c>
      <c r="B18" s="52" t="n">
        <v>44433</v>
      </c>
      <c r="C18" s="53" t="n">
        <f aca="false">DATE(YEAR(B18),MONTH(B18),1)</f>
        <v>44409</v>
      </c>
      <c r="D18" s="5" t="str">
        <f aca="false">YEAR(B18)&amp;"Q"&amp;ROUNDUP(MONTH(B18)/3,0)</f>
        <v>2021Q3</v>
      </c>
      <c r="E18" s="62" t="s">
        <v>173</v>
      </c>
      <c r="F18" s="62" t="s">
        <v>156</v>
      </c>
      <c r="G18" s="47" t="s">
        <v>174</v>
      </c>
      <c r="H18" s="47" t="s">
        <v>187</v>
      </c>
      <c r="I18" s="55" t="n">
        <v>34</v>
      </c>
      <c r="J18" s="56" t="n">
        <v>7</v>
      </c>
      <c r="K18" s="54" t="s">
        <v>153</v>
      </c>
      <c r="M18" s="57" t="n">
        <v>0.0613</v>
      </c>
      <c r="N18" s="47" t="s">
        <v>143</v>
      </c>
      <c r="O18" s="47" t="s">
        <v>188</v>
      </c>
      <c r="P18" s="47"/>
      <c r="Q18" s="48" t="n">
        <f aca="false">IF($J18="","",IFERROR(IF($J18&lt;=1,INDEX(VN_국채일별!$B$4:$B$1436,MATCH($B18,VN_국채일별!$A$4:$A$1436,1)),IF($J18&lt;=2,INDEX(VN_국채일별!$B$4:$B$1436,MATCH($B18,VN_국채일별!$A$4:$A$1436,1))+(INDEX(VN_국채일별!$C$4:$C$1436,MATCH($B18,VN_국채일별!$A$4:$A$1436,1))-INDEX(VN_국채일별!$B$4:$B$1436,MATCH($B18,VN_국채일별!$A$4:$A$1436,1)))*($J18-1),IF($J18&lt;=3,INDEX(VN_국채일별!$C$4:$C$1436,MATCH($B18,VN_국채일별!$A$4:$A$1436,1))+(INDEX(VN_국채일별!$D$4:$D$1436,MATCH($B18,VN_국채일별!$A$4:$A$1436,1))-INDEX(VN_국채일별!$C$4:$C$1436,MATCH($B18,VN_국채일별!$A$4:$A$1436,1)))*($J18-2),IF($J18&lt;=5,INDEX(VN_국채일별!$D$4:$D$1436,MATCH($B18,VN_국채일별!$A$4:$A$1436,1))+(INDEX(VN_국채일별!$E$4:$E$1436,MATCH($B18,VN_국채일별!$A$4:$A$1436,1))-INDEX(VN_국채일별!$D$4:$D$1436,MATCH($B18,VN_국채일별!$A$4:$A$1436,1)))*($J18-3)/2,IF($J18&lt;=7,INDEX(VN_국채일별!$E$4:$E$1436,MATCH($B18,VN_국채일별!$A$4:$A$1436,1))+(INDEX(VN_국채일별!$F$4:$F$1436,MATCH($B18,VN_국채일별!$A$4:$A$1436,1))-INDEX(VN_국채일별!$E$4:$E$1436,MATCH($B18,VN_국채일별!$A$4:$A$1436,1)))*($J18-5)/2,IF($J18&lt;=10,INDEX(VN_국채일별!$F$4:$F$1436,MATCH($B18,VN_국채일별!$A$4:$A$1436,1))+(INDEX(VN_국채일별!$G$4:$G$1436,MATCH($B18,VN_국채일별!$A$4:$A$1436,1))-INDEX(VN_국채일별!$F$4:$F$1436,MATCH($B18,VN_국채일별!$A$4:$A$1436,1)))*($J18-7)/3,INDEX(VN_국채일별!$G$4:$G$1436,MATCH($B18,VN_국채일별!$A$4:$A$1436,1)))))))),""))</f>
        <v>0.01163</v>
      </c>
      <c r="R18" s="58" t="str">
        <f aca="false">IF(OR(L18="",Q18=""),"",(L18-Q18)*10000)</f>
        <v/>
      </c>
      <c r="S18" s="30" t="n">
        <f aca="false">IF(AND(K18="고정",N18="N",J18&gt;=2,J18&lt;=4,I18&lt;&gt;""),1,0)</f>
        <v>0</v>
      </c>
      <c r="T18" s="59" t="n">
        <f aca="false">IF(S18=1,I18*L18,0)</f>
        <v>0</v>
      </c>
      <c r="U18" s="60" t="n">
        <f aca="false">IF(AND(S18=1,ISNUMBER(R18)),I18*R18,0)</f>
        <v>0</v>
      </c>
      <c r="V18" s="30" t="n">
        <f aca="false">IF(AND(F18="Big4(국영)",K18="고정",N18="N",I18&lt;&gt;""),1,0)</f>
        <v>0</v>
      </c>
      <c r="W18" s="59" t="n">
        <f aca="false">IF(V18=1,I18*L18,0)</f>
        <v>0</v>
      </c>
      <c r="X18" s="60" t="n">
        <f aca="false">IF(AND(V18=1,ISNUMBER(R18)),I18*R18,0)</f>
        <v>0</v>
      </c>
      <c r="Y18" s="61" t="n">
        <f aca="false">IF(AND(S18=1,ISNUMBER(R18)),I18,0)</f>
        <v>0</v>
      </c>
      <c r="Z18" s="61" t="n">
        <f aca="false">IF(AND(V18=1,ISNUMBER(R18)),I18,0)</f>
        <v>0</v>
      </c>
    </row>
    <row r="19" customFormat="false" ht="15" hidden="false" customHeight="false" outlineLevel="0" collapsed="false">
      <c r="A19" s="47" t="s">
        <v>137</v>
      </c>
      <c r="B19" s="52" t="n">
        <v>44434</v>
      </c>
      <c r="C19" s="53" t="n">
        <f aca="false">DATE(YEAR(B19),MONTH(B19),1)</f>
        <v>44409</v>
      </c>
      <c r="D19" s="5" t="str">
        <f aca="false">YEAR(B19)&amp;"Q"&amp;ROUNDUP(MONTH(B19)/3,0)</f>
        <v>2021Q3</v>
      </c>
      <c r="E19" s="47" t="s">
        <v>150</v>
      </c>
      <c r="F19" s="54" t="s">
        <v>139</v>
      </c>
      <c r="G19" s="47" t="s">
        <v>189</v>
      </c>
      <c r="H19" s="47" t="s">
        <v>190</v>
      </c>
      <c r="I19" s="55" t="n">
        <v>400</v>
      </c>
      <c r="J19" s="56" t="n">
        <v>4</v>
      </c>
      <c r="K19" s="54" t="s">
        <v>142</v>
      </c>
      <c r="L19" s="57" t="n">
        <v>0.038</v>
      </c>
      <c r="N19" s="47" t="s">
        <v>148</v>
      </c>
      <c r="O19" s="47" t="s">
        <v>186</v>
      </c>
      <c r="P19" s="47"/>
      <c r="Q19" s="48" t="n">
        <f aca="false">IF($J19="","",IFERROR(IF($J19&lt;=1,INDEX(VN_국채일별!$B$4:$B$1436,MATCH($B19,VN_국채일별!$A$4:$A$1436,1)),IF($J19&lt;=2,INDEX(VN_국채일별!$B$4:$B$1436,MATCH($B19,VN_국채일별!$A$4:$A$1436,1))+(INDEX(VN_국채일별!$C$4:$C$1436,MATCH($B19,VN_국채일별!$A$4:$A$1436,1))-INDEX(VN_국채일별!$B$4:$B$1436,MATCH($B19,VN_국채일별!$A$4:$A$1436,1)))*($J19-1),IF($J19&lt;=3,INDEX(VN_국채일별!$C$4:$C$1436,MATCH($B19,VN_국채일별!$A$4:$A$1436,1))+(INDEX(VN_국채일별!$D$4:$D$1436,MATCH($B19,VN_국채일별!$A$4:$A$1436,1))-INDEX(VN_국채일별!$C$4:$C$1436,MATCH($B19,VN_국채일별!$A$4:$A$1436,1)))*($J19-2),IF($J19&lt;=5,INDEX(VN_국채일별!$D$4:$D$1436,MATCH($B19,VN_국채일별!$A$4:$A$1436,1))+(INDEX(VN_국채일별!$E$4:$E$1436,MATCH($B19,VN_국채일별!$A$4:$A$1436,1))-INDEX(VN_국채일별!$D$4:$D$1436,MATCH($B19,VN_국채일별!$A$4:$A$1436,1)))*($J19-3)/2,IF($J19&lt;=7,INDEX(VN_국채일별!$E$4:$E$1436,MATCH($B19,VN_국채일별!$A$4:$A$1436,1))+(INDEX(VN_국채일별!$F$4:$F$1436,MATCH($B19,VN_국채일별!$A$4:$A$1436,1))-INDEX(VN_국채일별!$E$4:$E$1436,MATCH($B19,VN_국채일별!$A$4:$A$1436,1)))*($J19-5)/2,IF($J19&lt;=10,INDEX(VN_국채일별!$F$4:$F$1436,MATCH($B19,VN_국채일별!$A$4:$A$1436,1))+(INDEX(VN_국채일별!$G$4:$G$1436,MATCH($B19,VN_국채일별!$A$4:$A$1436,1))-INDEX(VN_국채일별!$F$4:$F$1436,MATCH($B19,VN_국채일별!$A$4:$A$1436,1)))*($J19-7)/3,INDEX(VN_국채일별!$G$4:$G$1436,MATCH($B19,VN_국채일별!$A$4:$A$1436,1)))))))),""))</f>
        <v>0.00736</v>
      </c>
      <c r="R19" s="58" t="n">
        <f aca="false">IF(OR(L19="",Q19=""),"",(L19-Q19)*10000)</f>
        <v>306.4</v>
      </c>
      <c r="S19" s="30" t="n">
        <f aca="false">IF(AND(K19="고정",N19="N",J19&gt;=2,J19&lt;=4,I19&lt;&gt;""),1,0)</f>
        <v>1</v>
      </c>
      <c r="T19" s="59" t="n">
        <f aca="false">IF(S19=1,I19*L19,0)</f>
        <v>15.2</v>
      </c>
      <c r="U19" s="60" t="n">
        <f aca="false">IF(AND(S19=1,ISNUMBER(R19)),I19*R19,0)</f>
        <v>122560</v>
      </c>
      <c r="V19" s="30" t="n">
        <f aca="false">IF(AND(F19="Big4(국영)",K19="고정",N19="N",I19&lt;&gt;""),1,0)</f>
        <v>0</v>
      </c>
      <c r="W19" s="59" t="n">
        <f aca="false">IF(V19=1,I19*L19,0)</f>
        <v>0</v>
      </c>
      <c r="X19" s="60" t="n">
        <f aca="false">IF(AND(V19=1,ISNUMBER(R19)),I19*R19,0)</f>
        <v>0</v>
      </c>
      <c r="Y19" s="61" t="n">
        <f aca="false">IF(AND(S19=1,ISNUMBER(R19)),I19,0)</f>
        <v>400</v>
      </c>
      <c r="Z19" s="61" t="n">
        <f aca="false">IF(AND(V19=1,ISNUMBER(R19)),I19,0)</f>
        <v>0</v>
      </c>
    </row>
    <row r="20" customFormat="false" ht="15" hidden="false" customHeight="false" outlineLevel="0" collapsed="false">
      <c r="A20" s="47" t="s">
        <v>137</v>
      </c>
      <c r="B20" s="52" t="n">
        <v>44434</v>
      </c>
      <c r="C20" s="53" t="n">
        <f aca="false">DATE(YEAR(B20),MONTH(B20),1)</f>
        <v>44409</v>
      </c>
      <c r="D20" s="5" t="str">
        <f aca="false">YEAR(B20)&amp;"Q"&amp;ROUNDUP(MONTH(B20)/3,0)</f>
        <v>2021Q3</v>
      </c>
      <c r="E20" s="47" t="s">
        <v>191</v>
      </c>
      <c r="F20" s="54" t="s">
        <v>139</v>
      </c>
      <c r="G20" s="47" t="s">
        <v>192</v>
      </c>
      <c r="H20" s="47" t="s">
        <v>193</v>
      </c>
      <c r="I20" s="55" t="n">
        <v>900</v>
      </c>
      <c r="J20" s="56" t="n">
        <v>2</v>
      </c>
      <c r="K20" s="54" t="s">
        <v>142</v>
      </c>
      <c r="L20" s="57" t="n">
        <v>0.042</v>
      </c>
      <c r="N20" s="47" t="s">
        <v>148</v>
      </c>
      <c r="O20" s="47" t="s">
        <v>194</v>
      </c>
      <c r="P20" s="47"/>
      <c r="Q20" s="48" t="n">
        <f aca="false">IF($J20="","",IFERROR(IF($J20&lt;=1,INDEX(VN_국채일별!$B$4:$B$1436,MATCH($B20,VN_국채일별!$A$4:$A$1436,1)),IF($J20&lt;=2,INDEX(VN_국채일별!$B$4:$B$1436,MATCH($B20,VN_국채일별!$A$4:$A$1436,1))+(INDEX(VN_국채일별!$C$4:$C$1436,MATCH($B20,VN_국채일별!$A$4:$A$1436,1))-INDEX(VN_국채일별!$B$4:$B$1436,MATCH($B20,VN_국채일별!$A$4:$A$1436,1)))*($J20-1),IF($J20&lt;=3,INDEX(VN_국채일별!$C$4:$C$1436,MATCH($B20,VN_국채일별!$A$4:$A$1436,1))+(INDEX(VN_국채일별!$D$4:$D$1436,MATCH($B20,VN_국채일별!$A$4:$A$1436,1))-INDEX(VN_국채일별!$C$4:$C$1436,MATCH($B20,VN_국채일별!$A$4:$A$1436,1)))*($J20-2),IF($J20&lt;=5,INDEX(VN_국채일별!$D$4:$D$1436,MATCH($B20,VN_국채일별!$A$4:$A$1436,1))+(INDEX(VN_국채일별!$E$4:$E$1436,MATCH($B20,VN_국채일별!$A$4:$A$1436,1))-INDEX(VN_국채일별!$D$4:$D$1436,MATCH($B20,VN_국채일별!$A$4:$A$1436,1)))*($J20-3)/2,IF($J20&lt;=7,INDEX(VN_국채일별!$E$4:$E$1436,MATCH($B20,VN_국채일별!$A$4:$A$1436,1))+(INDEX(VN_국채일별!$F$4:$F$1436,MATCH($B20,VN_국채일별!$A$4:$A$1436,1))-INDEX(VN_국채일별!$E$4:$E$1436,MATCH($B20,VN_국채일별!$A$4:$A$1436,1)))*($J20-5)/2,IF($J20&lt;=10,INDEX(VN_국채일별!$F$4:$F$1436,MATCH($B20,VN_국채일별!$A$4:$A$1436,1))+(INDEX(VN_국채일별!$G$4:$G$1436,MATCH($B20,VN_국채일별!$A$4:$A$1436,1))-INDEX(VN_국채일별!$F$4:$F$1436,MATCH($B20,VN_국채일별!$A$4:$A$1436,1)))*($J20-7)/3,INDEX(VN_국채일별!$G$4:$G$1436,MATCH($B20,VN_국채일별!$A$4:$A$1436,1)))))))),""))</f>
        <v>0.00582</v>
      </c>
      <c r="R20" s="58" t="n">
        <f aca="false">IF(OR(L20="",Q20=""),"",(L20-Q20)*10000)</f>
        <v>361.8</v>
      </c>
      <c r="S20" s="30" t="n">
        <f aca="false">IF(AND(K20="고정",N20="N",J20&gt;=2,J20&lt;=4,I20&lt;&gt;""),1,0)</f>
        <v>1</v>
      </c>
      <c r="T20" s="59" t="n">
        <f aca="false">IF(S20=1,I20*L20,0)</f>
        <v>37.8</v>
      </c>
      <c r="U20" s="60" t="n">
        <f aca="false">IF(AND(S20=1,ISNUMBER(R20)),I20*R20,0)</f>
        <v>325620</v>
      </c>
      <c r="V20" s="30" t="n">
        <f aca="false">IF(AND(F20="Big4(국영)",K20="고정",N20="N",I20&lt;&gt;""),1,0)</f>
        <v>0</v>
      </c>
      <c r="W20" s="59" t="n">
        <f aca="false">IF(V20=1,I20*L20,0)</f>
        <v>0</v>
      </c>
      <c r="X20" s="60" t="n">
        <f aca="false">IF(AND(V20=1,ISNUMBER(R20)),I20*R20,0)</f>
        <v>0</v>
      </c>
      <c r="Y20" s="61" t="n">
        <f aca="false">IF(AND(S20=1,ISNUMBER(R20)),I20,0)</f>
        <v>900</v>
      </c>
      <c r="Z20" s="61" t="n">
        <f aca="false">IF(AND(V20=1,ISNUMBER(R20)),I20,0)</f>
        <v>0</v>
      </c>
    </row>
    <row r="21" customFormat="false" ht="15" hidden="false" customHeight="false" outlineLevel="0" collapsed="false">
      <c r="A21" s="47" t="s">
        <v>137</v>
      </c>
      <c r="B21" s="52" t="n">
        <v>44438</v>
      </c>
      <c r="C21" s="53" t="n">
        <f aca="false">DATE(YEAR(B21),MONTH(B21),1)</f>
        <v>44409</v>
      </c>
      <c r="D21" s="5" t="str">
        <f aca="false">YEAR(B21)&amp;"Q"&amp;ROUNDUP(MONTH(B21)/3,0)</f>
        <v>2021Q3</v>
      </c>
      <c r="E21" s="47" t="s">
        <v>191</v>
      </c>
      <c r="F21" s="54" t="s">
        <v>139</v>
      </c>
      <c r="G21" s="47" t="s">
        <v>192</v>
      </c>
      <c r="H21" s="47" t="s">
        <v>195</v>
      </c>
      <c r="I21" s="55" t="n">
        <v>500</v>
      </c>
      <c r="J21" s="56" t="n">
        <v>2</v>
      </c>
      <c r="K21" s="54" t="s">
        <v>142</v>
      </c>
      <c r="L21" s="57" t="n">
        <v>0.042</v>
      </c>
      <c r="N21" s="47" t="s">
        <v>148</v>
      </c>
      <c r="O21" s="47" t="s">
        <v>194</v>
      </c>
      <c r="P21" s="47"/>
      <c r="Q21" s="48" t="n">
        <f aca="false">IF($J21="","",IFERROR(IF($J21&lt;=1,INDEX(VN_국채일별!$B$4:$B$1436,MATCH($B21,VN_국채일별!$A$4:$A$1436,1)),IF($J21&lt;=2,INDEX(VN_국채일별!$B$4:$B$1436,MATCH($B21,VN_국채일별!$A$4:$A$1436,1))+(INDEX(VN_국채일별!$C$4:$C$1436,MATCH($B21,VN_국채일별!$A$4:$A$1436,1))-INDEX(VN_국채일별!$B$4:$B$1436,MATCH($B21,VN_국채일별!$A$4:$A$1436,1)))*($J21-1),IF($J21&lt;=3,INDEX(VN_국채일별!$C$4:$C$1436,MATCH($B21,VN_국채일별!$A$4:$A$1436,1))+(INDEX(VN_국채일별!$D$4:$D$1436,MATCH($B21,VN_국채일별!$A$4:$A$1436,1))-INDEX(VN_국채일별!$C$4:$C$1436,MATCH($B21,VN_국채일별!$A$4:$A$1436,1)))*($J21-2),IF($J21&lt;=5,INDEX(VN_국채일별!$D$4:$D$1436,MATCH($B21,VN_국채일별!$A$4:$A$1436,1))+(INDEX(VN_국채일별!$E$4:$E$1436,MATCH($B21,VN_국채일별!$A$4:$A$1436,1))-INDEX(VN_국채일별!$D$4:$D$1436,MATCH($B21,VN_국채일별!$A$4:$A$1436,1)))*($J21-3)/2,IF($J21&lt;=7,INDEX(VN_국채일별!$E$4:$E$1436,MATCH($B21,VN_국채일별!$A$4:$A$1436,1))+(INDEX(VN_국채일별!$F$4:$F$1436,MATCH($B21,VN_국채일별!$A$4:$A$1436,1))-INDEX(VN_국채일별!$E$4:$E$1436,MATCH($B21,VN_국채일별!$A$4:$A$1436,1)))*($J21-5)/2,IF($J21&lt;=10,INDEX(VN_국채일별!$F$4:$F$1436,MATCH($B21,VN_국채일별!$A$4:$A$1436,1))+(INDEX(VN_국채일별!$G$4:$G$1436,MATCH($B21,VN_국채일별!$A$4:$A$1436,1))-INDEX(VN_국채일별!$F$4:$F$1436,MATCH($B21,VN_국채일별!$A$4:$A$1436,1)))*($J21-7)/3,INDEX(VN_국채일별!$G$4:$G$1436,MATCH($B21,VN_국채일별!$A$4:$A$1436,1)))))))),""))</f>
        <v>0.00579</v>
      </c>
      <c r="R21" s="58" t="n">
        <f aca="false">IF(OR(L21="",Q21=""),"",(L21-Q21)*10000)</f>
        <v>362.1</v>
      </c>
      <c r="S21" s="30" t="n">
        <f aca="false">IF(AND(K21="고정",N21="N",J21&gt;=2,J21&lt;=4,I21&lt;&gt;""),1,0)</f>
        <v>1</v>
      </c>
      <c r="T21" s="59" t="n">
        <f aca="false">IF(S21=1,I21*L21,0)</f>
        <v>21</v>
      </c>
      <c r="U21" s="60" t="n">
        <f aca="false">IF(AND(S21=1,ISNUMBER(R21)),I21*R21,0)</f>
        <v>181050</v>
      </c>
      <c r="V21" s="30" t="n">
        <f aca="false">IF(AND(F21="Big4(국영)",K21="고정",N21="N",I21&lt;&gt;""),1,0)</f>
        <v>0</v>
      </c>
      <c r="W21" s="59" t="n">
        <f aca="false">IF(V21=1,I21*L21,0)</f>
        <v>0</v>
      </c>
      <c r="X21" s="60" t="n">
        <f aca="false">IF(AND(V21=1,ISNUMBER(R21)),I21*R21,0)</f>
        <v>0</v>
      </c>
      <c r="Y21" s="61" t="n">
        <f aca="false">IF(AND(S21=1,ISNUMBER(R21)),I21,0)</f>
        <v>500</v>
      </c>
      <c r="Z21" s="61" t="n">
        <f aca="false">IF(AND(V21=1,ISNUMBER(R21)),I21,0)</f>
        <v>0</v>
      </c>
    </row>
    <row r="22" customFormat="false" ht="15" hidden="false" customHeight="false" outlineLevel="0" collapsed="false">
      <c r="A22" s="47" t="s">
        <v>137</v>
      </c>
      <c r="B22" s="52" t="n">
        <v>44438</v>
      </c>
      <c r="C22" s="53" t="n">
        <f aca="false">DATE(YEAR(B22),MONTH(B22),1)</f>
        <v>44409</v>
      </c>
      <c r="D22" s="5" t="str">
        <f aca="false">YEAR(B22)&amp;"Q"&amp;ROUNDUP(MONTH(B22)/3,0)</f>
        <v>2021Q3</v>
      </c>
      <c r="E22" s="47" t="s">
        <v>196</v>
      </c>
      <c r="F22" s="54" t="s">
        <v>139</v>
      </c>
      <c r="G22" s="47" t="s">
        <v>197</v>
      </c>
      <c r="H22" s="47" t="s">
        <v>198</v>
      </c>
      <c r="I22" s="55" t="n">
        <v>500</v>
      </c>
      <c r="J22" s="56" t="n">
        <v>4</v>
      </c>
      <c r="K22" s="54" t="s">
        <v>142</v>
      </c>
      <c r="L22" s="57" t="n">
        <v>0.04</v>
      </c>
      <c r="N22" s="47" t="s">
        <v>148</v>
      </c>
      <c r="O22" s="47" t="s">
        <v>199</v>
      </c>
      <c r="P22" s="47"/>
      <c r="Q22" s="48" t="n">
        <f aca="false">IF($J22="","",IFERROR(IF($J22&lt;=1,INDEX(VN_국채일별!$B$4:$B$1436,MATCH($B22,VN_국채일별!$A$4:$A$1436,1)),IF($J22&lt;=2,INDEX(VN_국채일별!$B$4:$B$1436,MATCH($B22,VN_국채일별!$A$4:$A$1436,1))+(INDEX(VN_국채일별!$C$4:$C$1436,MATCH($B22,VN_국채일별!$A$4:$A$1436,1))-INDEX(VN_국채일별!$B$4:$B$1436,MATCH($B22,VN_국채일별!$A$4:$A$1436,1)))*($J22-1),IF($J22&lt;=3,INDEX(VN_국채일별!$C$4:$C$1436,MATCH($B22,VN_국채일별!$A$4:$A$1436,1))+(INDEX(VN_국채일별!$D$4:$D$1436,MATCH($B22,VN_국채일별!$A$4:$A$1436,1))-INDEX(VN_국채일별!$C$4:$C$1436,MATCH($B22,VN_국채일별!$A$4:$A$1436,1)))*($J22-2),IF($J22&lt;=5,INDEX(VN_국채일별!$D$4:$D$1436,MATCH($B22,VN_국채일별!$A$4:$A$1436,1))+(INDEX(VN_국채일별!$E$4:$E$1436,MATCH($B22,VN_국채일별!$A$4:$A$1436,1))-INDEX(VN_국채일별!$D$4:$D$1436,MATCH($B22,VN_국채일별!$A$4:$A$1436,1)))*($J22-3)/2,IF($J22&lt;=7,INDEX(VN_국채일별!$E$4:$E$1436,MATCH($B22,VN_국채일별!$A$4:$A$1436,1))+(INDEX(VN_국채일별!$F$4:$F$1436,MATCH($B22,VN_국채일별!$A$4:$A$1436,1))-INDEX(VN_국채일별!$E$4:$E$1436,MATCH($B22,VN_국채일별!$A$4:$A$1436,1)))*($J22-5)/2,IF($J22&lt;=10,INDEX(VN_국채일별!$F$4:$F$1436,MATCH($B22,VN_국채일별!$A$4:$A$1436,1))+(INDEX(VN_국채일별!$G$4:$G$1436,MATCH($B22,VN_국채일별!$A$4:$A$1436,1))-INDEX(VN_국채일별!$F$4:$F$1436,MATCH($B22,VN_국채일별!$A$4:$A$1436,1)))*($J22-7)/3,INDEX(VN_국채일별!$G$4:$G$1436,MATCH($B22,VN_국채일별!$A$4:$A$1436,1)))))))),""))</f>
        <v>0.00754</v>
      </c>
      <c r="R22" s="58" t="n">
        <f aca="false">IF(OR(L22="",Q22=""),"",(L22-Q22)*10000)</f>
        <v>324.6</v>
      </c>
      <c r="S22" s="30" t="n">
        <f aca="false">IF(AND(K22="고정",N22="N",J22&gt;=2,J22&lt;=4,I22&lt;&gt;""),1,0)</f>
        <v>1</v>
      </c>
      <c r="T22" s="59" t="n">
        <f aca="false">IF(S22=1,I22*L22,0)</f>
        <v>20</v>
      </c>
      <c r="U22" s="60" t="n">
        <f aca="false">IF(AND(S22=1,ISNUMBER(R22)),I22*R22,0)</f>
        <v>162300</v>
      </c>
      <c r="V22" s="30" t="n">
        <f aca="false">IF(AND(F22="Big4(국영)",K22="고정",N22="N",I22&lt;&gt;""),1,0)</f>
        <v>0</v>
      </c>
      <c r="W22" s="59" t="n">
        <f aca="false">IF(V22=1,I22*L22,0)</f>
        <v>0</v>
      </c>
      <c r="X22" s="60" t="n">
        <f aca="false">IF(AND(V22=1,ISNUMBER(R22)),I22*R22,0)</f>
        <v>0</v>
      </c>
      <c r="Y22" s="61" t="n">
        <f aca="false">IF(AND(S22=1,ISNUMBER(R22)),I22,0)</f>
        <v>500</v>
      </c>
      <c r="Z22" s="61" t="n">
        <f aca="false">IF(AND(V22=1,ISNUMBER(R22)),I22,0)</f>
        <v>0</v>
      </c>
    </row>
    <row r="23" customFormat="false" ht="15" hidden="false" customHeight="false" outlineLevel="0" collapsed="false">
      <c r="A23" s="47" t="s">
        <v>137</v>
      </c>
      <c r="B23" s="52" t="n">
        <v>44438</v>
      </c>
      <c r="C23" s="53" t="n">
        <f aca="false">DATE(YEAR(B23),MONTH(B23),1)</f>
        <v>44409</v>
      </c>
      <c r="D23" s="5" t="str">
        <f aca="false">YEAR(B23)&amp;"Q"&amp;ROUNDUP(MONTH(B23)/3,0)</f>
        <v>2021Q3</v>
      </c>
      <c r="E23" s="62" t="s">
        <v>155</v>
      </c>
      <c r="F23" s="62" t="s">
        <v>156</v>
      </c>
      <c r="G23" s="47" t="s">
        <v>157</v>
      </c>
      <c r="H23" s="47" t="s">
        <v>200</v>
      </c>
      <c r="I23" s="55" t="n">
        <v>200</v>
      </c>
      <c r="J23" s="56" t="n">
        <v>15</v>
      </c>
      <c r="K23" s="54" t="s">
        <v>153</v>
      </c>
      <c r="N23" s="47" t="s">
        <v>143</v>
      </c>
      <c r="O23" s="47" t="s">
        <v>201</v>
      </c>
      <c r="P23" s="47"/>
      <c r="Q23" s="48" t="n">
        <f aca="false">IF($J23="","",IFERROR(IF($J23&lt;=1,INDEX(VN_국채일별!$B$4:$B$1436,MATCH($B23,VN_국채일별!$A$4:$A$1436,1)),IF($J23&lt;=2,INDEX(VN_국채일별!$B$4:$B$1436,MATCH($B23,VN_국채일별!$A$4:$A$1436,1))+(INDEX(VN_국채일별!$C$4:$C$1436,MATCH($B23,VN_국채일별!$A$4:$A$1436,1))-INDEX(VN_국채일별!$B$4:$B$1436,MATCH($B23,VN_국채일별!$A$4:$A$1436,1)))*($J23-1),IF($J23&lt;=3,INDEX(VN_국채일별!$C$4:$C$1436,MATCH($B23,VN_국채일별!$A$4:$A$1436,1))+(INDEX(VN_국채일별!$D$4:$D$1436,MATCH($B23,VN_국채일별!$A$4:$A$1436,1))-INDEX(VN_국채일별!$C$4:$C$1436,MATCH($B23,VN_국채일별!$A$4:$A$1436,1)))*($J23-2),IF($J23&lt;=5,INDEX(VN_국채일별!$D$4:$D$1436,MATCH($B23,VN_국채일별!$A$4:$A$1436,1))+(INDEX(VN_국채일별!$E$4:$E$1436,MATCH($B23,VN_국채일별!$A$4:$A$1436,1))-INDEX(VN_국채일별!$D$4:$D$1436,MATCH($B23,VN_국채일별!$A$4:$A$1436,1)))*($J23-3)/2,IF($J23&lt;=7,INDEX(VN_국채일별!$E$4:$E$1436,MATCH($B23,VN_국채일별!$A$4:$A$1436,1))+(INDEX(VN_국채일별!$F$4:$F$1436,MATCH($B23,VN_국채일별!$A$4:$A$1436,1))-INDEX(VN_국채일별!$E$4:$E$1436,MATCH($B23,VN_국채일별!$A$4:$A$1436,1)))*($J23-5)/2,IF($J23&lt;=10,INDEX(VN_국채일별!$F$4:$F$1436,MATCH($B23,VN_국채일별!$A$4:$A$1436,1))+(INDEX(VN_국채일별!$G$4:$G$1436,MATCH($B23,VN_국채일별!$A$4:$A$1436,1))-INDEX(VN_국채일별!$F$4:$F$1436,MATCH($B23,VN_국채일별!$A$4:$A$1436,1)))*($J23-7)/3,INDEX(VN_국채일별!$G$4:$G$1436,MATCH($B23,VN_국채일별!$A$4:$A$1436,1)))))))),""))</f>
        <v>0.02028</v>
      </c>
      <c r="R23" s="58" t="str">
        <f aca="false">IF(OR(L23="",Q23=""),"",(L23-Q23)*10000)</f>
        <v/>
      </c>
      <c r="S23" s="30" t="n">
        <f aca="false">IF(AND(K23="고정",N23="N",J23&gt;=2,J23&lt;=4,I23&lt;&gt;""),1,0)</f>
        <v>0</v>
      </c>
      <c r="T23" s="59" t="n">
        <f aca="false">IF(S23=1,I23*L23,0)</f>
        <v>0</v>
      </c>
      <c r="U23" s="60" t="n">
        <f aca="false">IF(AND(S23=1,ISNUMBER(R23)),I23*R23,0)</f>
        <v>0</v>
      </c>
      <c r="V23" s="30" t="n">
        <f aca="false">IF(AND(F23="Big4(국영)",K23="고정",N23="N",I23&lt;&gt;""),1,0)</f>
        <v>0</v>
      </c>
      <c r="W23" s="59" t="n">
        <f aca="false">IF(V23=1,I23*L23,0)</f>
        <v>0</v>
      </c>
      <c r="X23" s="60" t="n">
        <f aca="false">IF(AND(V23=1,ISNUMBER(R23)),I23*R23,0)</f>
        <v>0</v>
      </c>
      <c r="Y23" s="61" t="n">
        <f aca="false">IF(AND(S23=1,ISNUMBER(R23)),I23,0)</f>
        <v>0</v>
      </c>
      <c r="Z23" s="61" t="n">
        <f aca="false">IF(AND(V23=1,ISNUMBER(R23)),I23,0)</f>
        <v>0</v>
      </c>
    </row>
    <row r="24" customFormat="false" ht="15" hidden="false" customHeight="false" outlineLevel="0" collapsed="false">
      <c r="A24" s="47" t="s">
        <v>137</v>
      </c>
      <c r="B24" s="52" t="n">
        <v>44439</v>
      </c>
      <c r="C24" s="53" t="n">
        <f aca="false">DATE(YEAR(B24),MONTH(B24),1)</f>
        <v>44409</v>
      </c>
      <c r="D24" s="5" t="str">
        <f aca="false">YEAR(B24)&amp;"Q"&amp;ROUNDUP(MONTH(B24)/3,0)</f>
        <v>2021Q3</v>
      </c>
      <c r="E24" s="47" t="s">
        <v>196</v>
      </c>
      <c r="F24" s="54" t="s">
        <v>139</v>
      </c>
      <c r="G24" s="47" t="s">
        <v>197</v>
      </c>
      <c r="H24" s="47" t="s">
        <v>202</v>
      </c>
      <c r="I24" s="55" t="n">
        <v>2130</v>
      </c>
      <c r="J24" s="56" t="n">
        <v>3</v>
      </c>
      <c r="K24" s="54" t="s">
        <v>142</v>
      </c>
      <c r="L24" s="57" t="n">
        <v>0.039</v>
      </c>
      <c r="N24" s="47" t="s">
        <v>148</v>
      </c>
      <c r="O24" s="47" t="s">
        <v>203</v>
      </c>
      <c r="P24" s="47"/>
      <c r="Q24" s="48" t="n">
        <f aca="false">IF($J24="","",IFERROR(IF($J24&lt;=1,INDEX(VN_국채일별!$B$4:$B$1436,MATCH($B24,VN_국채일별!$A$4:$A$1436,1)),IF($J24&lt;=2,INDEX(VN_국채일별!$B$4:$B$1436,MATCH($B24,VN_국채일별!$A$4:$A$1436,1))+(INDEX(VN_국채일별!$C$4:$C$1436,MATCH($B24,VN_국채일별!$A$4:$A$1436,1))-INDEX(VN_국채일별!$B$4:$B$1436,MATCH($B24,VN_국채일별!$A$4:$A$1436,1)))*($J24-1),IF($J24&lt;=3,INDEX(VN_국채일별!$C$4:$C$1436,MATCH($B24,VN_국채일별!$A$4:$A$1436,1))+(INDEX(VN_국채일별!$D$4:$D$1436,MATCH($B24,VN_국채일별!$A$4:$A$1436,1))-INDEX(VN_국채일별!$C$4:$C$1436,MATCH($B24,VN_국채일별!$A$4:$A$1436,1)))*($J24-2),IF($J24&lt;=5,INDEX(VN_국채일별!$D$4:$D$1436,MATCH($B24,VN_국채일별!$A$4:$A$1436,1))+(INDEX(VN_국채일별!$E$4:$E$1436,MATCH($B24,VN_국채일별!$A$4:$A$1436,1))-INDEX(VN_국채일별!$D$4:$D$1436,MATCH($B24,VN_국채일별!$A$4:$A$1436,1)))*($J24-3)/2,IF($J24&lt;=7,INDEX(VN_국채일별!$E$4:$E$1436,MATCH($B24,VN_국채일별!$A$4:$A$1436,1))+(INDEX(VN_국채일별!$F$4:$F$1436,MATCH($B24,VN_국채일별!$A$4:$A$1436,1))-INDEX(VN_국채일별!$E$4:$E$1436,MATCH($B24,VN_국채일별!$A$4:$A$1436,1)))*($J24-5)/2,IF($J24&lt;=10,INDEX(VN_국채일별!$F$4:$F$1436,MATCH($B24,VN_국채일별!$A$4:$A$1436,1))+(INDEX(VN_국채일별!$G$4:$G$1436,MATCH($B24,VN_국채일별!$A$4:$A$1436,1))-INDEX(VN_국채일별!$F$4:$F$1436,MATCH($B24,VN_국채일별!$A$4:$A$1436,1)))*($J24-7)/3,INDEX(VN_국채일별!$G$4:$G$1436,MATCH($B24,VN_국채일별!$A$4:$A$1436,1)))))))),""))</f>
        <v>0.00667</v>
      </c>
      <c r="R24" s="58" t="n">
        <f aca="false">IF(OR(L24="",Q24=""),"",(L24-Q24)*10000)</f>
        <v>323.3</v>
      </c>
      <c r="S24" s="30" t="n">
        <f aca="false">IF(AND(K24="고정",N24="N",J24&gt;=2,J24&lt;=4,I24&lt;&gt;""),1,0)</f>
        <v>1</v>
      </c>
      <c r="T24" s="59" t="n">
        <f aca="false">IF(S24=1,I24*L24,0)</f>
        <v>83.07</v>
      </c>
      <c r="U24" s="60" t="n">
        <f aca="false">IF(AND(S24=1,ISNUMBER(R24)),I24*R24,0)</f>
        <v>688629</v>
      </c>
      <c r="V24" s="30" t="n">
        <f aca="false">IF(AND(F24="Big4(국영)",K24="고정",N24="N",I24&lt;&gt;""),1,0)</f>
        <v>0</v>
      </c>
      <c r="W24" s="59" t="n">
        <f aca="false">IF(V24=1,I24*L24,0)</f>
        <v>0</v>
      </c>
      <c r="X24" s="60" t="n">
        <f aca="false">IF(AND(V24=1,ISNUMBER(R24)),I24*R24,0)</f>
        <v>0</v>
      </c>
      <c r="Y24" s="61" t="n">
        <f aca="false">IF(AND(S24=1,ISNUMBER(R24)),I24,0)</f>
        <v>2130</v>
      </c>
      <c r="Z24" s="61" t="n">
        <f aca="false">IF(AND(V24=1,ISNUMBER(R24)),I24,0)</f>
        <v>0</v>
      </c>
    </row>
    <row r="25" customFormat="false" ht="15" hidden="false" customHeight="false" outlineLevel="0" collapsed="false">
      <c r="A25" s="47" t="s">
        <v>137</v>
      </c>
      <c r="B25" s="52" t="n">
        <v>44439</v>
      </c>
      <c r="C25" s="53" t="n">
        <f aca="false">DATE(YEAR(B25),MONTH(B25),1)</f>
        <v>44409</v>
      </c>
      <c r="D25" s="5" t="str">
        <f aca="false">YEAR(B25)&amp;"Q"&amp;ROUNDUP(MONTH(B25)/3,0)</f>
        <v>2021Q3</v>
      </c>
      <c r="E25" s="47" t="s">
        <v>160</v>
      </c>
      <c r="F25" s="54" t="s">
        <v>139</v>
      </c>
      <c r="G25" s="47" t="s">
        <v>161</v>
      </c>
      <c r="H25" s="47" t="s">
        <v>204</v>
      </c>
      <c r="I25" s="55" t="n">
        <v>100</v>
      </c>
      <c r="J25" s="56" t="n">
        <v>7</v>
      </c>
      <c r="K25" s="54" t="s">
        <v>153</v>
      </c>
      <c r="N25" s="47" t="s">
        <v>143</v>
      </c>
      <c r="O25" s="47" t="s">
        <v>205</v>
      </c>
      <c r="P25" s="47"/>
      <c r="Q25" s="48" t="n">
        <f aca="false">IF($J25="","",IFERROR(IF($J25&lt;=1,INDEX(VN_국채일별!$B$4:$B$1436,MATCH($B25,VN_국채일별!$A$4:$A$1436,1)),IF($J25&lt;=2,INDEX(VN_국채일별!$B$4:$B$1436,MATCH($B25,VN_국채일별!$A$4:$A$1436,1))+(INDEX(VN_국채일별!$C$4:$C$1436,MATCH($B25,VN_국채일별!$A$4:$A$1436,1))-INDEX(VN_국채일별!$B$4:$B$1436,MATCH($B25,VN_국채일별!$A$4:$A$1436,1)))*($J25-1),IF($J25&lt;=3,INDEX(VN_국채일별!$C$4:$C$1436,MATCH($B25,VN_국채일별!$A$4:$A$1436,1))+(INDEX(VN_국채일별!$D$4:$D$1436,MATCH($B25,VN_국채일별!$A$4:$A$1436,1))-INDEX(VN_국채일별!$C$4:$C$1436,MATCH($B25,VN_국채일별!$A$4:$A$1436,1)))*($J25-2),IF($J25&lt;=5,INDEX(VN_국채일별!$D$4:$D$1436,MATCH($B25,VN_국채일별!$A$4:$A$1436,1))+(INDEX(VN_국채일별!$E$4:$E$1436,MATCH($B25,VN_국채일별!$A$4:$A$1436,1))-INDEX(VN_국채일별!$D$4:$D$1436,MATCH($B25,VN_국채일별!$A$4:$A$1436,1)))*($J25-3)/2,IF($J25&lt;=7,INDEX(VN_국채일별!$E$4:$E$1436,MATCH($B25,VN_국채일별!$A$4:$A$1436,1))+(INDEX(VN_국채일별!$F$4:$F$1436,MATCH($B25,VN_국채일별!$A$4:$A$1436,1))-INDEX(VN_국채일별!$E$4:$E$1436,MATCH($B25,VN_국채일별!$A$4:$A$1436,1)))*($J25-5)/2,IF($J25&lt;=10,INDEX(VN_국채일별!$F$4:$F$1436,MATCH($B25,VN_국채일별!$A$4:$A$1436,1))+(INDEX(VN_국채일별!$G$4:$G$1436,MATCH($B25,VN_국채일별!$A$4:$A$1436,1))-INDEX(VN_국채일별!$F$4:$F$1436,MATCH($B25,VN_국채일별!$A$4:$A$1436,1)))*($J25-7)/3,INDEX(VN_국채일별!$G$4:$G$1436,MATCH($B25,VN_국채일별!$A$4:$A$1436,1)))))))),""))</f>
        <v>0.01186</v>
      </c>
      <c r="R25" s="58" t="str">
        <f aca="false">IF(OR(L25="",Q25=""),"",(L25-Q25)*10000)</f>
        <v/>
      </c>
      <c r="S25" s="30" t="n">
        <f aca="false">IF(AND(K25="고정",N25="N",J25&gt;=2,J25&lt;=4,I25&lt;&gt;""),1,0)</f>
        <v>0</v>
      </c>
      <c r="T25" s="59" t="n">
        <f aca="false">IF(S25=1,I25*L25,0)</f>
        <v>0</v>
      </c>
      <c r="U25" s="60" t="n">
        <f aca="false">IF(AND(S25=1,ISNUMBER(R25)),I25*R25,0)</f>
        <v>0</v>
      </c>
      <c r="V25" s="30" t="n">
        <f aca="false">IF(AND(F25="Big4(국영)",K25="고정",N25="N",I25&lt;&gt;""),1,0)</f>
        <v>0</v>
      </c>
      <c r="W25" s="59" t="n">
        <f aca="false">IF(V25=1,I25*L25,0)</f>
        <v>0</v>
      </c>
      <c r="X25" s="60" t="n">
        <f aca="false">IF(AND(V25=1,ISNUMBER(R25)),I25*R25,0)</f>
        <v>0</v>
      </c>
      <c r="Y25" s="61" t="n">
        <f aca="false">IF(AND(S25=1,ISNUMBER(R25)),I25,0)</f>
        <v>0</v>
      </c>
      <c r="Z25" s="61" t="n">
        <f aca="false">IF(AND(V25=1,ISNUMBER(R25)),I25,0)</f>
        <v>0</v>
      </c>
    </row>
    <row r="26" customFormat="false" ht="15" hidden="false" customHeight="false" outlineLevel="0" collapsed="false">
      <c r="A26" s="47" t="s">
        <v>137</v>
      </c>
      <c r="B26" s="52" t="n">
        <v>44439</v>
      </c>
      <c r="C26" s="53" t="n">
        <f aca="false">DATE(YEAR(B26),MONTH(B26),1)</f>
        <v>44409</v>
      </c>
      <c r="D26" s="5" t="str">
        <f aca="false">YEAR(B26)&amp;"Q"&amp;ROUNDUP(MONTH(B26)/3,0)</f>
        <v>2021Q3</v>
      </c>
      <c r="E26" s="47" t="s">
        <v>160</v>
      </c>
      <c r="F26" s="54" t="s">
        <v>139</v>
      </c>
      <c r="G26" s="47" t="s">
        <v>161</v>
      </c>
      <c r="H26" s="47" t="s">
        <v>206</v>
      </c>
      <c r="I26" s="55" t="n">
        <v>170</v>
      </c>
      <c r="J26" s="56" t="n">
        <v>7</v>
      </c>
      <c r="K26" s="54" t="s">
        <v>153</v>
      </c>
      <c r="M26" s="57" t="n">
        <v>0.07225</v>
      </c>
      <c r="N26" s="47" t="s">
        <v>143</v>
      </c>
      <c r="O26" s="47" t="s">
        <v>207</v>
      </c>
      <c r="P26" s="47"/>
      <c r="Q26" s="48" t="n">
        <f aca="false">IF($J26="","",IFERROR(IF($J26&lt;=1,INDEX(VN_국채일별!$B$4:$B$1436,MATCH($B26,VN_국채일별!$A$4:$A$1436,1)),IF($J26&lt;=2,INDEX(VN_국채일별!$B$4:$B$1436,MATCH($B26,VN_국채일별!$A$4:$A$1436,1))+(INDEX(VN_국채일별!$C$4:$C$1436,MATCH($B26,VN_국채일별!$A$4:$A$1436,1))-INDEX(VN_국채일별!$B$4:$B$1436,MATCH($B26,VN_국채일별!$A$4:$A$1436,1)))*($J26-1),IF($J26&lt;=3,INDEX(VN_국채일별!$C$4:$C$1436,MATCH($B26,VN_국채일별!$A$4:$A$1436,1))+(INDEX(VN_국채일별!$D$4:$D$1436,MATCH($B26,VN_국채일별!$A$4:$A$1436,1))-INDEX(VN_국채일별!$C$4:$C$1436,MATCH($B26,VN_국채일별!$A$4:$A$1436,1)))*($J26-2),IF($J26&lt;=5,INDEX(VN_국채일별!$D$4:$D$1436,MATCH($B26,VN_국채일별!$A$4:$A$1436,1))+(INDEX(VN_국채일별!$E$4:$E$1436,MATCH($B26,VN_국채일별!$A$4:$A$1436,1))-INDEX(VN_국채일별!$D$4:$D$1436,MATCH($B26,VN_국채일별!$A$4:$A$1436,1)))*($J26-3)/2,IF($J26&lt;=7,INDEX(VN_국채일별!$E$4:$E$1436,MATCH($B26,VN_국채일별!$A$4:$A$1436,1))+(INDEX(VN_국채일별!$F$4:$F$1436,MATCH($B26,VN_국채일별!$A$4:$A$1436,1))-INDEX(VN_국채일별!$E$4:$E$1436,MATCH($B26,VN_국채일별!$A$4:$A$1436,1)))*($J26-5)/2,IF($J26&lt;=10,INDEX(VN_국채일별!$F$4:$F$1436,MATCH($B26,VN_국채일별!$A$4:$A$1436,1))+(INDEX(VN_국채일별!$G$4:$G$1436,MATCH($B26,VN_국채일별!$A$4:$A$1436,1))-INDEX(VN_국채일별!$F$4:$F$1436,MATCH($B26,VN_국채일별!$A$4:$A$1436,1)))*($J26-7)/3,INDEX(VN_국채일별!$G$4:$G$1436,MATCH($B26,VN_국채일별!$A$4:$A$1436,1)))))))),""))</f>
        <v>0.01186</v>
      </c>
      <c r="R26" s="58" t="str">
        <f aca="false">IF(OR(L26="",Q26=""),"",(L26-Q26)*10000)</f>
        <v/>
      </c>
      <c r="S26" s="30" t="n">
        <f aca="false">IF(AND(K26="고정",N26="N",J26&gt;=2,J26&lt;=4,I26&lt;&gt;""),1,0)</f>
        <v>0</v>
      </c>
      <c r="T26" s="59" t="n">
        <f aca="false">IF(S26=1,I26*L26,0)</f>
        <v>0</v>
      </c>
      <c r="U26" s="60" t="n">
        <f aca="false">IF(AND(S26=1,ISNUMBER(R26)),I26*R26,0)</f>
        <v>0</v>
      </c>
      <c r="V26" s="30" t="n">
        <f aca="false">IF(AND(F26="Big4(국영)",K26="고정",N26="N",I26&lt;&gt;""),1,0)</f>
        <v>0</v>
      </c>
      <c r="W26" s="59" t="n">
        <f aca="false">IF(V26=1,I26*L26,0)</f>
        <v>0</v>
      </c>
      <c r="X26" s="60" t="n">
        <f aca="false">IF(AND(V26=1,ISNUMBER(R26)),I26*R26,0)</f>
        <v>0</v>
      </c>
      <c r="Y26" s="61" t="n">
        <f aca="false">IF(AND(S26=1,ISNUMBER(R26)),I26,0)</f>
        <v>0</v>
      </c>
      <c r="Z26" s="61" t="n">
        <f aca="false">IF(AND(V26=1,ISNUMBER(R26)),I26,0)</f>
        <v>0</v>
      </c>
    </row>
    <row r="27" customFormat="false" ht="15" hidden="false" customHeight="false" outlineLevel="0" collapsed="false">
      <c r="A27" s="47" t="s">
        <v>208</v>
      </c>
      <c r="B27" s="52" t="n">
        <v>44503</v>
      </c>
      <c r="C27" s="53" t="n">
        <f aca="false">DATE(YEAR(B27),MONTH(B27),1)</f>
        <v>44501</v>
      </c>
      <c r="D27" s="5" t="str">
        <f aca="false">YEAR(B27)&amp;"Q"&amp;ROUNDUP(MONTH(B27)/3,0)</f>
        <v>2021Q4</v>
      </c>
      <c r="E27" s="47" t="s">
        <v>160</v>
      </c>
      <c r="F27" s="54" t="s">
        <v>139</v>
      </c>
      <c r="G27" s="47" t="s">
        <v>209</v>
      </c>
      <c r="H27" s="47" t="s">
        <v>210</v>
      </c>
      <c r="I27" s="55" t="n">
        <v>150</v>
      </c>
      <c r="J27" s="56" t="n">
        <v>7</v>
      </c>
      <c r="K27" s="54" t="s">
        <v>153</v>
      </c>
      <c r="N27" s="47" t="s">
        <v>143</v>
      </c>
      <c r="O27" s="47" t="s">
        <v>211</v>
      </c>
      <c r="P27" s="47"/>
      <c r="Q27" s="48" t="n">
        <f aca="false">IF($J27="","",IFERROR(IF($J27&lt;=1,INDEX(VN_국채일별!$B$4:$B$1436,MATCH($B27,VN_국채일별!$A$4:$A$1436,1)),IF($J27&lt;=2,INDEX(VN_국채일별!$B$4:$B$1436,MATCH($B27,VN_국채일별!$A$4:$A$1436,1))+(INDEX(VN_국채일별!$C$4:$C$1436,MATCH($B27,VN_국채일별!$A$4:$A$1436,1))-INDEX(VN_국채일별!$B$4:$B$1436,MATCH($B27,VN_국채일별!$A$4:$A$1436,1)))*($J27-1),IF($J27&lt;=3,INDEX(VN_국채일별!$C$4:$C$1436,MATCH($B27,VN_국채일별!$A$4:$A$1436,1))+(INDEX(VN_국채일별!$D$4:$D$1436,MATCH($B27,VN_국채일별!$A$4:$A$1436,1))-INDEX(VN_국채일별!$C$4:$C$1436,MATCH($B27,VN_국채일별!$A$4:$A$1436,1)))*($J27-2),IF($J27&lt;=5,INDEX(VN_국채일별!$D$4:$D$1436,MATCH($B27,VN_국채일별!$A$4:$A$1436,1))+(INDEX(VN_국채일별!$E$4:$E$1436,MATCH($B27,VN_국채일별!$A$4:$A$1436,1))-INDEX(VN_국채일별!$D$4:$D$1436,MATCH($B27,VN_국채일별!$A$4:$A$1436,1)))*($J27-3)/2,IF($J27&lt;=7,INDEX(VN_국채일별!$E$4:$E$1436,MATCH($B27,VN_국채일별!$A$4:$A$1436,1))+(INDEX(VN_국채일별!$F$4:$F$1436,MATCH($B27,VN_국채일별!$A$4:$A$1436,1))-INDEX(VN_국채일별!$E$4:$E$1436,MATCH($B27,VN_국채일별!$A$4:$A$1436,1)))*($J27-5)/2,IF($J27&lt;=10,INDEX(VN_국채일별!$F$4:$F$1436,MATCH($B27,VN_국채일별!$A$4:$A$1436,1))+(INDEX(VN_국채일별!$G$4:$G$1436,MATCH($B27,VN_국채일별!$A$4:$A$1436,1))-INDEX(VN_국채일별!$F$4:$F$1436,MATCH($B27,VN_국채일별!$A$4:$A$1436,1)))*($J27-7)/3,INDEX(VN_국채일별!$G$4:$G$1436,MATCH($B27,VN_국채일별!$A$4:$A$1436,1)))))))),""))</f>
        <v>0.0125</v>
      </c>
      <c r="R27" s="58" t="str">
        <f aca="false">IF(OR(L27="",Q27=""),"",(L27-Q27)*10000)</f>
        <v/>
      </c>
      <c r="S27" s="30" t="n">
        <f aca="false">IF(AND(K27="고정",N27="N",J27&gt;=2,J27&lt;=4,I27&lt;&gt;""),1,0)</f>
        <v>0</v>
      </c>
      <c r="T27" s="59" t="n">
        <f aca="false">IF(S27=1,I27*L27,0)</f>
        <v>0</v>
      </c>
      <c r="U27" s="60" t="n">
        <f aca="false">IF(AND(S27=1,ISNUMBER(R27)),I27*R27,0)</f>
        <v>0</v>
      </c>
      <c r="V27" s="30" t="n">
        <f aca="false">IF(AND(F27="Big4(국영)",K27="고정",N27="N",I27&lt;&gt;""),1,0)</f>
        <v>0</v>
      </c>
      <c r="W27" s="59" t="n">
        <f aca="false">IF(V27=1,I27*L27,0)</f>
        <v>0</v>
      </c>
      <c r="X27" s="60" t="n">
        <f aca="false">IF(AND(V27=1,ISNUMBER(R27)),I27*R27,0)</f>
        <v>0</v>
      </c>
      <c r="Y27" s="61" t="n">
        <f aca="false">IF(AND(S27=1,ISNUMBER(R27)),I27,0)</f>
        <v>0</v>
      </c>
      <c r="Z27" s="61" t="n">
        <f aca="false">IF(AND(V27=1,ISNUMBER(R27)),I27,0)</f>
        <v>0</v>
      </c>
    </row>
    <row r="28" customFormat="false" ht="15" hidden="false" customHeight="false" outlineLevel="0" collapsed="false">
      <c r="A28" s="47" t="s">
        <v>208</v>
      </c>
      <c r="B28" s="52" t="n">
        <v>44504</v>
      </c>
      <c r="C28" s="53" t="n">
        <f aca="false">DATE(YEAR(B28),MONTH(B28),1)</f>
        <v>44501</v>
      </c>
      <c r="D28" s="5" t="str">
        <f aca="false">YEAR(B28)&amp;"Q"&amp;ROUNDUP(MONTH(B28)/3,0)</f>
        <v>2021Q4</v>
      </c>
      <c r="E28" s="47" t="s">
        <v>150</v>
      </c>
      <c r="F28" s="54" t="s">
        <v>139</v>
      </c>
      <c r="G28" s="47" t="s">
        <v>212</v>
      </c>
      <c r="H28" s="47" t="s">
        <v>213</v>
      </c>
      <c r="I28" s="55" t="n">
        <v>500</v>
      </c>
      <c r="J28" s="56" t="n">
        <v>4</v>
      </c>
      <c r="K28" s="54" t="s">
        <v>142</v>
      </c>
      <c r="L28" s="57" t="n">
        <v>0.038</v>
      </c>
      <c r="N28" s="47" t="s">
        <v>148</v>
      </c>
      <c r="O28" s="47" t="s">
        <v>186</v>
      </c>
      <c r="P28" s="47"/>
      <c r="Q28" s="48" t="n">
        <f aca="false">IF($J28="","",IFERROR(IF($J28&lt;=1,INDEX(VN_국채일별!$B$4:$B$1436,MATCH($B28,VN_국채일별!$A$4:$A$1436,1)),IF($J28&lt;=2,INDEX(VN_국채일별!$B$4:$B$1436,MATCH($B28,VN_국채일별!$A$4:$A$1436,1))+(INDEX(VN_국채일별!$C$4:$C$1436,MATCH($B28,VN_국채일별!$A$4:$A$1436,1))-INDEX(VN_국채일별!$B$4:$B$1436,MATCH($B28,VN_국채일별!$A$4:$A$1436,1)))*($J28-1),IF($J28&lt;=3,INDEX(VN_국채일별!$C$4:$C$1436,MATCH($B28,VN_국채일별!$A$4:$A$1436,1))+(INDEX(VN_국채일별!$D$4:$D$1436,MATCH($B28,VN_국채일별!$A$4:$A$1436,1))-INDEX(VN_국채일별!$C$4:$C$1436,MATCH($B28,VN_국채일별!$A$4:$A$1436,1)))*($J28-2),IF($J28&lt;=5,INDEX(VN_국채일별!$D$4:$D$1436,MATCH($B28,VN_국채일별!$A$4:$A$1436,1))+(INDEX(VN_국채일별!$E$4:$E$1436,MATCH($B28,VN_국채일별!$A$4:$A$1436,1))-INDEX(VN_국채일별!$D$4:$D$1436,MATCH($B28,VN_국채일별!$A$4:$A$1436,1)))*($J28-3)/2,IF($J28&lt;=7,INDEX(VN_국채일별!$E$4:$E$1436,MATCH($B28,VN_국채일별!$A$4:$A$1436,1))+(INDEX(VN_국채일별!$F$4:$F$1436,MATCH($B28,VN_국채일별!$A$4:$A$1436,1))-INDEX(VN_국채일별!$E$4:$E$1436,MATCH($B28,VN_국채일별!$A$4:$A$1436,1)))*($J28-5)/2,IF($J28&lt;=10,INDEX(VN_국채일별!$F$4:$F$1436,MATCH($B28,VN_국채일별!$A$4:$A$1436,1))+(INDEX(VN_국채일별!$G$4:$G$1436,MATCH($B28,VN_국채일별!$A$4:$A$1436,1))-INDEX(VN_국채일별!$F$4:$F$1436,MATCH($B28,VN_국채일별!$A$4:$A$1436,1)))*($J28-7)/3,INDEX(VN_국채일별!$G$4:$G$1436,MATCH($B28,VN_국채일별!$A$4:$A$1436,1)))))))),""))</f>
        <v>0.007265</v>
      </c>
      <c r="R28" s="58" t="n">
        <f aca="false">IF(OR(L28="",Q28=""),"",(L28-Q28)*10000)</f>
        <v>307.35</v>
      </c>
      <c r="S28" s="30" t="n">
        <f aca="false">IF(AND(K28="고정",N28="N",J28&gt;=2,J28&lt;=4,I28&lt;&gt;""),1,0)</f>
        <v>1</v>
      </c>
      <c r="T28" s="59" t="n">
        <f aca="false">IF(S28=1,I28*L28,0)</f>
        <v>19</v>
      </c>
      <c r="U28" s="60" t="n">
        <f aca="false">IF(AND(S28=1,ISNUMBER(R28)),I28*R28,0)</f>
        <v>153675</v>
      </c>
      <c r="V28" s="30" t="n">
        <f aca="false">IF(AND(F28="Big4(국영)",K28="고정",N28="N",I28&lt;&gt;""),1,0)</f>
        <v>0</v>
      </c>
      <c r="W28" s="59" t="n">
        <f aca="false">IF(V28=1,I28*L28,0)</f>
        <v>0</v>
      </c>
      <c r="X28" s="60" t="n">
        <f aca="false">IF(AND(V28=1,ISNUMBER(R28)),I28*R28,0)</f>
        <v>0</v>
      </c>
      <c r="Y28" s="61" t="n">
        <f aca="false">IF(AND(S28=1,ISNUMBER(R28)),I28,0)</f>
        <v>500</v>
      </c>
      <c r="Z28" s="61" t="n">
        <f aca="false">IF(AND(V28=1,ISNUMBER(R28)),I28,0)</f>
        <v>0</v>
      </c>
    </row>
    <row r="29" customFormat="false" ht="15" hidden="false" customHeight="false" outlineLevel="0" collapsed="false">
      <c r="A29" s="47" t="s">
        <v>208</v>
      </c>
      <c r="B29" s="52" t="n">
        <v>44508</v>
      </c>
      <c r="C29" s="53" t="n">
        <f aca="false">DATE(YEAR(B29),MONTH(B29),1)</f>
        <v>44501</v>
      </c>
      <c r="D29" s="5" t="str">
        <f aca="false">YEAR(B29)&amp;"Q"&amp;ROUNDUP(MONTH(B29)/3,0)</f>
        <v>2021Q4</v>
      </c>
      <c r="E29" s="47" t="s">
        <v>150</v>
      </c>
      <c r="F29" s="54" t="s">
        <v>139</v>
      </c>
      <c r="G29" s="47" t="s">
        <v>212</v>
      </c>
      <c r="H29" s="47" t="s">
        <v>214</v>
      </c>
      <c r="I29" s="55" t="n">
        <v>650</v>
      </c>
      <c r="J29" s="56" t="n">
        <v>4</v>
      </c>
      <c r="K29" s="54" t="s">
        <v>142</v>
      </c>
      <c r="L29" s="57" t="n">
        <v>0.038</v>
      </c>
      <c r="N29" s="47" t="s">
        <v>148</v>
      </c>
      <c r="O29" s="47" t="s">
        <v>186</v>
      </c>
      <c r="P29" s="47"/>
      <c r="Q29" s="48" t="n">
        <f aca="false">IF($J29="","",IFERROR(IF($J29&lt;=1,INDEX(VN_국채일별!$B$4:$B$1436,MATCH($B29,VN_국채일별!$A$4:$A$1436,1)),IF($J29&lt;=2,INDEX(VN_국채일별!$B$4:$B$1436,MATCH($B29,VN_국채일별!$A$4:$A$1436,1))+(INDEX(VN_국채일별!$C$4:$C$1436,MATCH($B29,VN_국채일별!$A$4:$A$1436,1))-INDEX(VN_국채일별!$B$4:$B$1436,MATCH($B29,VN_국채일별!$A$4:$A$1436,1)))*($J29-1),IF($J29&lt;=3,INDEX(VN_국채일별!$C$4:$C$1436,MATCH($B29,VN_국채일별!$A$4:$A$1436,1))+(INDEX(VN_국채일별!$D$4:$D$1436,MATCH($B29,VN_국채일별!$A$4:$A$1436,1))-INDEX(VN_국채일별!$C$4:$C$1436,MATCH($B29,VN_국채일별!$A$4:$A$1436,1)))*($J29-2),IF($J29&lt;=5,INDEX(VN_국채일별!$D$4:$D$1436,MATCH($B29,VN_국채일별!$A$4:$A$1436,1))+(INDEX(VN_국채일별!$E$4:$E$1436,MATCH($B29,VN_국채일별!$A$4:$A$1436,1))-INDEX(VN_국채일별!$D$4:$D$1436,MATCH($B29,VN_국채일별!$A$4:$A$1436,1)))*($J29-3)/2,IF($J29&lt;=7,INDEX(VN_국채일별!$E$4:$E$1436,MATCH($B29,VN_국채일별!$A$4:$A$1436,1))+(INDEX(VN_국채일별!$F$4:$F$1436,MATCH($B29,VN_국채일별!$A$4:$A$1436,1))-INDEX(VN_국채일별!$E$4:$E$1436,MATCH($B29,VN_국채일별!$A$4:$A$1436,1)))*($J29-5)/2,IF($J29&lt;=10,INDEX(VN_국채일별!$F$4:$F$1436,MATCH($B29,VN_국채일별!$A$4:$A$1436,1))+(INDEX(VN_국채일별!$G$4:$G$1436,MATCH($B29,VN_국채일별!$A$4:$A$1436,1))-INDEX(VN_국채일별!$F$4:$F$1436,MATCH($B29,VN_국채일별!$A$4:$A$1436,1)))*($J29-7)/3,INDEX(VN_국채일별!$G$4:$G$1436,MATCH($B29,VN_국채일별!$A$4:$A$1436,1)))))))),""))</f>
        <v>0.00709</v>
      </c>
      <c r="R29" s="58" t="n">
        <f aca="false">IF(OR(L29="",Q29=""),"",(L29-Q29)*10000)</f>
        <v>309.1</v>
      </c>
      <c r="S29" s="30" t="n">
        <f aca="false">IF(AND(K29="고정",N29="N",J29&gt;=2,J29&lt;=4,I29&lt;&gt;""),1,0)</f>
        <v>1</v>
      </c>
      <c r="T29" s="59" t="n">
        <f aca="false">IF(S29=1,I29*L29,0)</f>
        <v>24.7</v>
      </c>
      <c r="U29" s="60" t="n">
        <f aca="false">IF(AND(S29=1,ISNUMBER(R29)),I29*R29,0)</f>
        <v>200915</v>
      </c>
      <c r="V29" s="30" t="n">
        <f aca="false">IF(AND(F29="Big4(국영)",K29="고정",N29="N",I29&lt;&gt;""),1,0)</f>
        <v>0</v>
      </c>
      <c r="W29" s="59" t="n">
        <f aca="false">IF(V29=1,I29*L29,0)</f>
        <v>0</v>
      </c>
      <c r="X29" s="60" t="n">
        <f aca="false">IF(AND(V29=1,ISNUMBER(R29)),I29*R29,0)</f>
        <v>0</v>
      </c>
      <c r="Y29" s="61" t="n">
        <f aca="false">IF(AND(S29=1,ISNUMBER(R29)),I29,0)</f>
        <v>650</v>
      </c>
      <c r="Z29" s="61" t="n">
        <f aca="false">IF(AND(V29=1,ISNUMBER(R29)),I29,0)</f>
        <v>0</v>
      </c>
    </row>
    <row r="30" customFormat="false" ht="15" hidden="false" customHeight="false" outlineLevel="0" collapsed="false">
      <c r="A30" s="47" t="s">
        <v>208</v>
      </c>
      <c r="B30" s="52" t="n">
        <v>44508</v>
      </c>
      <c r="C30" s="53" t="n">
        <f aca="false">DATE(YEAR(B30),MONTH(B30),1)</f>
        <v>44501</v>
      </c>
      <c r="D30" s="5" t="str">
        <f aca="false">YEAR(B30)&amp;"Q"&amp;ROUNDUP(MONTH(B30)/3,0)</f>
        <v>2021Q4</v>
      </c>
      <c r="E30" s="47" t="s">
        <v>215</v>
      </c>
      <c r="F30" s="54" t="s">
        <v>139</v>
      </c>
      <c r="G30" s="47" t="s">
        <v>216</v>
      </c>
      <c r="H30" s="47" t="s">
        <v>217</v>
      </c>
      <c r="I30" s="55" t="n">
        <v>500</v>
      </c>
      <c r="J30" s="56" t="n">
        <v>3</v>
      </c>
      <c r="K30" s="54" t="s">
        <v>142</v>
      </c>
      <c r="L30" s="57" t="n">
        <v>0.037</v>
      </c>
      <c r="N30" s="47" t="s">
        <v>148</v>
      </c>
      <c r="O30" s="47" t="s">
        <v>218</v>
      </c>
      <c r="P30" s="47"/>
      <c r="Q30" s="48" t="n">
        <f aca="false">IF($J30="","",IFERROR(IF($J30&lt;=1,INDEX(VN_국채일별!$B$4:$B$1436,MATCH($B30,VN_국채일별!$A$4:$A$1436,1)),IF($J30&lt;=2,INDEX(VN_국채일별!$B$4:$B$1436,MATCH($B30,VN_국채일별!$A$4:$A$1436,1))+(INDEX(VN_국채일별!$C$4:$C$1436,MATCH($B30,VN_국채일별!$A$4:$A$1436,1))-INDEX(VN_국채일별!$B$4:$B$1436,MATCH($B30,VN_국채일별!$A$4:$A$1436,1)))*($J30-1),IF($J30&lt;=3,INDEX(VN_국채일별!$C$4:$C$1436,MATCH($B30,VN_국채일별!$A$4:$A$1436,1))+(INDEX(VN_국채일별!$D$4:$D$1436,MATCH($B30,VN_국채일별!$A$4:$A$1436,1))-INDEX(VN_국채일별!$C$4:$C$1436,MATCH($B30,VN_국채일별!$A$4:$A$1436,1)))*($J30-2),IF($J30&lt;=5,INDEX(VN_국채일별!$D$4:$D$1436,MATCH($B30,VN_국채일별!$A$4:$A$1436,1))+(INDEX(VN_국채일별!$E$4:$E$1436,MATCH($B30,VN_국채일별!$A$4:$A$1436,1))-INDEX(VN_국채일별!$D$4:$D$1436,MATCH($B30,VN_국채일별!$A$4:$A$1436,1)))*($J30-3)/2,IF($J30&lt;=7,INDEX(VN_국채일별!$E$4:$E$1436,MATCH($B30,VN_국채일별!$A$4:$A$1436,1))+(INDEX(VN_국채일별!$F$4:$F$1436,MATCH($B30,VN_국채일별!$A$4:$A$1436,1))-INDEX(VN_국채일별!$E$4:$E$1436,MATCH($B30,VN_국채일별!$A$4:$A$1436,1)))*($J30-5)/2,IF($J30&lt;=10,INDEX(VN_국채일별!$F$4:$F$1436,MATCH($B30,VN_국채일별!$A$4:$A$1436,1))+(INDEX(VN_국채일별!$G$4:$G$1436,MATCH($B30,VN_국채일별!$A$4:$A$1436,1))-INDEX(VN_국채일별!$F$4:$F$1436,MATCH($B30,VN_국채일별!$A$4:$A$1436,1)))*($J30-7)/3,INDEX(VN_국채일별!$G$4:$G$1436,MATCH($B30,VN_국채일별!$A$4:$A$1436,1)))))))),""))</f>
        <v>0.00668</v>
      </c>
      <c r="R30" s="58" t="n">
        <f aca="false">IF(OR(L30="",Q30=""),"",(L30-Q30)*10000)</f>
        <v>303.2</v>
      </c>
      <c r="S30" s="30" t="n">
        <f aca="false">IF(AND(K30="고정",N30="N",J30&gt;=2,J30&lt;=4,I30&lt;&gt;""),1,0)</f>
        <v>1</v>
      </c>
      <c r="T30" s="59" t="n">
        <f aca="false">IF(S30=1,I30*L30,0)</f>
        <v>18.5</v>
      </c>
      <c r="U30" s="60" t="n">
        <f aca="false">IF(AND(S30=1,ISNUMBER(R30)),I30*R30,0)</f>
        <v>151600</v>
      </c>
      <c r="V30" s="30" t="n">
        <f aca="false">IF(AND(F30="Big4(국영)",K30="고정",N30="N",I30&lt;&gt;""),1,0)</f>
        <v>0</v>
      </c>
      <c r="W30" s="59" t="n">
        <f aca="false">IF(V30=1,I30*L30,0)</f>
        <v>0</v>
      </c>
      <c r="X30" s="60" t="n">
        <f aca="false">IF(AND(V30=1,ISNUMBER(R30)),I30*R30,0)</f>
        <v>0</v>
      </c>
      <c r="Y30" s="61" t="n">
        <f aca="false">IF(AND(S30=1,ISNUMBER(R30)),I30,0)</f>
        <v>500</v>
      </c>
      <c r="Z30" s="61" t="n">
        <f aca="false">IF(AND(V30=1,ISNUMBER(R30)),I30,0)</f>
        <v>0</v>
      </c>
    </row>
    <row r="31" customFormat="false" ht="15" hidden="false" customHeight="false" outlineLevel="0" collapsed="false">
      <c r="A31" s="47" t="s">
        <v>208</v>
      </c>
      <c r="B31" s="52" t="n">
        <v>44509</v>
      </c>
      <c r="C31" s="53" t="n">
        <f aca="false">DATE(YEAR(B31),MONTH(B31),1)</f>
        <v>44501</v>
      </c>
      <c r="D31" s="5" t="str">
        <f aca="false">YEAR(B31)&amp;"Q"&amp;ROUNDUP(MONTH(B31)/3,0)</f>
        <v>2021Q4</v>
      </c>
      <c r="E31" s="47" t="s">
        <v>215</v>
      </c>
      <c r="F31" s="54" t="s">
        <v>139</v>
      </c>
      <c r="G31" s="47" t="s">
        <v>216</v>
      </c>
      <c r="H31" s="47" t="s">
        <v>219</v>
      </c>
      <c r="I31" s="55" t="n">
        <v>1000</v>
      </c>
      <c r="J31" s="56" t="n">
        <v>3</v>
      </c>
      <c r="K31" s="54" t="s">
        <v>142</v>
      </c>
      <c r="L31" s="57" t="n">
        <v>0.037</v>
      </c>
      <c r="N31" s="47" t="s">
        <v>148</v>
      </c>
      <c r="O31" s="47" t="s">
        <v>218</v>
      </c>
      <c r="P31" s="47"/>
      <c r="Q31" s="48" t="n">
        <f aca="false">IF($J31="","",IFERROR(IF($J31&lt;=1,INDEX(VN_국채일별!$B$4:$B$1436,MATCH($B31,VN_국채일별!$A$4:$A$1436,1)),IF($J31&lt;=2,INDEX(VN_국채일별!$B$4:$B$1436,MATCH($B31,VN_국채일별!$A$4:$A$1436,1))+(INDEX(VN_국채일별!$C$4:$C$1436,MATCH($B31,VN_국채일별!$A$4:$A$1436,1))-INDEX(VN_국채일별!$B$4:$B$1436,MATCH($B31,VN_국채일별!$A$4:$A$1436,1)))*($J31-1),IF($J31&lt;=3,INDEX(VN_국채일별!$C$4:$C$1436,MATCH($B31,VN_국채일별!$A$4:$A$1436,1))+(INDEX(VN_국채일별!$D$4:$D$1436,MATCH($B31,VN_국채일별!$A$4:$A$1436,1))-INDEX(VN_국채일별!$C$4:$C$1436,MATCH($B31,VN_국채일별!$A$4:$A$1436,1)))*($J31-2),IF($J31&lt;=5,INDEX(VN_국채일별!$D$4:$D$1436,MATCH($B31,VN_국채일별!$A$4:$A$1436,1))+(INDEX(VN_국채일별!$E$4:$E$1436,MATCH($B31,VN_국채일별!$A$4:$A$1436,1))-INDEX(VN_국채일별!$D$4:$D$1436,MATCH($B31,VN_국채일별!$A$4:$A$1436,1)))*($J31-3)/2,IF($J31&lt;=7,INDEX(VN_국채일별!$E$4:$E$1436,MATCH($B31,VN_국채일별!$A$4:$A$1436,1))+(INDEX(VN_국채일별!$F$4:$F$1436,MATCH($B31,VN_국채일별!$A$4:$A$1436,1))-INDEX(VN_국채일별!$E$4:$E$1436,MATCH($B31,VN_국채일별!$A$4:$A$1436,1)))*($J31-5)/2,IF($J31&lt;=10,INDEX(VN_국채일별!$F$4:$F$1436,MATCH($B31,VN_국채일별!$A$4:$A$1436,1))+(INDEX(VN_국채일별!$G$4:$G$1436,MATCH($B31,VN_국채일별!$A$4:$A$1436,1))-INDEX(VN_국채일별!$F$4:$F$1436,MATCH($B31,VN_국채일별!$A$4:$A$1436,1)))*($J31-7)/3,INDEX(VN_국채일별!$G$4:$G$1436,MATCH($B31,VN_국채일별!$A$4:$A$1436,1)))))))),""))</f>
        <v>0.00667</v>
      </c>
      <c r="R31" s="58" t="n">
        <f aca="false">IF(OR(L31="",Q31=""),"",(L31-Q31)*10000)</f>
        <v>303.3</v>
      </c>
      <c r="S31" s="30" t="n">
        <f aca="false">IF(AND(K31="고정",N31="N",J31&gt;=2,J31&lt;=4,I31&lt;&gt;""),1,0)</f>
        <v>1</v>
      </c>
      <c r="T31" s="59" t="n">
        <f aca="false">IF(S31=1,I31*L31,0)</f>
        <v>37</v>
      </c>
      <c r="U31" s="60" t="n">
        <f aca="false">IF(AND(S31=1,ISNUMBER(R31)),I31*R31,0)</f>
        <v>303300</v>
      </c>
      <c r="V31" s="30" t="n">
        <f aca="false">IF(AND(F31="Big4(국영)",K31="고정",N31="N",I31&lt;&gt;""),1,0)</f>
        <v>0</v>
      </c>
      <c r="W31" s="59" t="n">
        <f aca="false">IF(V31=1,I31*L31,0)</f>
        <v>0</v>
      </c>
      <c r="X31" s="60" t="n">
        <f aca="false">IF(AND(V31=1,ISNUMBER(R31)),I31*R31,0)</f>
        <v>0</v>
      </c>
      <c r="Y31" s="61" t="n">
        <f aca="false">IF(AND(S31=1,ISNUMBER(R31)),I31,0)</f>
        <v>1000</v>
      </c>
      <c r="Z31" s="61" t="n">
        <f aca="false">IF(AND(V31=1,ISNUMBER(R31)),I31,0)</f>
        <v>0</v>
      </c>
    </row>
    <row r="32" customFormat="false" ht="15" hidden="false" customHeight="false" outlineLevel="0" collapsed="false">
      <c r="A32" s="47" t="s">
        <v>208</v>
      </c>
      <c r="B32" s="52" t="n">
        <v>44511</v>
      </c>
      <c r="C32" s="53" t="n">
        <f aca="false">DATE(YEAR(B32),MONTH(B32),1)</f>
        <v>44501</v>
      </c>
      <c r="D32" s="5" t="str">
        <f aca="false">YEAR(B32)&amp;"Q"&amp;ROUNDUP(MONTH(B32)/3,0)</f>
        <v>2021Q4</v>
      </c>
      <c r="E32" s="47" t="s">
        <v>160</v>
      </c>
      <c r="F32" s="54" t="s">
        <v>139</v>
      </c>
      <c r="G32" s="47" t="s">
        <v>220</v>
      </c>
      <c r="H32" s="47" t="s">
        <v>221</v>
      </c>
      <c r="I32" s="55" t="n">
        <v>200</v>
      </c>
      <c r="J32" s="56" t="n">
        <v>7</v>
      </c>
      <c r="K32" s="54" t="s">
        <v>153</v>
      </c>
      <c r="N32" s="47" t="s">
        <v>143</v>
      </c>
      <c r="O32" s="47" t="s">
        <v>222</v>
      </c>
      <c r="P32" s="47"/>
      <c r="Q32" s="48" t="n">
        <f aca="false">IF($J32="","",IFERROR(IF($J32&lt;=1,INDEX(VN_국채일별!$B$4:$B$1436,MATCH($B32,VN_국채일별!$A$4:$A$1436,1)),IF($J32&lt;=2,INDEX(VN_국채일별!$B$4:$B$1436,MATCH($B32,VN_국채일별!$A$4:$A$1436,1))+(INDEX(VN_국채일별!$C$4:$C$1436,MATCH($B32,VN_국채일별!$A$4:$A$1436,1))-INDEX(VN_국채일별!$B$4:$B$1436,MATCH($B32,VN_국채일별!$A$4:$A$1436,1)))*($J32-1),IF($J32&lt;=3,INDEX(VN_국채일별!$C$4:$C$1436,MATCH($B32,VN_국채일별!$A$4:$A$1436,1))+(INDEX(VN_국채일별!$D$4:$D$1436,MATCH($B32,VN_국채일별!$A$4:$A$1436,1))-INDEX(VN_국채일별!$C$4:$C$1436,MATCH($B32,VN_국채일별!$A$4:$A$1436,1)))*($J32-2),IF($J32&lt;=5,INDEX(VN_국채일별!$D$4:$D$1436,MATCH($B32,VN_국채일별!$A$4:$A$1436,1))+(INDEX(VN_국채일별!$E$4:$E$1436,MATCH($B32,VN_국채일별!$A$4:$A$1436,1))-INDEX(VN_국채일별!$D$4:$D$1436,MATCH($B32,VN_국채일별!$A$4:$A$1436,1)))*($J32-3)/2,IF($J32&lt;=7,INDEX(VN_국채일별!$E$4:$E$1436,MATCH($B32,VN_국채일별!$A$4:$A$1436,1))+(INDEX(VN_국채일별!$F$4:$F$1436,MATCH($B32,VN_국채일별!$A$4:$A$1436,1))-INDEX(VN_국채일별!$E$4:$E$1436,MATCH($B32,VN_국채일별!$A$4:$A$1436,1)))*($J32-5)/2,IF($J32&lt;=10,INDEX(VN_국채일별!$F$4:$F$1436,MATCH($B32,VN_국채일별!$A$4:$A$1436,1))+(INDEX(VN_국채일별!$G$4:$G$1436,MATCH($B32,VN_국채일별!$A$4:$A$1436,1))-INDEX(VN_국채일별!$F$4:$F$1436,MATCH($B32,VN_국채일별!$A$4:$A$1436,1)))*($J32-7)/3,INDEX(VN_국채일별!$G$4:$G$1436,MATCH($B32,VN_국채일별!$A$4:$A$1436,1)))))))),""))</f>
        <v>0.01148</v>
      </c>
      <c r="R32" s="58" t="str">
        <f aca="false">IF(OR(L32="",Q32=""),"",(L32-Q32)*10000)</f>
        <v/>
      </c>
      <c r="S32" s="30" t="n">
        <f aca="false">IF(AND(K32="고정",N32="N",J32&gt;=2,J32&lt;=4,I32&lt;&gt;""),1,0)</f>
        <v>0</v>
      </c>
      <c r="T32" s="59" t="n">
        <f aca="false">IF(S32=1,I32*L32,0)</f>
        <v>0</v>
      </c>
      <c r="U32" s="60" t="n">
        <f aca="false">IF(AND(S32=1,ISNUMBER(R32)),I32*R32,0)</f>
        <v>0</v>
      </c>
      <c r="V32" s="30" t="n">
        <f aca="false">IF(AND(F32="Big4(국영)",K32="고정",N32="N",I32&lt;&gt;""),1,0)</f>
        <v>0</v>
      </c>
      <c r="W32" s="59" t="n">
        <f aca="false">IF(V32=1,I32*L32,0)</f>
        <v>0</v>
      </c>
      <c r="X32" s="60" t="n">
        <f aca="false">IF(AND(V32=1,ISNUMBER(R32)),I32*R32,0)</f>
        <v>0</v>
      </c>
      <c r="Y32" s="61" t="n">
        <f aca="false">IF(AND(S32=1,ISNUMBER(R32)),I32,0)</f>
        <v>0</v>
      </c>
      <c r="Z32" s="61" t="n">
        <f aca="false">IF(AND(V32=1,ISNUMBER(R32)),I32,0)</f>
        <v>0</v>
      </c>
    </row>
    <row r="33" customFormat="false" ht="15" hidden="false" customHeight="false" outlineLevel="0" collapsed="false">
      <c r="A33" s="47" t="s">
        <v>208</v>
      </c>
      <c r="B33" s="52" t="n">
        <v>44511</v>
      </c>
      <c r="C33" s="53" t="n">
        <f aca="false">DATE(YEAR(B33),MONTH(B33),1)</f>
        <v>44501</v>
      </c>
      <c r="D33" s="5" t="str">
        <f aca="false">YEAR(B33)&amp;"Q"&amp;ROUNDUP(MONTH(B33)/3,0)</f>
        <v>2021Q4</v>
      </c>
      <c r="E33" s="47" t="s">
        <v>223</v>
      </c>
      <c r="F33" s="54" t="s">
        <v>139</v>
      </c>
      <c r="G33" s="47" t="s">
        <v>224</v>
      </c>
      <c r="H33" s="47" t="s">
        <v>225</v>
      </c>
      <c r="I33" s="55" t="n">
        <v>100</v>
      </c>
      <c r="J33" s="56" t="n">
        <v>7</v>
      </c>
      <c r="K33" s="54" t="s">
        <v>153</v>
      </c>
      <c r="N33" s="47" t="s">
        <v>143</v>
      </c>
      <c r="O33" s="47" t="s">
        <v>226</v>
      </c>
      <c r="P33" s="47"/>
      <c r="Q33" s="48" t="n">
        <f aca="false">IF($J33="","",IFERROR(IF($J33&lt;=1,INDEX(VN_국채일별!$B$4:$B$1436,MATCH($B33,VN_국채일별!$A$4:$A$1436,1)),IF($J33&lt;=2,INDEX(VN_국채일별!$B$4:$B$1436,MATCH($B33,VN_국채일별!$A$4:$A$1436,1))+(INDEX(VN_국채일별!$C$4:$C$1436,MATCH($B33,VN_국채일별!$A$4:$A$1436,1))-INDEX(VN_국채일별!$B$4:$B$1436,MATCH($B33,VN_국채일별!$A$4:$A$1436,1)))*($J33-1),IF($J33&lt;=3,INDEX(VN_국채일별!$C$4:$C$1436,MATCH($B33,VN_국채일별!$A$4:$A$1436,1))+(INDEX(VN_국채일별!$D$4:$D$1436,MATCH($B33,VN_국채일별!$A$4:$A$1436,1))-INDEX(VN_국채일별!$C$4:$C$1436,MATCH($B33,VN_국채일별!$A$4:$A$1436,1)))*($J33-2),IF($J33&lt;=5,INDEX(VN_국채일별!$D$4:$D$1436,MATCH($B33,VN_국채일별!$A$4:$A$1436,1))+(INDEX(VN_국채일별!$E$4:$E$1436,MATCH($B33,VN_국채일별!$A$4:$A$1436,1))-INDEX(VN_국채일별!$D$4:$D$1436,MATCH($B33,VN_국채일별!$A$4:$A$1436,1)))*($J33-3)/2,IF($J33&lt;=7,INDEX(VN_국채일별!$E$4:$E$1436,MATCH($B33,VN_국채일별!$A$4:$A$1436,1))+(INDEX(VN_국채일별!$F$4:$F$1436,MATCH($B33,VN_국채일별!$A$4:$A$1436,1))-INDEX(VN_국채일별!$E$4:$E$1436,MATCH($B33,VN_국채일별!$A$4:$A$1436,1)))*($J33-5)/2,IF($J33&lt;=10,INDEX(VN_국채일별!$F$4:$F$1436,MATCH($B33,VN_국채일별!$A$4:$A$1436,1))+(INDEX(VN_국채일별!$G$4:$G$1436,MATCH($B33,VN_국채일별!$A$4:$A$1436,1))-INDEX(VN_국채일별!$F$4:$F$1436,MATCH($B33,VN_국채일별!$A$4:$A$1436,1)))*($J33-7)/3,INDEX(VN_국채일별!$G$4:$G$1436,MATCH($B33,VN_국채일별!$A$4:$A$1436,1)))))))),""))</f>
        <v>0.01148</v>
      </c>
      <c r="R33" s="58" t="str">
        <f aca="false">IF(OR(L33="",Q33=""),"",(L33-Q33)*10000)</f>
        <v/>
      </c>
      <c r="S33" s="30" t="n">
        <f aca="false">IF(AND(K33="고정",N33="N",J33&gt;=2,J33&lt;=4,I33&lt;&gt;""),1,0)</f>
        <v>0</v>
      </c>
      <c r="T33" s="59" t="n">
        <f aca="false">IF(S33=1,I33*L33,0)</f>
        <v>0</v>
      </c>
      <c r="U33" s="60" t="n">
        <f aca="false">IF(AND(S33=1,ISNUMBER(R33)),I33*R33,0)</f>
        <v>0</v>
      </c>
      <c r="V33" s="30" t="n">
        <f aca="false">IF(AND(F33="Big4(국영)",K33="고정",N33="N",I33&lt;&gt;""),1,0)</f>
        <v>0</v>
      </c>
      <c r="W33" s="59" t="n">
        <f aca="false">IF(V33=1,I33*L33,0)</f>
        <v>0</v>
      </c>
      <c r="X33" s="60" t="n">
        <f aca="false">IF(AND(V33=1,ISNUMBER(R33)),I33*R33,0)</f>
        <v>0</v>
      </c>
      <c r="Y33" s="61" t="n">
        <f aca="false">IF(AND(S33=1,ISNUMBER(R33)),I33,0)</f>
        <v>0</v>
      </c>
      <c r="Z33" s="61" t="n">
        <f aca="false">IF(AND(V33=1,ISNUMBER(R33)),I33,0)</f>
        <v>0</v>
      </c>
    </row>
    <row r="34" customFormat="false" ht="15" hidden="false" customHeight="false" outlineLevel="0" collapsed="false">
      <c r="A34" s="47" t="s">
        <v>208</v>
      </c>
      <c r="B34" s="52" t="n">
        <v>44515</v>
      </c>
      <c r="C34" s="53" t="n">
        <f aca="false">DATE(YEAR(B34),MONTH(B34),1)</f>
        <v>44501</v>
      </c>
      <c r="D34" s="5" t="str">
        <f aca="false">YEAR(B34)&amp;"Q"&amp;ROUNDUP(MONTH(B34)/3,0)</f>
        <v>2021Q4</v>
      </c>
      <c r="E34" s="47" t="s">
        <v>166</v>
      </c>
      <c r="F34" s="54" t="s">
        <v>139</v>
      </c>
      <c r="G34" s="47" t="s">
        <v>227</v>
      </c>
      <c r="H34" s="47" t="s">
        <v>228</v>
      </c>
      <c r="I34" s="55" t="n">
        <v>500</v>
      </c>
      <c r="J34" s="56" t="n">
        <v>3</v>
      </c>
      <c r="K34" s="54" t="s">
        <v>142</v>
      </c>
      <c r="L34" s="57" t="n">
        <v>0.03</v>
      </c>
      <c r="N34" s="47" t="s">
        <v>148</v>
      </c>
      <c r="O34" s="47" t="s">
        <v>229</v>
      </c>
      <c r="P34" s="47"/>
      <c r="Q34" s="48" t="n">
        <f aca="false">IF($J34="","",IFERROR(IF($J34&lt;=1,INDEX(VN_국채일별!$B$4:$B$1436,MATCH($B34,VN_국채일별!$A$4:$A$1436,1)),IF($J34&lt;=2,INDEX(VN_국채일별!$B$4:$B$1436,MATCH($B34,VN_국채일별!$A$4:$A$1436,1))+(INDEX(VN_국채일별!$C$4:$C$1436,MATCH($B34,VN_국채일별!$A$4:$A$1436,1))-INDEX(VN_국채일별!$B$4:$B$1436,MATCH($B34,VN_국채일별!$A$4:$A$1436,1)))*($J34-1),IF($J34&lt;=3,INDEX(VN_국채일별!$C$4:$C$1436,MATCH($B34,VN_국채일별!$A$4:$A$1436,1))+(INDEX(VN_국채일별!$D$4:$D$1436,MATCH($B34,VN_국채일별!$A$4:$A$1436,1))-INDEX(VN_국채일별!$C$4:$C$1436,MATCH($B34,VN_국채일별!$A$4:$A$1436,1)))*($J34-2),IF($J34&lt;=5,INDEX(VN_국채일별!$D$4:$D$1436,MATCH($B34,VN_국채일별!$A$4:$A$1436,1))+(INDEX(VN_국채일별!$E$4:$E$1436,MATCH($B34,VN_국채일별!$A$4:$A$1436,1))-INDEX(VN_국채일별!$D$4:$D$1436,MATCH($B34,VN_국채일별!$A$4:$A$1436,1)))*($J34-3)/2,IF($J34&lt;=7,INDEX(VN_국채일별!$E$4:$E$1436,MATCH($B34,VN_국채일별!$A$4:$A$1436,1))+(INDEX(VN_국채일별!$F$4:$F$1436,MATCH($B34,VN_국채일별!$A$4:$A$1436,1))-INDEX(VN_국채일별!$E$4:$E$1436,MATCH($B34,VN_국채일별!$A$4:$A$1436,1)))*($J34-5)/2,IF($J34&lt;=10,INDEX(VN_국채일별!$F$4:$F$1436,MATCH($B34,VN_국채일별!$A$4:$A$1436,1))+(INDEX(VN_국채일별!$G$4:$G$1436,MATCH($B34,VN_국채일별!$A$4:$A$1436,1))-INDEX(VN_국채일별!$F$4:$F$1436,MATCH($B34,VN_국채일별!$A$4:$A$1436,1)))*($J34-7)/3,INDEX(VN_국채일별!$G$4:$G$1436,MATCH($B34,VN_국채일별!$A$4:$A$1436,1)))))))),""))</f>
        <v>0.00663</v>
      </c>
      <c r="R34" s="58" t="n">
        <f aca="false">IF(OR(L34="",Q34=""),"",(L34-Q34)*10000)</f>
        <v>233.7</v>
      </c>
      <c r="S34" s="30" t="n">
        <f aca="false">IF(AND(K34="고정",N34="N",J34&gt;=2,J34&lt;=4,I34&lt;&gt;""),1,0)</f>
        <v>1</v>
      </c>
      <c r="T34" s="59" t="n">
        <f aca="false">IF(S34=1,I34*L34,0)</f>
        <v>15</v>
      </c>
      <c r="U34" s="60" t="n">
        <f aca="false">IF(AND(S34=1,ISNUMBER(R34)),I34*R34,0)</f>
        <v>116850</v>
      </c>
      <c r="V34" s="30" t="n">
        <f aca="false">IF(AND(F34="Big4(국영)",K34="고정",N34="N",I34&lt;&gt;""),1,0)</f>
        <v>0</v>
      </c>
      <c r="W34" s="59" t="n">
        <f aca="false">IF(V34=1,I34*L34,0)</f>
        <v>0</v>
      </c>
      <c r="X34" s="60" t="n">
        <f aca="false">IF(AND(V34=1,ISNUMBER(R34)),I34*R34,0)</f>
        <v>0</v>
      </c>
      <c r="Y34" s="61" t="n">
        <f aca="false">IF(AND(S34=1,ISNUMBER(R34)),I34,0)</f>
        <v>500</v>
      </c>
      <c r="Z34" s="61" t="n">
        <f aca="false">IF(AND(V34=1,ISNUMBER(R34)),I34,0)</f>
        <v>0</v>
      </c>
    </row>
    <row r="35" customFormat="false" ht="15" hidden="false" customHeight="false" outlineLevel="0" collapsed="false">
      <c r="A35" s="47" t="s">
        <v>208</v>
      </c>
      <c r="B35" s="52" t="n">
        <v>44515</v>
      </c>
      <c r="C35" s="53" t="n">
        <f aca="false">DATE(YEAR(B35),MONTH(B35),1)</f>
        <v>44501</v>
      </c>
      <c r="D35" s="5" t="str">
        <f aca="false">YEAR(B35)&amp;"Q"&amp;ROUNDUP(MONTH(B35)/3,0)</f>
        <v>2021Q4</v>
      </c>
      <c r="E35" s="62" t="s">
        <v>230</v>
      </c>
      <c r="F35" s="62" t="s">
        <v>156</v>
      </c>
      <c r="G35" s="47" t="s">
        <v>231</v>
      </c>
      <c r="H35" s="47" t="s">
        <v>232</v>
      </c>
      <c r="I35" s="55" t="n">
        <v>950</v>
      </c>
      <c r="J35" s="56" t="n">
        <v>10</v>
      </c>
      <c r="K35" s="54" t="s">
        <v>153</v>
      </c>
      <c r="M35" s="57" t="n">
        <v>0.067</v>
      </c>
      <c r="N35" s="47" t="s">
        <v>143</v>
      </c>
      <c r="O35" s="47" t="s">
        <v>233</v>
      </c>
      <c r="P35" s="47"/>
      <c r="Q35" s="48" t="n">
        <f aca="false">IF($J35="","",IFERROR(IF($J35&lt;=1,INDEX(VN_국채일별!$B$4:$B$1436,MATCH($B35,VN_국채일별!$A$4:$A$1436,1)),IF($J35&lt;=2,INDEX(VN_국채일별!$B$4:$B$1436,MATCH($B35,VN_국채일별!$A$4:$A$1436,1))+(INDEX(VN_국채일별!$C$4:$C$1436,MATCH($B35,VN_국채일별!$A$4:$A$1436,1))-INDEX(VN_국채일별!$B$4:$B$1436,MATCH($B35,VN_국채일별!$A$4:$A$1436,1)))*($J35-1),IF($J35&lt;=3,INDEX(VN_국채일별!$C$4:$C$1436,MATCH($B35,VN_국채일별!$A$4:$A$1436,1))+(INDEX(VN_국채일별!$D$4:$D$1436,MATCH($B35,VN_국채일별!$A$4:$A$1436,1))-INDEX(VN_국채일별!$C$4:$C$1436,MATCH($B35,VN_국채일별!$A$4:$A$1436,1)))*($J35-2),IF($J35&lt;=5,INDEX(VN_국채일별!$D$4:$D$1436,MATCH($B35,VN_국채일별!$A$4:$A$1436,1))+(INDEX(VN_국채일별!$E$4:$E$1436,MATCH($B35,VN_국채일별!$A$4:$A$1436,1))-INDEX(VN_국채일별!$D$4:$D$1436,MATCH($B35,VN_국채일별!$A$4:$A$1436,1)))*($J35-3)/2,IF($J35&lt;=7,INDEX(VN_국채일별!$E$4:$E$1436,MATCH($B35,VN_국채일별!$A$4:$A$1436,1))+(INDEX(VN_국채일별!$F$4:$F$1436,MATCH($B35,VN_국채일별!$A$4:$A$1436,1))-INDEX(VN_국채일별!$E$4:$E$1436,MATCH($B35,VN_국채일별!$A$4:$A$1436,1)))*($J35-5)/2,IF($J35&lt;=10,INDEX(VN_국채일별!$F$4:$F$1436,MATCH($B35,VN_국채일별!$A$4:$A$1436,1))+(INDEX(VN_국채일별!$G$4:$G$1436,MATCH($B35,VN_국채일별!$A$4:$A$1436,1))-INDEX(VN_국채일별!$F$4:$F$1436,MATCH($B35,VN_국채일별!$A$4:$A$1436,1)))*($J35-7)/3,INDEX(VN_국채일별!$G$4:$G$1436,MATCH($B35,VN_국채일별!$A$4:$A$1436,1)))))))),""))</f>
        <v>0.01964</v>
      </c>
      <c r="R35" s="58" t="str">
        <f aca="false">IF(OR(L35="",Q35=""),"",(L35-Q35)*10000)</f>
        <v/>
      </c>
      <c r="S35" s="30" t="n">
        <f aca="false">IF(AND(K35="고정",N35="N",J35&gt;=2,J35&lt;=4,I35&lt;&gt;""),1,0)</f>
        <v>0</v>
      </c>
      <c r="T35" s="59" t="n">
        <f aca="false">IF(S35=1,I35*L35,0)</f>
        <v>0</v>
      </c>
      <c r="U35" s="60" t="n">
        <f aca="false">IF(AND(S35=1,ISNUMBER(R35)),I35*R35,0)</f>
        <v>0</v>
      </c>
      <c r="V35" s="30" t="n">
        <f aca="false">IF(AND(F35="Big4(국영)",K35="고정",N35="N",I35&lt;&gt;""),1,0)</f>
        <v>0</v>
      </c>
      <c r="W35" s="59" t="n">
        <f aca="false">IF(V35=1,I35*L35,0)</f>
        <v>0</v>
      </c>
      <c r="X35" s="60" t="n">
        <f aca="false">IF(AND(V35=1,ISNUMBER(R35)),I35*R35,0)</f>
        <v>0</v>
      </c>
      <c r="Y35" s="61" t="n">
        <f aca="false">IF(AND(S35=1,ISNUMBER(R35)),I35,0)</f>
        <v>0</v>
      </c>
      <c r="Z35" s="61" t="n">
        <f aca="false">IF(AND(V35=1,ISNUMBER(R35)),I35,0)</f>
        <v>0</v>
      </c>
    </row>
    <row r="36" customFormat="false" ht="15" hidden="false" customHeight="false" outlineLevel="0" collapsed="false">
      <c r="A36" s="47" t="s">
        <v>234</v>
      </c>
      <c r="B36" s="52" t="n">
        <v>44531</v>
      </c>
      <c r="C36" s="53" t="n">
        <f aca="false">DATE(YEAR(B36),MONTH(B36),1)</f>
        <v>44531</v>
      </c>
      <c r="D36" s="5" t="str">
        <f aca="false">YEAR(B36)&amp;"Q"&amp;ROUNDUP(MONTH(B36)/3,0)</f>
        <v>2021Q4</v>
      </c>
      <c r="E36" s="47" t="s">
        <v>181</v>
      </c>
      <c r="F36" s="54" t="s">
        <v>139</v>
      </c>
      <c r="G36" s="47" t="s">
        <v>235</v>
      </c>
      <c r="H36" s="47" t="s">
        <v>236</v>
      </c>
      <c r="I36" s="55" t="n">
        <v>1000</v>
      </c>
      <c r="J36" s="56" t="n">
        <v>3</v>
      </c>
      <c r="K36" s="54" t="s">
        <v>142</v>
      </c>
      <c r="L36" s="57" t="n">
        <v>0.032</v>
      </c>
      <c r="N36" s="47" t="s">
        <v>148</v>
      </c>
      <c r="O36" s="47" t="s">
        <v>237</v>
      </c>
      <c r="P36" s="47"/>
      <c r="Q36" s="48" t="n">
        <f aca="false">IF($J36="","",IFERROR(IF($J36&lt;=1,INDEX(VN_국채일별!$B$4:$B$1436,MATCH($B36,VN_국채일별!$A$4:$A$1436,1)),IF($J36&lt;=2,INDEX(VN_국채일별!$B$4:$B$1436,MATCH($B36,VN_국채일별!$A$4:$A$1436,1))+(INDEX(VN_국채일별!$C$4:$C$1436,MATCH($B36,VN_국채일별!$A$4:$A$1436,1))-INDEX(VN_국채일별!$B$4:$B$1436,MATCH($B36,VN_국채일별!$A$4:$A$1436,1)))*($J36-1),IF($J36&lt;=3,INDEX(VN_국채일별!$C$4:$C$1436,MATCH($B36,VN_국채일별!$A$4:$A$1436,1))+(INDEX(VN_국채일별!$D$4:$D$1436,MATCH($B36,VN_국채일별!$A$4:$A$1436,1))-INDEX(VN_국채일별!$C$4:$C$1436,MATCH($B36,VN_국채일별!$A$4:$A$1436,1)))*($J36-2),IF($J36&lt;=5,INDEX(VN_국채일별!$D$4:$D$1436,MATCH($B36,VN_국채일별!$A$4:$A$1436,1))+(INDEX(VN_국채일별!$E$4:$E$1436,MATCH($B36,VN_국채일별!$A$4:$A$1436,1))-INDEX(VN_국채일별!$D$4:$D$1436,MATCH($B36,VN_국채일별!$A$4:$A$1436,1)))*($J36-3)/2,IF($J36&lt;=7,INDEX(VN_국채일별!$E$4:$E$1436,MATCH($B36,VN_국채일별!$A$4:$A$1436,1))+(INDEX(VN_국채일별!$F$4:$F$1436,MATCH($B36,VN_국채일별!$A$4:$A$1436,1))-INDEX(VN_국채일별!$E$4:$E$1436,MATCH($B36,VN_국채일별!$A$4:$A$1436,1)))*($J36-5)/2,IF($J36&lt;=10,INDEX(VN_국채일별!$F$4:$F$1436,MATCH($B36,VN_국채일별!$A$4:$A$1436,1))+(INDEX(VN_국채일별!$G$4:$G$1436,MATCH($B36,VN_국채일별!$A$4:$A$1436,1))-INDEX(VN_국채일별!$F$4:$F$1436,MATCH($B36,VN_국채일별!$A$4:$A$1436,1)))*($J36-7)/3,INDEX(VN_국채일별!$G$4:$G$1436,MATCH($B36,VN_국채일별!$A$4:$A$1436,1)))))))),""))</f>
        <v>0.00697</v>
      </c>
      <c r="R36" s="58" t="n">
        <f aca="false">IF(OR(L36="",Q36=""),"",(L36-Q36)*10000)</f>
        <v>250.3</v>
      </c>
      <c r="S36" s="30" t="n">
        <f aca="false">IF(AND(K36="고정",N36="N",J36&gt;=2,J36&lt;=4,I36&lt;&gt;""),1,0)</f>
        <v>1</v>
      </c>
      <c r="T36" s="59" t="n">
        <f aca="false">IF(S36=1,I36*L36,0)</f>
        <v>32</v>
      </c>
      <c r="U36" s="60" t="n">
        <f aca="false">IF(AND(S36=1,ISNUMBER(R36)),I36*R36,0)</f>
        <v>250300</v>
      </c>
      <c r="V36" s="30" t="n">
        <f aca="false">IF(AND(F36="Big4(국영)",K36="고정",N36="N",I36&lt;&gt;""),1,0)</f>
        <v>0</v>
      </c>
      <c r="W36" s="59" t="n">
        <f aca="false">IF(V36=1,I36*L36,0)</f>
        <v>0</v>
      </c>
      <c r="X36" s="60" t="n">
        <f aca="false">IF(AND(V36=1,ISNUMBER(R36)),I36*R36,0)</f>
        <v>0</v>
      </c>
      <c r="Y36" s="61" t="n">
        <f aca="false">IF(AND(S36=1,ISNUMBER(R36)),I36,0)</f>
        <v>1000</v>
      </c>
      <c r="Z36" s="61" t="n">
        <f aca="false">IF(AND(V36=1,ISNUMBER(R36)),I36,0)</f>
        <v>0</v>
      </c>
    </row>
    <row r="37" customFormat="false" ht="15" hidden="false" customHeight="false" outlineLevel="0" collapsed="false">
      <c r="A37" s="47" t="s">
        <v>234</v>
      </c>
      <c r="B37" s="52" t="n">
        <v>44533</v>
      </c>
      <c r="C37" s="53" t="n">
        <f aca="false">DATE(YEAR(B37),MONTH(B37),1)</f>
        <v>44531</v>
      </c>
      <c r="D37" s="5" t="str">
        <f aca="false">YEAR(B37)&amp;"Q"&amp;ROUNDUP(MONTH(B37)/3,0)</f>
        <v>2021Q4</v>
      </c>
      <c r="E37" s="62" t="s">
        <v>230</v>
      </c>
      <c r="F37" s="62" t="s">
        <v>156</v>
      </c>
      <c r="G37" s="47" t="s">
        <v>231</v>
      </c>
      <c r="H37" s="47" t="s">
        <v>238</v>
      </c>
      <c r="I37" s="55" t="n">
        <v>600</v>
      </c>
      <c r="J37" s="56" t="n">
        <v>7</v>
      </c>
      <c r="K37" s="54" t="s">
        <v>153</v>
      </c>
      <c r="N37" s="47" t="s">
        <v>143</v>
      </c>
      <c r="O37" s="47" t="s">
        <v>239</v>
      </c>
      <c r="P37" s="47"/>
      <c r="Q37" s="48" t="n">
        <f aca="false">IF($J37="","",IFERROR(IF($J37&lt;=1,INDEX(VN_국채일별!$B$4:$B$1436,MATCH($B37,VN_국채일별!$A$4:$A$1436,1)),IF($J37&lt;=2,INDEX(VN_국채일별!$B$4:$B$1436,MATCH($B37,VN_국채일별!$A$4:$A$1436,1))+(INDEX(VN_국채일별!$C$4:$C$1436,MATCH($B37,VN_국채일별!$A$4:$A$1436,1))-INDEX(VN_국채일별!$B$4:$B$1436,MATCH($B37,VN_국채일별!$A$4:$A$1436,1)))*($J37-1),IF($J37&lt;=3,INDEX(VN_국채일별!$C$4:$C$1436,MATCH($B37,VN_국채일별!$A$4:$A$1436,1))+(INDEX(VN_국채일별!$D$4:$D$1436,MATCH($B37,VN_국채일별!$A$4:$A$1436,1))-INDEX(VN_국채일별!$C$4:$C$1436,MATCH($B37,VN_국채일별!$A$4:$A$1436,1)))*($J37-2),IF($J37&lt;=5,INDEX(VN_국채일별!$D$4:$D$1436,MATCH($B37,VN_국채일별!$A$4:$A$1436,1))+(INDEX(VN_국채일별!$E$4:$E$1436,MATCH($B37,VN_국채일별!$A$4:$A$1436,1))-INDEX(VN_국채일별!$D$4:$D$1436,MATCH($B37,VN_국채일별!$A$4:$A$1436,1)))*($J37-3)/2,IF($J37&lt;=7,INDEX(VN_국채일별!$E$4:$E$1436,MATCH($B37,VN_국채일별!$A$4:$A$1436,1))+(INDEX(VN_국채일별!$F$4:$F$1436,MATCH($B37,VN_국채일별!$A$4:$A$1436,1))-INDEX(VN_국채일별!$E$4:$E$1436,MATCH($B37,VN_국채일별!$A$4:$A$1436,1)))*($J37-5)/2,IF($J37&lt;=10,INDEX(VN_국채일별!$F$4:$F$1436,MATCH($B37,VN_국채일별!$A$4:$A$1436,1))+(INDEX(VN_국채일별!$G$4:$G$1436,MATCH($B37,VN_국채일별!$A$4:$A$1436,1))-INDEX(VN_국채일별!$F$4:$F$1436,MATCH($B37,VN_국채일별!$A$4:$A$1436,1)))*($J37-7)/3,INDEX(VN_국채일별!$G$4:$G$1436,MATCH($B37,VN_국채일별!$A$4:$A$1436,1)))))))),""))</f>
        <v>0.01204</v>
      </c>
      <c r="R37" s="58" t="str">
        <f aca="false">IF(OR(L37="",Q37=""),"",(L37-Q37)*10000)</f>
        <v/>
      </c>
      <c r="S37" s="30" t="n">
        <f aca="false">IF(AND(K37="고정",N37="N",J37&gt;=2,J37&lt;=4,I37&lt;&gt;""),1,0)</f>
        <v>0</v>
      </c>
      <c r="T37" s="59" t="n">
        <f aca="false">IF(S37=1,I37*L37,0)</f>
        <v>0</v>
      </c>
      <c r="U37" s="60" t="n">
        <f aca="false">IF(AND(S37=1,ISNUMBER(R37)),I37*R37,0)</f>
        <v>0</v>
      </c>
      <c r="V37" s="30" t="n">
        <f aca="false">IF(AND(F37="Big4(국영)",K37="고정",N37="N",I37&lt;&gt;""),1,0)</f>
        <v>0</v>
      </c>
      <c r="W37" s="59" t="n">
        <f aca="false">IF(V37=1,I37*L37,0)</f>
        <v>0</v>
      </c>
      <c r="X37" s="60" t="n">
        <f aca="false">IF(AND(V37=1,ISNUMBER(R37)),I37*R37,0)</f>
        <v>0</v>
      </c>
      <c r="Y37" s="61" t="n">
        <f aca="false">IF(AND(S37=1,ISNUMBER(R37)),I37,0)</f>
        <v>0</v>
      </c>
      <c r="Z37" s="61" t="n">
        <f aca="false">IF(AND(V37=1,ISNUMBER(R37)),I37,0)</f>
        <v>0</v>
      </c>
    </row>
    <row r="38" customFormat="false" ht="15" hidden="false" customHeight="false" outlineLevel="0" collapsed="false">
      <c r="A38" s="47" t="s">
        <v>234</v>
      </c>
      <c r="B38" s="52" t="n">
        <v>44533</v>
      </c>
      <c r="C38" s="53" t="n">
        <f aca="false">DATE(YEAR(B38),MONTH(B38),1)</f>
        <v>44531</v>
      </c>
      <c r="D38" s="5" t="str">
        <f aca="false">YEAR(B38)&amp;"Q"&amp;ROUNDUP(MONTH(B38)/3,0)</f>
        <v>2021Q4</v>
      </c>
      <c r="E38" s="62" t="s">
        <v>230</v>
      </c>
      <c r="F38" s="62" t="s">
        <v>156</v>
      </c>
      <c r="G38" s="47" t="s">
        <v>231</v>
      </c>
      <c r="H38" s="47" t="s">
        <v>240</v>
      </c>
      <c r="I38" s="55" t="n">
        <v>350</v>
      </c>
      <c r="J38" s="56" t="n">
        <v>10</v>
      </c>
      <c r="K38" s="54" t="s">
        <v>153</v>
      </c>
      <c r="N38" s="47" t="s">
        <v>143</v>
      </c>
      <c r="O38" s="47" t="s">
        <v>241</v>
      </c>
      <c r="P38" s="47"/>
      <c r="Q38" s="48" t="n">
        <f aca="false">IF($J38="","",IFERROR(IF($J38&lt;=1,INDEX(VN_국채일별!$B$4:$B$1436,MATCH($B38,VN_국채일별!$A$4:$A$1436,1)),IF($J38&lt;=2,INDEX(VN_국채일별!$B$4:$B$1436,MATCH($B38,VN_국채일별!$A$4:$A$1436,1))+(INDEX(VN_국채일별!$C$4:$C$1436,MATCH($B38,VN_국채일별!$A$4:$A$1436,1))-INDEX(VN_국채일별!$B$4:$B$1436,MATCH($B38,VN_국채일별!$A$4:$A$1436,1)))*($J38-1),IF($J38&lt;=3,INDEX(VN_국채일별!$C$4:$C$1436,MATCH($B38,VN_국채일별!$A$4:$A$1436,1))+(INDEX(VN_국채일별!$D$4:$D$1436,MATCH($B38,VN_국채일별!$A$4:$A$1436,1))-INDEX(VN_국채일별!$C$4:$C$1436,MATCH($B38,VN_국채일별!$A$4:$A$1436,1)))*($J38-2),IF($J38&lt;=5,INDEX(VN_국채일별!$D$4:$D$1436,MATCH($B38,VN_국채일별!$A$4:$A$1436,1))+(INDEX(VN_국채일별!$E$4:$E$1436,MATCH($B38,VN_국채일별!$A$4:$A$1436,1))-INDEX(VN_국채일별!$D$4:$D$1436,MATCH($B38,VN_국채일별!$A$4:$A$1436,1)))*($J38-3)/2,IF($J38&lt;=7,INDEX(VN_국채일별!$E$4:$E$1436,MATCH($B38,VN_국채일별!$A$4:$A$1436,1))+(INDEX(VN_국채일별!$F$4:$F$1436,MATCH($B38,VN_국채일별!$A$4:$A$1436,1))-INDEX(VN_국채일별!$E$4:$E$1436,MATCH($B38,VN_국채일별!$A$4:$A$1436,1)))*($J38-5)/2,IF($J38&lt;=10,INDEX(VN_국채일별!$F$4:$F$1436,MATCH($B38,VN_국채일별!$A$4:$A$1436,1))+(INDEX(VN_국채일별!$G$4:$G$1436,MATCH($B38,VN_국채일별!$A$4:$A$1436,1))-INDEX(VN_국채일별!$F$4:$F$1436,MATCH($B38,VN_국채일별!$A$4:$A$1436,1)))*($J38-7)/3,INDEX(VN_국채일별!$G$4:$G$1436,MATCH($B38,VN_국채일별!$A$4:$A$1436,1)))))))),""))</f>
        <v>0.01984</v>
      </c>
      <c r="R38" s="58" t="str">
        <f aca="false">IF(OR(L38="",Q38=""),"",(L38-Q38)*10000)</f>
        <v/>
      </c>
      <c r="S38" s="30" t="n">
        <f aca="false">IF(AND(K38="고정",N38="N",J38&gt;=2,J38&lt;=4,I38&lt;&gt;""),1,0)</f>
        <v>0</v>
      </c>
      <c r="T38" s="59" t="n">
        <f aca="false">IF(S38=1,I38*L38,0)</f>
        <v>0</v>
      </c>
      <c r="U38" s="60" t="n">
        <f aca="false">IF(AND(S38=1,ISNUMBER(R38)),I38*R38,0)</f>
        <v>0</v>
      </c>
      <c r="V38" s="30" t="n">
        <f aca="false">IF(AND(F38="Big4(국영)",K38="고정",N38="N",I38&lt;&gt;""),1,0)</f>
        <v>0</v>
      </c>
      <c r="W38" s="59" t="n">
        <f aca="false">IF(V38=1,I38*L38,0)</f>
        <v>0</v>
      </c>
      <c r="X38" s="60" t="n">
        <f aca="false">IF(AND(V38=1,ISNUMBER(R38)),I38*R38,0)</f>
        <v>0</v>
      </c>
      <c r="Y38" s="61" t="n">
        <f aca="false">IF(AND(S38=1,ISNUMBER(R38)),I38,0)</f>
        <v>0</v>
      </c>
      <c r="Z38" s="61" t="n">
        <f aca="false">IF(AND(V38=1,ISNUMBER(R38)),I38,0)</f>
        <v>0</v>
      </c>
    </row>
    <row r="39" customFormat="false" ht="15" hidden="false" customHeight="false" outlineLevel="0" collapsed="false">
      <c r="A39" s="47" t="s">
        <v>234</v>
      </c>
      <c r="B39" s="52" t="n">
        <v>44536</v>
      </c>
      <c r="C39" s="53" t="n">
        <f aca="false">DATE(YEAR(B39),MONTH(B39),1)</f>
        <v>44531</v>
      </c>
      <c r="D39" s="5" t="str">
        <f aca="false">YEAR(B39)&amp;"Q"&amp;ROUNDUP(MONTH(B39)/3,0)</f>
        <v>2021Q4</v>
      </c>
      <c r="E39" s="47" t="s">
        <v>242</v>
      </c>
      <c r="F39" s="54" t="s">
        <v>139</v>
      </c>
      <c r="G39" s="47" t="s">
        <v>243</v>
      </c>
      <c r="H39" s="47" t="s">
        <v>244</v>
      </c>
      <c r="I39" s="55" t="n">
        <v>1000</v>
      </c>
      <c r="J39" s="56" t="n">
        <v>2</v>
      </c>
      <c r="K39" s="54" t="s">
        <v>142</v>
      </c>
      <c r="L39" s="57" t="n">
        <v>0.037</v>
      </c>
      <c r="N39" s="47" t="s">
        <v>148</v>
      </c>
      <c r="O39" s="47" t="s">
        <v>218</v>
      </c>
      <c r="P39" s="47"/>
      <c r="Q39" s="48" t="n">
        <f aca="false">IF($J39="","",IFERROR(IF($J39&lt;=1,INDEX(VN_국채일별!$B$4:$B$1436,MATCH($B39,VN_국채일별!$A$4:$A$1436,1)),IF($J39&lt;=2,INDEX(VN_국채일별!$B$4:$B$1436,MATCH($B39,VN_국채일별!$A$4:$A$1436,1))+(INDEX(VN_국채일별!$C$4:$C$1436,MATCH($B39,VN_국채일별!$A$4:$A$1436,1))-INDEX(VN_국채일별!$B$4:$B$1436,MATCH($B39,VN_국채일별!$A$4:$A$1436,1)))*($J39-1),IF($J39&lt;=3,INDEX(VN_국채일별!$C$4:$C$1436,MATCH($B39,VN_국채일별!$A$4:$A$1436,1))+(INDEX(VN_국채일별!$D$4:$D$1436,MATCH($B39,VN_국채일별!$A$4:$A$1436,1))-INDEX(VN_국채일별!$C$4:$C$1436,MATCH($B39,VN_국채일별!$A$4:$A$1436,1)))*($J39-2),IF($J39&lt;=5,INDEX(VN_국채일별!$D$4:$D$1436,MATCH($B39,VN_국채일별!$A$4:$A$1436,1))+(INDEX(VN_국채일별!$E$4:$E$1436,MATCH($B39,VN_국채일별!$A$4:$A$1436,1))-INDEX(VN_국채일별!$D$4:$D$1436,MATCH($B39,VN_국채일별!$A$4:$A$1436,1)))*($J39-3)/2,IF($J39&lt;=7,INDEX(VN_국채일별!$E$4:$E$1436,MATCH($B39,VN_국채일별!$A$4:$A$1436,1))+(INDEX(VN_국채일별!$F$4:$F$1436,MATCH($B39,VN_국채일별!$A$4:$A$1436,1))-INDEX(VN_국채일별!$E$4:$E$1436,MATCH($B39,VN_국채일별!$A$4:$A$1436,1)))*($J39-5)/2,IF($J39&lt;=10,INDEX(VN_국채일별!$F$4:$F$1436,MATCH($B39,VN_국채일별!$A$4:$A$1436,1))+(INDEX(VN_국채일별!$G$4:$G$1436,MATCH($B39,VN_국채일별!$A$4:$A$1436,1))-INDEX(VN_국채일별!$F$4:$F$1436,MATCH($B39,VN_국채일별!$A$4:$A$1436,1)))*($J39-7)/3,INDEX(VN_국채일별!$G$4:$G$1436,MATCH($B39,VN_국채일별!$A$4:$A$1436,1)))))))),""))</f>
        <v>0.00568</v>
      </c>
      <c r="R39" s="58" t="n">
        <f aca="false">IF(OR(L39="",Q39=""),"",(L39-Q39)*10000)</f>
        <v>313.2</v>
      </c>
      <c r="S39" s="30" t="n">
        <f aca="false">IF(AND(K39="고정",N39="N",J39&gt;=2,J39&lt;=4,I39&lt;&gt;""),1,0)</f>
        <v>1</v>
      </c>
      <c r="T39" s="59" t="n">
        <f aca="false">IF(S39=1,I39*L39,0)</f>
        <v>37</v>
      </c>
      <c r="U39" s="60" t="n">
        <f aca="false">IF(AND(S39=1,ISNUMBER(R39)),I39*R39,0)</f>
        <v>313200</v>
      </c>
      <c r="V39" s="30" t="n">
        <f aca="false">IF(AND(F39="Big4(국영)",K39="고정",N39="N",I39&lt;&gt;""),1,0)</f>
        <v>0</v>
      </c>
      <c r="W39" s="59" t="n">
        <f aca="false">IF(V39=1,I39*L39,0)</f>
        <v>0</v>
      </c>
      <c r="X39" s="60" t="n">
        <f aca="false">IF(AND(V39=1,ISNUMBER(R39)),I39*R39,0)</f>
        <v>0</v>
      </c>
      <c r="Y39" s="61" t="n">
        <f aca="false">IF(AND(S39=1,ISNUMBER(R39)),I39,0)</f>
        <v>1000</v>
      </c>
      <c r="Z39" s="61" t="n">
        <f aca="false">IF(AND(V39=1,ISNUMBER(R39)),I39,0)</f>
        <v>0</v>
      </c>
    </row>
    <row r="40" customFormat="false" ht="15" hidden="false" customHeight="false" outlineLevel="0" collapsed="false">
      <c r="A40" s="47" t="s">
        <v>234</v>
      </c>
      <c r="B40" s="52" t="n">
        <v>44536</v>
      </c>
      <c r="C40" s="53" t="n">
        <f aca="false">DATE(YEAR(B40),MONTH(B40),1)</f>
        <v>44531</v>
      </c>
      <c r="D40" s="5" t="str">
        <f aca="false">YEAR(B40)&amp;"Q"&amp;ROUNDUP(MONTH(B40)/3,0)</f>
        <v>2021Q4</v>
      </c>
      <c r="E40" s="47" t="s">
        <v>181</v>
      </c>
      <c r="F40" s="54" t="s">
        <v>139</v>
      </c>
      <c r="G40" s="47" t="s">
        <v>235</v>
      </c>
      <c r="H40" s="47" t="s">
        <v>245</v>
      </c>
      <c r="I40" s="55" t="n">
        <v>500</v>
      </c>
      <c r="J40" s="56" t="n">
        <v>3</v>
      </c>
      <c r="K40" s="54" t="s">
        <v>142</v>
      </c>
      <c r="L40" s="57" t="n">
        <v>0.032</v>
      </c>
      <c r="N40" s="47" t="s">
        <v>148</v>
      </c>
      <c r="O40" s="47" t="s">
        <v>237</v>
      </c>
      <c r="P40" s="47"/>
      <c r="Q40" s="48" t="n">
        <f aca="false">IF($J40="","",IFERROR(IF($J40&lt;=1,INDEX(VN_국채일별!$B$4:$B$1436,MATCH($B40,VN_국채일별!$A$4:$A$1436,1)),IF($J40&lt;=2,INDEX(VN_국채일별!$B$4:$B$1436,MATCH($B40,VN_국채일별!$A$4:$A$1436,1))+(INDEX(VN_국채일별!$C$4:$C$1436,MATCH($B40,VN_국채일별!$A$4:$A$1436,1))-INDEX(VN_국채일별!$B$4:$B$1436,MATCH($B40,VN_국채일별!$A$4:$A$1436,1)))*($J40-1),IF($J40&lt;=3,INDEX(VN_국채일별!$C$4:$C$1436,MATCH($B40,VN_국채일별!$A$4:$A$1436,1))+(INDEX(VN_국채일별!$D$4:$D$1436,MATCH($B40,VN_국채일별!$A$4:$A$1436,1))-INDEX(VN_국채일별!$C$4:$C$1436,MATCH($B40,VN_국채일별!$A$4:$A$1436,1)))*($J40-2),IF($J40&lt;=5,INDEX(VN_국채일별!$D$4:$D$1436,MATCH($B40,VN_국채일별!$A$4:$A$1436,1))+(INDEX(VN_국채일별!$E$4:$E$1436,MATCH($B40,VN_국채일별!$A$4:$A$1436,1))-INDEX(VN_국채일별!$D$4:$D$1436,MATCH($B40,VN_국채일별!$A$4:$A$1436,1)))*($J40-3)/2,IF($J40&lt;=7,INDEX(VN_국채일별!$E$4:$E$1436,MATCH($B40,VN_국채일별!$A$4:$A$1436,1))+(INDEX(VN_국채일별!$F$4:$F$1436,MATCH($B40,VN_국채일별!$A$4:$A$1436,1))-INDEX(VN_국채일별!$E$4:$E$1436,MATCH($B40,VN_국채일별!$A$4:$A$1436,1)))*($J40-5)/2,IF($J40&lt;=10,INDEX(VN_국채일별!$F$4:$F$1436,MATCH($B40,VN_국채일별!$A$4:$A$1436,1))+(INDEX(VN_국채일별!$G$4:$G$1436,MATCH($B40,VN_국채일별!$A$4:$A$1436,1))-INDEX(VN_국채일별!$F$4:$F$1436,MATCH($B40,VN_국채일별!$A$4:$A$1436,1)))*($J40-7)/3,INDEX(VN_국채일별!$G$4:$G$1436,MATCH($B40,VN_국채일별!$A$4:$A$1436,1)))))))),""))</f>
        <v>0.00683</v>
      </c>
      <c r="R40" s="58" t="n">
        <f aca="false">IF(OR(L40="",Q40=""),"",(L40-Q40)*10000)</f>
        <v>251.7</v>
      </c>
      <c r="S40" s="30" t="n">
        <f aca="false">IF(AND(K40="고정",N40="N",J40&gt;=2,J40&lt;=4,I40&lt;&gt;""),1,0)</f>
        <v>1</v>
      </c>
      <c r="T40" s="59" t="n">
        <f aca="false">IF(S40=1,I40*L40,0)</f>
        <v>16</v>
      </c>
      <c r="U40" s="60" t="n">
        <f aca="false">IF(AND(S40=1,ISNUMBER(R40)),I40*R40,0)</f>
        <v>125850</v>
      </c>
      <c r="V40" s="30" t="n">
        <f aca="false">IF(AND(F40="Big4(국영)",K40="고정",N40="N",I40&lt;&gt;""),1,0)</f>
        <v>0</v>
      </c>
      <c r="W40" s="59" t="n">
        <f aca="false">IF(V40=1,I40*L40,0)</f>
        <v>0</v>
      </c>
      <c r="X40" s="60" t="n">
        <f aca="false">IF(AND(V40=1,ISNUMBER(R40)),I40*R40,0)</f>
        <v>0</v>
      </c>
      <c r="Y40" s="61" t="n">
        <f aca="false">IF(AND(S40=1,ISNUMBER(R40)),I40,0)</f>
        <v>500</v>
      </c>
      <c r="Z40" s="61" t="n">
        <f aca="false">IF(AND(V40=1,ISNUMBER(R40)),I40,0)</f>
        <v>0</v>
      </c>
    </row>
    <row r="41" customFormat="false" ht="15" hidden="false" customHeight="false" outlineLevel="0" collapsed="false">
      <c r="A41" s="47" t="s">
        <v>234</v>
      </c>
      <c r="B41" s="52" t="n">
        <v>44538</v>
      </c>
      <c r="C41" s="53" t="n">
        <f aca="false">DATE(YEAR(B41),MONTH(B41),1)</f>
        <v>44531</v>
      </c>
      <c r="D41" s="5" t="str">
        <f aca="false">YEAR(B41)&amp;"Q"&amp;ROUNDUP(MONTH(B41)/3,0)</f>
        <v>2021Q4</v>
      </c>
      <c r="E41" s="47" t="s">
        <v>160</v>
      </c>
      <c r="F41" s="54" t="s">
        <v>139</v>
      </c>
      <c r="G41" s="47" t="s">
        <v>220</v>
      </c>
      <c r="H41" s="47" t="s">
        <v>246</v>
      </c>
      <c r="I41" s="55" t="n">
        <v>0</v>
      </c>
      <c r="J41" s="56" t="n">
        <v>7</v>
      </c>
      <c r="K41" s="54" t="s">
        <v>153</v>
      </c>
      <c r="N41" s="47" t="s">
        <v>143</v>
      </c>
      <c r="O41" s="47" t="s">
        <v>247</v>
      </c>
      <c r="P41" s="47"/>
      <c r="Q41" s="48" t="n">
        <f aca="false">IF($J41="","",IFERROR(IF($J41&lt;=1,INDEX(VN_국채일별!$B$4:$B$1436,MATCH($B41,VN_국채일별!$A$4:$A$1436,1)),IF($J41&lt;=2,INDEX(VN_국채일별!$B$4:$B$1436,MATCH($B41,VN_국채일별!$A$4:$A$1436,1))+(INDEX(VN_국채일별!$C$4:$C$1436,MATCH($B41,VN_국채일별!$A$4:$A$1436,1))-INDEX(VN_국채일별!$B$4:$B$1436,MATCH($B41,VN_국채일별!$A$4:$A$1436,1)))*($J41-1),IF($J41&lt;=3,INDEX(VN_국채일별!$C$4:$C$1436,MATCH($B41,VN_국채일별!$A$4:$A$1436,1))+(INDEX(VN_국채일별!$D$4:$D$1436,MATCH($B41,VN_국채일별!$A$4:$A$1436,1))-INDEX(VN_국채일별!$C$4:$C$1436,MATCH($B41,VN_국채일별!$A$4:$A$1436,1)))*($J41-2),IF($J41&lt;=5,INDEX(VN_국채일별!$D$4:$D$1436,MATCH($B41,VN_국채일별!$A$4:$A$1436,1))+(INDEX(VN_국채일별!$E$4:$E$1436,MATCH($B41,VN_국채일별!$A$4:$A$1436,1))-INDEX(VN_국채일별!$D$4:$D$1436,MATCH($B41,VN_국채일별!$A$4:$A$1436,1)))*($J41-3)/2,IF($J41&lt;=7,INDEX(VN_국채일별!$E$4:$E$1436,MATCH($B41,VN_국채일별!$A$4:$A$1436,1))+(INDEX(VN_국채일별!$F$4:$F$1436,MATCH($B41,VN_국채일별!$A$4:$A$1436,1))-INDEX(VN_국채일별!$E$4:$E$1436,MATCH($B41,VN_국채일별!$A$4:$A$1436,1)))*($J41-5)/2,IF($J41&lt;=10,INDEX(VN_국채일별!$F$4:$F$1436,MATCH($B41,VN_국채일별!$A$4:$A$1436,1))+(INDEX(VN_국채일별!$G$4:$G$1436,MATCH($B41,VN_국채일별!$A$4:$A$1436,1))-INDEX(VN_국채일별!$F$4:$F$1436,MATCH($B41,VN_국채일별!$A$4:$A$1436,1)))*($J41-7)/3,INDEX(VN_국채일별!$G$4:$G$1436,MATCH($B41,VN_국채일별!$A$4:$A$1436,1)))))))),""))</f>
        <v>0.01207</v>
      </c>
      <c r="R41" s="58" t="str">
        <f aca="false">IF(OR(L41="",Q41=""),"",(L41-Q41)*10000)</f>
        <v/>
      </c>
      <c r="S41" s="30" t="n">
        <f aca="false">IF(AND(K41="고정",N41="N",J41&gt;=2,J41&lt;=4,I41&lt;&gt;""),1,0)</f>
        <v>0</v>
      </c>
      <c r="T41" s="59" t="n">
        <f aca="false">IF(S41=1,I41*L41,0)</f>
        <v>0</v>
      </c>
      <c r="U41" s="60" t="n">
        <f aca="false">IF(AND(S41=1,ISNUMBER(R41)),I41*R41,0)</f>
        <v>0</v>
      </c>
      <c r="V41" s="30" t="n">
        <f aca="false">IF(AND(F41="Big4(국영)",K41="고정",N41="N",I41&lt;&gt;""),1,0)</f>
        <v>0</v>
      </c>
      <c r="W41" s="59" t="n">
        <f aca="false">IF(V41=1,I41*L41,0)</f>
        <v>0</v>
      </c>
      <c r="X41" s="60" t="n">
        <f aca="false">IF(AND(V41=1,ISNUMBER(R41)),I41*R41,0)</f>
        <v>0</v>
      </c>
      <c r="Y41" s="61" t="n">
        <f aca="false">IF(AND(S41=1,ISNUMBER(R41)),I41,0)</f>
        <v>0</v>
      </c>
      <c r="Z41" s="61" t="n">
        <f aca="false">IF(AND(V41=1,ISNUMBER(R41)),I41,0)</f>
        <v>0</v>
      </c>
    </row>
    <row r="42" customFormat="false" ht="15" hidden="false" customHeight="false" outlineLevel="0" collapsed="false">
      <c r="A42" s="47" t="s">
        <v>234</v>
      </c>
      <c r="B42" s="52" t="n">
        <v>44539</v>
      </c>
      <c r="C42" s="53" t="n">
        <f aca="false">DATE(YEAR(B42),MONTH(B42),1)</f>
        <v>44531</v>
      </c>
      <c r="D42" s="5" t="str">
        <f aca="false">YEAR(B42)&amp;"Q"&amp;ROUNDUP(MONTH(B42)/3,0)</f>
        <v>2021Q4</v>
      </c>
      <c r="E42" s="47" t="s">
        <v>248</v>
      </c>
      <c r="F42" s="54" t="s">
        <v>139</v>
      </c>
      <c r="G42" s="47" t="s">
        <v>249</v>
      </c>
      <c r="H42" s="47" t="s">
        <v>250</v>
      </c>
      <c r="I42" s="55" t="n">
        <v>400</v>
      </c>
      <c r="J42" s="56" t="n">
        <v>4</v>
      </c>
      <c r="K42" s="54" t="s">
        <v>142</v>
      </c>
      <c r="L42" s="57" t="n">
        <v>0.038</v>
      </c>
      <c r="N42" s="47" t="s">
        <v>148</v>
      </c>
      <c r="O42" s="47" t="s">
        <v>186</v>
      </c>
      <c r="P42" s="47"/>
      <c r="Q42" s="48" t="n">
        <f aca="false">IF($J42="","",IFERROR(IF($J42&lt;=1,INDEX(VN_국채일별!$B$4:$B$1436,MATCH($B42,VN_국채일별!$A$4:$A$1436,1)),IF($J42&lt;=2,INDEX(VN_국채일별!$B$4:$B$1436,MATCH($B42,VN_국채일별!$A$4:$A$1436,1))+(INDEX(VN_국채일별!$C$4:$C$1436,MATCH($B42,VN_국채일별!$A$4:$A$1436,1))-INDEX(VN_국채일별!$B$4:$B$1436,MATCH($B42,VN_국채일별!$A$4:$A$1436,1)))*($J42-1),IF($J42&lt;=3,INDEX(VN_국채일별!$C$4:$C$1436,MATCH($B42,VN_국채일별!$A$4:$A$1436,1))+(INDEX(VN_국채일별!$D$4:$D$1436,MATCH($B42,VN_국채일별!$A$4:$A$1436,1))-INDEX(VN_국채일별!$C$4:$C$1436,MATCH($B42,VN_국채일별!$A$4:$A$1436,1)))*($J42-2),IF($J42&lt;=5,INDEX(VN_국채일별!$D$4:$D$1436,MATCH($B42,VN_국채일별!$A$4:$A$1436,1))+(INDEX(VN_국채일별!$E$4:$E$1436,MATCH($B42,VN_국채일별!$A$4:$A$1436,1))-INDEX(VN_국채일별!$D$4:$D$1436,MATCH($B42,VN_국채일별!$A$4:$A$1436,1)))*($J42-3)/2,IF($J42&lt;=7,INDEX(VN_국채일별!$E$4:$E$1436,MATCH($B42,VN_국채일별!$A$4:$A$1436,1))+(INDEX(VN_국채일별!$F$4:$F$1436,MATCH($B42,VN_국채일별!$A$4:$A$1436,1))-INDEX(VN_국채일별!$E$4:$E$1436,MATCH($B42,VN_국채일별!$A$4:$A$1436,1)))*($J42-5)/2,IF($J42&lt;=10,INDEX(VN_국채일별!$F$4:$F$1436,MATCH($B42,VN_국채일별!$A$4:$A$1436,1))+(INDEX(VN_국채일별!$G$4:$G$1436,MATCH($B42,VN_국채일별!$A$4:$A$1436,1))-INDEX(VN_국채일별!$F$4:$F$1436,MATCH($B42,VN_국채일별!$A$4:$A$1436,1)))*($J42-7)/3,INDEX(VN_국채일별!$G$4:$G$1436,MATCH($B42,VN_국채일별!$A$4:$A$1436,1)))))))),""))</f>
        <v>0.007185</v>
      </c>
      <c r="R42" s="58" t="n">
        <f aca="false">IF(OR(L42="",Q42=""),"",(L42-Q42)*10000)</f>
        <v>308.15</v>
      </c>
      <c r="S42" s="30" t="n">
        <f aca="false">IF(AND(K42="고정",N42="N",J42&gt;=2,J42&lt;=4,I42&lt;&gt;""),1,0)</f>
        <v>1</v>
      </c>
      <c r="T42" s="59" t="n">
        <f aca="false">IF(S42=1,I42*L42,0)</f>
        <v>15.2</v>
      </c>
      <c r="U42" s="60" t="n">
        <f aca="false">IF(AND(S42=1,ISNUMBER(R42)),I42*R42,0)</f>
        <v>123260</v>
      </c>
      <c r="V42" s="30" t="n">
        <f aca="false">IF(AND(F42="Big4(국영)",K42="고정",N42="N",I42&lt;&gt;""),1,0)</f>
        <v>0</v>
      </c>
      <c r="W42" s="59" t="n">
        <f aca="false">IF(V42=1,I42*L42,0)</f>
        <v>0</v>
      </c>
      <c r="X42" s="60" t="n">
        <f aca="false">IF(AND(V42=1,ISNUMBER(R42)),I42*R42,0)</f>
        <v>0</v>
      </c>
      <c r="Y42" s="61" t="n">
        <f aca="false">IF(AND(S42=1,ISNUMBER(R42)),I42,0)</f>
        <v>400</v>
      </c>
      <c r="Z42" s="61" t="n">
        <f aca="false">IF(AND(V42=1,ISNUMBER(R42)),I42,0)</f>
        <v>0</v>
      </c>
    </row>
    <row r="43" customFormat="false" ht="15" hidden="false" customHeight="false" outlineLevel="0" collapsed="false">
      <c r="A43" s="47" t="s">
        <v>234</v>
      </c>
      <c r="B43" s="52" t="n">
        <v>44543</v>
      </c>
      <c r="C43" s="53" t="n">
        <f aca="false">DATE(YEAR(B43),MONTH(B43),1)</f>
        <v>44531</v>
      </c>
      <c r="D43" s="5" t="str">
        <f aca="false">YEAR(B43)&amp;"Q"&amp;ROUNDUP(MONTH(B43)/3,0)</f>
        <v>2021Q4</v>
      </c>
      <c r="E43" s="47" t="s">
        <v>242</v>
      </c>
      <c r="F43" s="54" t="s">
        <v>139</v>
      </c>
      <c r="G43" s="47" t="s">
        <v>243</v>
      </c>
      <c r="H43" s="47" t="s">
        <v>251</v>
      </c>
      <c r="I43" s="55" t="n">
        <v>1000</v>
      </c>
      <c r="J43" s="56" t="n">
        <v>3</v>
      </c>
      <c r="K43" s="54" t="s">
        <v>142</v>
      </c>
      <c r="L43" s="57" t="n">
        <v>0.033</v>
      </c>
      <c r="N43" s="47" t="s">
        <v>148</v>
      </c>
      <c r="O43" s="47" t="s">
        <v>252</v>
      </c>
      <c r="P43" s="47"/>
      <c r="Q43" s="48" t="n">
        <f aca="false">IF($J43="","",IFERROR(IF($J43&lt;=1,INDEX(VN_국채일별!$B$4:$B$1436,MATCH($B43,VN_국채일별!$A$4:$A$1436,1)),IF($J43&lt;=2,INDEX(VN_국채일별!$B$4:$B$1436,MATCH($B43,VN_국채일별!$A$4:$A$1436,1))+(INDEX(VN_국채일별!$C$4:$C$1436,MATCH($B43,VN_국채일별!$A$4:$A$1436,1))-INDEX(VN_국채일별!$B$4:$B$1436,MATCH($B43,VN_국채일별!$A$4:$A$1436,1)))*($J43-1),IF($J43&lt;=3,INDEX(VN_국채일별!$C$4:$C$1436,MATCH($B43,VN_국채일별!$A$4:$A$1436,1))+(INDEX(VN_국채일별!$D$4:$D$1436,MATCH($B43,VN_국채일별!$A$4:$A$1436,1))-INDEX(VN_국채일별!$C$4:$C$1436,MATCH($B43,VN_국채일별!$A$4:$A$1436,1)))*($J43-2),IF($J43&lt;=5,INDEX(VN_국채일별!$D$4:$D$1436,MATCH($B43,VN_국채일별!$A$4:$A$1436,1))+(INDEX(VN_국채일별!$E$4:$E$1436,MATCH($B43,VN_국채일별!$A$4:$A$1436,1))-INDEX(VN_국채일별!$D$4:$D$1436,MATCH($B43,VN_국채일별!$A$4:$A$1436,1)))*($J43-3)/2,IF($J43&lt;=7,INDEX(VN_국채일별!$E$4:$E$1436,MATCH($B43,VN_국채일별!$A$4:$A$1436,1))+(INDEX(VN_국채일별!$F$4:$F$1436,MATCH($B43,VN_국채일별!$A$4:$A$1436,1))-INDEX(VN_국채일별!$E$4:$E$1436,MATCH($B43,VN_국채일별!$A$4:$A$1436,1)))*($J43-5)/2,IF($J43&lt;=10,INDEX(VN_국채일별!$F$4:$F$1436,MATCH($B43,VN_국채일별!$A$4:$A$1436,1))+(INDEX(VN_국채일별!$G$4:$G$1436,MATCH($B43,VN_국채일별!$A$4:$A$1436,1))-INDEX(VN_국채일별!$F$4:$F$1436,MATCH($B43,VN_국채일별!$A$4:$A$1436,1)))*($J43-7)/3,INDEX(VN_국채일별!$G$4:$G$1436,MATCH($B43,VN_국채일별!$A$4:$A$1436,1)))))))),""))</f>
        <v>0.00679</v>
      </c>
      <c r="R43" s="58" t="n">
        <f aca="false">IF(OR(L43="",Q43=""),"",(L43-Q43)*10000)</f>
        <v>262.1</v>
      </c>
      <c r="S43" s="30" t="n">
        <f aca="false">IF(AND(K43="고정",N43="N",J43&gt;=2,J43&lt;=4,I43&lt;&gt;""),1,0)</f>
        <v>1</v>
      </c>
      <c r="T43" s="59" t="n">
        <f aca="false">IF(S43=1,I43*L43,0)</f>
        <v>33</v>
      </c>
      <c r="U43" s="60" t="n">
        <f aca="false">IF(AND(S43=1,ISNUMBER(R43)),I43*R43,0)</f>
        <v>262100</v>
      </c>
      <c r="V43" s="30" t="n">
        <f aca="false">IF(AND(F43="Big4(국영)",K43="고정",N43="N",I43&lt;&gt;""),1,0)</f>
        <v>0</v>
      </c>
      <c r="W43" s="59" t="n">
        <f aca="false">IF(V43=1,I43*L43,0)</f>
        <v>0</v>
      </c>
      <c r="X43" s="60" t="n">
        <f aca="false">IF(AND(V43=1,ISNUMBER(R43)),I43*R43,0)</f>
        <v>0</v>
      </c>
      <c r="Y43" s="61" t="n">
        <f aca="false">IF(AND(S43=1,ISNUMBER(R43)),I43,0)</f>
        <v>1000</v>
      </c>
      <c r="Z43" s="61" t="n">
        <f aca="false">IF(AND(V43=1,ISNUMBER(R43)),I43,0)</f>
        <v>0</v>
      </c>
    </row>
    <row r="44" customFormat="false" ht="15" hidden="false" customHeight="false" outlineLevel="0" collapsed="false">
      <c r="A44" s="47" t="s">
        <v>234</v>
      </c>
      <c r="B44" s="52" t="n">
        <v>44543</v>
      </c>
      <c r="C44" s="53" t="n">
        <f aca="false">DATE(YEAR(B44),MONTH(B44),1)</f>
        <v>44531</v>
      </c>
      <c r="D44" s="5" t="str">
        <f aca="false">YEAR(B44)&amp;"Q"&amp;ROUNDUP(MONTH(B44)/3,0)</f>
        <v>2021Q4</v>
      </c>
      <c r="E44" s="47" t="s">
        <v>150</v>
      </c>
      <c r="F44" s="54" t="s">
        <v>139</v>
      </c>
      <c r="G44" s="47" t="s">
        <v>212</v>
      </c>
      <c r="H44" s="47" t="s">
        <v>253</v>
      </c>
      <c r="I44" s="55" t="n">
        <v>500</v>
      </c>
      <c r="J44" s="56" t="n">
        <v>7</v>
      </c>
      <c r="K44" s="54" t="s">
        <v>153</v>
      </c>
      <c r="N44" s="47" t="s">
        <v>143</v>
      </c>
      <c r="O44" s="47"/>
      <c r="P44" s="47"/>
      <c r="Q44" s="48" t="n">
        <f aca="false">IF($J44="","",IFERROR(IF($J44&lt;=1,INDEX(VN_국채일별!$B$4:$B$1436,MATCH($B44,VN_국채일별!$A$4:$A$1436,1)),IF($J44&lt;=2,INDEX(VN_국채일별!$B$4:$B$1436,MATCH($B44,VN_국채일별!$A$4:$A$1436,1))+(INDEX(VN_국채일별!$C$4:$C$1436,MATCH($B44,VN_국채일별!$A$4:$A$1436,1))-INDEX(VN_국채일별!$B$4:$B$1436,MATCH($B44,VN_국채일별!$A$4:$A$1436,1)))*($J44-1),IF($J44&lt;=3,INDEX(VN_국채일별!$C$4:$C$1436,MATCH($B44,VN_국채일별!$A$4:$A$1436,1))+(INDEX(VN_국채일별!$D$4:$D$1436,MATCH($B44,VN_국채일별!$A$4:$A$1436,1))-INDEX(VN_국채일별!$C$4:$C$1436,MATCH($B44,VN_국채일별!$A$4:$A$1436,1)))*($J44-2),IF($J44&lt;=5,INDEX(VN_국채일별!$D$4:$D$1436,MATCH($B44,VN_국채일별!$A$4:$A$1436,1))+(INDEX(VN_국채일별!$E$4:$E$1436,MATCH($B44,VN_국채일별!$A$4:$A$1436,1))-INDEX(VN_국채일별!$D$4:$D$1436,MATCH($B44,VN_국채일별!$A$4:$A$1436,1)))*($J44-3)/2,IF($J44&lt;=7,INDEX(VN_국채일별!$E$4:$E$1436,MATCH($B44,VN_국채일별!$A$4:$A$1436,1))+(INDEX(VN_국채일별!$F$4:$F$1436,MATCH($B44,VN_국채일별!$A$4:$A$1436,1))-INDEX(VN_국채일별!$E$4:$E$1436,MATCH($B44,VN_국채일별!$A$4:$A$1436,1)))*($J44-5)/2,IF($J44&lt;=10,INDEX(VN_국채일별!$F$4:$F$1436,MATCH($B44,VN_국채일별!$A$4:$A$1436,1))+(INDEX(VN_국채일별!$G$4:$G$1436,MATCH($B44,VN_국채일별!$A$4:$A$1436,1))-INDEX(VN_국채일별!$F$4:$F$1436,MATCH($B44,VN_국채일별!$A$4:$A$1436,1)))*($J44-7)/3,INDEX(VN_국채일별!$G$4:$G$1436,MATCH($B44,VN_국채일별!$A$4:$A$1436,1)))))))),""))</f>
        <v>0.01198</v>
      </c>
      <c r="R44" s="58" t="str">
        <f aca="false">IF(OR(L44="",Q44=""),"",(L44-Q44)*10000)</f>
        <v/>
      </c>
      <c r="S44" s="30" t="n">
        <f aca="false">IF(AND(K44="고정",N44="N",J44&gt;=2,J44&lt;=4,I44&lt;&gt;""),1,0)</f>
        <v>0</v>
      </c>
      <c r="T44" s="59" t="n">
        <f aca="false">IF(S44=1,I44*L44,0)</f>
        <v>0</v>
      </c>
      <c r="U44" s="60" t="n">
        <f aca="false">IF(AND(S44=1,ISNUMBER(R44)),I44*R44,0)</f>
        <v>0</v>
      </c>
      <c r="V44" s="30" t="n">
        <f aca="false">IF(AND(F44="Big4(국영)",K44="고정",N44="N",I44&lt;&gt;""),1,0)</f>
        <v>0</v>
      </c>
      <c r="W44" s="59" t="n">
        <f aca="false">IF(V44=1,I44*L44,0)</f>
        <v>0</v>
      </c>
      <c r="X44" s="60" t="n">
        <f aca="false">IF(AND(V44=1,ISNUMBER(R44)),I44*R44,0)</f>
        <v>0</v>
      </c>
      <c r="Y44" s="61" t="n">
        <f aca="false">IF(AND(S44=1,ISNUMBER(R44)),I44,0)</f>
        <v>0</v>
      </c>
      <c r="Z44" s="61" t="n">
        <f aca="false">IF(AND(V44=1,ISNUMBER(R44)),I44,0)</f>
        <v>0</v>
      </c>
    </row>
    <row r="45" customFormat="false" ht="15" hidden="false" customHeight="false" outlineLevel="0" collapsed="false">
      <c r="A45" s="47" t="s">
        <v>234</v>
      </c>
      <c r="B45" s="52" t="n">
        <v>44543</v>
      </c>
      <c r="C45" s="53" t="n">
        <f aca="false">DATE(YEAR(B45),MONTH(B45),1)</f>
        <v>44531</v>
      </c>
      <c r="D45" s="5" t="str">
        <f aca="false">YEAR(B45)&amp;"Q"&amp;ROUNDUP(MONTH(B45)/3,0)</f>
        <v>2021Q4</v>
      </c>
      <c r="E45" s="47" t="s">
        <v>254</v>
      </c>
      <c r="F45" s="54" t="s">
        <v>139</v>
      </c>
      <c r="G45" s="47" t="s">
        <v>255</v>
      </c>
      <c r="H45" s="47" t="s">
        <v>256</v>
      </c>
      <c r="I45" s="55" t="n">
        <v>500</v>
      </c>
      <c r="J45" s="56" t="n">
        <v>2</v>
      </c>
      <c r="K45" s="54" t="s">
        <v>142</v>
      </c>
      <c r="L45" s="57" t="n">
        <v>0.031</v>
      </c>
      <c r="N45" s="47" t="s">
        <v>148</v>
      </c>
      <c r="O45" s="47" t="s">
        <v>257</v>
      </c>
      <c r="P45" s="47"/>
      <c r="Q45" s="48" t="n">
        <f aca="false">IF($J45="","",IFERROR(IF($J45&lt;=1,INDEX(VN_국채일별!$B$4:$B$1436,MATCH($B45,VN_국채일별!$A$4:$A$1436,1)),IF($J45&lt;=2,INDEX(VN_국채일별!$B$4:$B$1436,MATCH($B45,VN_국채일별!$A$4:$A$1436,1))+(INDEX(VN_국채일별!$C$4:$C$1436,MATCH($B45,VN_국채일별!$A$4:$A$1436,1))-INDEX(VN_국채일별!$B$4:$B$1436,MATCH($B45,VN_국채일별!$A$4:$A$1436,1)))*($J45-1),IF($J45&lt;=3,INDEX(VN_국채일별!$C$4:$C$1436,MATCH($B45,VN_국채일별!$A$4:$A$1436,1))+(INDEX(VN_국채일별!$D$4:$D$1436,MATCH($B45,VN_국채일별!$A$4:$A$1436,1))-INDEX(VN_국채일별!$C$4:$C$1436,MATCH($B45,VN_국채일별!$A$4:$A$1436,1)))*($J45-2),IF($J45&lt;=5,INDEX(VN_국채일별!$D$4:$D$1436,MATCH($B45,VN_국채일별!$A$4:$A$1436,1))+(INDEX(VN_국채일별!$E$4:$E$1436,MATCH($B45,VN_국채일별!$A$4:$A$1436,1))-INDEX(VN_국채일별!$D$4:$D$1436,MATCH($B45,VN_국채일별!$A$4:$A$1436,1)))*($J45-3)/2,IF($J45&lt;=7,INDEX(VN_국채일별!$E$4:$E$1436,MATCH($B45,VN_국채일별!$A$4:$A$1436,1))+(INDEX(VN_국채일별!$F$4:$F$1436,MATCH($B45,VN_국채일별!$A$4:$A$1436,1))-INDEX(VN_국채일별!$E$4:$E$1436,MATCH($B45,VN_국채일별!$A$4:$A$1436,1)))*($J45-5)/2,IF($J45&lt;=10,INDEX(VN_국채일별!$F$4:$F$1436,MATCH($B45,VN_국채일별!$A$4:$A$1436,1))+(INDEX(VN_국채일별!$G$4:$G$1436,MATCH($B45,VN_국채일별!$A$4:$A$1436,1))-INDEX(VN_국채일별!$F$4:$F$1436,MATCH($B45,VN_국채일별!$A$4:$A$1436,1)))*($J45-7)/3,INDEX(VN_국채일별!$G$4:$G$1436,MATCH($B45,VN_국채일별!$A$4:$A$1436,1)))))))),""))</f>
        <v>0.00573</v>
      </c>
      <c r="R45" s="58" t="n">
        <f aca="false">IF(OR(L45="",Q45=""),"",(L45-Q45)*10000)</f>
        <v>252.7</v>
      </c>
      <c r="S45" s="30" t="n">
        <f aca="false">IF(AND(K45="고정",N45="N",J45&gt;=2,J45&lt;=4,I45&lt;&gt;""),1,0)</f>
        <v>1</v>
      </c>
      <c r="T45" s="59" t="n">
        <f aca="false">IF(S45=1,I45*L45,0)</f>
        <v>15.5</v>
      </c>
      <c r="U45" s="60" t="n">
        <f aca="false">IF(AND(S45=1,ISNUMBER(R45)),I45*R45,0)</f>
        <v>126350</v>
      </c>
      <c r="V45" s="30" t="n">
        <f aca="false">IF(AND(F45="Big4(국영)",K45="고정",N45="N",I45&lt;&gt;""),1,0)</f>
        <v>0</v>
      </c>
      <c r="W45" s="59" t="n">
        <f aca="false">IF(V45=1,I45*L45,0)</f>
        <v>0</v>
      </c>
      <c r="X45" s="60" t="n">
        <f aca="false">IF(AND(V45=1,ISNUMBER(R45)),I45*R45,0)</f>
        <v>0</v>
      </c>
      <c r="Y45" s="61" t="n">
        <f aca="false">IF(AND(S45=1,ISNUMBER(R45)),I45,0)</f>
        <v>500</v>
      </c>
      <c r="Z45" s="61" t="n">
        <f aca="false">IF(AND(V45=1,ISNUMBER(R45)),I45,0)</f>
        <v>0</v>
      </c>
    </row>
    <row r="46" customFormat="false" ht="15" hidden="false" customHeight="false" outlineLevel="0" collapsed="false">
      <c r="A46" s="47" t="s">
        <v>234</v>
      </c>
      <c r="B46" s="52" t="n">
        <v>44544</v>
      </c>
      <c r="C46" s="53" t="n">
        <f aca="false">DATE(YEAR(B46),MONTH(B46),1)</f>
        <v>44531</v>
      </c>
      <c r="D46" s="5" t="str">
        <f aca="false">YEAR(B46)&amp;"Q"&amp;ROUNDUP(MONTH(B46)/3,0)</f>
        <v>2021Q4</v>
      </c>
      <c r="E46" s="47" t="s">
        <v>166</v>
      </c>
      <c r="F46" s="54" t="s">
        <v>139</v>
      </c>
      <c r="G46" s="47" t="s">
        <v>227</v>
      </c>
      <c r="H46" s="47" t="s">
        <v>258</v>
      </c>
      <c r="I46" s="55" t="n">
        <v>1000</v>
      </c>
      <c r="J46" s="56" t="n">
        <v>2</v>
      </c>
      <c r="K46" s="54" t="s">
        <v>142</v>
      </c>
      <c r="L46" s="57" t="n">
        <v>0.028</v>
      </c>
      <c r="N46" s="47" t="s">
        <v>148</v>
      </c>
      <c r="O46" s="47" t="s">
        <v>259</v>
      </c>
      <c r="P46" s="47"/>
      <c r="Q46" s="48" t="n">
        <f aca="false">IF($J46="","",IFERROR(IF($J46&lt;=1,INDEX(VN_국채일별!$B$4:$B$1436,MATCH($B46,VN_국채일별!$A$4:$A$1436,1)),IF($J46&lt;=2,INDEX(VN_국채일별!$B$4:$B$1436,MATCH($B46,VN_국채일별!$A$4:$A$1436,1))+(INDEX(VN_국채일별!$C$4:$C$1436,MATCH($B46,VN_국채일별!$A$4:$A$1436,1))-INDEX(VN_국채일별!$B$4:$B$1436,MATCH($B46,VN_국채일별!$A$4:$A$1436,1)))*($J46-1),IF($J46&lt;=3,INDEX(VN_국채일별!$C$4:$C$1436,MATCH($B46,VN_국채일별!$A$4:$A$1436,1))+(INDEX(VN_국채일별!$D$4:$D$1436,MATCH($B46,VN_국채일별!$A$4:$A$1436,1))-INDEX(VN_국채일별!$C$4:$C$1436,MATCH($B46,VN_국채일별!$A$4:$A$1436,1)))*($J46-2),IF($J46&lt;=5,INDEX(VN_국채일별!$D$4:$D$1436,MATCH($B46,VN_국채일별!$A$4:$A$1436,1))+(INDEX(VN_국채일별!$E$4:$E$1436,MATCH($B46,VN_국채일별!$A$4:$A$1436,1))-INDEX(VN_국채일별!$D$4:$D$1436,MATCH($B46,VN_국채일별!$A$4:$A$1436,1)))*($J46-3)/2,IF($J46&lt;=7,INDEX(VN_국채일별!$E$4:$E$1436,MATCH($B46,VN_국채일별!$A$4:$A$1436,1))+(INDEX(VN_국채일별!$F$4:$F$1436,MATCH($B46,VN_국채일별!$A$4:$A$1436,1))-INDEX(VN_국채일별!$E$4:$E$1436,MATCH($B46,VN_국채일별!$A$4:$A$1436,1)))*($J46-5)/2,IF($J46&lt;=10,INDEX(VN_국채일별!$F$4:$F$1436,MATCH($B46,VN_국채일별!$A$4:$A$1436,1))+(INDEX(VN_국채일별!$G$4:$G$1436,MATCH($B46,VN_국채일별!$A$4:$A$1436,1))-INDEX(VN_국채일별!$F$4:$F$1436,MATCH($B46,VN_국채일별!$A$4:$A$1436,1)))*($J46-7)/3,INDEX(VN_국채일별!$G$4:$G$1436,MATCH($B46,VN_국채일별!$A$4:$A$1436,1)))))))),""))</f>
        <v>0.00573</v>
      </c>
      <c r="R46" s="58" t="n">
        <f aca="false">IF(OR(L46="",Q46=""),"",(L46-Q46)*10000)</f>
        <v>222.7</v>
      </c>
      <c r="S46" s="30" t="n">
        <f aca="false">IF(AND(K46="고정",N46="N",J46&gt;=2,J46&lt;=4,I46&lt;&gt;""),1,0)</f>
        <v>1</v>
      </c>
      <c r="T46" s="59" t="n">
        <f aca="false">IF(S46=1,I46*L46,0)</f>
        <v>28</v>
      </c>
      <c r="U46" s="60" t="n">
        <f aca="false">IF(AND(S46=1,ISNUMBER(R46)),I46*R46,0)</f>
        <v>222700</v>
      </c>
      <c r="V46" s="30" t="n">
        <f aca="false">IF(AND(F46="Big4(국영)",K46="고정",N46="N",I46&lt;&gt;""),1,0)</f>
        <v>0</v>
      </c>
      <c r="W46" s="59" t="n">
        <f aca="false">IF(V46=1,I46*L46,0)</f>
        <v>0</v>
      </c>
      <c r="X46" s="60" t="n">
        <f aca="false">IF(AND(V46=1,ISNUMBER(R46)),I46*R46,0)</f>
        <v>0</v>
      </c>
      <c r="Y46" s="61" t="n">
        <f aca="false">IF(AND(S46=1,ISNUMBER(R46)),I46,0)</f>
        <v>1000</v>
      </c>
      <c r="Z46" s="61" t="n">
        <f aca="false">IF(AND(V46=1,ISNUMBER(R46)),I46,0)</f>
        <v>0</v>
      </c>
    </row>
    <row r="47" customFormat="false" ht="15" hidden="false" customHeight="false" outlineLevel="0" collapsed="false">
      <c r="A47" s="47" t="s">
        <v>234</v>
      </c>
      <c r="B47" s="52" t="n">
        <v>44544</v>
      </c>
      <c r="C47" s="53" t="n">
        <f aca="false">DATE(YEAR(B47),MONTH(B47),1)</f>
        <v>44531</v>
      </c>
      <c r="D47" s="5" t="str">
        <f aca="false">YEAR(B47)&amp;"Q"&amp;ROUNDUP(MONTH(B47)/3,0)</f>
        <v>2021Q4</v>
      </c>
      <c r="E47" s="47" t="s">
        <v>248</v>
      </c>
      <c r="F47" s="54" t="s">
        <v>139</v>
      </c>
      <c r="G47" s="47" t="s">
        <v>260</v>
      </c>
      <c r="H47" s="47" t="s">
        <v>261</v>
      </c>
      <c r="I47" s="55" t="n">
        <v>200</v>
      </c>
      <c r="J47" s="56" t="n">
        <v>7</v>
      </c>
      <c r="K47" s="54" t="s">
        <v>153</v>
      </c>
      <c r="N47" s="47" t="s">
        <v>143</v>
      </c>
      <c r="O47" s="47" t="s">
        <v>262</v>
      </c>
      <c r="P47" s="47"/>
      <c r="Q47" s="48" t="n">
        <f aca="false">IF($J47="","",IFERROR(IF($J47&lt;=1,INDEX(VN_국채일별!$B$4:$B$1436,MATCH($B47,VN_국채일별!$A$4:$A$1436,1)),IF($J47&lt;=2,INDEX(VN_국채일별!$B$4:$B$1436,MATCH($B47,VN_국채일별!$A$4:$A$1436,1))+(INDEX(VN_국채일별!$C$4:$C$1436,MATCH($B47,VN_국채일별!$A$4:$A$1436,1))-INDEX(VN_국채일별!$B$4:$B$1436,MATCH($B47,VN_국채일별!$A$4:$A$1436,1)))*($J47-1),IF($J47&lt;=3,INDEX(VN_국채일별!$C$4:$C$1436,MATCH($B47,VN_국채일별!$A$4:$A$1436,1))+(INDEX(VN_국채일별!$D$4:$D$1436,MATCH($B47,VN_국채일별!$A$4:$A$1436,1))-INDEX(VN_국채일별!$C$4:$C$1436,MATCH($B47,VN_국채일별!$A$4:$A$1436,1)))*($J47-2),IF($J47&lt;=5,INDEX(VN_국채일별!$D$4:$D$1436,MATCH($B47,VN_국채일별!$A$4:$A$1436,1))+(INDEX(VN_국채일별!$E$4:$E$1436,MATCH($B47,VN_국채일별!$A$4:$A$1436,1))-INDEX(VN_국채일별!$D$4:$D$1436,MATCH($B47,VN_국채일별!$A$4:$A$1436,1)))*($J47-3)/2,IF($J47&lt;=7,INDEX(VN_국채일별!$E$4:$E$1436,MATCH($B47,VN_국채일별!$A$4:$A$1436,1))+(INDEX(VN_국채일별!$F$4:$F$1436,MATCH($B47,VN_국채일별!$A$4:$A$1436,1))-INDEX(VN_국채일별!$E$4:$E$1436,MATCH($B47,VN_국채일별!$A$4:$A$1436,1)))*($J47-5)/2,IF($J47&lt;=10,INDEX(VN_국채일별!$F$4:$F$1436,MATCH($B47,VN_국채일별!$A$4:$A$1436,1))+(INDEX(VN_국채일별!$G$4:$G$1436,MATCH($B47,VN_국채일별!$A$4:$A$1436,1))-INDEX(VN_국채일별!$F$4:$F$1436,MATCH($B47,VN_국채일별!$A$4:$A$1436,1)))*($J47-7)/3,INDEX(VN_국채일별!$G$4:$G$1436,MATCH($B47,VN_국채일별!$A$4:$A$1436,1)))))))),""))</f>
        <v>0.01202</v>
      </c>
      <c r="R47" s="58" t="str">
        <f aca="false">IF(OR(L47="",Q47=""),"",(L47-Q47)*10000)</f>
        <v/>
      </c>
      <c r="S47" s="30" t="n">
        <f aca="false">IF(AND(K47="고정",N47="N",J47&gt;=2,J47&lt;=4,I47&lt;&gt;""),1,0)</f>
        <v>0</v>
      </c>
      <c r="T47" s="59" t="n">
        <f aca="false">IF(S47=1,I47*L47,0)</f>
        <v>0</v>
      </c>
      <c r="U47" s="60" t="n">
        <f aca="false">IF(AND(S47=1,ISNUMBER(R47)),I47*R47,0)</f>
        <v>0</v>
      </c>
      <c r="V47" s="30" t="n">
        <f aca="false">IF(AND(F47="Big4(국영)",K47="고정",N47="N",I47&lt;&gt;""),1,0)</f>
        <v>0</v>
      </c>
      <c r="W47" s="59" t="n">
        <f aca="false">IF(V47=1,I47*L47,0)</f>
        <v>0</v>
      </c>
      <c r="X47" s="60" t="n">
        <f aca="false">IF(AND(V47=1,ISNUMBER(R47)),I47*R47,0)</f>
        <v>0</v>
      </c>
      <c r="Y47" s="61" t="n">
        <f aca="false">IF(AND(S47=1,ISNUMBER(R47)),I47,0)</f>
        <v>0</v>
      </c>
      <c r="Z47" s="61" t="n">
        <f aca="false">IF(AND(V47=1,ISNUMBER(R47)),I47,0)</f>
        <v>0</v>
      </c>
    </row>
    <row r="48" customFormat="false" ht="15" hidden="false" customHeight="false" outlineLevel="0" collapsed="false">
      <c r="A48" s="47" t="s">
        <v>234</v>
      </c>
      <c r="B48" s="52" t="n">
        <v>44544</v>
      </c>
      <c r="C48" s="53" t="n">
        <f aca="false">DATE(YEAR(B48),MONTH(B48),1)</f>
        <v>44531</v>
      </c>
      <c r="D48" s="5" t="str">
        <f aca="false">YEAR(B48)&amp;"Q"&amp;ROUNDUP(MONTH(B48)/3,0)</f>
        <v>2021Q4</v>
      </c>
      <c r="E48" s="47" t="s">
        <v>215</v>
      </c>
      <c r="F48" s="54" t="s">
        <v>139</v>
      </c>
      <c r="G48" s="47" t="s">
        <v>216</v>
      </c>
      <c r="H48" s="47" t="s">
        <v>263</v>
      </c>
      <c r="I48" s="55" t="n">
        <v>500</v>
      </c>
      <c r="J48" s="56" t="n">
        <v>1.5</v>
      </c>
      <c r="K48" s="54" t="s">
        <v>142</v>
      </c>
      <c r="L48" s="57" t="n">
        <v>0.032</v>
      </c>
      <c r="N48" s="47" t="s">
        <v>148</v>
      </c>
      <c r="O48" s="47" t="s">
        <v>237</v>
      </c>
      <c r="P48" s="47"/>
      <c r="Q48" s="48" t="n">
        <f aca="false">IF($J48="","",IFERROR(IF($J48&lt;=1,INDEX(VN_국채일별!$B$4:$B$1436,MATCH($B48,VN_국채일별!$A$4:$A$1436,1)),IF($J48&lt;=2,INDEX(VN_국채일별!$B$4:$B$1436,MATCH($B48,VN_국채일별!$A$4:$A$1436,1))+(INDEX(VN_국채일별!$C$4:$C$1436,MATCH($B48,VN_국채일별!$A$4:$A$1436,1))-INDEX(VN_국채일별!$B$4:$B$1436,MATCH($B48,VN_국채일별!$A$4:$A$1436,1)))*($J48-1),IF($J48&lt;=3,INDEX(VN_국채일별!$C$4:$C$1436,MATCH($B48,VN_국채일별!$A$4:$A$1436,1))+(INDEX(VN_국채일별!$D$4:$D$1436,MATCH($B48,VN_국채일별!$A$4:$A$1436,1))-INDEX(VN_국채일별!$C$4:$C$1436,MATCH($B48,VN_국채일별!$A$4:$A$1436,1)))*($J48-2),IF($J48&lt;=5,INDEX(VN_국채일별!$D$4:$D$1436,MATCH($B48,VN_국채일별!$A$4:$A$1436,1))+(INDEX(VN_국채일별!$E$4:$E$1436,MATCH($B48,VN_국채일별!$A$4:$A$1436,1))-INDEX(VN_국채일별!$D$4:$D$1436,MATCH($B48,VN_국채일별!$A$4:$A$1436,1)))*($J48-3)/2,IF($J48&lt;=7,INDEX(VN_국채일별!$E$4:$E$1436,MATCH($B48,VN_국채일별!$A$4:$A$1436,1))+(INDEX(VN_국채일별!$F$4:$F$1436,MATCH($B48,VN_국채일별!$A$4:$A$1436,1))-INDEX(VN_국채일별!$E$4:$E$1436,MATCH($B48,VN_국채일별!$A$4:$A$1436,1)))*($J48-5)/2,IF($J48&lt;=10,INDEX(VN_국채일별!$F$4:$F$1436,MATCH($B48,VN_국채일별!$A$4:$A$1436,1))+(INDEX(VN_국채일별!$G$4:$G$1436,MATCH($B48,VN_국채일별!$A$4:$A$1436,1))-INDEX(VN_국채일별!$F$4:$F$1436,MATCH($B48,VN_국채일별!$A$4:$A$1436,1)))*($J48-7)/3,INDEX(VN_국채일별!$G$4:$G$1436,MATCH($B48,VN_국채일별!$A$4:$A$1436,1)))))))),""))</f>
        <v>0.00548</v>
      </c>
      <c r="R48" s="58" t="n">
        <f aca="false">IF(OR(L48="",Q48=""),"",(L48-Q48)*10000)</f>
        <v>265.2</v>
      </c>
      <c r="S48" s="30" t="n">
        <f aca="false">IF(AND(K48="고정",N48="N",J48&gt;=2,J48&lt;=4,I48&lt;&gt;""),1,0)</f>
        <v>0</v>
      </c>
      <c r="T48" s="59" t="n">
        <f aca="false">IF(S48=1,I48*L48,0)</f>
        <v>0</v>
      </c>
      <c r="U48" s="60" t="n">
        <f aca="false">IF(AND(S48=1,ISNUMBER(R48)),I48*R48,0)</f>
        <v>0</v>
      </c>
      <c r="V48" s="30" t="n">
        <f aca="false">IF(AND(F48="Big4(국영)",K48="고정",N48="N",I48&lt;&gt;""),1,0)</f>
        <v>0</v>
      </c>
      <c r="W48" s="59" t="n">
        <f aca="false">IF(V48=1,I48*L48,0)</f>
        <v>0</v>
      </c>
      <c r="X48" s="60" t="n">
        <f aca="false">IF(AND(V48=1,ISNUMBER(R48)),I48*R48,0)</f>
        <v>0</v>
      </c>
      <c r="Y48" s="61" t="n">
        <f aca="false">IF(AND(S48=1,ISNUMBER(R48)),I48,0)</f>
        <v>0</v>
      </c>
      <c r="Z48" s="61" t="n">
        <f aca="false">IF(AND(V48=1,ISNUMBER(R48)),I48,0)</f>
        <v>0</v>
      </c>
    </row>
    <row r="49" customFormat="false" ht="15" hidden="false" customHeight="false" outlineLevel="0" collapsed="false">
      <c r="A49" s="47" t="s">
        <v>234</v>
      </c>
      <c r="B49" s="52" t="n">
        <v>44545</v>
      </c>
      <c r="C49" s="53" t="n">
        <f aca="false">DATE(YEAR(B49),MONTH(B49),1)</f>
        <v>44531</v>
      </c>
      <c r="D49" s="5" t="str">
        <f aca="false">YEAR(B49)&amp;"Q"&amp;ROUNDUP(MONTH(B49)/3,0)</f>
        <v>2021Q4</v>
      </c>
      <c r="E49" s="47" t="s">
        <v>242</v>
      </c>
      <c r="F49" s="54" t="s">
        <v>139</v>
      </c>
      <c r="G49" s="47" t="s">
        <v>243</v>
      </c>
      <c r="H49" s="47" t="s">
        <v>264</v>
      </c>
      <c r="I49" s="55" t="n">
        <v>1000</v>
      </c>
      <c r="J49" s="56" t="n">
        <v>3</v>
      </c>
      <c r="K49" s="54" t="s">
        <v>153</v>
      </c>
      <c r="N49" s="47" t="s">
        <v>148</v>
      </c>
      <c r="O49" s="47"/>
      <c r="P49" s="47"/>
      <c r="Q49" s="48" t="n">
        <f aca="false">IF($J49="","",IFERROR(IF($J49&lt;=1,INDEX(VN_국채일별!$B$4:$B$1436,MATCH($B49,VN_국채일별!$A$4:$A$1436,1)),IF($J49&lt;=2,INDEX(VN_국채일별!$B$4:$B$1436,MATCH($B49,VN_국채일별!$A$4:$A$1436,1))+(INDEX(VN_국채일별!$C$4:$C$1436,MATCH($B49,VN_국채일별!$A$4:$A$1436,1))-INDEX(VN_국채일별!$B$4:$B$1436,MATCH($B49,VN_국채일별!$A$4:$A$1436,1)))*($J49-1),IF($J49&lt;=3,INDEX(VN_국채일별!$C$4:$C$1436,MATCH($B49,VN_국채일별!$A$4:$A$1436,1))+(INDEX(VN_국채일별!$D$4:$D$1436,MATCH($B49,VN_국채일별!$A$4:$A$1436,1))-INDEX(VN_국채일별!$C$4:$C$1436,MATCH($B49,VN_국채일별!$A$4:$A$1436,1)))*($J49-2),IF($J49&lt;=5,INDEX(VN_국채일별!$D$4:$D$1436,MATCH($B49,VN_국채일별!$A$4:$A$1436,1))+(INDEX(VN_국채일별!$E$4:$E$1436,MATCH($B49,VN_국채일별!$A$4:$A$1436,1))-INDEX(VN_국채일별!$D$4:$D$1436,MATCH($B49,VN_국채일별!$A$4:$A$1436,1)))*($J49-3)/2,IF($J49&lt;=7,INDEX(VN_국채일별!$E$4:$E$1436,MATCH($B49,VN_국채일별!$A$4:$A$1436,1))+(INDEX(VN_국채일별!$F$4:$F$1436,MATCH($B49,VN_국채일별!$A$4:$A$1436,1))-INDEX(VN_국채일별!$E$4:$E$1436,MATCH($B49,VN_국채일별!$A$4:$A$1436,1)))*($J49-5)/2,IF($J49&lt;=10,INDEX(VN_국채일별!$F$4:$F$1436,MATCH($B49,VN_국채일별!$A$4:$A$1436,1))+(INDEX(VN_국채일별!$G$4:$G$1436,MATCH($B49,VN_국채일별!$A$4:$A$1436,1))-INDEX(VN_국채일별!$F$4:$F$1436,MATCH($B49,VN_국채일별!$A$4:$A$1436,1)))*($J49-7)/3,INDEX(VN_국채일별!$G$4:$G$1436,MATCH($B49,VN_국채일별!$A$4:$A$1436,1)))))))),""))</f>
        <v>0.00679</v>
      </c>
      <c r="R49" s="58" t="str">
        <f aca="false">IF(OR(L49="",Q49=""),"",(L49-Q49)*10000)</f>
        <v/>
      </c>
      <c r="S49" s="30" t="n">
        <f aca="false">IF(AND(K49="고정",N49="N",J49&gt;=2,J49&lt;=4,I49&lt;&gt;""),1,0)</f>
        <v>0</v>
      </c>
      <c r="T49" s="59" t="n">
        <f aca="false">IF(S49=1,I49*L49,0)</f>
        <v>0</v>
      </c>
      <c r="U49" s="60" t="n">
        <f aca="false">IF(AND(S49=1,ISNUMBER(R49)),I49*R49,0)</f>
        <v>0</v>
      </c>
      <c r="V49" s="30" t="n">
        <f aca="false">IF(AND(F49="Big4(국영)",K49="고정",N49="N",I49&lt;&gt;""),1,0)</f>
        <v>0</v>
      </c>
      <c r="W49" s="59" t="n">
        <f aca="false">IF(V49=1,I49*L49,0)</f>
        <v>0</v>
      </c>
      <c r="X49" s="60" t="n">
        <f aca="false">IF(AND(V49=1,ISNUMBER(R49)),I49*R49,0)</f>
        <v>0</v>
      </c>
      <c r="Y49" s="61" t="n">
        <f aca="false">IF(AND(S49=1,ISNUMBER(R49)),I49,0)</f>
        <v>0</v>
      </c>
      <c r="Z49" s="61" t="n">
        <f aca="false">IF(AND(V49=1,ISNUMBER(R49)),I49,0)</f>
        <v>0</v>
      </c>
    </row>
    <row r="50" customFormat="false" ht="15" hidden="false" customHeight="false" outlineLevel="0" collapsed="false">
      <c r="A50" s="47" t="s">
        <v>234</v>
      </c>
      <c r="B50" s="52" t="n">
        <v>44545</v>
      </c>
      <c r="C50" s="53" t="n">
        <f aca="false">DATE(YEAR(B50),MONTH(B50),1)</f>
        <v>44531</v>
      </c>
      <c r="D50" s="5" t="str">
        <f aca="false">YEAR(B50)&amp;"Q"&amp;ROUNDUP(MONTH(B50)/3,0)</f>
        <v>2021Q4</v>
      </c>
      <c r="E50" s="47" t="s">
        <v>215</v>
      </c>
      <c r="F50" s="54" t="s">
        <v>139</v>
      </c>
      <c r="G50" s="47" t="s">
        <v>216</v>
      </c>
      <c r="H50" s="47" t="s">
        <v>265</v>
      </c>
      <c r="I50" s="55" t="n">
        <v>700</v>
      </c>
      <c r="J50" s="56" t="n">
        <v>3</v>
      </c>
      <c r="K50" s="54" t="s">
        <v>142</v>
      </c>
      <c r="L50" s="57" t="n">
        <v>0.036</v>
      </c>
      <c r="N50" s="47" t="s">
        <v>148</v>
      </c>
      <c r="O50" s="47" t="s">
        <v>266</v>
      </c>
      <c r="P50" s="47"/>
      <c r="Q50" s="48" t="n">
        <f aca="false">IF($J50="","",IFERROR(IF($J50&lt;=1,INDEX(VN_국채일별!$B$4:$B$1436,MATCH($B50,VN_국채일별!$A$4:$A$1436,1)),IF($J50&lt;=2,INDEX(VN_국채일별!$B$4:$B$1436,MATCH($B50,VN_국채일별!$A$4:$A$1436,1))+(INDEX(VN_국채일별!$C$4:$C$1436,MATCH($B50,VN_국채일별!$A$4:$A$1436,1))-INDEX(VN_국채일별!$B$4:$B$1436,MATCH($B50,VN_국채일별!$A$4:$A$1436,1)))*($J50-1),IF($J50&lt;=3,INDEX(VN_국채일별!$C$4:$C$1436,MATCH($B50,VN_국채일별!$A$4:$A$1436,1))+(INDEX(VN_국채일별!$D$4:$D$1436,MATCH($B50,VN_국채일별!$A$4:$A$1436,1))-INDEX(VN_국채일별!$C$4:$C$1436,MATCH($B50,VN_국채일별!$A$4:$A$1436,1)))*($J50-2),IF($J50&lt;=5,INDEX(VN_국채일별!$D$4:$D$1436,MATCH($B50,VN_국채일별!$A$4:$A$1436,1))+(INDEX(VN_국채일별!$E$4:$E$1436,MATCH($B50,VN_국채일별!$A$4:$A$1436,1))-INDEX(VN_국채일별!$D$4:$D$1436,MATCH($B50,VN_국채일별!$A$4:$A$1436,1)))*($J50-3)/2,IF($J50&lt;=7,INDEX(VN_국채일별!$E$4:$E$1436,MATCH($B50,VN_국채일별!$A$4:$A$1436,1))+(INDEX(VN_국채일별!$F$4:$F$1436,MATCH($B50,VN_국채일별!$A$4:$A$1436,1))-INDEX(VN_국채일별!$E$4:$E$1436,MATCH($B50,VN_국채일별!$A$4:$A$1436,1)))*($J50-5)/2,IF($J50&lt;=10,INDEX(VN_국채일별!$F$4:$F$1436,MATCH($B50,VN_국채일별!$A$4:$A$1436,1))+(INDEX(VN_국채일별!$G$4:$G$1436,MATCH($B50,VN_국채일별!$A$4:$A$1436,1))-INDEX(VN_국채일별!$F$4:$F$1436,MATCH($B50,VN_국채일별!$A$4:$A$1436,1)))*($J50-7)/3,INDEX(VN_국채일별!$G$4:$G$1436,MATCH($B50,VN_국채일별!$A$4:$A$1436,1)))))))),""))</f>
        <v>0.00679</v>
      </c>
      <c r="R50" s="58" t="n">
        <f aca="false">IF(OR(L50="",Q50=""),"",(L50-Q50)*10000)</f>
        <v>292.1</v>
      </c>
      <c r="S50" s="30" t="n">
        <f aca="false">IF(AND(K50="고정",N50="N",J50&gt;=2,J50&lt;=4,I50&lt;&gt;""),1,0)</f>
        <v>1</v>
      </c>
      <c r="T50" s="59" t="n">
        <f aca="false">IF(S50=1,I50*L50,0)</f>
        <v>25.2</v>
      </c>
      <c r="U50" s="60" t="n">
        <f aca="false">IF(AND(S50=1,ISNUMBER(R50)),I50*R50,0)</f>
        <v>204470</v>
      </c>
      <c r="V50" s="30" t="n">
        <f aca="false">IF(AND(F50="Big4(국영)",K50="고정",N50="N",I50&lt;&gt;""),1,0)</f>
        <v>0</v>
      </c>
      <c r="W50" s="59" t="n">
        <f aca="false">IF(V50=1,I50*L50,0)</f>
        <v>0</v>
      </c>
      <c r="X50" s="60" t="n">
        <f aca="false">IF(AND(V50=1,ISNUMBER(R50)),I50*R50,0)</f>
        <v>0</v>
      </c>
      <c r="Y50" s="61" t="n">
        <f aca="false">IF(AND(S50=1,ISNUMBER(R50)),I50,0)</f>
        <v>700</v>
      </c>
      <c r="Z50" s="61" t="n">
        <f aca="false">IF(AND(V50=1,ISNUMBER(R50)),I50,0)</f>
        <v>0</v>
      </c>
    </row>
    <row r="51" customFormat="false" ht="15" hidden="false" customHeight="false" outlineLevel="0" collapsed="false">
      <c r="A51" s="47" t="s">
        <v>234</v>
      </c>
      <c r="B51" s="52" t="n">
        <v>44545</v>
      </c>
      <c r="C51" s="53" t="n">
        <f aca="false">DATE(YEAR(B51),MONTH(B51),1)</f>
        <v>44531</v>
      </c>
      <c r="D51" s="5" t="str">
        <f aca="false">YEAR(B51)&amp;"Q"&amp;ROUNDUP(MONTH(B51)/3,0)</f>
        <v>2021Q4</v>
      </c>
      <c r="E51" s="47" t="s">
        <v>181</v>
      </c>
      <c r="F51" s="54" t="s">
        <v>139</v>
      </c>
      <c r="G51" s="47" t="s">
        <v>235</v>
      </c>
      <c r="H51" s="47" t="s">
        <v>267</v>
      </c>
      <c r="I51" s="55" t="n">
        <v>500</v>
      </c>
      <c r="J51" s="56" t="n">
        <v>3</v>
      </c>
      <c r="K51" s="54" t="s">
        <v>142</v>
      </c>
      <c r="L51" s="57" t="n">
        <v>0.032</v>
      </c>
      <c r="N51" s="47" t="s">
        <v>148</v>
      </c>
      <c r="O51" s="47" t="s">
        <v>237</v>
      </c>
      <c r="P51" s="47"/>
      <c r="Q51" s="48" t="n">
        <f aca="false">IF($J51="","",IFERROR(IF($J51&lt;=1,INDEX(VN_국채일별!$B$4:$B$1436,MATCH($B51,VN_국채일별!$A$4:$A$1436,1)),IF($J51&lt;=2,INDEX(VN_국채일별!$B$4:$B$1436,MATCH($B51,VN_국채일별!$A$4:$A$1436,1))+(INDEX(VN_국채일별!$C$4:$C$1436,MATCH($B51,VN_국채일별!$A$4:$A$1436,1))-INDEX(VN_국채일별!$B$4:$B$1436,MATCH($B51,VN_국채일별!$A$4:$A$1436,1)))*($J51-1),IF($J51&lt;=3,INDEX(VN_국채일별!$C$4:$C$1436,MATCH($B51,VN_국채일별!$A$4:$A$1436,1))+(INDEX(VN_국채일별!$D$4:$D$1436,MATCH($B51,VN_국채일별!$A$4:$A$1436,1))-INDEX(VN_국채일별!$C$4:$C$1436,MATCH($B51,VN_국채일별!$A$4:$A$1436,1)))*($J51-2),IF($J51&lt;=5,INDEX(VN_국채일별!$D$4:$D$1436,MATCH($B51,VN_국채일별!$A$4:$A$1436,1))+(INDEX(VN_국채일별!$E$4:$E$1436,MATCH($B51,VN_국채일별!$A$4:$A$1436,1))-INDEX(VN_국채일별!$D$4:$D$1436,MATCH($B51,VN_국채일별!$A$4:$A$1436,1)))*($J51-3)/2,IF($J51&lt;=7,INDEX(VN_국채일별!$E$4:$E$1436,MATCH($B51,VN_국채일별!$A$4:$A$1436,1))+(INDEX(VN_국채일별!$F$4:$F$1436,MATCH($B51,VN_국채일별!$A$4:$A$1436,1))-INDEX(VN_국채일별!$E$4:$E$1436,MATCH($B51,VN_국채일별!$A$4:$A$1436,1)))*($J51-5)/2,IF($J51&lt;=10,INDEX(VN_국채일별!$F$4:$F$1436,MATCH($B51,VN_국채일별!$A$4:$A$1436,1))+(INDEX(VN_국채일별!$G$4:$G$1436,MATCH($B51,VN_국채일별!$A$4:$A$1436,1))-INDEX(VN_국채일별!$F$4:$F$1436,MATCH($B51,VN_국채일별!$A$4:$A$1436,1)))*($J51-7)/3,INDEX(VN_국채일별!$G$4:$G$1436,MATCH($B51,VN_국채일별!$A$4:$A$1436,1)))))))),""))</f>
        <v>0.00679</v>
      </c>
      <c r="R51" s="58" t="n">
        <f aca="false">IF(OR(L51="",Q51=""),"",(L51-Q51)*10000)</f>
        <v>252.1</v>
      </c>
      <c r="S51" s="30" t="n">
        <f aca="false">IF(AND(K51="고정",N51="N",J51&gt;=2,J51&lt;=4,I51&lt;&gt;""),1,0)</f>
        <v>1</v>
      </c>
      <c r="T51" s="59" t="n">
        <f aca="false">IF(S51=1,I51*L51,0)</f>
        <v>16</v>
      </c>
      <c r="U51" s="60" t="n">
        <f aca="false">IF(AND(S51=1,ISNUMBER(R51)),I51*R51,0)</f>
        <v>126050</v>
      </c>
      <c r="V51" s="30" t="n">
        <f aca="false">IF(AND(F51="Big4(국영)",K51="고정",N51="N",I51&lt;&gt;""),1,0)</f>
        <v>0</v>
      </c>
      <c r="W51" s="59" t="n">
        <f aca="false">IF(V51=1,I51*L51,0)</f>
        <v>0</v>
      </c>
      <c r="X51" s="60" t="n">
        <f aca="false">IF(AND(V51=1,ISNUMBER(R51)),I51*R51,0)</f>
        <v>0</v>
      </c>
      <c r="Y51" s="61" t="n">
        <f aca="false">IF(AND(S51=1,ISNUMBER(R51)),I51,0)</f>
        <v>500</v>
      </c>
      <c r="Z51" s="61" t="n">
        <f aca="false">IF(AND(V51=1,ISNUMBER(R51)),I51,0)</f>
        <v>0</v>
      </c>
    </row>
    <row r="52" customFormat="false" ht="15" hidden="false" customHeight="false" outlineLevel="0" collapsed="false">
      <c r="A52" s="47" t="s">
        <v>234</v>
      </c>
      <c r="B52" s="52" t="n">
        <v>44545</v>
      </c>
      <c r="C52" s="53" t="n">
        <f aca="false">DATE(YEAR(B52),MONTH(B52),1)</f>
        <v>44531</v>
      </c>
      <c r="D52" s="5" t="str">
        <f aca="false">YEAR(B52)&amp;"Q"&amp;ROUNDUP(MONTH(B52)/3,0)</f>
        <v>2021Q4</v>
      </c>
      <c r="E52" s="47" t="s">
        <v>248</v>
      </c>
      <c r="F52" s="54" t="s">
        <v>139</v>
      </c>
      <c r="G52" s="47" t="s">
        <v>260</v>
      </c>
      <c r="H52" s="47" t="s">
        <v>268</v>
      </c>
      <c r="I52" s="55" t="n">
        <v>2000</v>
      </c>
      <c r="J52" s="56" t="n">
        <v>3</v>
      </c>
      <c r="K52" s="54" t="s">
        <v>142</v>
      </c>
      <c r="L52" s="57" t="n">
        <v>0.032</v>
      </c>
      <c r="N52" s="47" t="s">
        <v>148</v>
      </c>
      <c r="O52" s="47" t="s">
        <v>237</v>
      </c>
      <c r="P52" s="47"/>
      <c r="Q52" s="48" t="n">
        <f aca="false">IF($J52="","",IFERROR(IF($J52&lt;=1,INDEX(VN_국채일별!$B$4:$B$1436,MATCH($B52,VN_국채일별!$A$4:$A$1436,1)),IF($J52&lt;=2,INDEX(VN_국채일별!$B$4:$B$1436,MATCH($B52,VN_국채일별!$A$4:$A$1436,1))+(INDEX(VN_국채일별!$C$4:$C$1436,MATCH($B52,VN_국채일별!$A$4:$A$1436,1))-INDEX(VN_국채일별!$B$4:$B$1436,MATCH($B52,VN_국채일별!$A$4:$A$1436,1)))*($J52-1),IF($J52&lt;=3,INDEX(VN_국채일별!$C$4:$C$1436,MATCH($B52,VN_국채일별!$A$4:$A$1436,1))+(INDEX(VN_국채일별!$D$4:$D$1436,MATCH($B52,VN_국채일별!$A$4:$A$1436,1))-INDEX(VN_국채일별!$C$4:$C$1436,MATCH($B52,VN_국채일별!$A$4:$A$1436,1)))*($J52-2),IF($J52&lt;=5,INDEX(VN_국채일별!$D$4:$D$1436,MATCH($B52,VN_국채일별!$A$4:$A$1436,1))+(INDEX(VN_국채일별!$E$4:$E$1436,MATCH($B52,VN_국채일별!$A$4:$A$1436,1))-INDEX(VN_국채일별!$D$4:$D$1436,MATCH($B52,VN_국채일별!$A$4:$A$1436,1)))*($J52-3)/2,IF($J52&lt;=7,INDEX(VN_국채일별!$E$4:$E$1436,MATCH($B52,VN_국채일별!$A$4:$A$1436,1))+(INDEX(VN_국채일별!$F$4:$F$1436,MATCH($B52,VN_국채일별!$A$4:$A$1436,1))-INDEX(VN_국채일별!$E$4:$E$1436,MATCH($B52,VN_국채일별!$A$4:$A$1436,1)))*($J52-5)/2,IF($J52&lt;=10,INDEX(VN_국채일별!$F$4:$F$1436,MATCH($B52,VN_국채일별!$A$4:$A$1436,1))+(INDEX(VN_국채일별!$G$4:$G$1436,MATCH($B52,VN_국채일별!$A$4:$A$1436,1))-INDEX(VN_국채일별!$F$4:$F$1436,MATCH($B52,VN_국채일별!$A$4:$A$1436,1)))*($J52-7)/3,INDEX(VN_국채일별!$G$4:$G$1436,MATCH($B52,VN_국채일별!$A$4:$A$1436,1)))))))),""))</f>
        <v>0.00679</v>
      </c>
      <c r="R52" s="58" t="n">
        <f aca="false">IF(OR(L52="",Q52=""),"",(L52-Q52)*10000)</f>
        <v>252.1</v>
      </c>
      <c r="S52" s="30" t="n">
        <f aca="false">IF(AND(K52="고정",N52="N",J52&gt;=2,J52&lt;=4,I52&lt;&gt;""),1,0)</f>
        <v>1</v>
      </c>
      <c r="T52" s="59" t="n">
        <f aca="false">IF(S52=1,I52*L52,0)</f>
        <v>64</v>
      </c>
      <c r="U52" s="60" t="n">
        <f aca="false">IF(AND(S52=1,ISNUMBER(R52)),I52*R52,0)</f>
        <v>504200</v>
      </c>
      <c r="V52" s="30" t="n">
        <f aca="false">IF(AND(F52="Big4(국영)",K52="고정",N52="N",I52&lt;&gt;""),1,0)</f>
        <v>0</v>
      </c>
      <c r="W52" s="59" t="n">
        <f aca="false">IF(V52=1,I52*L52,0)</f>
        <v>0</v>
      </c>
      <c r="X52" s="60" t="n">
        <f aca="false">IF(AND(V52=1,ISNUMBER(R52)),I52*R52,0)</f>
        <v>0</v>
      </c>
      <c r="Y52" s="61" t="n">
        <f aca="false">IF(AND(S52=1,ISNUMBER(R52)),I52,0)</f>
        <v>2000</v>
      </c>
      <c r="Z52" s="61" t="n">
        <f aca="false">IF(AND(V52=1,ISNUMBER(R52)),I52,0)</f>
        <v>0</v>
      </c>
    </row>
    <row r="53" customFormat="false" ht="15" hidden="false" customHeight="false" outlineLevel="0" collapsed="false">
      <c r="A53" s="47" t="s">
        <v>234</v>
      </c>
      <c r="B53" s="52" t="n">
        <v>44546</v>
      </c>
      <c r="C53" s="53" t="n">
        <f aca="false">DATE(YEAR(B53),MONTH(B53),1)</f>
        <v>44531</v>
      </c>
      <c r="D53" s="5" t="str">
        <f aca="false">YEAR(B53)&amp;"Q"&amp;ROUNDUP(MONTH(B53)/3,0)</f>
        <v>2021Q4</v>
      </c>
      <c r="E53" s="47" t="s">
        <v>215</v>
      </c>
      <c r="F53" s="54" t="s">
        <v>139</v>
      </c>
      <c r="G53" s="47" t="s">
        <v>216</v>
      </c>
      <c r="H53" s="47" t="s">
        <v>269</v>
      </c>
      <c r="I53" s="55" t="n">
        <v>1000</v>
      </c>
      <c r="J53" s="56" t="n">
        <v>3</v>
      </c>
      <c r="K53" s="54" t="s">
        <v>142</v>
      </c>
      <c r="L53" s="57" t="n">
        <v>0.036</v>
      </c>
      <c r="N53" s="47" t="s">
        <v>148</v>
      </c>
      <c r="O53" s="47" t="s">
        <v>266</v>
      </c>
      <c r="P53" s="47"/>
      <c r="Q53" s="48" t="n">
        <f aca="false">IF($J53="","",IFERROR(IF($J53&lt;=1,INDEX(VN_국채일별!$B$4:$B$1436,MATCH($B53,VN_국채일별!$A$4:$A$1436,1)),IF($J53&lt;=2,INDEX(VN_국채일별!$B$4:$B$1436,MATCH($B53,VN_국채일별!$A$4:$A$1436,1))+(INDEX(VN_국채일별!$C$4:$C$1436,MATCH($B53,VN_국채일별!$A$4:$A$1436,1))-INDEX(VN_국채일별!$B$4:$B$1436,MATCH($B53,VN_국채일별!$A$4:$A$1436,1)))*($J53-1),IF($J53&lt;=3,INDEX(VN_국채일별!$C$4:$C$1436,MATCH($B53,VN_국채일별!$A$4:$A$1436,1))+(INDEX(VN_국채일별!$D$4:$D$1436,MATCH($B53,VN_국채일별!$A$4:$A$1436,1))-INDEX(VN_국채일별!$C$4:$C$1436,MATCH($B53,VN_국채일별!$A$4:$A$1436,1)))*($J53-2),IF($J53&lt;=5,INDEX(VN_국채일별!$D$4:$D$1436,MATCH($B53,VN_국채일별!$A$4:$A$1436,1))+(INDEX(VN_국채일별!$E$4:$E$1436,MATCH($B53,VN_국채일별!$A$4:$A$1436,1))-INDEX(VN_국채일별!$D$4:$D$1436,MATCH($B53,VN_국채일별!$A$4:$A$1436,1)))*($J53-3)/2,IF($J53&lt;=7,INDEX(VN_국채일별!$E$4:$E$1436,MATCH($B53,VN_국채일별!$A$4:$A$1436,1))+(INDEX(VN_국채일별!$F$4:$F$1436,MATCH($B53,VN_국채일별!$A$4:$A$1436,1))-INDEX(VN_국채일별!$E$4:$E$1436,MATCH($B53,VN_국채일별!$A$4:$A$1436,1)))*($J53-5)/2,IF($J53&lt;=10,INDEX(VN_국채일별!$F$4:$F$1436,MATCH($B53,VN_국채일별!$A$4:$A$1436,1))+(INDEX(VN_국채일별!$G$4:$G$1436,MATCH($B53,VN_국채일별!$A$4:$A$1436,1))-INDEX(VN_국채일별!$F$4:$F$1436,MATCH($B53,VN_국채일별!$A$4:$A$1436,1)))*($J53-7)/3,INDEX(VN_국채일별!$G$4:$G$1436,MATCH($B53,VN_국채일별!$A$4:$A$1436,1)))))))),""))</f>
        <v>0.00679</v>
      </c>
      <c r="R53" s="58" t="n">
        <f aca="false">IF(OR(L53="",Q53=""),"",(L53-Q53)*10000)</f>
        <v>292.1</v>
      </c>
      <c r="S53" s="30" t="n">
        <f aca="false">IF(AND(K53="고정",N53="N",J53&gt;=2,J53&lt;=4,I53&lt;&gt;""),1,0)</f>
        <v>1</v>
      </c>
      <c r="T53" s="59" t="n">
        <f aca="false">IF(S53=1,I53*L53,0)</f>
        <v>36</v>
      </c>
      <c r="U53" s="60" t="n">
        <f aca="false">IF(AND(S53=1,ISNUMBER(R53)),I53*R53,0)</f>
        <v>292100</v>
      </c>
      <c r="V53" s="30" t="n">
        <f aca="false">IF(AND(F53="Big4(국영)",K53="고정",N53="N",I53&lt;&gt;""),1,0)</f>
        <v>0</v>
      </c>
      <c r="W53" s="59" t="n">
        <f aca="false">IF(V53=1,I53*L53,0)</f>
        <v>0</v>
      </c>
      <c r="X53" s="60" t="n">
        <f aca="false">IF(AND(V53=1,ISNUMBER(R53)),I53*R53,0)</f>
        <v>0</v>
      </c>
      <c r="Y53" s="61" t="n">
        <f aca="false">IF(AND(S53=1,ISNUMBER(R53)),I53,0)</f>
        <v>1000</v>
      </c>
      <c r="Z53" s="61" t="n">
        <f aca="false">IF(AND(V53=1,ISNUMBER(R53)),I53,0)</f>
        <v>0</v>
      </c>
    </row>
    <row r="54" customFormat="false" ht="15" hidden="false" customHeight="false" outlineLevel="0" collapsed="false">
      <c r="A54" s="47" t="s">
        <v>234</v>
      </c>
      <c r="B54" s="52" t="n">
        <v>44546</v>
      </c>
      <c r="C54" s="53" t="n">
        <f aca="false">DATE(YEAR(B54),MONTH(B54),1)</f>
        <v>44531</v>
      </c>
      <c r="D54" s="5" t="str">
        <f aca="false">YEAR(B54)&amp;"Q"&amp;ROUNDUP(MONTH(B54)/3,0)</f>
        <v>2021Q4</v>
      </c>
      <c r="E54" s="47" t="s">
        <v>166</v>
      </c>
      <c r="F54" s="54" t="s">
        <v>139</v>
      </c>
      <c r="G54" s="47" t="s">
        <v>227</v>
      </c>
      <c r="H54" s="47" t="s">
        <v>270</v>
      </c>
      <c r="I54" s="55" t="n">
        <v>1000</v>
      </c>
      <c r="J54" s="56" t="n">
        <v>2</v>
      </c>
      <c r="K54" s="54" t="s">
        <v>142</v>
      </c>
      <c r="L54" s="57" t="n">
        <v>0.028</v>
      </c>
      <c r="N54" s="47" t="s">
        <v>148</v>
      </c>
      <c r="O54" s="47" t="s">
        <v>259</v>
      </c>
      <c r="P54" s="47"/>
      <c r="Q54" s="48" t="n">
        <f aca="false">IF($J54="","",IFERROR(IF($J54&lt;=1,INDEX(VN_국채일별!$B$4:$B$1436,MATCH($B54,VN_국채일별!$A$4:$A$1436,1)),IF($J54&lt;=2,INDEX(VN_국채일별!$B$4:$B$1436,MATCH($B54,VN_국채일별!$A$4:$A$1436,1))+(INDEX(VN_국채일별!$C$4:$C$1436,MATCH($B54,VN_국채일별!$A$4:$A$1436,1))-INDEX(VN_국채일별!$B$4:$B$1436,MATCH($B54,VN_국채일별!$A$4:$A$1436,1)))*($J54-1),IF($J54&lt;=3,INDEX(VN_국채일별!$C$4:$C$1436,MATCH($B54,VN_국채일별!$A$4:$A$1436,1))+(INDEX(VN_국채일별!$D$4:$D$1436,MATCH($B54,VN_국채일별!$A$4:$A$1436,1))-INDEX(VN_국채일별!$C$4:$C$1436,MATCH($B54,VN_국채일별!$A$4:$A$1436,1)))*($J54-2),IF($J54&lt;=5,INDEX(VN_국채일별!$D$4:$D$1436,MATCH($B54,VN_국채일별!$A$4:$A$1436,1))+(INDEX(VN_국채일별!$E$4:$E$1436,MATCH($B54,VN_국채일별!$A$4:$A$1436,1))-INDEX(VN_국채일별!$D$4:$D$1436,MATCH($B54,VN_국채일별!$A$4:$A$1436,1)))*($J54-3)/2,IF($J54&lt;=7,INDEX(VN_국채일별!$E$4:$E$1436,MATCH($B54,VN_국채일별!$A$4:$A$1436,1))+(INDEX(VN_국채일별!$F$4:$F$1436,MATCH($B54,VN_국채일별!$A$4:$A$1436,1))-INDEX(VN_국채일별!$E$4:$E$1436,MATCH($B54,VN_국채일별!$A$4:$A$1436,1)))*($J54-5)/2,IF($J54&lt;=10,INDEX(VN_국채일별!$F$4:$F$1436,MATCH($B54,VN_국채일별!$A$4:$A$1436,1))+(INDEX(VN_국채일별!$G$4:$G$1436,MATCH($B54,VN_국채일별!$A$4:$A$1436,1))-INDEX(VN_국채일별!$F$4:$F$1436,MATCH($B54,VN_국채일별!$A$4:$A$1436,1)))*($J54-7)/3,INDEX(VN_국채일별!$G$4:$G$1436,MATCH($B54,VN_국채일별!$A$4:$A$1436,1)))))))),""))</f>
        <v>0.00572</v>
      </c>
      <c r="R54" s="58" t="n">
        <f aca="false">IF(OR(L54="",Q54=""),"",(L54-Q54)*10000)</f>
        <v>222.8</v>
      </c>
      <c r="S54" s="30" t="n">
        <f aca="false">IF(AND(K54="고정",N54="N",J54&gt;=2,J54&lt;=4,I54&lt;&gt;""),1,0)</f>
        <v>1</v>
      </c>
      <c r="T54" s="59" t="n">
        <f aca="false">IF(S54=1,I54*L54,0)</f>
        <v>28</v>
      </c>
      <c r="U54" s="60" t="n">
        <f aca="false">IF(AND(S54=1,ISNUMBER(R54)),I54*R54,0)</f>
        <v>222800</v>
      </c>
      <c r="V54" s="30" t="n">
        <f aca="false">IF(AND(F54="Big4(국영)",K54="고정",N54="N",I54&lt;&gt;""),1,0)</f>
        <v>0</v>
      </c>
      <c r="W54" s="59" t="n">
        <f aca="false">IF(V54=1,I54*L54,0)</f>
        <v>0</v>
      </c>
      <c r="X54" s="60" t="n">
        <f aca="false">IF(AND(V54=1,ISNUMBER(R54)),I54*R54,0)</f>
        <v>0</v>
      </c>
      <c r="Y54" s="61" t="n">
        <f aca="false">IF(AND(S54=1,ISNUMBER(R54)),I54,0)</f>
        <v>1000</v>
      </c>
      <c r="Z54" s="61" t="n">
        <f aca="false">IF(AND(V54=1,ISNUMBER(R54)),I54,0)</f>
        <v>0</v>
      </c>
    </row>
    <row r="55" customFormat="false" ht="15" hidden="false" customHeight="false" outlineLevel="0" collapsed="false">
      <c r="A55" s="47" t="s">
        <v>234</v>
      </c>
      <c r="B55" s="52" t="n">
        <v>44547</v>
      </c>
      <c r="C55" s="53" t="n">
        <f aca="false">DATE(YEAR(B55),MONTH(B55),1)</f>
        <v>44531</v>
      </c>
      <c r="D55" s="5" t="str">
        <f aca="false">YEAR(B55)&amp;"Q"&amp;ROUNDUP(MONTH(B55)/3,0)</f>
        <v>2021Q4</v>
      </c>
      <c r="E55" s="47" t="s">
        <v>160</v>
      </c>
      <c r="F55" s="54" t="s">
        <v>139</v>
      </c>
      <c r="G55" s="47" t="s">
        <v>220</v>
      </c>
      <c r="H55" s="47" t="s">
        <v>271</v>
      </c>
      <c r="I55" s="55" t="n">
        <v>400</v>
      </c>
      <c r="J55" s="56" t="n">
        <v>7</v>
      </c>
      <c r="K55" s="54" t="s">
        <v>153</v>
      </c>
      <c r="N55" s="47" t="s">
        <v>143</v>
      </c>
      <c r="O55" s="47"/>
      <c r="P55" s="47"/>
      <c r="Q55" s="48" t="n">
        <f aca="false">IF($J55="","",IFERROR(IF($J55&lt;=1,INDEX(VN_국채일별!$B$4:$B$1436,MATCH($B55,VN_국채일별!$A$4:$A$1436,1)),IF($J55&lt;=2,INDEX(VN_국채일별!$B$4:$B$1436,MATCH($B55,VN_국채일별!$A$4:$A$1436,1))+(INDEX(VN_국채일별!$C$4:$C$1436,MATCH($B55,VN_국채일별!$A$4:$A$1436,1))-INDEX(VN_국채일별!$B$4:$B$1436,MATCH($B55,VN_국채일별!$A$4:$A$1436,1)))*($J55-1),IF($J55&lt;=3,INDEX(VN_국채일별!$C$4:$C$1436,MATCH($B55,VN_국채일별!$A$4:$A$1436,1))+(INDEX(VN_국채일별!$D$4:$D$1436,MATCH($B55,VN_국채일별!$A$4:$A$1436,1))-INDEX(VN_국채일별!$C$4:$C$1436,MATCH($B55,VN_국채일별!$A$4:$A$1436,1)))*($J55-2),IF($J55&lt;=5,INDEX(VN_국채일별!$D$4:$D$1436,MATCH($B55,VN_국채일별!$A$4:$A$1436,1))+(INDEX(VN_국채일별!$E$4:$E$1436,MATCH($B55,VN_국채일별!$A$4:$A$1436,1))-INDEX(VN_국채일별!$D$4:$D$1436,MATCH($B55,VN_국채일별!$A$4:$A$1436,1)))*($J55-3)/2,IF($J55&lt;=7,INDEX(VN_국채일별!$E$4:$E$1436,MATCH($B55,VN_국채일별!$A$4:$A$1436,1))+(INDEX(VN_국채일별!$F$4:$F$1436,MATCH($B55,VN_국채일별!$A$4:$A$1436,1))-INDEX(VN_국채일별!$E$4:$E$1436,MATCH($B55,VN_국채일별!$A$4:$A$1436,1)))*($J55-5)/2,IF($J55&lt;=10,INDEX(VN_국채일별!$F$4:$F$1436,MATCH($B55,VN_국채일별!$A$4:$A$1436,1))+(INDEX(VN_국채일별!$G$4:$G$1436,MATCH($B55,VN_국채일별!$A$4:$A$1436,1))-INDEX(VN_국채일별!$F$4:$F$1436,MATCH($B55,VN_국채일별!$A$4:$A$1436,1)))*($J55-7)/3,INDEX(VN_국채일별!$G$4:$G$1436,MATCH($B55,VN_국채일별!$A$4:$A$1436,1)))))))),""))</f>
        <v>0.01215</v>
      </c>
      <c r="R55" s="58" t="str">
        <f aca="false">IF(OR(L55="",Q55=""),"",(L55-Q55)*10000)</f>
        <v/>
      </c>
      <c r="S55" s="30" t="n">
        <f aca="false">IF(AND(K55="고정",N55="N",J55&gt;=2,J55&lt;=4,I55&lt;&gt;""),1,0)</f>
        <v>0</v>
      </c>
      <c r="T55" s="59" t="n">
        <f aca="false">IF(S55=1,I55*L55,0)</f>
        <v>0</v>
      </c>
      <c r="U55" s="60" t="n">
        <f aca="false">IF(AND(S55=1,ISNUMBER(R55)),I55*R55,0)</f>
        <v>0</v>
      </c>
      <c r="V55" s="30" t="n">
        <f aca="false">IF(AND(F55="Big4(국영)",K55="고정",N55="N",I55&lt;&gt;""),1,0)</f>
        <v>0</v>
      </c>
      <c r="W55" s="59" t="n">
        <f aca="false">IF(V55=1,I55*L55,0)</f>
        <v>0</v>
      </c>
      <c r="X55" s="60" t="n">
        <f aca="false">IF(AND(V55=1,ISNUMBER(R55)),I55*R55,0)</f>
        <v>0</v>
      </c>
      <c r="Y55" s="61" t="n">
        <f aca="false">IF(AND(S55=1,ISNUMBER(R55)),I55,0)</f>
        <v>0</v>
      </c>
      <c r="Z55" s="61" t="n">
        <f aca="false">IF(AND(V55=1,ISNUMBER(R55)),I55,0)</f>
        <v>0</v>
      </c>
    </row>
    <row r="56" customFormat="false" ht="15" hidden="false" customHeight="false" outlineLevel="0" collapsed="false">
      <c r="A56" s="47" t="s">
        <v>234</v>
      </c>
      <c r="B56" s="52" t="n">
        <v>44547</v>
      </c>
      <c r="C56" s="53" t="n">
        <f aca="false">DATE(YEAR(B56),MONTH(B56),1)</f>
        <v>44531</v>
      </c>
      <c r="D56" s="5" t="str">
        <f aca="false">YEAR(B56)&amp;"Q"&amp;ROUNDUP(MONTH(B56)/3,0)</f>
        <v>2021Q4</v>
      </c>
      <c r="E56" s="47" t="s">
        <v>138</v>
      </c>
      <c r="F56" s="54" t="s">
        <v>139</v>
      </c>
      <c r="G56" s="47" t="s">
        <v>272</v>
      </c>
      <c r="H56" s="47" t="s">
        <v>273</v>
      </c>
      <c r="I56" s="55" t="n">
        <v>1000</v>
      </c>
      <c r="J56" s="56" t="n">
        <v>3</v>
      </c>
      <c r="K56" s="54" t="s">
        <v>153</v>
      </c>
      <c r="N56" s="47" t="s">
        <v>148</v>
      </c>
      <c r="O56" s="47"/>
      <c r="P56" s="47"/>
      <c r="Q56" s="48" t="n">
        <f aca="false">IF($J56="","",IFERROR(IF($J56&lt;=1,INDEX(VN_국채일별!$B$4:$B$1436,MATCH($B56,VN_국채일별!$A$4:$A$1436,1)),IF($J56&lt;=2,INDEX(VN_국채일별!$B$4:$B$1436,MATCH($B56,VN_국채일별!$A$4:$A$1436,1))+(INDEX(VN_국채일별!$C$4:$C$1436,MATCH($B56,VN_국채일별!$A$4:$A$1436,1))-INDEX(VN_국채일별!$B$4:$B$1436,MATCH($B56,VN_국채일별!$A$4:$A$1436,1)))*($J56-1),IF($J56&lt;=3,INDEX(VN_국채일별!$C$4:$C$1436,MATCH($B56,VN_국채일별!$A$4:$A$1436,1))+(INDEX(VN_국채일별!$D$4:$D$1436,MATCH($B56,VN_국채일별!$A$4:$A$1436,1))-INDEX(VN_국채일별!$C$4:$C$1436,MATCH($B56,VN_국채일별!$A$4:$A$1436,1)))*($J56-2),IF($J56&lt;=5,INDEX(VN_국채일별!$D$4:$D$1436,MATCH($B56,VN_국채일별!$A$4:$A$1436,1))+(INDEX(VN_국채일별!$E$4:$E$1436,MATCH($B56,VN_국채일별!$A$4:$A$1436,1))-INDEX(VN_국채일별!$D$4:$D$1436,MATCH($B56,VN_국채일별!$A$4:$A$1436,1)))*($J56-3)/2,IF($J56&lt;=7,INDEX(VN_국채일별!$E$4:$E$1436,MATCH($B56,VN_국채일별!$A$4:$A$1436,1))+(INDEX(VN_국채일별!$F$4:$F$1436,MATCH($B56,VN_국채일별!$A$4:$A$1436,1))-INDEX(VN_국채일별!$E$4:$E$1436,MATCH($B56,VN_국채일별!$A$4:$A$1436,1)))*($J56-5)/2,IF($J56&lt;=10,INDEX(VN_국채일별!$F$4:$F$1436,MATCH($B56,VN_국채일별!$A$4:$A$1436,1))+(INDEX(VN_국채일별!$G$4:$G$1436,MATCH($B56,VN_국채일별!$A$4:$A$1436,1))-INDEX(VN_국채일별!$F$4:$F$1436,MATCH($B56,VN_국채일별!$A$4:$A$1436,1)))*($J56-7)/3,INDEX(VN_국채일별!$G$4:$G$1436,MATCH($B56,VN_국채일별!$A$4:$A$1436,1)))))))),""))</f>
        <v>0.00686</v>
      </c>
      <c r="R56" s="58" t="str">
        <f aca="false">IF(OR(L56="",Q56=""),"",(L56-Q56)*10000)</f>
        <v/>
      </c>
      <c r="S56" s="30" t="n">
        <f aca="false">IF(AND(K56="고정",N56="N",J56&gt;=2,J56&lt;=4,I56&lt;&gt;""),1,0)</f>
        <v>0</v>
      </c>
      <c r="T56" s="59" t="n">
        <f aca="false">IF(S56=1,I56*L56,0)</f>
        <v>0</v>
      </c>
      <c r="U56" s="60" t="n">
        <f aca="false">IF(AND(S56=1,ISNUMBER(R56)),I56*R56,0)</f>
        <v>0</v>
      </c>
      <c r="V56" s="30" t="n">
        <f aca="false">IF(AND(F56="Big4(국영)",K56="고정",N56="N",I56&lt;&gt;""),1,0)</f>
        <v>0</v>
      </c>
      <c r="W56" s="59" t="n">
        <f aca="false">IF(V56=1,I56*L56,0)</f>
        <v>0</v>
      </c>
      <c r="X56" s="60" t="n">
        <f aca="false">IF(AND(V56=1,ISNUMBER(R56)),I56*R56,0)</f>
        <v>0</v>
      </c>
      <c r="Y56" s="61" t="n">
        <f aca="false">IF(AND(S56=1,ISNUMBER(R56)),I56,0)</f>
        <v>0</v>
      </c>
      <c r="Z56" s="61" t="n">
        <f aca="false">IF(AND(V56=1,ISNUMBER(R56)),I56,0)</f>
        <v>0</v>
      </c>
    </row>
    <row r="57" customFormat="false" ht="15" hidden="false" customHeight="false" outlineLevel="0" collapsed="false">
      <c r="A57" s="47" t="s">
        <v>234</v>
      </c>
      <c r="B57" s="52" t="n">
        <v>44548</v>
      </c>
      <c r="C57" s="53" t="n">
        <f aca="false">DATE(YEAR(B57),MONTH(B57),1)</f>
        <v>44531</v>
      </c>
      <c r="D57" s="5" t="str">
        <f aca="false">YEAR(B57)&amp;"Q"&amp;ROUNDUP(MONTH(B57)/3,0)</f>
        <v>2021Q4</v>
      </c>
      <c r="E57" s="47" t="s">
        <v>160</v>
      </c>
      <c r="F57" s="54" t="s">
        <v>139</v>
      </c>
      <c r="G57" s="47" t="s">
        <v>220</v>
      </c>
      <c r="H57" s="47" t="s">
        <v>274</v>
      </c>
      <c r="I57" s="55" t="n">
        <v>299</v>
      </c>
      <c r="J57" s="56" t="n">
        <v>7</v>
      </c>
      <c r="K57" s="54" t="s">
        <v>153</v>
      </c>
      <c r="N57" s="47" t="s">
        <v>143</v>
      </c>
      <c r="O57" s="47"/>
      <c r="P57" s="47"/>
      <c r="Q57" s="48" t="n">
        <f aca="false">IF($J57="","",IFERROR(IF($J57&lt;=1,INDEX(VN_국채일별!$B$4:$B$1436,MATCH($B57,VN_국채일별!$A$4:$A$1436,1)),IF($J57&lt;=2,INDEX(VN_국채일별!$B$4:$B$1436,MATCH($B57,VN_국채일별!$A$4:$A$1436,1))+(INDEX(VN_국채일별!$C$4:$C$1436,MATCH($B57,VN_국채일별!$A$4:$A$1436,1))-INDEX(VN_국채일별!$B$4:$B$1436,MATCH($B57,VN_국채일별!$A$4:$A$1436,1)))*($J57-1),IF($J57&lt;=3,INDEX(VN_국채일별!$C$4:$C$1436,MATCH($B57,VN_국채일별!$A$4:$A$1436,1))+(INDEX(VN_국채일별!$D$4:$D$1436,MATCH($B57,VN_국채일별!$A$4:$A$1436,1))-INDEX(VN_국채일별!$C$4:$C$1436,MATCH($B57,VN_국채일별!$A$4:$A$1436,1)))*($J57-2),IF($J57&lt;=5,INDEX(VN_국채일별!$D$4:$D$1436,MATCH($B57,VN_국채일별!$A$4:$A$1436,1))+(INDEX(VN_국채일별!$E$4:$E$1436,MATCH($B57,VN_국채일별!$A$4:$A$1436,1))-INDEX(VN_국채일별!$D$4:$D$1436,MATCH($B57,VN_국채일별!$A$4:$A$1436,1)))*($J57-3)/2,IF($J57&lt;=7,INDEX(VN_국채일별!$E$4:$E$1436,MATCH($B57,VN_국채일별!$A$4:$A$1436,1))+(INDEX(VN_국채일별!$F$4:$F$1436,MATCH($B57,VN_국채일별!$A$4:$A$1436,1))-INDEX(VN_국채일별!$E$4:$E$1436,MATCH($B57,VN_국채일별!$A$4:$A$1436,1)))*($J57-5)/2,IF($J57&lt;=10,INDEX(VN_국채일별!$F$4:$F$1436,MATCH($B57,VN_국채일별!$A$4:$A$1436,1))+(INDEX(VN_국채일별!$G$4:$G$1436,MATCH($B57,VN_국채일별!$A$4:$A$1436,1))-INDEX(VN_국채일별!$F$4:$F$1436,MATCH($B57,VN_국채일별!$A$4:$A$1436,1)))*($J57-7)/3,INDEX(VN_국채일별!$G$4:$G$1436,MATCH($B57,VN_국채일별!$A$4:$A$1436,1)))))))),""))</f>
        <v>0.01215</v>
      </c>
      <c r="R57" s="58" t="str">
        <f aca="false">IF(OR(L57="",Q57=""),"",(L57-Q57)*10000)</f>
        <v/>
      </c>
      <c r="S57" s="30" t="n">
        <f aca="false">IF(AND(K57="고정",N57="N",J57&gt;=2,J57&lt;=4,I57&lt;&gt;""),1,0)</f>
        <v>0</v>
      </c>
      <c r="T57" s="59" t="n">
        <f aca="false">IF(S57=1,I57*L57,0)</f>
        <v>0</v>
      </c>
      <c r="U57" s="60" t="n">
        <f aca="false">IF(AND(S57=1,ISNUMBER(R57)),I57*R57,0)</f>
        <v>0</v>
      </c>
      <c r="V57" s="30" t="n">
        <f aca="false">IF(AND(F57="Big4(국영)",K57="고정",N57="N",I57&lt;&gt;""),1,0)</f>
        <v>0</v>
      </c>
      <c r="W57" s="59" t="n">
        <f aca="false">IF(V57=1,I57*L57,0)</f>
        <v>0</v>
      </c>
      <c r="X57" s="60" t="n">
        <f aca="false">IF(AND(V57=1,ISNUMBER(R57)),I57*R57,0)</f>
        <v>0</v>
      </c>
      <c r="Y57" s="61" t="n">
        <f aca="false">IF(AND(S57=1,ISNUMBER(R57)),I57,0)</f>
        <v>0</v>
      </c>
      <c r="Z57" s="61" t="n">
        <f aca="false">IF(AND(V57=1,ISNUMBER(R57)),I57,0)</f>
        <v>0</v>
      </c>
    </row>
    <row r="58" customFormat="false" ht="15" hidden="false" customHeight="false" outlineLevel="0" collapsed="false">
      <c r="A58" s="47" t="s">
        <v>234</v>
      </c>
      <c r="B58" s="52" t="n">
        <v>44550</v>
      </c>
      <c r="C58" s="53" t="n">
        <f aca="false">DATE(YEAR(B58),MONTH(B58),1)</f>
        <v>44531</v>
      </c>
      <c r="D58" s="5" t="str">
        <f aca="false">YEAR(B58)&amp;"Q"&amp;ROUNDUP(MONTH(B58)/3,0)</f>
        <v>2021Q4</v>
      </c>
      <c r="E58" s="47" t="s">
        <v>191</v>
      </c>
      <c r="F58" s="54" t="s">
        <v>139</v>
      </c>
      <c r="G58" s="47" t="s">
        <v>275</v>
      </c>
      <c r="H58" s="47" t="s">
        <v>276</v>
      </c>
      <c r="I58" s="55" t="n">
        <v>1000</v>
      </c>
      <c r="J58" s="56" t="n">
        <v>2</v>
      </c>
      <c r="K58" s="54" t="s">
        <v>142</v>
      </c>
      <c r="L58" s="57" t="n">
        <v>0.038</v>
      </c>
      <c r="N58" s="47" t="s">
        <v>148</v>
      </c>
      <c r="O58" s="47" t="s">
        <v>186</v>
      </c>
      <c r="P58" s="47"/>
      <c r="Q58" s="48" t="n">
        <f aca="false">IF($J58="","",IFERROR(IF($J58&lt;=1,INDEX(VN_국채일별!$B$4:$B$1436,MATCH($B58,VN_국채일별!$A$4:$A$1436,1)),IF($J58&lt;=2,INDEX(VN_국채일별!$B$4:$B$1436,MATCH($B58,VN_국채일별!$A$4:$A$1436,1))+(INDEX(VN_국채일별!$C$4:$C$1436,MATCH($B58,VN_국채일별!$A$4:$A$1436,1))-INDEX(VN_국채일별!$B$4:$B$1436,MATCH($B58,VN_국채일별!$A$4:$A$1436,1)))*($J58-1),IF($J58&lt;=3,INDEX(VN_국채일별!$C$4:$C$1436,MATCH($B58,VN_국채일별!$A$4:$A$1436,1))+(INDEX(VN_국채일별!$D$4:$D$1436,MATCH($B58,VN_국채일별!$A$4:$A$1436,1))-INDEX(VN_국채일별!$C$4:$C$1436,MATCH($B58,VN_국채일별!$A$4:$A$1436,1)))*($J58-2),IF($J58&lt;=5,INDEX(VN_국채일별!$D$4:$D$1436,MATCH($B58,VN_국채일별!$A$4:$A$1436,1))+(INDEX(VN_국채일별!$E$4:$E$1436,MATCH($B58,VN_국채일별!$A$4:$A$1436,1))-INDEX(VN_국채일별!$D$4:$D$1436,MATCH($B58,VN_국채일별!$A$4:$A$1436,1)))*($J58-3)/2,IF($J58&lt;=7,INDEX(VN_국채일별!$E$4:$E$1436,MATCH($B58,VN_국채일별!$A$4:$A$1436,1))+(INDEX(VN_국채일별!$F$4:$F$1436,MATCH($B58,VN_국채일별!$A$4:$A$1436,1))-INDEX(VN_국채일별!$E$4:$E$1436,MATCH($B58,VN_국채일별!$A$4:$A$1436,1)))*($J58-5)/2,IF($J58&lt;=10,INDEX(VN_국채일별!$F$4:$F$1436,MATCH($B58,VN_국채일별!$A$4:$A$1436,1))+(INDEX(VN_국채일별!$G$4:$G$1436,MATCH($B58,VN_국채일별!$A$4:$A$1436,1))-INDEX(VN_국채일별!$F$4:$F$1436,MATCH($B58,VN_국채일별!$A$4:$A$1436,1)))*($J58-7)/3,INDEX(VN_국채일별!$G$4:$G$1436,MATCH($B58,VN_국채일별!$A$4:$A$1436,1)))))))),""))</f>
        <v>0.00595</v>
      </c>
      <c r="R58" s="58" t="n">
        <f aca="false">IF(OR(L58="",Q58=""),"",(L58-Q58)*10000)</f>
        <v>320.5</v>
      </c>
      <c r="S58" s="30" t="n">
        <f aca="false">IF(AND(K58="고정",N58="N",J58&gt;=2,J58&lt;=4,I58&lt;&gt;""),1,0)</f>
        <v>1</v>
      </c>
      <c r="T58" s="59" t="n">
        <f aca="false">IF(S58=1,I58*L58,0)</f>
        <v>38</v>
      </c>
      <c r="U58" s="60" t="n">
        <f aca="false">IF(AND(S58=1,ISNUMBER(R58)),I58*R58,0)</f>
        <v>320500</v>
      </c>
      <c r="V58" s="30" t="n">
        <f aca="false">IF(AND(F58="Big4(국영)",K58="고정",N58="N",I58&lt;&gt;""),1,0)</f>
        <v>0</v>
      </c>
      <c r="W58" s="59" t="n">
        <f aca="false">IF(V58=1,I58*L58,0)</f>
        <v>0</v>
      </c>
      <c r="X58" s="60" t="n">
        <f aca="false">IF(AND(V58=1,ISNUMBER(R58)),I58*R58,0)</f>
        <v>0</v>
      </c>
      <c r="Y58" s="61" t="n">
        <f aca="false">IF(AND(S58=1,ISNUMBER(R58)),I58,0)</f>
        <v>1000</v>
      </c>
      <c r="Z58" s="61" t="n">
        <f aca="false">IF(AND(V58=1,ISNUMBER(R58)),I58,0)</f>
        <v>0</v>
      </c>
    </row>
    <row r="59" customFormat="false" ht="15" hidden="false" customHeight="false" outlineLevel="0" collapsed="false">
      <c r="A59" s="47" t="s">
        <v>234</v>
      </c>
      <c r="B59" s="52" t="n">
        <v>44550</v>
      </c>
      <c r="C59" s="53" t="n">
        <f aca="false">DATE(YEAR(B59),MONTH(B59),1)</f>
        <v>44531</v>
      </c>
      <c r="D59" s="5" t="str">
        <f aca="false">YEAR(B59)&amp;"Q"&amp;ROUNDUP(MONTH(B59)/3,0)</f>
        <v>2021Q4</v>
      </c>
      <c r="E59" s="47" t="s">
        <v>254</v>
      </c>
      <c r="F59" s="54" t="s">
        <v>139</v>
      </c>
      <c r="G59" s="47" t="s">
        <v>255</v>
      </c>
      <c r="H59" s="47" t="s">
        <v>277</v>
      </c>
      <c r="I59" s="55" t="n">
        <v>1000</v>
      </c>
      <c r="J59" s="56" t="n">
        <v>1</v>
      </c>
      <c r="K59" s="54" t="s">
        <v>142</v>
      </c>
      <c r="L59" s="57" t="n">
        <v>0.0245</v>
      </c>
      <c r="N59" s="47" t="s">
        <v>148</v>
      </c>
      <c r="O59" s="47" t="s">
        <v>278</v>
      </c>
      <c r="P59" s="47"/>
      <c r="Q59" s="48" t="n">
        <f aca="false">IF($J59="","",IFERROR(IF($J59&lt;=1,INDEX(VN_국채일별!$B$4:$B$1436,MATCH($B59,VN_국채일별!$A$4:$A$1436,1)),IF($J59&lt;=2,INDEX(VN_국채일별!$B$4:$B$1436,MATCH($B59,VN_국채일별!$A$4:$A$1436,1))+(INDEX(VN_국채일별!$C$4:$C$1436,MATCH($B59,VN_국채일별!$A$4:$A$1436,1))-INDEX(VN_국채일별!$B$4:$B$1436,MATCH($B59,VN_국채일별!$A$4:$A$1436,1)))*($J59-1),IF($J59&lt;=3,INDEX(VN_국채일별!$C$4:$C$1436,MATCH($B59,VN_국채일별!$A$4:$A$1436,1))+(INDEX(VN_국채일별!$D$4:$D$1436,MATCH($B59,VN_국채일별!$A$4:$A$1436,1))-INDEX(VN_국채일별!$C$4:$C$1436,MATCH($B59,VN_국채일별!$A$4:$A$1436,1)))*($J59-2),IF($J59&lt;=5,INDEX(VN_국채일별!$D$4:$D$1436,MATCH($B59,VN_국채일별!$A$4:$A$1436,1))+(INDEX(VN_국채일별!$E$4:$E$1436,MATCH($B59,VN_국채일별!$A$4:$A$1436,1))-INDEX(VN_국채일별!$D$4:$D$1436,MATCH($B59,VN_국채일별!$A$4:$A$1436,1)))*($J59-3)/2,IF($J59&lt;=7,INDEX(VN_국채일별!$E$4:$E$1436,MATCH($B59,VN_국채일별!$A$4:$A$1436,1))+(INDEX(VN_국채일별!$F$4:$F$1436,MATCH($B59,VN_국채일별!$A$4:$A$1436,1))-INDEX(VN_국채일별!$E$4:$E$1436,MATCH($B59,VN_국채일별!$A$4:$A$1436,1)))*($J59-5)/2,IF($J59&lt;=10,INDEX(VN_국채일별!$F$4:$F$1436,MATCH($B59,VN_국채일별!$A$4:$A$1436,1))+(INDEX(VN_국채일별!$G$4:$G$1436,MATCH($B59,VN_국채일별!$A$4:$A$1436,1))-INDEX(VN_국채일별!$F$4:$F$1436,MATCH($B59,VN_국채일별!$A$4:$A$1436,1)))*($J59-7)/3,INDEX(VN_국채일별!$G$4:$G$1436,MATCH($B59,VN_국채일별!$A$4:$A$1436,1)))))))),""))</f>
        <v>0.00571</v>
      </c>
      <c r="R59" s="58" t="n">
        <f aca="false">IF(OR(L59="",Q59=""),"",(L59-Q59)*10000)</f>
        <v>187.9</v>
      </c>
      <c r="S59" s="30" t="n">
        <f aca="false">IF(AND(K59="고정",N59="N",J59&gt;=2,J59&lt;=4,I59&lt;&gt;""),1,0)</f>
        <v>0</v>
      </c>
      <c r="T59" s="59" t="n">
        <f aca="false">IF(S59=1,I59*L59,0)</f>
        <v>0</v>
      </c>
      <c r="U59" s="60" t="n">
        <f aca="false">IF(AND(S59=1,ISNUMBER(R59)),I59*R59,0)</f>
        <v>0</v>
      </c>
      <c r="V59" s="30" t="n">
        <f aca="false">IF(AND(F59="Big4(국영)",K59="고정",N59="N",I59&lt;&gt;""),1,0)</f>
        <v>0</v>
      </c>
      <c r="W59" s="59" t="n">
        <f aca="false">IF(V59=1,I59*L59,0)</f>
        <v>0</v>
      </c>
      <c r="X59" s="60" t="n">
        <f aca="false">IF(AND(V59=1,ISNUMBER(R59)),I59*R59,0)</f>
        <v>0</v>
      </c>
      <c r="Y59" s="61" t="n">
        <f aca="false">IF(AND(S59=1,ISNUMBER(R59)),I59,0)</f>
        <v>0</v>
      </c>
      <c r="Z59" s="61" t="n">
        <f aca="false">IF(AND(V59=1,ISNUMBER(R59)),I59,0)</f>
        <v>0</v>
      </c>
    </row>
    <row r="60" customFormat="false" ht="15" hidden="false" customHeight="false" outlineLevel="0" collapsed="false">
      <c r="A60" s="47" t="s">
        <v>234</v>
      </c>
      <c r="B60" s="52" t="n">
        <v>44550</v>
      </c>
      <c r="C60" s="53" t="n">
        <f aca="false">DATE(YEAR(B60),MONTH(B60),1)</f>
        <v>44531</v>
      </c>
      <c r="D60" s="5" t="str">
        <f aca="false">YEAR(B60)&amp;"Q"&amp;ROUNDUP(MONTH(B60)/3,0)</f>
        <v>2021Q4</v>
      </c>
      <c r="E60" s="47" t="s">
        <v>223</v>
      </c>
      <c r="F60" s="54" t="s">
        <v>139</v>
      </c>
      <c r="G60" s="47" t="s">
        <v>224</v>
      </c>
      <c r="H60" s="47" t="s">
        <v>279</v>
      </c>
      <c r="I60" s="55" t="n">
        <v>200</v>
      </c>
      <c r="J60" s="56" t="n">
        <v>7</v>
      </c>
      <c r="K60" s="54" t="s">
        <v>153</v>
      </c>
      <c r="M60" s="57" t="n">
        <v>0.025</v>
      </c>
      <c r="N60" s="47" t="s">
        <v>143</v>
      </c>
      <c r="O60" s="47" t="s">
        <v>280</v>
      </c>
      <c r="P60" s="47"/>
      <c r="Q60" s="48" t="n">
        <f aca="false">IF($J60="","",IFERROR(IF($J60&lt;=1,INDEX(VN_국채일별!$B$4:$B$1436,MATCH($B60,VN_국채일별!$A$4:$A$1436,1)),IF($J60&lt;=2,INDEX(VN_국채일별!$B$4:$B$1436,MATCH($B60,VN_국채일별!$A$4:$A$1436,1))+(INDEX(VN_국채일별!$C$4:$C$1436,MATCH($B60,VN_국채일별!$A$4:$A$1436,1))-INDEX(VN_국채일별!$B$4:$B$1436,MATCH($B60,VN_국채일별!$A$4:$A$1436,1)))*($J60-1),IF($J60&lt;=3,INDEX(VN_국채일별!$C$4:$C$1436,MATCH($B60,VN_국채일별!$A$4:$A$1436,1))+(INDEX(VN_국채일별!$D$4:$D$1436,MATCH($B60,VN_국채일별!$A$4:$A$1436,1))-INDEX(VN_국채일별!$C$4:$C$1436,MATCH($B60,VN_국채일별!$A$4:$A$1436,1)))*($J60-2),IF($J60&lt;=5,INDEX(VN_국채일별!$D$4:$D$1436,MATCH($B60,VN_국채일별!$A$4:$A$1436,1))+(INDEX(VN_국채일별!$E$4:$E$1436,MATCH($B60,VN_국채일별!$A$4:$A$1436,1))-INDEX(VN_국채일별!$D$4:$D$1436,MATCH($B60,VN_국채일별!$A$4:$A$1436,1)))*($J60-3)/2,IF($J60&lt;=7,INDEX(VN_국채일별!$E$4:$E$1436,MATCH($B60,VN_국채일별!$A$4:$A$1436,1))+(INDEX(VN_국채일별!$F$4:$F$1436,MATCH($B60,VN_국채일별!$A$4:$A$1436,1))-INDEX(VN_국채일별!$E$4:$E$1436,MATCH($B60,VN_국채일별!$A$4:$A$1436,1)))*($J60-5)/2,IF($J60&lt;=10,INDEX(VN_국채일별!$F$4:$F$1436,MATCH($B60,VN_국채일별!$A$4:$A$1436,1))+(INDEX(VN_국채일별!$G$4:$G$1436,MATCH($B60,VN_국채일별!$A$4:$A$1436,1))-INDEX(VN_국채일별!$F$4:$F$1436,MATCH($B60,VN_국채일별!$A$4:$A$1436,1)))*($J60-7)/3,INDEX(VN_국채일별!$G$4:$G$1436,MATCH($B60,VN_국채일별!$A$4:$A$1436,1)))))))),""))</f>
        <v>0.01224</v>
      </c>
      <c r="R60" s="58" t="str">
        <f aca="false">IF(OR(L60="",Q60=""),"",(L60-Q60)*10000)</f>
        <v/>
      </c>
      <c r="S60" s="30" t="n">
        <f aca="false">IF(AND(K60="고정",N60="N",J60&gt;=2,J60&lt;=4,I60&lt;&gt;""),1,0)</f>
        <v>0</v>
      </c>
      <c r="T60" s="59" t="n">
        <f aca="false">IF(S60=1,I60*L60,0)</f>
        <v>0</v>
      </c>
      <c r="U60" s="60" t="n">
        <f aca="false">IF(AND(S60=1,ISNUMBER(R60)),I60*R60,0)</f>
        <v>0</v>
      </c>
      <c r="V60" s="30" t="n">
        <f aca="false">IF(AND(F60="Big4(국영)",K60="고정",N60="N",I60&lt;&gt;""),1,0)</f>
        <v>0</v>
      </c>
      <c r="W60" s="59" t="n">
        <f aca="false">IF(V60=1,I60*L60,0)</f>
        <v>0</v>
      </c>
      <c r="X60" s="60" t="n">
        <f aca="false">IF(AND(V60=1,ISNUMBER(R60)),I60*R60,0)</f>
        <v>0</v>
      </c>
      <c r="Y60" s="61" t="n">
        <f aca="false">IF(AND(S60=1,ISNUMBER(R60)),I60,0)</f>
        <v>0</v>
      </c>
      <c r="Z60" s="61" t="n">
        <f aca="false">IF(AND(V60=1,ISNUMBER(R60)),I60,0)</f>
        <v>0</v>
      </c>
    </row>
    <row r="61" customFormat="false" ht="15" hidden="false" customHeight="false" outlineLevel="0" collapsed="false">
      <c r="A61" s="47" t="s">
        <v>234</v>
      </c>
      <c r="B61" s="52" t="n">
        <v>44551</v>
      </c>
      <c r="C61" s="53" t="n">
        <f aca="false">DATE(YEAR(B61),MONTH(B61),1)</f>
        <v>44531</v>
      </c>
      <c r="D61" s="5" t="str">
        <f aca="false">YEAR(B61)&amp;"Q"&amp;ROUNDUP(MONTH(B61)/3,0)</f>
        <v>2021Q4</v>
      </c>
      <c r="E61" s="47" t="s">
        <v>150</v>
      </c>
      <c r="F61" s="54" t="s">
        <v>139</v>
      </c>
      <c r="G61" s="47" t="s">
        <v>212</v>
      </c>
      <c r="H61" s="47" t="s">
        <v>281</v>
      </c>
      <c r="I61" s="55" t="n">
        <v>1000</v>
      </c>
      <c r="J61" s="56" t="n">
        <v>3</v>
      </c>
      <c r="K61" s="54" t="s">
        <v>153</v>
      </c>
      <c r="N61" s="47" t="s">
        <v>148</v>
      </c>
      <c r="O61" s="47"/>
      <c r="P61" s="47"/>
      <c r="Q61" s="48" t="n">
        <f aca="false">IF($J61="","",IFERROR(IF($J61&lt;=1,INDEX(VN_국채일별!$B$4:$B$1436,MATCH($B61,VN_국채일별!$A$4:$A$1436,1)),IF($J61&lt;=2,INDEX(VN_국채일별!$B$4:$B$1436,MATCH($B61,VN_국채일별!$A$4:$A$1436,1))+(INDEX(VN_국채일별!$C$4:$C$1436,MATCH($B61,VN_국채일별!$A$4:$A$1436,1))-INDEX(VN_국채일별!$B$4:$B$1436,MATCH($B61,VN_국채일별!$A$4:$A$1436,1)))*($J61-1),IF($J61&lt;=3,INDEX(VN_국채일별!$C$4:$C$1436,MATCH($B61,VN_국채일별!$A$4:$A$1436,1))+(INDEX(VN_국채일별!$D$4:$D$1436,MATCH($B61,VN_국채일별!$A$4:$A$1436,1))-INDEX(VN_국채일별!$C$4:$C$1436,MATCH($B61,VN_국채일별!$A$4:$A$1436,1)))*($J61-2),IF($J61&lt;=5,INDEX(VN_국채일별!$D$4:$D$1436,MATCH($B61,VN_국채일별!$A$4:$A$1436,1))+(INDEX(VN_국채일별!$E$4:$E$1436,MATCH($B61,VN_국채일별!$A$4:$A$1436,1))-INDEX(VN_국채일별!$D$4:$D$1436,MATCH($B61,VN_국채일별!$A$4:$A$1436,1)))*($J61-3)/2,IF($J61&lt;=7,INDEX(VN_국채일별!$E$4:$E$1436,MATCH($B61,VN_국채일별!$A$4:$A$1436,1))+(INDEX(VN_국채일별!$F$4:$F$1436,MATCH($B61,VN_국채일별!$A$4:$A$1436,1))-INDEX(VN_국채일별!$E$4:$E$1436,MATCH($B61,VN_국채일별!$A$4:$A$1436,1)))*($J61-5)/2,IF($J61&lt;=10,INDEX(VN_국채일별!$F$4:$F$1436,MATCH($B61,VN_국채일별!$A$4:$A$1436,1))+(INDEX(VN_국채일별!$G$4:$G$1436,MATCH($B61,VN_국채일별!$A$4:$A$1436,1))-INDEX(VN_국채일별!$F$4:$F$1436,MATCH($B61,VN_국채일별!$A$4:$A$1436,1)))*($J61-7)/3,INDEX(VN_국채일별!$G$4:$G$1436,MATCH($B61,VN_국채일별!$A$4:$A$1436,1)))))))),""))</f>
        <v>0.00695</v>
      </c>
      <c r="R61" s="58" t="str">
        <f aca="false">IF(OR(L61="",Q61=""),"",(L61-Q61)*10000)</f>
        <v/>
      </c>
      <c r="S61" s="30" t="n">
        <f aca="false">IF(AND(K61="고정",N61="N",J61&gt;=2,J61&lt;=4,I61&lt;&gt;""),1,0)</f>
        <v>0</v>
      </c>
      <c r="T61" s="59" t="n">
        <f aca="false">IF(S61=1,I61*L61,0)</f>
        <v>0</v>
      </c>
      <c r="U61" s="60" t="n">
        <f aca="false">IF(AND(S61=1,ISNUMBER(R61)),I61*R61,0)</f>
        <v>0</v>
      </c>
      <c r="V61" s="30" t="n">
        <f aca="false">IF(AND(F61="Big4(국영)",K61="고정",N61="N",I61&lt;&gt;""),1,0)</f>
        <v>0</v>
      </c>
      <c r="W61" s="59" t="n">
        <f aca="false">IF(V61=1,I61*L61,0)</f>
        <v>0</v>
      </c>
      <c r="X61" s="60" t="n">
        <f aca="false">IF(AND(V61=1,ISNUMBER(R61)),I61*R61,0)</f>
        <v>0</v>
      </c>
      <c r="Y61" s="61" t="n">
        <f aca="false">IF(AND(S61=1,ISNUMBER(R61)),I61,0)</f>
        <v>0</v>
      </c>
      <c r="Z61" s="61" t="n">
        <f aca="false">IF(AND(V61=1,ISNUMBER(R61)),I61,0)</f>
        <v>0</v>
      </c>
    </row>
    <row r="62" customFormat="false" ht="15" hidden="false" customHeight="false" outlineLevel="0" collapsed="false">
      <c r="A62" s="47" t="s">
        <v>234</v>
      </c>
      <c r="B62" s="52" t="n">
        <v>44551</v>
      </c>
      <c r="C62" s="53" t="n">
        <f aca="false">DATE(YEAR(B62),MONTH(B62),1)</f>
        <v>44531</v>
      </c>
      <c r="D62" s="5" t="str">
        <f aca="false">YEAR(B62)&amp;"Q"&amp;ROUNDUP(MONTH(B62)/3,0)</f>
        <v>2021Q4</v>
      </c>
      <c r="E62" s="47" t="s">
        <v>242</v>
      </c>
      <c r="F62" s="54" t="s">
        <v>139</v>
      </c>
      <c r="G62" s="47" t="s">
        <v>243</v>
      </c>
      <c r="H62" s="47" t="s">
        <v>282</v>
      </c>
      <c r="I62" s="55" t="n">
        <v>990</v>
      </c>
      <c r="J62" s="56" t="n">
        <v>3</v>
      </c>
      <c r="K62" s="54" t="s">
        <v>153</v>
      </c>
      <c r="N62" s="47" t="s">
        <v>148</v>
      </c>
      <c r="O62" s="47"/>
      <c r="P62" s="47"/>
      <c r="Q62" s="48" t="n">
        <f aca="false">IF($J62="","",IFERROR(IF($J62&lt;=1,INDEX(VN_국채일별!$B$4:$B$1436,MATCH($B62,VN_국채일별!$A$4:$A$1436,1)),IF($J62&lt;=2,INDEX(VN_국채일별!$B$4:$B$1436,MATCH($B62,VN_국채일별!$A$4:$A$1436,1))+(INDEX(VN_국채일별!$C$4:$C$1436,MATCH($B62,VN_국채일별!$A$4:$A$1436,1))-INDEX(VN_국채일별!$B$4:$B$1436,MATCH($B62,VN_국채일별!$A$4:$A$1436,1)))*($J62-1),IF($J62&lt;=3,INDEX(VN_국채일별!$C$4:$C$1436,MATCH($B62,VN_국채일별!$A$4:$A$1436,1))+(INDEX(VN_국채일별!$D$4:$D$1436,MATCH($B62,VN_국채일별!$A$4:$A$1436,1))-INDEX(VN_국채일별!$C$4:$C$1436,MATCH($B62,VN_국채일별!$A$4:$A$1436,1)))*($J62-2),IF($J62&lt;=5,INDEX(VN_국채일별!$D$4:$D$1436,MATCH($B62,VN_국채일별!$A$4:$A$1436,1))+(INDEX(VN_국채일별!$E$4:$E$1436,MATCH($B62,VN_국채일별!$A$4:$A$1436,1))-INDEX(VN_국채일별!$D$4:$D$1436,MATCH($B62,VN_국채일별!$A$4:$A$1436,1)))*($J62-3)/2,IF($J62&lt;=7,INDEX(VN_국채일별!$E$4:$E$1436,MATCH($B62,VN_국채일별!$A$4:$A$1436,1))+(INDEX(VN_국채일별!$F$4:$F$1436,MATCH($B62,VN_국채일별!$A$4:$A$1436,1))-INDEX(VN_국채일별!$E$4:$E$1436,MATCH($B62,VN_국채일별!$A$4:$A$1436,1)))*($J62-5)/2,IF($J62&lt;=10,INDEX(VN_국채일별!$F$4:$F$1436,MATCH($B62,VN_국채일별!$A$4:$A$1436,1))+(INDEX(VN_국채일별!$G$4:$G$1436,MATCH($B62,VN_국채일별!$A$4:$A$1436,1))-INDEX(VN_국채일별!$F$4:$F$1436,MATCH($B62,VN_국채일별!$A$4:$A$1436,1)))*($J62-7)/3,INDEX(VN_국채일별!$G$4:$G$1436,MATCH($B62,VN_국채일별!$A$4:$A$1436,1)))))))),""))</f>
        <v>0.00695</v>
      </c>
      <c r="R62" s="58" t="str">
        <f aca="false">IF(OR(L62="",Q62=""),"",(L62-Q62)*10000)</f>
        <v/>
      </c>
      <c r="S62" s="30" t="n">
        <f aca="false">IF(AND(K62="고정",N62="N",J62&gt;=2,J62&lt;=4,I62&lt;&gt;""),1,0)</f>
        <v>0</v>
      </c>
      <c r="T62" s="59" t="n">
        <f aca="false">IF(S62=1,I62*L62,0)</f>
        <v>0</v>
      </c>
      <c r="U62" s="60" t="n">
        <f aca="false">IF(AND(S62=1,ISNUMBER(R62)),I62*R62,0)</f>
        <v>0</v>
      </c>
      <c r="V62" s="30" t="n">
        <f aca="false">IF(AND(F62="Big4(국영)",K62="고정",N62="N",I62&lt;&gt;""),1,0)</f>
        <v>0</v>
      </c>
      <c r="W62" s="59" t="n">
        <f aca="false">IF(V62=1,I62*L62,0)</f>
        <v>0</v>
      </c>
      <c r="X62" s="60" t="n">
        <f aca="false">IF(AND(V62=1,ISNUMBER(R62)),I62*R62,0)</f>
        <v>0</v>
      </c>
      <c r="Y62" s="61" t="n">
        <f aca="false">IF(AND(S62=1,ISNUMBER(R62)),I62,0)</f>
        <v>0</v>
      </c>
      <c r="Z62" s="61" t="n">
        <f aca="false">IF(AND(V62=1,ISNUMBER(R62)),I62,0)</f>
        <v>0</v>
      </c>
    </row>
    <row r="63" customFormat="false" ht="15" hidden="false" customHeight="false" outlineLevel="0" collapsed="false">
      <c r="A63" s="47" t="s">
        <v>234</v>
      </c>
      <c r="B63" s="52" t="n">
        <v>44551</v>
      </c>
      <c r="C63" s="53" t="n">
        <f aca="false">DATE(YEAR(B63),MONTH(B63),1)</f>
        <v>44531</v>
      </c>
      <c r="D63" s="5" t="str">
        <f aca="false">YEAR(B63)&amp;"Q"&amp;ROUNDUP(MONTH(B63)/3,0)</f>
        <v>2021Q4</v>
      </c>
      <c r="E63" s="47" t="s">
        <v>191</v>
      </c>
      <c r="F63" s="54" t="s">
        <v>139</v>
      </c>
      <c r="G63" s="47" t="s">
        <v>275</v>
      </c>
      <c r="H63" s="47" t="s">
        <v>283</v>
      </c>
      <c r="I63" s="55" t="n">
        <v>500</v>
      </c>
      <c r="J63" s="56" t="n">
        <v>2</v>
      </c>
      <c r="K63" s="54" t="s">
        <v>142</v>
      </c>
      <c r="L63" s="57" t="n">
        <v>0.038</v>
      </c>
      <c r="N63" s="47" t="s">
        <v>148</v>
      </c>
      <c r="O63" s="47" t="s">
        <v>186</v>
      </c>
      <c r="P63" s="47"/>
      <c r="Q63" s="48" t="n">
        <f aca="false">IF($J63="","",IFERROR(IF($J63&lt;=1,INDEX(VN_국채일별!$B$4:$B$1436,MATCH($B63,VN_국채일별!$A$4:$A$1436,1)),IF($J63&lt;=2,INDEX(VN_국채일별!$B$4:$B$1436,MATCH($B63,VN_국채일별!$A$4:$A$1436,1))+(INDEX(VN_국채일별!$C$4:$C$1436,MATCH($B63,VN_국채일별!$A$4:$A$1436,1))-INDEX(VN_국채일별!$B$4:$B$1436,MATCH($B63,VN_국채일별!$A$4:$A$1436,1)))*($J63-1),IF($J63&lt;=3,INDEX(VN_국채일별!$C$4:$C$1436,MATCH($B63,VN_국채일별!$A$4:$A$1436,1))+(INDEX(VN_국채일별!$D$4:$D$1436,MATCH($B63,VN_국채일별!$A$4:$A$1436,1))-INDEX(VN_국채일별!$C$4:$C$1436,MATCH($B63,VN_국채일별!$A$4:$A$1436,1)))*($J63-2),IF($J63&lt;=5,INDEX(VN_국채일별!$D$4:$D$1436,MATCH($B63,VN_국채일별!$A$4:$A$1436,1))+(INDEX(VN_국채일별!$E$4:$E$1436,MATCH($B63,VN_국채일별!$A$4:$A$1436,1))-INDEX(VN_국채일별!$D$4:$D$1436,MATCH($B63,VN_국채일별!$A$4:$A$1436,1)))*($J63-3)/2,IF($J63&lt;=7,INDEX(VN_국채일별!$E$4:$E$1436,MATCH($B63,VN_국채일별!$A$4:$A$1436,1))+(INDEX(VN_국채일별!$F$4:$F$1436,MATCH($B63,VN_국채일별!$A$4:$A$1436,1))-INDEX(VN_국채일별!$E$4:$E$1436,MATCH($B63,VN_국채일별!$A$4:$A$1436,1)))*($J63-5)/2,IF($J63&lt;=10,INDEX(VN_국채일별!$F$4:$F$1436,MATCH($B63,VN_국채일별!$A$4:$A$1436,1))+(INDEX(VN_국채일별!$G$4:$G$1436,MATCH($B63,VN_국채일별!$A$4:$A$1436,1))-INDEX(VN_국채일별!$F$4:$F$1436,MATCH($B63,VN_국채일별!$A$4:$A$1436,1)))*($J63-7)/3,INDEX(VN_국채일별!$G$4:$G$1436,MATCH($B63,VN_국채일별!$A$4:$A$1436,1)))))))),""))</f>
        <v>0.00611</v>
      </c>
      <c r="R63" s="58" t="n">
        <f aca="false">IF(OR(L63="",Q63=""),"",(L63-Q63)*10000)</f>
        <v>318.9</v>
      </c>
      <c r="S63" s="30" t="n">
        <f aca="false">IF(AND(K63="고정",N63="N",J63&gt;=2,J63&lt;=4,I63&lt;&gt;""),1,0)</f>
        <v>1</v>
      </c>
      <c r="T63" s="59" t="n">
        <f aca="false">IF(S63=1,I63*L63,0)</f>
        <v>19</v>
      </c>
      <c r="U63" s="60" t="n">
        <f aca="false">IF(AND(S63=1,ISNUMBER(R63)),I63*R63,0)</f>
        <v>159450</v>
      </c>
      <c r="V63" s="30" t="n">
        <f aca="false">IF(AND(F63="Big4(국영)",K63="고정",N63="N",I63&lt;&gt;""),1,0)</f>
        <v>0</v>
      </c>
      <c r="W63" s="59" t="n">
        <f aca="false">IF(V63=1,I63*L63,0)</f>
        <v>0</v>
      </c>
      <c r="X63" s="60" t="n">
        <f aca="false">IF(AND(V63=1,ISNUMBER(R63)),I63*R63,0)</f>
        <v>0</v>
      </c>
      <c r="Y63" s="61" t="n">
        <f aca="false">IF(AND(S63=1,ISNUMBER(R63)),I63,0)</f>
        <v>500</v>
      </c>
      <c r="Z63" s="61" t="n">
        <f aca="false">IF(AND(V63=1,ISNUMBER(R63)),I63,0)</f>
        <v>0</v>
      </c>
    </row>
    <row r="64" customFormat="false" ht="15" hidden="false" customHeight="false" outlineLevel="0" collapsed="false">
      <c r="A64" s="47" t="s">
        <v>234</v>
      </c>
      <c r="B64" s="52" t="n">
        <v>44551</v>
      </c>
      <c r="C64" s="53" t="n">
        <f aca="false">DATE(YEAR(B64),MONTH(B64),1)</f>
        <v>44531</v>
      </c>
      <c r="D64" s="5" t="str">
        <f aca="false">YEAR(B64)&amp;"Q"&amp;ROUNDUP(MONTH(B64)/3,0)</f>
        <v>2021Q4</v>
      </c>
      <c r="E64" s="47" t="s">
        <v>160</v>
      </c>
      <c r="F64" s="54" t="s">
        <v>139</v>
      </c>
      <c r="G64" s="47" t="s">
        <v>220</v>
      </c>
      <c r="H64" s="47" t="s">
        <v>284</v>
      </c>
      <c r="I64" s="55" t="n">
        <v>20</v>
      </c>
      <c r="J64" s="56" t="n">
        <v>7</v>
      </c>
      <c r="K64" s="54" t="s">
        <v>153</v>
      </c>
      <c r="N64" s="47" t="s">
        <v>143</v>
      </c>
      <c r="O64" s="47"/>
      <c r="P64" s="47"/>
      <c r="Q64" s="48" t="n">
        <f aca="false">IF($J64="","",IFERROR(IF($J64&lt;=1,INDEX(VN_국채일별!$B$4:$B$1436,MATCH($B64,VN_국채일별!$A$4:$A$1436,1)),IF($J64&lt;=2,INDEX(VN_국채일별!$B$4:$B$1436,MATCH($B64,VN_국채일별!$A$4:$A$1436,1))+(INDEX(VN_국채일별!$C$4:$C$1436,MATCH($B64,VN_국채일별!$A$4:$A$1436,1))-INDEX(VN_국채일별!$B$4:$B$1436,MATCH($B64,VN_국채일별!$A$4:$A$1436,1)))*($J64-1),IF($J64&lt;=3,INDEX(VN_국채일별!$C$4:$C$1436,MATCH($B64,VN_국채일별!$A$4:$A$1436,1))+(INDEX(VN_국채일별!$D$4:$D$1436,MATCH($B64,VN_국채일별!$A$4:$A$1436,1))-INDEX(VN_국채일별!$C$4:$C$1436,MATCH($B64,VN_국채일별!$A$4:$A$1436,1)))*($J64-2),IF($J64&lt;=5,INDEX(VN_국채일별!$D$4:$D$1436,MATCH($B64,VN_국채일별!$A$4:$A$1436,1))+(INDEX(VN_국채일별!$E$4:$E$1436,MATCH($B64,VN_국채일별!$A$4:$A$1436,1))-INDEX(VN_국채일별!$D$4:$D$1436,MATCH($B64,VN_국채일별!$A$4:$A$1436,1)))*($J64-3)/2,IF($J64&lt;=7,INDEX(VN_국채일별!$E$4:$E$1436,MATCH($B64,VN_국채일별!$A$4:$A$1436,1))+(INDEX(VN_국채일별!$F$4:$F$1436,MATCH($B64,VN_국채일별!$A$4:$A$1436,1))-INDEX(VN_국채일별!$E$4:$E$1436,MATCH($B64,VN_국채일별!$A$4:$A$1436,1)))*($J64-5)/2,IF($J64&lt;=10,INDEX(VN_국채일별!$F$4:$F$1436,MATCH($B64,VN_국채일별!$A$4:$A$1436,1))+(INDEX(VN_국채일별!$G$4:$G$1436,MATCH($B64,VN_국채일별!$A$4:$A$1436,1))-INDEX(VN_국채일별!$F$4:$F$1436,MATCH($B64,VN_국채일별!$A$4:$A$1436,1)))*($J64-7)/3,INDEX(VN_국채일별!$G$4:$G$1436,MATCH($B64,VN_국채일별!$A$4:$A$1436,1)))))))),""))</f>
        <v>0.0123</v>
      </c>
      <c r="R64" s="58" t="str">
        <f aca="false">IF(OR(L64="",Q64=""),"",(L64-Q64)*10000)</f>
        <v/>
      </c>
      <c r="S64" s="30" t="n">
        <f aca="false">IF(AND(K64="고정",N64="N",J64&gt;=2,J64&lt;=4,I64&lt;&gt;""),1,0)</f>
        <v>0</v>
      </c>
      <c r="T64" s="59" t="n">
        <f aca="false">IF(S64=1,I64*L64,0)</f>
        <v>0</v>
      </c>
      <c r="U64" s="60" t="n">
        <f aca="false">IF(AND(S64=1,ISNUMBER(R64)),I64*R64,0)</f>
        <v>0</v>
      </c>
      <c r="V64" s="30" t="n">
        <f aca="false">IF(AND(F64="Big4(국영)",K64="고정",N64="N",I64&lt;&gt;""),1,0)</f>
        <v>0</v>
      </c>
      <c r="W64" s="59" t="n">
        <f aca="false">IF(V64=1,I64*L64,0)</f>
        <v>0</v>
      </c>
      <c r="X64" s="60" t="n">
        <f aca="false">IF(AND(V64=1,ISNUMBER(R64)),I64*R64,0)</f>
        <v>0</v>
      </c>
      <c r="Y64" s="61" t="n">
        <f aca="false">IF(AND(S64=1,ISNUMBER(R64)),I64,0)</f>
        <v>0</v>
      </c>
      <c r="Z64" s="61" t="n">
        <f aca="false">IF(AND(V64=1,ISNUMBER(R64)),I64,0)</f>
        <v>0</v>
      </c>
    </row>
    <row r="65" customFormat="false" ht="15" hidden="false" customHeight="false" outlineLevel="0" collapsed="false">
      <c r="A65" s="47" t="s">
        <v>234</v>
      </c>
      <c r="B65" s="52" t="n">
        <v>44552</v>
      </c>
      <c r="C65" s="53" t="n">
        <f aca="false">DATE(YEAR(B65),MONTH(B65),1)</f>
        <v>44531</v>
      </c>
      <c r="D65" s="5" t="str">
        <f aca="false">YEAR(B65)&amp;"Q"&amp;ROUNDUP(MONTH(B65)/3,0)</f>
        <v>2021Q4</v>
      </c>
      <c r="E65" s="62" t="s">
        <v>285</v>
      </c>
      <c r="F65" s="62" t="s">
        <v>156</v>
      </c>
      <c r="G65" s="47" t="s">
        <v>286</v>
      </c>
      <c r="H65" s="47" t="s">
        <v>287</v>
      </c>
      <c r="I65" s="55" t="n">
        <v>600</v>
      </c>
      <c r="J65" s="56" t="n">
        <v>7</v>
      </c>
      <c r="K65" s="54" t="s">
        <v>153</v>
      </c>
      <c r="N65" s="47" t="s">
        <v>143</v>
      </c>
      <c r="O65" s="47"/>
      <c r="P65" s="47"/>
      <c r="Q65" s="48" t="n">
        <f aca="false">IF($J65="","",IFERROR(IF($J65&lt;=1,INDEX(VN_국채일별!$B$4:$B$1436,MATCH($B65,VN_국채일별!$A$4:$A$1436,1)),IF($J65&lt;=2,INDEX(VN_국채일별!$B$4:$B$1436,MATCH($B65,VN_국채일별!$A$4:$A$1436,1))+(INDEX(VN_국채일별!$C$4:$C$1436,MATCH($B65,VN_국채일별!$A$4:$A$1436,1))-INDEX(VN_국채일별!$B$4:$B$1436,MATCH($B65,VN_국채일별!$A$4:$A$1436,1)))*($J65-1),IF($J65&lt;=3,INDEX(VN_국채일별!$C$4:$C$1436,MATCH($B65,VN_국채일별!$A$4:$A$1436,1))+(INDEX(VN_국채일별!$D$4:$D$1436,MATCH($B65,VN_국채일별!$A$4:$A$1436,1))-INDEX(VN_국채일별!$C$4:$C$1436,MATCH($B65,VN_국채일별!$A$4:$A$1436,1)))*($J65-2),IF($J65&lt;=5,INDEX(VN_국채일별!$D$4:$D$1436,MATCH($B65,VN_국채일별!$A$4:$A$1436,1))+(INDEX(VN_국채일별!$E$4:$E$1436,MATCH($B65,VN_국채일별!$A$4:$A$1436,1))-INDEX(VN_국채일별!$D$4:$D$1436,MATCH($B65,VN_국채일별!$A$4:$A$1436,1)))*($J65-3)/2,IF($J65&lt;=7,INDEX(VN_국채일별!$E$4:$E$1436,MATCH($B65,VN_국채일별!$A$4:$A$1436,1))+(INDEX(VN_국채일별!$F$4:$F$1436,MATCH($B65,VN_국채일별!$A$4:$A$1436,1))-INDEX(VN_국채일별!$E$4:$E$1436,MATCH($B65,VN_국채일별!$A$4:$A$1436,1)))*($J65-5)/2,IF($J65&lt;=10,INDEX(VN_국채일별!$F$4:$F$1436,MATCH($B65,VN_국채일별!$A$4:$A$1436,1))+(INDEX(VN_국채일별!$G$4:$G$1436,MATCH($B65,VN_국채일별!$A$4:$A$1436,1))-INDEX(VN_국채일별!$F$4:$F$1436,MATCH($B65,VN_국채일별!$A$4:$A$1436,1)))*($J65-7)/3,INDEX(VN_국채일별!$G$4:$G$1436,MATCH($B65,VN_국채일별!$A$4:$A$1436,1)))))))),""))</f>
        <v>0.0124</v>
      </c>
      <c r="R65" s="58" t="str">
        <f aca="false">IF(OR(L65="",Q65=""),"",(L65-Q65)*10000)</f>
        <v/>
      </c>
      <c r="S65" s="30" t="n">
        <f aca="false">IF(AND(K65="고정",N65="N",J65&gt;=2,J65&lt;=4,I65&lt;&gt;""),1,0)</f>
        <v>0</v>
      </c>
      <c r="T65" s="59" t="n">
        <f aca="false">IF(S65=1,I65*L65,0)</f>
        <v>0</v>
      </c>
      <c r="U65" s="60" t="n">
        <f aca="false">IF(AND(S65=1,ISNUMBER(R65)),I65*R65,0)</f>
        <v>0</v>
      </c>
      <c r="V65" s="30" t="n">
        <f aca="false">IF(AND(F65="Big4(국영)",K65="고정",N65="N",I65&lt;&gt;""),1,0)</f>
        <v>0</v>
      </c>
      <c r="W65" s="59" t="n">
        <f aca="false">IF(V65=1,I65*L65,0)</f>
        <v>0</v>
      </c>
      <c r="X65" s="60" t="n">
        <f aca="false">IF(AND(V65=1,ISNUMBER(R65)),I65*R65,0)</f>
        <v>0</v>
      </c>
      <c r="Y65" s="61" t="n">
        <f aca="false">IF(AND(S65=1,ISNUMBER(R65)),I65,0)</f>
        <v>0</v>
      </c>
      <c r="Z65" s="61" t="n">
        <f aca="false">IF(AND(V65=1,ISNUMBER(R65)),I65,0)</f>
        <v>0</v>
      </c>
    </row>
    <row r="66" customFormat="false" ht="15" hidden="false" customHeight="false" outlineLevel="0" collapsed="false">
      <c r="A66" s="47" t="s">
        <v>234</v>
      </c>
      <c r="B66" s="52" t="n">
        <v>44552</v>
      </c>
      <c r="C66" s="53" t="n">
        <f aca="false">DATE(YEAR(B66),MONTH(B66),1)</f>
        <v>44531</v>
      </c>
      <c r="D66" s="5" t="str">
        <f aca="false">YEAR(B66)&amp;"Q"&amp;ROUNDUP(MONTH(B66)/3,0)</f>
        <v>2021Q4</v>
      </c>
      <c r="E66" s="47" t="s">
        <v>248</v>
      </c>
      <c r="F66" s="54" t="s">
        <v>139</v>
      </c>
      <c r="G66" s="47" t="s">
        <v>249</v>
      </c>
      <c r="H66" s="47" t="s">
        <v>288</v>
      </c>
      <c r="I66" s="55" t="n">
        <v>600</v>
      </c>
      <c r="J66" s="56" t="n">
        <v>4</v>
      </c>
      <c r="K66" s="54" t="s">
        <v>142</v>
      </c>
      <c r="L66" s="57" t="n">
        <v>0.038</v>
      </c>
      <c r="N66" s="47" t="s">
        <v>148</v>
      </c>
      <c r="O66" s="47" t="s">
        <v>186</v>
      </c>
      <c r="P66" s="47"/>
      <c r="Q66" s="48" t="n">
        <f aca="false">IF($J66="","",IFERROR(IF($J66&lt;=1,INDEX(VN_국채일별!$B$4:$B$1436,MATCH($B66,VN_국채일별!$A$4:$A$1436,1)),IF($J66&lt;=2,INDEX(VN_국채일별!$B$4:$B$1436,MATCH($B66,VN_국채일별!$A$4:$A$1436,1))+(INDEX(VN_국채일별!$C$4:$C$1436,MATCH($B66,VN_국채일별!$A$4:$A$1436,1))-INDEX(VN_국채일별!$B$4:$B$1436,MATCH($B66,VN_국채일별!$A$4:$A$1436,1)))*($J66-1),IF($J66&lt;=3,INDEX(VN_국채일별!$C$4:$C$1436,MATCH($B66,VN_국채일별!$A$4:$A$1436,1))+(INDEX(VN_국채일별!$D$4:$D$1436,MATCH($B66,VN_국채일별!$A$4:$A$1436,1))-INDEX(VN_국채일별!$C$4:$C$1436,MATCH($B66,VN_국채일별!$A$4:$A$1436,1)))*($J66-2),IF($J66&lt;=5,INDEX(VN_국채일별!$D$4:$D$1436,MATCH($B66,VN_국채일별!$A$4:$A$1436,1))+(INDEX(VN_국채일별!$E$4:$E$1436,MATCH($B66,VN_국채일별!$A$4:$A$1436,1))-INDEX(VN_국채일별!$D$4:$D$1436,MATCH($B66,VN_국채일별!$A$4:$A$1436,1)))*($J66-3)/2,IF($J66&lt;=7,INDEX(VN_국채일별!$E$4:$E$1436,MATCH($B66,VN_국채일별!$A$4:$A$1436,1))+(INDEX(VN_국채일별!$F$4:$F$1436,MATCH($B66,VN_국채일별!$A$4:$A$1436,1))-INDEX(VN_국채일별!$E$4:$E$1436,MATCH($B66,VN_국채일별!$A$4:$A$1436,1)))*($J66-5)/2,IF($J66&lt;=10,INDEX(VN_국채일별!$F$4:$F$1436,MATCH($B66,VN_국채일별!$A$4:$A$1436,1))+(INDEX(VN_국채일별!$G$4:$G$1436,MATCH($B66,VN_국채일별!$A$4:$A$1436,1))-INDEX(VN_국채일별!$F$4:$F$1436,MATCH($B66,VN_국채일별!$A$4:$A$1436,1)))*($J66-7)/3,INDEX(VN_국채일별!$G$4:$G$1436,MATCH($B66,VN_국채일별!$A$4:$A$1436,1)))))))),""))</f>
        <v>0.00749</v>
      </c>
      <c r="R66" s="58" t="n">
        <f aca="false">IF(OR(L66="",Q66=""),"",(L66-Q66)*10000)</f>
        <v>305.1</v>
      </c>
      <c r="S66" s="30" t="n">
        <f aca="false">IF(AND(K66="고정",N66="N",J66&gt;=2,J66&lt;=4,I66&lt;&gt;""),1,0)</f>
        <v>1</v>
      </c>
      <c r="T66" s="59" t="n">
        <f aca="false">IF(S66=1,I66*L66,0)</f>
        <v>22.8</v>
      </c>
      <c r="U66" s="60" t="n">
        <f aca="false">IF(AND(S66=1,ISNUMBER(R66)),I66*R66,0)</f>
        <v>183060</v>
      </c>
      <c r="V66" s="30" t="n">
        <f aca="false">IF(AND(F66="Big4(국영)",K66="고정",N66="N",I66&lt;&gt;""),1,0)</f>
        <v>0</v>
      </c>
      <c r="W66" s="59" t="n">
        <f aca="false">IF(V66=1,I66*L66,0)</f>
        <v>0</v>
      </c>
      <c r="X66" s="60" t="n">
        <f aca="false">IF(AND(V66=1,ISNUMBER(R66)),I66*R66,0)</f>
        <v>0</v>
      </c>
      <c r="Y66" s="61" t="n">
        <f aca="false">IF(AND(S66=1,ISNUMBER(R66)),I66,0)</f>
        <v>600</v>
      </c>
      <c r="Z66" s="61" t="n">
        <f aca="false">IF(AND(V66=1,ISNUMBER(R66)),I66,0)</f>
        <v>0</v>
      </c>
    </row>
    <row r="67" customFormat="false" ht="15" hidden="false" customHeight="false" outlineLevel="0" collapsed="false">
      <c r="A67" s="47" t="s">
        <v>234</v>
      </c>
      <c r="B67" s="52" t="n">
        <v>44552</v>
      </c>
      <c r="C67" s="53" t="n">
        <f aca="false">DATE(YEAR(B67),MONTH(B67),1)</f>
        <v>44531</v>
      </c>
      <c r="D67" s="5" t="str">
        <f aca="false">YEAR(B67)&amp;"Q"&amp;ROUNDUP(MONTH(B67)/3,0)</f>
        <v>2021Q4</v>
      </c>
      <c r="E67" s="47" t="s">
        <v>160</v>
      </c>
      <c r="F67" s="54" t="s">
        <v>139</v>
      </c>
      <c r="G67" s="47" t="s">
        <v>220</v>
      </c>
      <c r="H67" s="47" t="s">
        <v>289</v>
      </c>
      <c r="I67" s="55" t="n">
        <v>300</v>
      </c>
      <c r="J67" s="56" t="n">
        <v>7</v>
      </c>
      <c r="K67" s="54" t="s">
        <v>153</v>
      </c>
      <c r="N67" s="47" t="s">
        <v>143</v>
      </c>
      <c r="O67" s="47"/>
      <c r="P67" s="47"/>
      <c r="Q67" s="48" t="n">
        <f aca="false">IF($J67="","",IFERROR(IF($J67&lt;=1,INDEX(VN_국채일별!$B$4:$B$1436,MATCH($B67,VN_국채일별!$A$4:$A$1436,1)),IF($J67&lt;=2,INDEX(VN_국채일별!$B$4:$B$1436,MATCH($B67,VN_국채일별!$A$4:$A$1436,1))+(INDEX(VN_국채일별!$C$4:$C$1436,MATCH($B67,VN_국채일별!$A$4:$A$1436,1))-INDEX(VN_국채일별!$B$4:$B$1436,MATCH($B67,VN_국채일별!$A$4:$A$1436,1)))*($J67-1),IF($J67&lt;=3,INDEX(VN_국채일별!$C$4:$C$1436,MATCH($B67,VN_국채일별!$A$4:$A$1436,1))+(INDEX(VN_국채일별!$D$4:$D$1436,MATCH($B67,VN_국채일별!$A$4:$A$1436,1))-INDEX(VN_국채일별!$C$4:$C$1436,MATCH($B67,VN_국채일별!$A$4:$A$1436,1)))*($J67-2),IF($J67&lt;=5,INDEX(VN_국채일별!$D$4:$D$1436,MATCH($B67,VN_국채일별!$A$4:$A$1436,1))+(INDEX(VN_국채일별!$E$4:$E$1436,MATCH($B67,VN_국채일별!$A$4:$A$1436,1))-INDEX(VN_국채일별!$D$4:$D$1436,MATCH($B67,VN_국채일별!$A$4:$A$1436,1)))*($J67-3)/2,IF($J67&lt;=7,INDEX(VN_국채일별!$E$4:$E$1436,MATCH($B67,VN_국채일별!$A$4:$A$1436,1))+(INDEX(VN_국채일별!$F$4:$F$1436,MATCH($B67,VN_국채일별!$A$4:$A$1436,1))-INDEX(VN_국채일별!$E$4:$E$1436,MATCH($B67,VN_국채일별!$A$4:$A$1436,1)))*($J67-5)/2,IF($J67&lt;=10,INDEX(VN_국채일별!$F$4:$F$1436,MATCH($B67,VN_국채일별!$A$4:$A$1436,1))+(INDEX(VN_국채일별!$G$4:$G$1436,MATCH($B67,VN_국채일별!$A$4:$A$1436,1))-INDEX(VN_국채일별!$F$4:$F$1436,MATCH($B67,VN_국채일별!$A$4:$A$1436,1)))*($J67-7)/3,INDEX(VN_국채일별!$G$4:$G$1436,MATCH($B67,VN_국채일별!$A$4:$A$1436,1)))))))),""))</f>
        <v>0.0124</v>
      </c>
      <c r="R67" s="58" t="str">
        <f aca="false">IF(OR(L67="",Q67=""),"",(L67-Q67)*10000)</f>
        <v/>
      </c>
      <c r="S67" s="30" t="n">
        <f aca="false">IF(AND(K67="고정",N67="N",J67&gt;=2,J67&lt;=4,I67&lt;&gt;""),1,0)</f>
        <v>0</v>
      </c>
      <c r="T67" s="59" t="n">
        <f aca="false">IF(S67=1,I67*L67,0)</f>
        <v>0</v>
      </c>
      <c r="U67" s="60" t="n">
        <f aca="false">IF(AND(S67=1,ISNUMBER(R67)),I67*R67,0)</f>
        <v>0</v>
      </c>
      <c r="V67" s="30" t="n">
        <f aca="false">IF(AND(F67="Big4(국영)",K67="고정",N67="N",I67&lt;&gt;""),1,0)</f>
        <v>0</v>
      </c>
      <c r="W67" s="59" t="n">
        <f aca="false">IF(V67=1,I67*L67,0)</f>
        <v>0</v>
      </c>
      <c r="X67" s="60" t="n">
        <f aca="false">IF(AND(V67=1,ISNUMBER(R67)),I67*R67,0)</f>
        <v>0</v>
      </c>
      <c r="Y67" s="61" t="n">
        <f aca="false">IF(AND(S67=1,ISNUMBER(R67)),I67,0)</f>
        <v>0</v>
      </c>
      <c r="Z67" s="61" t="n">
        <f aca="false">IF(AND(V67=1,ISNUMBER(R67)),I67,0)</f>
        <v>0</v>
      </c>
    </row>
    <row r="68" customFormat="false" ht="15" hidden="false" customHeight="false" outlineLevel="0" collapsed="false">
      <c r="A68" s="47" t="s">
        <v>234</v>
      </c>
      <c r="B68" s="52" t="n">
        <v>44552</v>
      </c>
      <c r="C68" s="53" t="n">
        <f aca="false">DATE(YEAR(B68),MONTH(B68),1)</f>
        <v>44531</v>
      </c>
      <c r="D68" s="5" t="str">
        <f aca="false">YEAR(B68)&amp;"Q"&amp;ROUNDUP(MONTH(B68)/3,0)</f>
        <v>2021Q4</v>
      </c>
      <c r="E68" s="47" t="s">
        <v>150</v>
      </c>
      <c r="F68" s="54" t="s">
        <v>139</v>
      </c>
      <c r="G68" s="47" t="s">
        <v>212</v>
      </c>
      <c r="H68" s="47" t="s">
        <v>290</v>
      </c>
      <c r="I68" s="55" t="n">
        <v>1000</v>
      </c>
      <c r="J68" s="56" t="n">
        <v>3</v>
      </c>
      <c r="K68" s="54" t="s">
        <v>153</v>
      </c>
      <c r="N68" s="47" t="s">
        <v>148</v>
      </c>
      <c r="O68" s="47"/>
      <c r="P68" s="47"/>
      <c r="Q68" s="48" t="n">
        <f aca="false">IF($J68="","",IFERROR(IF($J68&lt;=1,INDEX(VN_국채일별!$B$4:$B$1436,MATCH($B68,VN_국채일별!$A$4:$A$1436,1)),IF($J68&lt;=2,INDEX(VN_국채일별!$B$4:$B$1436,MATCH($B68,VN_국채일별!$A$4:$A$1436,1))+(INDEX(VN_국채일별!$C$4:$C$1436,MATCH($B68,VN_국채일별!$A$4:$A$1436,1))-INDEX(VN_국채일별!$B$4:$B$1436,MATCH($B68,VN_국채일별!$A$4:$A$1436,1)))*($J68-1),IF($J68&lt;=3,INDEX(VN_국채일별!$C$4:$C$1436,MATCH($B68,VN_국채일별!$A$4:$A$1436,1))+(INDEX(VN_국채일별!$D$4:$D$1436,MATCH($B68,VN_국채일별!$A$4:$A$1436,1))-INDEX(VN_국채일별!$C$4:$C$1436,MATCH($B68,VN_국채일별!$A$4:$A$1436,1)))*($J68-2),IF($J68&lt;=5,INDEX(VN_국채일별!$D$4:$D$1436,MATCH($B68,VN_국채일별!$A$4:$A$1436,1))+(INDEX(VN_국채일별!$E$4:$E$1436,MATCH($B68,VN_국채일별!$A$4:$A$1436,1))-INDEX(VN_국채일별!$D$4:$D$1436,MATCH($B68,VN_국채일별!$A$4:$A$1436,1)))*($J68-3)/2,IF($J68&lt;=7,INDEX(VN_국채일별!$E$4:$E$1436,MATCH($B68,VN_국채일별!$A$4:$A$1436,1))+(INDEX(VN_국채일별!$F$4:$F$1436,MATCH($B68,VN_국채일별!$A$4:$A$1436,1))-INDEX(VN_국채일별!$E$4:$E$1436,MATCH($B68,VN_국채일별!$A$4:$A$1436,1)))*($J68-5)/2,IF($J68&lt;=10,INDEX(VN_국채일별!$F$4:$F$1436,MATCH($B68,VN_국채일별!$A$4:$A$1436,1))+(INDEX(VN_국채일별!$G$4:$G$1436,MATCH($B68,VN_국채일별!$A$4:$A$1436,1))-INDEX(VN_국채일별!$F$4:$F$1436,MATCH($B68,VN_국채일별!$A$4:$A$1436,1)))*($J68-7)/3,INDEX(VN_국채일별!$G$4:$G$1436,MATCH($B68,VN_국채일별!$A$4:$A$1436,1)))))))),""))</f>
        <v>0.00703</v>
      </c>
      <c r="R68" s="58" t="str">
        <f aca="false">IF(OR(L68="",Q68=""),"",(L68-Q68)*10000)</f>
        <v/>
      </c>
      <c r="S68" s="30" t="n">
        <f aca="false">IF(AND(K68="고정",N68="N",J68&gt;=2,J68&lt;=4,I68&lt;&gt;""),1,0)</f>
        <v>0</v>
      </c>
      <c r="T68" s="59" t="n">
        <f aca="false">IF(S68=1,I68*L68,0)</f>
        <v>0</v>
      </c>
      <c r="U68" s="60" t="n">
        <f aca="false">IF(AND(S68=1,ISNUMBER(R68)),I68*R68,0)</f>
        <v>0</v>
      </c>
      <c r="V68" s="30" t="n">
        <f aca="false">IF(AND(F68="Big4(국영)",K68="고정",N68="N",I68&lt;&gt;""),1,0)</f>
        <v>0</v>
      </c>
      <c r="W68" s="59" t="n">
        <f aca="false">IF(V68=1,I68*L68,0)</f>
        <v>0</v>
      </c>
      <c r="X68" s="60" t="n">
        <f aca="false">IF(AND(V68=1,ISNUMBER(R68)),I68*R68,0)</f>
        <v>0</v>
      </c>
      <c r="Y68" s="61" t="n">
        <f aca="false">IF(AND(S68=1,ISNUMBER(R68)),I68,0)</f>
        <v>0</v>
      </c>
      <c r="Z68" s="61" t="n">
        <f aca="false">IF(AND(V68=1,ISNUMBER(R68)),I68,0)</f>
        <v>0</v>
      </c>
    </row>
    <row r="69" customFormat="false" ht="15" hidden="false" customHeight="false" outlineLevel="0" collapsed="false">
      <c r="A69" s="47" t="s">
        <v>234</v>
      </c>
      <c r="B69" s="52" t="n">
        <v>44552</v>
      </c>
      <c r="C69" s="53" t="n">
        <f aca="false">DATE(YEAR(B69),MONTH(B69),1)</f>
        <v>44531</v>
      </c>
      <c r="D69" s="5" t="str">
        <f aca="false">YEAR(B69)&amp;"Q"&amp;ROUNDUP(MONTH(B69)/3,0)</f>
        <v>2021Q4</v>
      </c>
      <c r="E69" s="47" t="s">
        <v>248</v>
      </c>
      <c r="F69" s="54" t="s">
        <v>139</v>
      </c>
      <c r="G69" s="47" t="s">
        <v>249</v>
      </c>
      <c r="H69" s="47" t="s">
        <v>291</v>
      </c>
      <c r="I69" s="55" t="n">
        <v>1000</v>
      </c>
      <c r="J69" s="56" t="n">
        <v>3</v>
      </c>
      <c r="K69" s="54" t="s">
        <v>142</v>
      </c>
      <c r="L69" s="57" t="n">
        <v>0.032</v>
      </c>
      <c r="N69" s="47" t="s">
        <v>148</v>
      </c>
      <c r="O69" s="47" t="s">
        <v>237</v>
      </c>
      <c r="P69" s="47"/>
      <c r="Q69" s="48" t="n">
        <f aca="false">IF($J69="","",IFERROR(IF($J69&lt;=1,INDEX(VN_국채일별!$B$4:$B$1436,MATCH($B69,VN_국채일별!$A$4:$A$1436,1)),IF($J69&lt;=2,INDEX(VN_국채일별!$B$4:$B$1436,MATCH($B69,VN_국채일별!$A$4:$A$1436,1))+(INDEX(VN_국채일별!$C$4:$C$1436,MATCH($B69,VN_국채일별!$A$4:$A$1436,1))-INDEX(VN_국채일별!$B$4:$B$1436,MATCH($B69,VN_국채일별!$A$4:$A$1436,1)))*($J69-1),IF($J69&lt;=3,INDEX(VN_국채일별!$C$4:$C$1436,MATCH($B69,VN_국채일별!$A$4:$A$1436,1))+(INDEX(VN_국채일별!$D$4:$D$1436,MATCH($B69,VN_국채일별!$A$4:$A$1436,1))-INDEX(VN_국채일별!$C$4:$C$1436,MATCH($B69,VN_국채일별!$A$4:$A$1436,1)))*($J69-2),IF($J69&lt;=5,INDEX(VN_국채일별!$D$4:$D$1436,MATCH($B69,VN_국채일별!$A$4:$A$1436,1))+(INDEX(VN_국채일별!$E$4:$E$1436,MATCH($B69,VN_국채일별!$A$4:$A$1436,1))-INDEX(VN_국채일별!$D$4:$D$1436,MATCH($B69,VN_국채일별!$A$4:$A$1436,1)))*($J69-3)/2,IF($J69&lt;=7,INDEX(VN_국채일별!$E$4:$E$1436,MATCH($B69,VN_국채일별!$A$4:$A$1436,1))+(INDEX(VN_국채일별!$F$4:$F$1436,MATCH($B69,VN_국채일별!$A$4:$A$1436,1))-INDEX(VN_국채일별!$E$4:$E$1436,MATCH($B69,VN_국채일별!$A$4:$A$1436,1)))*($J69-5)/2,IF($J69&lt;=10,INDEX(VN_국채일별!$F$4:$F$1436,MATCH($B69,VN_국채일별!$A$4:$A$1436,1))+(INDEX(VN_국채일별!$G$4:$G$1436,MATCH($B69,VN_국채일별!$A$4:$A$1436,1))-INDEX(VN_국채일별!$F$4:$F$1436,MATCH($B69,VN_국채일별!$A$4:$A$1436,1)))*($J69-7)/3,INDEX(VN_국채일별!$G$4:$G$1436,MATCH($B69,VN_국채일별!$A$4:$A$1436,1)))))))),""))</f>
        <v>0.00703</v>
      </c>
      <c r="R69" s="58" t="n">
        <f aca="false">IF(OR(L69="",Q69=""),"",(L69-Q69)*10000)</f>
        <v>249.7</v>
      </c>
      <c r="S69" s="30" t="n">
        <f aca="false">IF(AND(K69="고정",N69="N",J69&gt;=2,J69&lt;=4,I69&lt;&gt;""),1,0)</f>
        <v>1</v>
      </c>
      <c r="T69" s="59" t="n">
        <f aca="false">IF(S69=1,I69*L69,0)</f>
        <v>32</v>
      </c>
      <c r="U69" s="60" t="n">
        <f aca="false">IF(AND(S69=1,ISNUMBER(R69)),I69*R69,0)</f>
        <v>249700</v>
      </c>
      <c r="V69" s="30" t="n">
        <f aca="false">IF(AND(F69="Big4(국영)",K69="고정",N69="N",I69&lt;&gt;""),1,0)</f>
        <v>0</v>
      </c>
      <c r="W69" s="59" t="n">
        <f aca="false">IF(V69=1,I69*L69,0)</f>
        <v>0</v>
      </c>
      <c r="X69" s="60" t="n">
        <f aca="false">IF(AND(V69=1,ISNUMBER(R69)),I69*R69,0)</f>
        <v>0</v>
      </c>
      <c r="Y69" s="61" t="n">
        <f aca="false">IF(AND(S69=1,ISNUMBER(R69)),I69,0)</f>
        <v>1000</v>
      </c>
      <c r="Z69" s="61" t="n">
        <f aca="false">IF(AND(V69=1,ISNUMBER(R69)),I69,0)</f>
        <v>0</v>
      </c>
    </row>
    <row r="70" customFormat="false" ht="15" hidden="false" customHeight="false" outlineLevel="0" collapsed="false">
      <c r="A70" s="47" t="s">
        <v>234</v>
      </c>
      <c r="B70" s="52" t="n">
        <v>44553</v>
      </c>
      <c r="C70" s="53" t="n">
        <f aca="false">DATE(YEAR(B70),MONTH(B70),1)</f>
        <v>44531</v>
      </c>
      <c r="D70" s="5" t="str">
        <f aca="false">YEAR(B70)&amp;"Q"&amp;ROUNDUP(MONTH(B70)/3,0)</f>
        <v>2021Q4</v>
      </c>
      <c r="E70" s="47" t="s">
        <v>191</v>
      </c>
      <c r="F70" s="54" t="s">
        <v>139</v>
      </c>
      <c r="G70" s="47" t="s">
        <v>292</v>
      </c>
      <c r="H70" s="47" t="s">
        <v>293</v>
      </c>
      <c r="I70" s="55" t="n">
        <v>500</v>
      </c>
      <c r="J70" s="56" t="n">
        <v>2</v>
      </c>
      <c r="K70" s="54" t="s">
        <v>153</v>
      </c>
      <c r="N70" s="47" t="s">
        <v>148</v>
      </c>
      <c r="O70" s="47"/>
      <c r="P70" s="47"/>
      <c r="Q70" s="48" t="n">
        <f aca="false">IF($J70="","",IFERROR(IF($J70&lt;=1,INDEX(VN_국채일별!$B$4:$B$1436,MATCH($B70,VN_국채일별!$A$4:$A$1436,1)),IF($J70&lt;=2,INDEX(VN_국채일별!$B$4:$B$1436,MATCH($B70,VN_국채일별!$A$4:$A$1436,1))+(INDEX(VN_국채일별!$C$4:$C$1436,MATCH($B70,VN_국채일별!$A$4:$A$1436,1))-INDEX(VN_국채일별!$B$4:$B$1436,MATCH($B70,VN_국채일별!$A$4:$A$1436,1)))*($J70-1),IF($J70&lt;=3,INDEX(VN_국채일별!$C$4:$C$1436,MATCH($B70,VN_국채일별!$A$4:$A$1436,1))+(INDEX(VN_국채일별!$D$4:$D$1436,MATCH($B70,VN_국채일별!$A$4:$A$1436,1))-INDEX(VN_국채일별!$C$4:$C$1436,MATCH($B70,VN_국채일별!$A$4:$A$1436,1)))*($J70-2),IF($J70&lt;=5,INDEX(VN_국채일별!$D$4:$D$1436,MATCH($B70,VN_국채일별!$A$4:$A$1436,1))+(INDEX(VN_국채일별!$E$4:$E$1436,MATCH($B70,VN_국채일별!$A$4:$A$1436,1))-INDEX(VN_국채일별!$D$4:$D$1436,MATCH($B70,VN_국채일별!$A$4:$A$1436,1)))*($J70-3)/2,IF($J70&lt;=7,INDEX(VN_국채일별!$E$4:$E$1436,MATCH($B70,VN_국채일별!$A$4:$A$1436,1))+(INDEX(VN_국채일별!$F$4:$F$1436,MATCH($B70,VN_국채일별!$A$4:$A$1436,1))-INDEX(VN_국채일별!$E$4:$E$1436,MATCH($B70,VN_국채일별!$A$4:$A$1436,1)))*($J70-5)/2,IF($J70&lt;=10,INDEX(VN_국채일별!$F$4:$F$1436,MATCH($B70,VN_국채일별!$A$4:$A$1436,1))+(INDEX(VN_국채일별!$G$4:$G$1436,MATCH($B70,VN_국채일별!$A$4:$A$1436,1))-INDEX(VN_국채일별!$F$4:$F$1436,MATCH($B70,VN_국채일별!$A$4:$A$1436,1)))*($J70-7)/3,INDEX(VN_국채일별!$G$4:$G$1436,MATCH($B70,VN_국채일별!$A$4:$A$1436,1)))))))),""))</f>
        <v>0.00635</v>
      </c>
      <c r="R70" s="58" t="str">
        <f aca="false">IF(OR(L70="",Q70=""),"",(L70-Q70)*10000)</f>
        <v/>
      </c>
      <c r="S70" s="30" t="n">
        <f aca="false">IF(AND(K70="고정",N70="N",J70&gt;=2,J70&lt;=4,I70&lt;&gt;""),1,0)</f>
        <v>0</v>
      </c>
      <c r="T70" s="59" t="n">
        <f aca="false">IF(S70=1,I70*L70,0)</f>
        <v>0</v>
      </c>
      <c r="U70" s="60" t="n">
        <f aca="false">IF(AND(S70=1,ISNUMBER(R70)),I70*R70,0)</f>
        <v>0</v>
      </c>
      <c r="V70" s="30" t="n">
        <f aca="false">IF(AND(F70="Big4(국영)",K70="고정",N70="N",I70&lt;&gt;""),1,0)</f>
        <v>0</v>
      </c>
      <c r="W70" s="59" t="n">
        <f aca="false">IF(V70=1,I70*L70,0)</f>
        <v>0</v>
      </c>
      <c r="X70" s="60" t="n">
        <f aca="false">IF(AND(V70=1,ISNUMBER(R70)),I70*R70,0)</f>
        <v>0</v>
      </c>
      <c r="Y70" s="61" t="n">
        <f aca="false">IF(AND(S70=1,ISNUMBER(R70)),I70,0)</f>
        <v>0</v>
      </c>
      <c r="Z70" s="61" t="n">
        <f aca="false">IF(AND(V70=1,ISNUMBER(R70)),I70,0)</f>
        <v>0</v>
      </c>
    </row>
    <row r="71" customFormat="false" ht="15" hidden="false" customHeight="false" outlineLevel="0" collapsed="false">
      <c r="A71" s="47" t="s">
        <v>234</v>
      </c>
      <c r="B71" s="52" t="n">
        <v>44553</v>
      </c>
      <c r="C71" s="53" t="n">
        <f aca="false">DATE(YEAR(B71),MONTH(B71),1)</f>
        <v>44531</v>
      </c>
      <c r="D71" s="5" t="str">
        <f aca="false">YEAR(B71)&amp;"Q"&amp;ROUNDUP(MONTH(B71)/3,0)</f>
        <v>2021Q4</v>
      </c>
      <c r="E71" s="62" t="s">
        <v>230</v>
      </c>
      <c r="F71" s="62" t="s">
        <v>156</v>
      </c>
      <c r="G71" s="47" t="s">
        <v>231</v>
      </c>
      <c r="H71" s="47" t="s">
        <v>294</v>
      </c>
      <c r="I71" s="55" t="n">
        <v>300</v>
      </c>
      <c r="J71" s="56" t="n">
        <v>10</v>
      </c>
      <c r="K71" s="54" t="s">
        <v>153</v>
      </c>
      <c r="M71" s="57" t="n">
        <v>0.067</v>
      </c>
      <c r="N71" s="47" t="s">
        <v>143</v>
      </c>
      <c r="O71" s="47" t="s">
        <v>295</v>
      </c>
      <c r="P71" s="47"/>
      <c r="Q71" s="48" t="n">
        <f aca="false">IF($J71="","",IFERROR(IF($J71&lt;=1,INDEX(VN_국채일별!$B$4:$B$1436,MATCH($B71,VN_국채일별!$A$4:$A$1436,1)),IF($J71&lt;=2,INDEX(VN_국채일별!$B$4:$B$1436,MATCH($B71,VN_국채일별!$A$4:$A$1436,1))+(INDEX(VN_국채일별!$C$4:$C$1436,MATCH($B71,VN_국채일별!$A$4:$A$1436,1))-INDEX(VN_국채일별!$B$4:$B$1436,MATCH($B71,VN_국채일별!$A$4:$A$1436,1)))*($J71-1),IF($J71&lt;=3,INDEX(VN_국채일별!$C$4:$C$1436,MATCH($B71,VN_국채일별!$A$4:$A$1436,1))+(INDEX(VN_국채일별!$D$4:$D$1436,MATCH($B71,VN_국채일별!$A$4:$A$1436,1))-INDEX(VN_국채일별!$C$4:$C$1436,MATCH($B71,VN_국채일별!$A$4:$A$1436,1)))*($J71-2),IF($J71&lt;=5,INDEX(VN_국채일별!$D$4:$D$1436,MATCH($B71,VN_국채일별!$A$4:$A$1436,1))+(INDEX(VN_국채일별!$E$4:$E$1436,MATCH($B71,VN_국채일별!$A$4:$A$1436,1))-INDEX(VN_국채일별!$D$4:$D$1436,MATCH($B71,VN_국채일별!$A$4:$A$1436,1)))*($J71-3)/2,IF($J71&lt;=7,INDEX(VN_국채일별!$E$4:$E$1436,MATCH($B71,VN_국채일별!$A$4:$A$1436,1))+(INDEX(VN_국채일별!$F$4:$F$1436,MATCH($B71,VN_국채일별!$A$4:$A$1436,1))-INDEX(VN_국채일별!$E$4:$E$1436,MATCH($B71,VN_국채일별!$A$4:$A$1436,1)))*($J71-5)/2,IF($J71&lt;=10,INDEX(VN_국채일별!$F$4:$F$1436,MATCH($B71,VN_국채일별!$A$4:$A$1436,1))+(INDEX(VN_국채일별!$G$4:$G$1436,MATCH($B71,VN_국채일별!$A$4:$A$1436,1))-INDEX(VN_국채일별!$F$4:$F$1436,MATCH($B71,VN_국채일별!$A$4:$A$1436,1)))*($J71-7)/3,INDEX(VN_국채일별!$G$4:$G$1436,MATCH($B71,VN_국채일별!$A$4:$A$1436,1)))))))),""))</f>
        <v>0.02047</v>
      </c>
      <c r="R71" s="58" t="str">
        <f aca="false">IF(OR(L71="",Q71=""),"",(L71-Q71)*10000)</f>
        <v/>
      </c>
      <c r="S71" s="30" t="n">
        <f aca="false">IF(AND(K71="고정",N71="N",J71&gt;=2,J71&lt;=4,I71&lt;&gt;""),1,0)</f>
        <v>0</v>
      </c>
      <c r="T71" s="59" t="n">
        <f aca="false">IF(S71=1,I71*L71,0)</f>
        <v>0</v>
      </c>
      <c r="U71" s="60" t="n">
        <f aca="false">IF(AND(S71=1,ISNUMBER(R71)),I71*R71,0)</f>
        <v>0</v>
      </c>
      <c r="V71" s="30" t="n">
        <f aca="false">IF(AND(F71="Big4(국영)",K71="고정",N71="N",I71&lt;&gt;""),1,0)</f>
        <v>0</v>
      </c>
      <c r="W71" s="59" t="n">
        <f aca="false">IF(V71=1,I71*L71,0)</f>
        <v>0</v>
      </c>
      <c r="X71" s="60" t="n">
        <f aca="false">IF(AND(V71=1,ISNUMBER(R71)),I71*R71,0)</f>
        <v>0</v>
      </c>
      <c r="Y71" s="61" t="n">
        <f aca="false">IF(AND(S71=1,ISNUMBER(R71)),I71,0)</f>
        <v>0</v>
      </c>
      <c r="Z71" s="61" t="n">
        <f aca="false">IF(AND(V71=1,ISNUMBER(R71)),I71,0)</f>
        <v>0</v>
      </c>
    </row>
    <row r="72" customFormat="false" ht="15" hidden="false" customHeight="false" outlineLevel="0" collapsed="false">
      <c r="A72" s="47" t="s">
        <v>234</v>
      </c>
      <c r="B72" s="52" t="n">
        <v>44553</v>
      </c>
      <c r="C72" s="53" t="n">
        <f aca="false">DATE(YEAR(B72),MONTH(B72),1)</f>
        <v>44531</v>
      </c>
      <c r="D72" s="5" t="str">
        <f aca="false">YEAR(B72)&amp;"Q"&amp;ROUNDUP(MONTH(B72)/3,0)</f>
        <v>2021Q4</v>
      </c>
      <c r="E72" s="47" t="s">
        <v>150</v>
      </c>
      <c r="F72" s="54" t="s">
        <v>139</v>
      </c>
      <c r="G72" s="47" t="s">
        <v>212</v>
      </c>
      <c r="H72" s="47" t="s">
        <v>296</v>
      </c>
      <c r="I72" s="55" t="n">
        <v>1000</v>
      </c>
      <c r="J72" s="56" t="n">
        <v>3</v>
      </c>
      <c r="K72" s="54" t="s">
        <v>153</v>
      </c>
      <c r="N72" s="47" t="s">
        <v>148</v>
      </c>
      <c r="O72" s="47"/>
      <c r="P72" s="47"/>
      <c r="Q72" s="48" t="n">
        <f aca="false">IF($J72="","",IFERROR(IF($J72&lt;=1,INDEX(VN_국채일별!$B$4:$B$1436,MATCH($B72,VN_국채일별!$A$4:$A$1436,1)),IF($J72&lt;=2,INDEX(VN_국채일별!$B$4:$B$1436,MATCH($B72,VN_국채일별!$A$4:$A$1436,1))+(INDEX(VN_국채일별!$C$4:$C$1436,MATCH($B72,VN_국채일별!$A$4:$A$1436,1))-INDEX(VN_국채일별!$B$4:$B$1436,MATCH($B72,VN_국채일별!$A$4:$A$1436,1)))*($J72-1),IF($J72&lt;=3,INDEX(VN_국채일별!$C$4:$C$1436,MATCH($B72,VN_국채일별!$A$4:$A$1436,1))+(INDEX(VN_국채일별!$D$4:$D$1436,MATCH($B72,VN_국채일별!$A$4:$A$1436,1))-INDEX(VN_국채일별!$C$4:$C$1436,MATCH($B72,VN_국채일별!$A$4:$A$1436,1)))*($J72-2),IF($J72&lt;=5,INDEX(VN_국채일별!$D$4:$D$1436,MATCH($B72,VN_국채일별!$A$4:$A$1436,1))+(INDEX(VN_국채일별!$E$4:$E$1436,MATCH($B72,VN_국채일별!$A$4:$A$1436,1))-INDEX(VN_국채일별!$D$4:$D$1436,MATCH($B72,VN_국채일별!$A$4:$A$1436,1)))*($J72-3)/2,IF($J72&lt;=7,INDEX(VN_국채일별!$E$4:$E$1436,MATCH($B72,VN_국채일별!$A$4:$A$1436,1))+(INDEX(VN_국채일별!$F$4:$F$1436,MATCH($B72,VN_국채일별!$A$4:$A$1436,1))-INDEX(VN_국채일별!$E$4:$E$1436,MATCH($B72,VN_국채일별!$A$4:$A$1436,1)))*($J72-5)/2,IF($J72&lt;=10,INDEX(VN_국채일별!$F$4:$F$1436,MATCH($B72,VN_국채일별!$A$4:$A$1436,1))+(INDEX(VN_국채일별!$G$4:$G$1436,MATCH($B72,VN_국채일별!$A$4:$A$1436,1))-INDEX(VN_국채일별!$F$4:$F$1436,MATCH($B72,VN_국채일별!$A$4:$A$1436,1)))*($J72-7)/3,INDEX(VN_국채일별!$G$4:$G$1436,MATCH($B72,VN_국채일별!$A$4:$A$1436,1)))))))),""))</f>
        <v>0.00711</v>
      </c>
      <c r="R72" s="58" t="str">
        <f aca="false">IF(OR(L72="",Q72=""),"",(L72-Q72)*10000)</f>
        <v/>
      </c>
      <c r="S72" s="30" t="n">
        <f aca="false">IF(AND(K72="고정",N72="N",J72&gt;=2,J72&lt;=4,I72&lt;&gt;""),1,0)</f>
        <v>0</v>
      </c>
      <c r="T72" s="59" t="n">
        <f aca="false">IF(S72=1,I72*L72,0)</f>
        <v>0</v>
      </c>
      <c r="U72" s="60" t="n">
        <f aca="false">IF(AND(S72=1,ISNUMBER(R72)),I72*R72,0)</f>
        <v>0</v>
      </c>
      <c r="V72" s="30" t="n">
        <f aca="false">IF(AND(F72="Big4(국영)",K72="고정",N72="N",I72&lt;&gt;""),1,0)</f>
        <v>0</v>
      </c>
      <c r="W72" s="59" t="n">
        <f aca="false">IF(V72=1,I72*L72,0)</f>
        <v>0</v>
      </c>
      <c r="X72" s="60" t="n">
        <f aca="false">IF(AND(V72=1,ISNUMBER(R72)),I72*R72,0)</f>
        <v>0</v>
      </c>
      <c r="Y72" s="61" t="n">
        <f aca="false">IF(AND(S72=1,ISNUMBER(R72)),I72,0)</f>
        <v>0</v>
      </c>
      <c r="Z72" s="61" t="n">
        <f aca="false">IF(AND(V72=1,ISNUMBER(R72)),I72,0)</f>
        <v>0</v>
      </c>
    </row>
    <row r="73" customFormat="false" ht="15" hidden="false" customHeight="false" outlineLevel="0" collapsed="false">
      <c r="A73" s="47" t="s">
        <v>234</v>
      </c>
      <c r="B73" s="52" t="n">
        <v>44557</v>
      </c>
      <c r="C73" s="53" t="n">
        <f aca="false">DATE(YEAR(B73),MONTH(B73),1)</f>
        <v>44531</v>
      </c>
      <c r="D73" s="5" t="str">
        <f aca="false">YEAR(B73)&amp;"Q"&amp;ROUNDUP(MONTH(B73)/3,0)</f>
        <v>2021Q4</v>
      </c>
      <c r="E73" s="47" t="s">
        <v>150</v>
      </c>
      <c r="F73" s="54" t="s">
        <v>139</v>
      </c>
      <c r="G73" s="47" t="s">
        <v>212</v>
      </c>
      <c r="H73" s="47" t="s">
        <v>297</v>
      </c>
      <c r="I73" s="55" t="n">
        <v>1000</v>
      </c>
      <c r="J73" s="56" t="n">
        <v>7</v>
      </c>
      <c r="K73" s="54" t="s">
        <v>153</v>
      </c>
      <c r="N73" s="47" t="s">
        <v>143</v>
      </c>
      <c r="O73" s="47"/>
      <c r="P73" s="47"/>
      <c r="Q73" s="48" t="n">
        <f aca="false">IF($J73="","",IFERROR(IF($J73&lt;=1,INDEX(VN_국채일별!$B$4:$B$1436,MATCH($B73,VN_국채일별!$A$4:$A$1436,1)),IF($J73&lt;=2,INDEX(VN_국채일별!$B$4:$B$1436,MATCH($B73,VN_국채일별!$A$4:$A$1436,1))+(INDEX(VN_국채일별!$C$4:$C$1436,MATCH($B73,VN_국채일별!$A$4:$A$1436,1))-INDEX(VN_국채일별!$B$4:$B$1436,MATCH($B73,VN_국채일별!$A$4:$A$1436,1)))*($J73-1),IF($J73&lt;=3,INDEX(VN_국채일별!$C$4:$C$1436,MATCH($B73,VN_국채일별!$A$4:$A$1436,1))+(INDEX(VN_국채일별!$D$4:$D$1436,MATCH($B73,VN_국채일별!$A$4:$A$1436,1))-INDEX(VN_국채일별!$C$4:$C$1436,MATCH($B73,VN_국채일별!$A$4:$A$1436,1)))*($J73-2),IF($J73&lt;=5,INDEX(VN_국채일별!$D$4:$D$1436,MATCH($B73,VN_국채일별!$A$4:$A$1436,1))+(INDEX(VN_국채일별!$E$4:$E$1436,MATCH($B73,VN_국채일별!$A$4:$A$1436,1))-INDEX(VN_국채일별!$D$4:$D$1436,MATCH($B73,VN_국채일별!$A$4:$A$1436,1)))*($J73-3)/2,IF($J73&lt;=7,INDEX(VN_국채일별!$E$4:$E$1436,MATCH($B73,VN_국채일별!$A$4:$A$1436,1))+(INDEX(VN_국채일별!$F$4:$F$1436,MATCH($B73,VN_국채일별!$A$4:$A$1436,1))-INDEX(VN_국채일별!$E$4:$E$1436,MATCH($B73,VN_국채일별!$A$4:$A$1436,1)))*($J73-5)/2,IF($J73&lt;=10,INDEX(VN_국채일별!$F$4:$F$1436,MATCH($B73,VN_국채일별!$A$4:$A$1436,1))+(INDEX(VN_국채일별!$G$4:$G$1436,MATCH($B73,VN_국채일별!$A$4:$A$1436,1))-INDEX(VN_국채일별!$F$4:$F$1436,MATCH($B73,VN_국채일별!$A$4:$A$1436,1)))*($J73-7)/3,INDEX(VN_국채일별!$G$4:$G$1436,MATCH($B73,VN_국채일별!$A$4:$A$1436,1)))))))),""))</f>
        <v>0.01272</v>
      </c>
      <c r="R73" s="58" t="str">
        <f aca="false">IF(OR(L73="",Q73=""),"",(L73-Q73)*10000)</f>
        <v/>
      </c>
      <c r="S73" s="30" t="n">
        <f aca="false">IF(AND(K73="고정",N73="N",J73&gt;=2,J73&lt;=4,I73&lt;&gt;""),1,0)</f>
        <v>0</v>
      </c>
      <c r="T73" s="59" t="n">
        <f aca="false">IF(S73=1,I73*L73,0)</f>
        <v>0</v>
      </c>
      <c r="U73" s="60" t="n">
        <f aca="false">IF(AND(S73=1,ISNUMBER(R73)),I73*R73,0)</f>
        <v>0</v>
      </c>
      <c r="V73" s="30" t="n">
        <f aca="false">IF(AND(F73="Big4(국영)",K73="고정",N73="N",I73&lt;&gt;""),1,0)</f>
        <v>0</v>
      </c>
      <c r="W73" s="59" t="n">
        <f aca="false">IF(V73=1,I73*L73,0)</f>
        <v>0</v>
      </c>
      <c r="X73" s="60" t="n">
        <f aca="false">IF(AND(V73=1,ISNUMBER(R73)),I73*R73,0)</f>
        <v>0</v>
      </c>
      <c r="Y73" s="61" t="n">
        <f aca="false">IF(AND(S73=1,ISNUMBER(R73)),I73,0)</f>
        <v>0</v>
      </c>
      <c r="Z73" s="61" t="n">
        <f aca="false">IF(AND(V73=1,ISNUMBER(R73)),I73,0)</f>
        <v>0</v>
      </c>
    </row>
    <row r="74" customFormat="false" ht="15" hidden="false" customHeight="false" outlineLevel="0" collapsed="false">
      <c r="A74" s="47" t="s">
        <v>234</v>
      </c>
      <c r="B74" s="52" t="n">
        <v>44558</v>
      </c>
      <c r="C74" s="53" t="n">
        <f aca="false">DATE(YEAR(B74),MONTH(B74),1)</f>
        <v>44531</v>
      </c>
      <c r="D74" s="5" t="str">
        <f aca="false">YEAR(B74)&amp;"Q"&amp;ROUNDUP(MONTH(B74)/3,0)</f>
        <v>2021Q4</v>
      </c>
      <c r="E74" s="47" t="s">
        <v>196</v>
      </c>
      <c r="F74" s="54" t="s">
        <v>139</v>
      </c>
      <c r="G74" s="47" t="s">
        <v>298</v>
      </c>
      <c r="H74" s="47" t="s">
        <v>299</v>
      </c>
      <c r="I74" s="55" t="n">
        <v>2000</v>
      </c>
      <c r="J74" s="56" t="n">
        <v>3</v>
      </c>
      <c r="K74" s="54" t="s">
        <v>142</v>
      </c>
      <c r="L74" s="57" t="n">
        <v>0.024</v>
      </c>
      <c r="N74" s="47" t="s">
        <v>148</v>
      </c>
      <c r="O74" s="47" t="s">
        <v>300</v>
      </c>
      <c r="P74" s="47"/>
      <c r="Q74" s="48" t="n">
        <f aca="false">IF($J74="","",IFERROR(IF($J74&lt;=1,INDEX(VN_국채일별!$B$4:$B$1436,MATCH($B74,VN_국채일별!$A$4:$A$1436,1)),IF($J74&lt;=2,INDEX(VN_국채일별!$B$4:$B$1436,MATCH($B74,VN_국채일별!$A$4:$A$1436,1))+(INDEX(VN_국채일별!$C$4:$C$1436,MATCH($B74,VN_국채일별!$A$4:$A$1436,1))-INDEX(VN_국채일별!$B$4:$B$1436,MATCH($B74,VN_국채일별!$A$4:$A$1436,1)))*($J74-1),IF($J74&lt;=3,INDEX(VN_국채일별!$C$4:$C$1436,MATCH($B74,VN_국채일별!$A$4:$A$1436,1))+(INDEX(VN_국채일별!$D$4:$D$1436,MATCH($B74,VN_국채일별!$A$4:$A$1436,1))-INDEX(VN_국채일별!$C$4:$C$1436,MATCH($B74,VN_국채일별!$A$4:$A$1436,1)))*($J74-2),IF($J74&lt;=5,INDEX(VN_국채일별!$D$4:$D$1436,MATCH($B74,VN_국채일별!$A$4:$A$1436,1))+(INDEX(VN_국채일별!$E$4:$E$1436,MATCH($B74,VN_국채일별!$A$4:$A$1436,1))-INDEX(VN_국채일별!$D$4:$D$1436,MATCH($B74,VN_국채일별!$A$4:$A$1436,1)))*($J74-3)/2,IF($J74&lt;=7,INDEX(VN_국채일별!$E$4:$E$1436,MATCH($B74,VN_국채일별!$A$4:$A$1436,1))+(INDEX(VN_국채일별!$F$4:$F$1436,MATCH($B74,VN_국채일별!$A$4:$A$1436,1))-INDEX(VN_국채일별!$E$4:$E$1436,MATCH($B74,VN_국채일별!$A$4:$A$1436,1)))*($J74-5)/2,IF($J74&lt;=10,INDEX(VN_국채일별!$F$4:$F$1436,MATCH($B74,VN_국채일별!$A$4:$A$1436,1))+(INDEX(VN_국채일별!$G$4:$G$1436,MATCH($B74,VN_국채일별!$A$4:$A$1436,1))-INDEX(VN_국채일별!$F$4:$F$1436,MATCH($B74,VN_국채일별!$A$4:$A$1436,1)))*($J74-7)/3,INDEX(VN_국채일별!$G$4:$G$1436,MATCH($B74,VN_국채일별!$A$4:$A$1436,1)))))))),""))</f>
        <v>0.00719</v>
      </c>
      <c r="R74" s="58" t="n">
        <f aca="false">IF(OR(L74="",Q74=""),"",(L74-Q74)*10000)</f>
        <v>168.1</v>
      </c>
      <c r="S74" s="30" t="n">
        <f aca="false">IF(AND(K74="고정",N74="N",J74&gt;=2,J74&lt;=4,I74&lt;&gt;""),1,0)</f>
        <v>1</v>
      </c>
      <c r="T74" s="59" t="n">
        <f aca="false">IF(S74=1,I74*L74,0)</f>
        <v>48</v>
      </c>
      <c r="U74" s="60" t="n">
        <f aca="false">IF(AND(S74=1,ISNUMBER(R74)),I74*R74,0)</f>
        <v>336200</v>
      </c>
      <c r="V74" s="30" t="n">
        <f aca="false">IF(AND(F74="Big4(국영)",K74="고정",N74="N",I74&lt;&gt;""),1,0)</f>
        <v>0</v>
      </c>
      <c r="W74" s="59" t="n">
        <f aca="false">IF(V74=1,I74*L74,0)</f>
        <v>0</v>
      </c>
      <c r="X74" s="60" t="n">
        <f aca="false">IF(AND(V74=1,ISNUMBER(R74)),I74*R74,0)</f>
        <v>0</v>
      </c>
      <c r="Y74" s="61" t="n">
        <f aca="false">IF(AND(S74=1,ISNUMBER(R74)),I74,0)</f>
        <v>2000</v>
      </c>
      <c r="Z74" s="61" t="n">
        <f aca="false">IF(AND(V74=1,ISNUMBER(R74)),I74,0)</f>
        <v>0</v>
      </c>
    </row>
    <row r="75" customFormat="false" ht="15" hidden="false" customHeight="false" outlineLevel="0" collapsed="false">
      <c r="A75" s="47" t="s">
        <v>234</v>
      </c>
      <c r="B75" s="52" t="n">
        <v>44559</v>
      </c>
      <c r="C75" s="53" t="n">
        <f aca="false">DATE(YEAR(B75),MONTH(B75),1)</f>
        <v>44531</v>
      </c>
      <c r="D75" s="5" t="str">
        <f aca="false">YEAR(B75)&amp;"Q"&amp;ROUNDUP(MONTH(B75)/3,0)</f>
        <v>2021Q4</v>
      </c>
      <c r="E75" s="47" t="s">
        <v>191</v>
      </c>
      <c r="F75" s="54" t="s">
        <v>139</v>
      </c>
      <c r="G75" s="47" t="s">
        <v>301</v>
      </c>
      <c r="H75" s="47" t="s">
        <v>302</v>
      </c>
      <c r="I75" s="55" t="n">
        <v>500</v>
      </c>
      <c r="J75" s="56" t="n">
        <v>2</v>
      </c>
      <c r="K75" s="54" t="s">
        <v>153</v>
      </c>
      <c r="N75" s="47" t="s">
        <v>148</v>
      </c>
      <c r="O75" s="47"/>
      <c r="P75" s="47"/>
      <c r="Q75" s="48" t="n">
        <f aca="false">IF($J75="","",IFERROR(IF($J75&lt;=1,INDEX(VN_국채일별!$B$4:$B$1436,MATCH($B75,VN_국채일별!$A$4:$A$1436,1)),IF($J75&lt;=2,INDEX(VN_국채일별!$B$4:$B$1436,MATCH($B75,VN_국채일별!$A$4:$A$1436,1))+(INDEX(VN_국채일별!$C$4:$C$1436,MATCH($B75,VN_국채일별!$A$4:$A$1436,1))-INDEX(VN_국채일별!$B$4:$B$1436,MATCH($B75,VN_국채일별!$A$4:$A$1436,1)))*($J75-1),IF($J75&lt;=3,INDEX(VN_국채일별!$C$4:$C$1436,MATCH($B75,VN_국채일별!$A$4:$A$1436,1))+(INDEX(VN_국채일별!$D$4:$D$1436,MATCH($B75,VN_국채일별!$A$4:$A$1436,1))-INDEX(VN_국채일별!$C$4:$C$1436,MATCH($B75,VN_국채일별!$A$4:$A$1436,1)))*($J75-2),IF($J75&lt;=5,INDEX(VN_국채일별!$D$4:$D$1436,MATCH($B75,VN_국채일별!$A$4:$A$1436,1))+(INDEX(VN_국채일별!$E$4:$E$1436,MATCH($B75,VN_국채일별!$A$4:$A$1436,1))-INDEX(VN_국채일별!$D$4:$D$1436,MATCH($B75,VN_국채일별!$A$4:$A$1436,1)))*($J75-3)/2,IF($J75&lt;=7,INDEX(VN_국채일별!$E$4:$E$1436,MATCH($B75,VN_국채일별!$A$4:$A$1436,1))+(INDEX(VN_국채일별!$F$4:$F$1436,MATCH($B75,VN_국채일별!$A$4:$A$1436,1))-INDEX(VN_국채일별!$E$4:$E$1436,MATCH($B75,VN_국채일별!$A$4:$A$1436,1)))*($J75-5)/2,IF($J75&lt;=10,INDEX(VN_국채일별!$F$4:$F$1436,MATCH($B75,VN_국채일별!$A$4:$A$1436,1))+(INDEX(VN_국채일별!$G$4:$G$1436,MATCH($B75,VN_국채일별!$A$4:$A$1436,1))-INDEX(VN_국채일별!$F$4:$F$1436,MATCH($B75,VN_국채일별!$A$4:$A$1436,1)))*($J75-7)/3,INDEX(VN_국채일별!$G$4:$G$1436,MATCH($B75,VN_국채일별!$A$4:$A$1436,1)))))))),""))</f>
        <v>0.00659</v>
      </c>
      <c r="R75" s="58" t="str">
        <f aca="false">IF(OR(L75="",Q75=""),"",(L75-Q75)*10000)</f>
        <v/>
      </c>
      <c r="S75" s="30" t="n">
        <f aca="false">IF(AND(K75="고정",N75="N",J75&gt;=2,J75&lt;=4,I75&lt;&gt;""),1,0)</f>
        <v>0</v>
      </c>
      <c r="T75" s="59" t="n">
        <f aca="false">IF(S75=1,I75*L75,0)</f>
        <v>0</v>
      </c>
      <c r="U75" s="60" t="n">
        <f aca="false">IF(AND(S75=1,ISNUMBER(R75)),I75*R75,0)</f>
        <v>0</v>
      </c>
      <c r="V75" s="30" t="n">
        <f aca="false">IF(AND(F75="Big4(국영)",K75="고정",N75="N",I75&lt;&gt;""),1,0)</f>
        <v>0</v>
      </c>
      <c r="W75" s="59" t="n">
        <f aca="false">IF(V75=1,I75*L75,0)</f>
        <v>0</v>
      </c>
      <c r="X75" s="60" t="n">
        <f aca="false">IF(AND(V75=1,ISNUMBER(R75)),I75*R75,0)</f>
        <v>0</v>
      </c>
      <c r="Y75" s="61" t="n">
        <f aca="false">IF(AND(S75=1,ISNUMBER(R75)),I75,0)</f>
        <v>0</v>
      </c>
      <c r="Z75" s="61" t="n">
        <f aca="false">IF(AND(V75=1,ISNUMBER(R75)),I75,0)</f>
        <v>0</v>
      </c>
    </row>
    <row r="76" customFormat="false" ht="15" hidden="false" customHeight="false" outlineLevel="0" collapsed="false">
      <c r="A76" s="47" t="s">
        <v>234</v>
      </c>
      <c r="B76" s="52" t="n">
        <v>44559</v>
      </c>
      <c r="C76" s="53" t="n">
        <f aca="false">DATE(YEAR(B76),MONTH(B76),1)</f>
        <v>44531</v>
      </c>
      <c r="D76" s="5" t="str">
        <f aca="false">YEAR(B76)&amp;"Q"&amp;ROUNDUP(MONTH(B76)/3,0)</f>
        <v>2021Q4</v>
      </c>
      <c r="E76" s="47" t="s">
        <v>160</v>
      </c>
      <c r="F76" s="54" t="s">
        <v>139</v>
      </c>
      <c r="G76" s="47" t="s">
        <v>220</v>
      </c>
      <c r="H76" s="47" t="s">
        <v>303</v>
      </c>
      <c r="I76" s="55" t="n">
        <v>1000</v>
      </c>
      <c r="J76" s="56" t="n">
        <v>7</v>
      </c>
      <c r="K76" s="54" t="s">
        <v>153</v>
      </c>
      <c r="N76" s="47" t="s">
        <v>143</v>
      </c>
      <c r="O76" s="47"/>
      <c r="P76" s="47"/>
      <c r="Q76" s="48" t="n">
        <f aca="false">IF($J76="","",IFERROR(IF($J76&lt;=1,INDEX(VN_국채일별!$B$4:$B$1436,MATCH($B76,VN_국채일별!$A$4:$A$1436,1)),IF($J76&lt;=2,INDEX(VN_국채일별!$B$4:$B$1436,MATCH($B76,VN_국채일별!$A$4:$A$1436,1))+(INDEX(VN_국채일별!$C$4:$C$1436,MATCH($B76,VN_국채일별!$A$4:$A$1436,1))-INDEX(VN_국채일별!$B$4:$B$1436,MATCH($B76,VN_국채일별!$A$4:$A$1436,1)))*($J76-1),IF($J76&lt;=3,INDEX(VN_국채일별!$C$4:$C$1436,MATCH($B76,VN_국채일별!$A$4:$A$1436,1))+(INDEX(VN_국채일별!$D$4:$D$1436,MATCH($B76,VN_국채일별!$A$4:$A$1436,1))-INDEX(VN_국채일별!$C$4:$C$1436,MATCH($B76,VN_국채일별!$A$4:$A$1436,1)))*($J76-2),IF($J76&lt;=5,INDEX(VN_국채일별!$D$4:$D$1436,MATCH($B76,VN_국채일별!$A$4:$A$1436,1))+(INDEX(VN_국채일별!$E$4:$E$1436,MATCH($B76,VN_국채일별!$A$4:$A$1436,1))-INDEX(VN_국채일별!$D$4:$D$1436,MATCH($B76,VN_국채일별!$A$4:$A$1436,1)))*($J76-3)/2,IF($J76&lt;=7,INDEX(VN_국채일별!$E$4:$E$1436,MATCH($B76,VN_국채일별!$A$4:$A$1436,1))+(INDEX(VN_국채일별!$F$4:$F$1436,MATCH($B76,VN_국채일별!$A$4:$A$1436,1))-INDEX(VN_국채일별!$E$4:$E$1436,MATCH($B76,VN_국채일별!$A$4:$A$1436,1)))*($J76-5)/2,IF($J76&lt;=10,INDEX(VN_국채일별!$F$4:$F$1436,MATCH($B76,VN_국채일별!$A$4:$A$1436,1))+(INDEX(VN_국채일별!$G$4:$G$1436,MATCH($B76,VN_국채일별!$A$4:$A$1436,1))-INDEX(VN_국채일별!$F$4:$F$1436,MATCH($B76,VN_국채일별!$A$4:$A$1436,1)))*($J76-7)/3,INDEX(VN_국채일별!$G$4:$G$1436,MATCH($B76,VN_국채일별!$A$4:$A$1436,1)))))))),""))</f>
        <v>0.01286</v>
      </c>
      <c r="R76" s="58" t="str">
        <f aca="false">IF(OR(L76="",Q76=""),"",(L76-Q76)*10000)</f>
        <v/>
      </c>
      <c r="S76" s="30" t="n">
        <f aca="false">IF(AND(K76="고정",N76="N",J76&gt;=2,J76&lt;=4,I76&lt;&gt;""),1,0)</f>
        <v>0</v>
      </c>
      <c r="T76" s="59" t="n">
        <f aca="false">IF(S76=1,I76*L76,0)</f>
        <v>0</v>
      </c>
      <c r="U76" s="60" t="n">
        <f aca="false">IF(AND(S76=1,ISNUMBER(R76)),I76*R76,0)</f>
        <v>0</v>
      </c>
      <c r="V76" s="30" t="n">
        <f aca="false">IF(AND(F76="Big4(국영)",K76="고정",N76="N",I76&lt;&gt;""),1,0)</f>
        <v>0</v>
      </c>
      <c r="W76" s="59" t="n">
        <f aca="false">IF(V76=1,I76*L76,0)</f>
        <v>0</v>
      </c>
      <c r="X76" s="60" t="n">
        <f aca="false">IF(AND(V76=1,ISNUMBER(R76)),I76*R76,0)</f>
        <v>0</v>
      </c>
      <c r="Y76" s="61" t="n">
        <f aca="false">IF(AND(S76=1,ISNUMBER(R76)),I76,0)</f>
        <v>0</v>
      </c>
      <c r="Z76" s="61" t="n">
        <f aca="false">IF(AND(V76=1,ISNUMBER(R76)),I76,0)</f>
        <v>0</v>
      </c>
    </row>
    <row r="77" customFormat="false" ht="15" hidden="false" customHeight="false" outlineLevel="0" collapsed="false">
      <c r="A77" s="47" t="s">
        <v>304</v>
      </c>
      <c r="B77" s="52" t="n">
        <v>44722</v>
      </c>
      <c r="C77" s="53" t="n">
        <f aca="false">DATE(YEAR(B77),MONTH(B77),1)</f>
        <v>44713</v>
      </c>
      <c r="D77" s="5" t="str">
        <f aca="false">YEAR(B77)&amp;"Q"&amp;ROUNDUP(MONTH(B77)/3,0)</f>
        <v>2022Q2</v>
      </c>
      <c r="E77" s="47" t="s">
        <v>160</v>
      </c>
      <c r="F77" s="54" t="s">
        <v>139</v>
      </c>
      <c r="G77" s="47" t="s">
        <v>161</v>
      </c>
      <c r="H77" s="47" t="s">
        <v>305</v>
      </c>
      <c r="I77" s="55" t="n">
        <v>30</v>
      </c>
      <c r="J77" s="56" t="n">
        <v>7</v>
      </c>
      <c r="K77" s="54" t="s">
        <v>153</v>
      </c>
      <c r="N77" s="47" t="s">
        <v>143</v>
      </c>
      <c r="O77" s="47" t="s">
        <v>306</v>
      </c>
      <c r="P77" s="47"/>
      <c r="Q77" s="48" t="n">
        <f aca="false">IF($J77="","",IFERROR(IF($J77&lt;=1,INDEX(VN_국채일별!$B$4:$B$1436,MATCH($B77,VN_국채일별!$A$4:$A$1436,1)),IF($J77&lt;=2,INDEX(VN_국채일별!$B$4:$B$1436,MATCH($B77,VN_국채일별!$A$4:$A$1436,1))+(INDEX(VN_국채일별!$C$4:$C$1436,MATCH($B77,VN_국채일별!$A$4:$A$1436,1))-INDEX(VN_국채일별!$B$4:$B$1436,MATCH($B77,VN_국채일별!$A$4:$A$1436,1)))*($J77-1),IF($J77&lt;=3,INDEX(VN_국채일별!$C$4:$C$1436,MATCH($B77,VN_국채일별!$A$4:$A$1436,1))+(INDEX(VN_국채일별!$D$4:$D$1436,MATCH($B77,VN_국채일별!$A$4:$A$1436,1))-INDEX(VN_국채일별!$C$4:$C$1436,MATCH($B77,VN_국채일별!$A$4:$A$1436,1)))*($J77-2),IF($J77&lt;=5,INDEX(VN_국채일별!$D$4:$D$1436,MATCH($B77,VN_국채일별!$A$4:$A$1436,1))+(INDEX(VN_국채일별!$E$4:$E$1436,MATCH($B77,VN_국채일별!$A$4:$A$1436,1))-INDEX(VN_국채일별!$D$4:$D$1436,MATCH($B77,VN_국채일별!$A$4:$A$1436,1)))*($J77-3)/2,IF($J77&lt;=7,INDEX(VN_국채일별!$E$4:$E$1436,MATCH($B77,VN_국채일별!$A$4:$A$1436,1))+(INDEX(VN_국채일별!$F$4:$F$1436,MATCH($B77,VN_국채일별!$A$4:$A$1436,1))-INDEX(VN_국채일별!$E$4:$E$1436,MATCH($B77,VN_국채일별!$A$4:$A$1436,1)))*($J77-5)/2,IF($J77&lt;=10,INDEX(VN_국채일별!$F$4:$F$1436,MATCH($B77,VN_국채일별!$A$4:$A$1436,1))+(INDEX(VN_국채일별!$G$4:$G$1436,MATCH($B77,VN_국채일별!$A$4:$A$1436,1))-INDEX(VN_국채일별!$F$4:$F$1436,MATCH($B77,VN_국채일별!$A$4:$A$1436,1)))*($J77-7)/3,INDEX(VN_국채일별!$G$4:$G$1436,MATCH($B77,VN_국채일별!$A$4:$A$1436,1)))))))),""))</f>
        <v>0.03048</v>
      </c>
      <c r="R77" s="58" t="str">
        <f aca="false">IF(OR(L77="",Q77=""),"",(L77-Q77)*10000)</f>
        <v/>
      </c>
      <c r="S77" s="30" t="n">
        <f aca="false">IF(AND(K77="고정",N77="N",J77&gt;=2,J77&lt;=4,I77&lt;&gt;""),1,0)</f>
        <v>0</v>
      </c>
      <c r="T77" s="59" t="n">
        <f aca="false">IF(S77=1,I77*L77,0)</f>
        <v>0</v>
      </c>
      <c r="U77" s="60" t="n">
        <f aca="false">IF(AND(S77=1,ISNUMBER(R77)),I77*R77,0)</f>
        <v>0</v>
      </c>
      <c r="V77" s="30" t="n">
        <f aca="false">IF(AND(F77="Big4(국영)",K77="고정",N77="N",I77&lt;&gt;""),1,0)</f>
        <v>0</v>
      </c>
      <c r="W77" s="59" t="n">
        <f aca="false">IF(V77=1,I77*L77,0)</f>
        <v>0</v>
      </c>
      <c r="X77" s="60" t="n">
        <f aca="false">IF(AND(V77=1,ISNUMBER(R77)),I77*R77,0)</f>
        <v>0</v>
      </c>
      <c r="Y77" s="61" t="n">
        <f aca="false">IF(AND(S77=1,ISNUMBER(R77)),I77,0)</f>
        <v>0</v>
      </c>
      <c r="Z77" s="61" t="n">
        <f aca="false">IF(AND(V77=1,ISNUMBER(R77)),I77,0)</f>
        <v>0</v>
      </c>
    </row>
    <row r="78" customFormat="false" ht="15" hidden="false" customHeight="false" outlineLevel="0" collapsed="false">
      <c r="A78" s="47" t="s">
        <v>304</v>
      </c>
      <c r="B78" s="52" t="n">
        <v>44726</v>
      </c>
      <c r="C78" s="53" t="n">
        <f aca="false">DATE(YEAR(B78),MONTH(B78),1)</f>
        <v>44713</v>
      </c>
      <c r="D78" s="5" t="str">
        <f aca="false">YEAR(B78)&amp;"Q"&amp;ROUNDUP(MONTH(B78)/3,0)</f>
        <v>2022Q2</v>
      </c>
      <c r="E78" s="47" t="s">
        <v>307</v>
      </c>
      <c r="F78" s="54" t="s">
        <v>139</v>
      </c>
      <c r="G78" s="47" t="s">
        <v>308</v>
      </c>
      <c r="H78" s="47" t="s">
        <v>309</v>
      </c>
      <c r="I78" s="55" t="n">
        <v>1500</v>
      </c>
      <c r="J78" s="56" t="n">
        <v>3</v>
      </c>
      <c r="K78" s="54" t="s">
        <v>142</v>
      </c>
      <c r="L78" s="57" t="n">
        <v>0.043</v>
      </c>
      <c r="N78" s="47" t="s">
        <v>148</v>
      </c>
      <c r="O78" s="47" t="s">
        <v>310</v>
      </c>
      <c r="P78" s="47"/>
      <c r="Q78" s="48" t="n">
        <f aca="false">IF($J78="","",IFERROR(IF($J78&lt;=1,INDEX(VN_국채일별!$B$4:$B$1436,MATCH($B78,VN_국채일별!$A$4:$A$1436,1)),IF($J78&lt;=2,INDEX(VN_국채일별!$B$4:$B$1436,MATCH($B78,VN_국채일별!$A$4:$A$1436,1))+(INDEX(VN_국채일별!$C$4:$C$1436,MATCH($B78,VN_국채일별!$A$4:$A$1436,1))-INDEX(VN_국채일별!$B$4:$B$1436,MATCH($B78,VN_국채일별!$A$4:$A$1436,1)))*($J78-1),IF($J78&lt;=3,INDEX(VN_국채일별!$C$4:$C$1436,MATCH($B78,VN_국채일별!$A$4:$A$1436,1))+(INDEX(VN_국채일별!$D$4:$D$1436,MATCH($B78,VN_국채일별!$A$4:$A$1436,1))-INDEX(VN_국채일별!$C$4:$C$1436,MATCH($B78,VN_국채일별!$A$4:$A$1436,1)))*($J78-2),IF($J78&lt;=5,INDEX(VN_국채일별!$D$4:$D$1436,MATCH($B78,VN_국채일별!$A$4:$A$1436,1))+(INDEX(VN_국채일별!$E$4:$E$1436,MATCH($B78,VN_국채일별!$A$4:$A$1436,1))-INDEX(VN_국채일별!$D$4:$D$1436,MATCH($B78,VN_국채일별!$A$4:$A$1436,1)))*($J78-3)/2,IF($J78&lt;=7,INDEX(VN_국채일별!$E$4:$E$1436,MATCH($B78,VN_국채일별!$A$4:$A$1436,1))+(INDEX(VN_국채일별!$F$4:$F$1436,MATCH($B78,VN_국채일별!$A$4:$A$1436,1))-INDEX(VN_국채일별!$E$4:$E$1436,MATCH($B78,VN_국채일별!$A$4:$A$1436,1)))*($J78-5)/2,IF($J78&lt;=10,INDEX(VN_국채일별!$F$4:$F$1436,MATCH($B78,VN_국채일별!$A$4:$A$1436,1))+(INDEX(VN_국채일별!$G$4:$G$1436,MATCH($B78,VN_국채일별!$A$4:$A$1436,1))-INDEX(VN_국채일별!$F$4:$F$1436,MATCH($B78,VN_국채일별!$A$4:$A$1436,1)))*($J78-7)/3,INDEX(VN_국채일별!$G$4:$G$1436,MATCH($B78,VN_국채일별!$A$4:$A$1436,1)))))))),""))</f>
        <v>0.02288</v>
      </c>
      <c r="R78" s="58" t="n">
        <f aca="false">IF(OR(L78="",Q78=""),"",(L78-Q78)*10000)</f>
        <v>201.2</v>
      </c>
      <c r="S78" s="30" t="n">
        <f aca="false">IF(AND(K78="고정",N78="N",J78&gt;=2,J78&lt;=4,I78&lt;&gt;""),1,0)</f>
        <v>1</v>
      </c>
      <c r="T78" s="59" t="n">
        <f aca="false">IF(S78=1,I78*L78,0)</f>
        <v>64.5</v>
      </c>
      <c r="U78" s="60" t="n">
        <f aca="false">IF(AND(S78=1,ISNUMBER(R78)),I78*R78,0)</f>
        <v>301800</v>
      </c>
      <c r="V78" s="30" t="n">
        <f aca="false">IF(AND(F78="Big4(국영)",K78="고정",N78="N",I78&lt;&gt;""),1,0)</f>
        <v>0</v>
      </c>
      <c r="W78" s="59" t="n">
        <f aca="false">IF(V78=1,I78*L78,0)</f>
        <v>0</v>
      </c>
      <c r="X78" s="60" t="n">
        <f aca="false">IF(AND(V78=1,ISNUMBER(R78)),I78*R78,0)</f>
        <v>0</v>
      </c>
      <c r="Y78" s="61" t="n">
        <f aca="false">IF(AND(S78=1,ISNUMBER(R78)),I78,0)</f>
        <v>1500</v>
      </c>
      <c r="Z78" s="61" t="n">
        <f aca="false">IF(AND(V78=1,ISNUMBER(R78)),I78,0)</f>
        <v>0</v>
      </c>
    </row>
    <row r="79" customFormat="false" ht="15" hidden="false" customHeight="false" outlineLevel="0" collapsed="false">
      <c r="A79" s="47" t="s">
        <v>304</v>
      </c>
      <c r="B79" s="52" t="n">
        <v>44727</v>
      </c>
      <c r="C79" s="53" t="n">
        <f aca="false">DATE(YEAR(B79),MONTH(B79),1)</f>
        <v>44713</v>
      </c>
      <c r="D79" s="5" t="str">
        <f aca="false">YEAR(B79)&amp;"Q"&amp;ROUNDUP(MONTH(B79)/3,0)</f>
        <v>2022Q2</v>
      </c>
      <c r="E79" s="47" t="s">
        <v>160</v>
      </c>
      <c r="F79" s="54" t="s">
        <v>139</v>
      </c>
      <c r="G79" s="47" t="s">
        <v>161</v>
      </c>
      <c r="H79" s="47" t="s">
        <v>311</v>
      </c>
      <c r="I79" s="55" t="n">
        <v>50</v>
      </c>
      <c r="J79" s="56" t="n">
        <v>7</v>
      </c>
      <c r="K79" s="54" t="s">
        <v>142</v>
      </c>
      <c r="L79" s="57" t="n">
        <v>0.0705</v>
      </c>
      <c r="N79" s="47" t="s">
        <v>143</v>
      </c>
      <c r="O79" s="47" t="s">
        <v>312</v>
      </c>
      <c r="P79" s="47"/>
      <c r="Q79" s="48" t="n">
        <f aca="false">IF($J79="","",IFERROR(IF($J79&lt;=1,INDEX(VN_국채일별!$B$4:$B$1436,MATCH($B79,VN_국채일별!$A$4:$A$1436,1)),IF($J79&lt;=2,INDEX(VN_국채일별!$B$4:$B$1436,MATCH($B79,VN_국채일별!$A$4:$A$1436,1))+(INDEX(VN_국채일별!$C$4:$C$1436,MATCH($B79,VN_국채일별!$A$4:$A$1436,1))-INDEX(VN_국채일별!$B$4:$B$1436,MATCH($B79,VN_국채일별!$A$4:$A$1436,1)))*($J79-1),IF($J79&lt;=3,INDEX(VN_국채일별!$C$4:$C$1436,MATCH($B79,VN_국채일별!$A$4:$A$1436,1))+(INDEX(VN_국채일별!$D$4:$D$1436,MATCH($B79,VN_국채일별!$A$4:$A$1436,1))-INDEX(VN_국채일별!$C$4:$C$1436,MATCH($B79,VN_국채일별!$A$4:$A$1436,1)))*($J79-2),IF($J79&lt;=5,INDEX(VN_국채일별!$D$4:$D$1436,MATCH($B79,VN_국채일별!$A$4:$A$1436,1))+(INDEX(VN_국채일별!$E$4:$E$1436,MATCH($B79,VN_국채일별!$A$4:$A$1436,1))-INDEX(VN_국채일별!$D$4:$D$1436,MATCH($B79,VN_국채일별!$A$4:$A$1436,1)))*($J79-3)/2,IF($J79&lt;=7,INDEX(VN_국채일별!$E$4:$E$1436,MATCH($B79,VN_국채일별!$A$4:$A$1436,1))+(INDEX(VN_국채일별!$F$4:$F$1436,MATCH($B79,VN_국채일별!$A$4:$A$1436,1))-INDEX(VN_국채일별!$E$4:$E$1436,MATCH($B79,VN_국채일별!$A$4:$A$1436,1)))*($J79-5)/2,IF($J79&lt;=10,INDEX(VN_국채일별!$F$4:$F$1436,MATCH($B79,VN_국채일별!$A$4:$A$1436,1))+(INDEX(VN_국채일별!$G$4:$G$1436,MATCH($B79,VN_국채일별!$A$4:$A$1436,1))-INDEX(VN_국채일별!$F$4:$F$1436,MATCH($B79,VN_국채일별!$A$4:$A$1436,1)))*($J79-7)/3,INDEX(VN_국채일별!$G$4:$G$1436,MATCH($B79,VN_국채일별!$A$4:$A$1436,1)))))))),""))</f>
        <v>0.03241</v>
      </c>
      <c r="R79" s="58" t="n">
        <f aca="false">IF(OR(L79="",Q79=""),"",(L79-Q79)*10000)</f>
        <v>380.9</v>
      </c>
      <c r="S79" s="30" t="n">
        <f aca="false">IF(AND(K79="고정",N79="N",J79&gt;=2,J79&lt;=4,I79&lt;&gt;""),1,0)</f>
        <v>0</v>
      </c>
      <c r="T79" s="59" t="n">
        <f aca="false">IF(S79=1,I79*L79,0)</f>
        <v>0</v>
      </c>
      <c r="U79" s="60" t="n">
        <f aca="false">IF(AND(S79=1,ISNUMBER(R79)),I79*R79,0)</f>
        <v>0</v>
      </c>
      <c r="V79" s="30" t="n">
        <f aca="false">IF(AND(F79="Big4(국영)",K79="고정",N79="N",I79&lt;&gt;""),1,0)</f>
        <v>0</v>
      </c>
      <c r="W79" s="59" t="n">
        <f aca="false">IF(V79=1,I79*L79,0)</f>
        <v>0</v>
      </c>
      <c r="X79" s="60" t="n">
        <f aca="false">IF(AND(V79=1,ISNUMBER(R79)),I79*R79,0)</f>
        <v>0</v>
      </c>
      <c r="Y79" s="61" t="n">
        <f aca="false">IF(AND(S79=1,ISNUMBER(R79)),I79,0)</f>
        <v>0</v>
      </c>
      <c r="Z79" s="61" t="n">
        <f aca="false">IF(AND(V79=1,ISNUMBER(R79)),I79,0)</f>
        <v>0</v>
      </c>
    </row>
    <row r="80" customFormat="false" ht="15" hidden="false" customHeight="false" outlineLevel="0" collapsed="false">
      <c r="A80" s="47" t="s">
        <v>304</v>
      </c>
      <c r="B80" s="52" t="n">
        <v>44727</v>
      </c>
      <c r="C80" s="53" t="n">
        <f aca="false">DATE(YEAR(B80),MONTH(B80),1)</f>
        <v>44713</v>
      </c>
      <c r="D80" s="5" t="str">
        <f aca="false">YEAR(B80)&amp;"Q"&amp;ROUNDUP(MONTH(B80)/3,0)</f>
        <v>2022Q2</v>
      </c>
      <c r="E80" s="47" t="s">
        <v>160</v>
      </c>
      <c r="F80" s="54" t="s">
        <v>139</v>
      </c>
      <c r="G80" s="47" t="s">
        <v>161</v>
      </c>
      <c r="H80" s="47" t="s">
        <v>313</v>
      </c>
      <c r="I80" s="55" t="n">
        <v>50</v>
      </c>
      <c r="J80" s="56" t="n">
        <v>5.27</v>
      </c>
      <c r="K80" s="54" t="s">
        <v>153</v>
      </c>
      <c r="N80" s="47" t="s">
        <v>148</v>
      </c>
      <c r="O80" s="47" t="s">
        <v>314</v>
      </c>
      <c r="P80" s="47"/>
      <c r="Q80" s="48" t="n">
        <f aca="false">IF($J80="","",IFERROR(IF($J80&lt;=1,INDEX(VN_국채일별!$B$4:$B$1436,MATCH($B80,VN_국채일별!$A$4:$A$1436,1)),IF($J80&lt;=2,INDEX(VN_국채일별!$B$4:$B$1436,MATCH($B80,VN_국채일별!$A$4:$A$1436,1))+(INDEX(VN_국채일별!$C$4:$C$1436,MATCH($B80,VN_국채일별!$A$4:$A$1436,1))-INDEX(VN_국채일별!$B$4:$B$1436,MATCH($B80,VN_국채일별!$A$4:$A$1436,1)))*($J80-1),IF($J80&lt;=3,INDEX(VN_국채일별!$C$4:$C$1436,MATCH($B80,VN_국채일별!$A$4:$A$1436,1))+(INDEX(VN_국채일별!$D$4:$D$1436,MATCH($B80,VN_국채일별!$A$4:$A$1436,1))-INDEX(VN_국채일별!$C$4:$C$1436,MATCH($B80,VN_국채일별!$A$4:$A$1436,1)))*($J80-2),IF($J80&lt;=5,INDEX(VN_국채일별!$D$4:$D$1436,MATCH($B80,VN_국채일별!$A$4:$A$1436,1))+(INDEX(VN_국채일별!$E$4:$E$1436,MATCH($B80,VN_국채일별!$A$4:$A$1436,1))-INDEX(VN_국채일별!$D$4:$D$1436,MATCH($B80,VN_국채일별!$A$4:$A$1436,1)))*($J80-3)/2,IF($J80&lt;=7,INDEX(VN_국채일별!$E$4:$E$1436,MATCH($B80,VN_국채일별!$A$4:$A$1436,1))+(INDEX(VN_국채일별!$F$4:$F$1436,MATCH($B80,VN_국채일별!$A$4:$A$1436,1))-INDEX(VN_국채일별!$E$4:$E$1436,MATCH($B80,VN_국채일별!$A$4:$A$1436,1)))*($J80-5)/2,IF($J80&lt;=10,INDEX(VN_국채일별!$F$4:$F$1436,MATCH($B80,VN_국채일별!$A$4:$A$1436,1))+(INDEX(VN_국채일별!$G$4:$G$1436,MATCH($B80,VN_국채일별!$A$4:$A$1436,1))-INDEX(VN_국채일별!$F$4:$F$1436,MATCH($B80,VN_국채일별!$A$4:$A$1436,1)))*($J80-7)/3,INDEX(VN_국채일별!$G$4:$G$1436,MATCH($B80,VN_국채일별!$A$4:$A$1436,1)))))))),""))</f>
        <v>0.0277217</v>
      </c>
      <c r="R80" s="58" t="str">
        <f aca="false">IF(OR(L80="",Q80=""),"",(L80-Q80)*10000)</f>
        <v/>
      </c>
      <c r="S80" s="30" t="n">
        <f aca="false">IF(AND(K80="고정",N80="N",J80&gt;=2,J80&lt;=4,I80&lt;&gt;""),1,0)</f>
        <v>0</v>
      </c>
      <c r="T80" s="59" t="n">
        <f aca="false">IF(S80=1,I80*L80,0)</f>
        <v>0</v>
      </c>
      <c r="U80" s="60" t="n">
        <f aca="false">IF(AND(S80=1,ISNUMBER(R80)),I80*R80,0)</f>
        <v>0</v>
      </c>
      <c r="V80" s="30" t="n">
        <f aca="false">IF(AND(F80="Big4(국영)",K80="고정",N80="N",I80&lt;&gt;""),1,0)</f>
        <v>0</v>
      </c>
      <c r="W80" s="59" t="n">
        <f aca="false">IF(V80=1,I80*L80,0)</f>
        <v>0</v>
      </c>
      <c r="X80" s="60" t="n">
        <f aca="false">IF(AND(V80=1,ISNUMBER(R80)),I80*R80,0)</f>
        <v>0</v>
      </c>
      <c r="Y80" s="61" t="n">
        <f aca="false">IF(AND(S80=1,ISNUMBER(R80)),I80,0)</f>
        <v>0</v>
      </c>
      <c r="Z80" s="61" t="n">
        <f aca="false">IF(AND(V80=1,ISNUMBER(R80)),I80,0)</f>
        <v>0</v>
      </c>
    </row>
    <row r="81" customFormat="false" ht="15" hidden="false" customHeight="false" outlineLevel="0" collapsed="false">
      <c r="A81" s="47" t="s">
        <v>304</v>
      </c>
      <c r="B81" s="52" t="n">
        <v>44727</v>
      </c>
      <c r="C81" s="53" t="n">
        <f aca="false">DATE(YEAR(B81),MONTH(B81),1)</f>
        <v>44713</v>
      </c>
      <c r="D81" s="5" t="str">
        <f aca="false">YEAR(B81)&amp;"Q"&amp;ROUNDUP(MONTH(B81)/3,0)</f>
        <v>2022Q2</v>
      </c>
      <c r="E81" s="47" t="s">
        <v>307</v>
      </c>
      <c r="F81" s="54" t="s">
        <v>139</v>
      </c>
      <c r="G81" s="47" t="s">
        <v>308</v>
      </c>
      <c r="H81" s="47" t="s">
        <v>315</v>
      </c>
      <c r="I81" s="55" t="n">
        <v>1500</v>
      </c>
      <c r="J81" s="56" t="n">
        <v>3</v>
      </c>
      <c r="K81" s="54" t="s">
        <v>142</v>
      </c>
      <c r="L81" s="57" t="n">
        <v>0.043</v>
      </c>
      <c r="N81" s="47" t="s">
        <v>148</v>
      </c>
      <c r="O81" s="47" t="s">
        <v>310</v>
      </c>
      <c r="P81" s="47"/>
      <c r="Q81" s="48" t="n">
        <f aca="false">IF($J81="","",IFERROR(IF($J81&lt;=1,INDEX(VN_국채일별!$B$4:$B$1436,MATCH($B81,VN_국채일별!$A$4:$A$1436,1)),IF($J81&lt;=2,INDEX(VN_국채일별!$B$4:$B$1436,MATCH($B81,VN_국채일별!$A$4:$A$1436,1))+(INDEX(VN_국채일별!$C$4:$C$1436,MATCH($B81,VN_국채일별!$A$4:$A$1436,1))-INDEX(VN_국채일별!$B$4:$B$1436,MATCH($B81,VN_국채일별!$A$4:$A$1436,1)))*($J81-1),IF($J81&lt;=3,INDEX(VN_국채일별!$C$4:$C$1436,MATCH($B81,VN_국채일별!$A$4:$A$1436,1))+(INDEX(VN_국채일별!$D$4:$D$1436,MATCH($B81,VN_국채일별!$A$4:$A$1436,1))-INDEX(VN_국채일별!$C$4:$C$1436,MATCH($B81,VN_국채일별!$A$4:$A$1436,1)))*($J81-2),IF($J81&lt;=5,INDEX(VN_국채일별!$D$4:$D$1436,MATCH($B81,VN_국채일별!$A$4:$A$1436,1))+(INDEX(VN_국채일별!$E$4:$E$1436,MATCH($B81,VN_국채일별!$A$4:$A$1436,1))-INDEX(VN_국채일별!$D$4:$D$1436,MATCH($B81,VN_국채일별!$A$4:$A$1436,1)))*($J81-3)/2,IF($J81&lt;=7,INDEX(VN_국채일별!$E$4:$E$1436,MATCH($B81,VN_국채일별!$A$4:$A$1436,1))+(INDEX(VN_국채일별!$F$4:$F$1436,MATCH($B81,VN_국채일별!$A$4:$A$1436,1))-INDEX(VN_국채일별!$E$4:$E$1436,MATCH($B81,VN_국채일별!$A$4:$A$1436,1)))*($J81-5)/2,IF($J81&lt;=10,INDEX(VN_국채일별!$F$4:$F$1436,MATCH($B81,VN_국채일별!$A$4:$A$1436,1))+(INDEX(VN_국채일별!$G$4:$G$1436,MATCH($B81,VN_국채일별!$A$4:$A$1436,1))-INDEX(VN_국채일별!$F$4:$F$1436,MATCH($B81,VN_국채일별!$A$4:$A$1436,1)))*($J81-7)/3,INDEX(VN_국채일별!$G$4:$G$1436,MATCH($B81,VN_국채일별!$A$4:$A$1436,1)))))))),""))</f>
        <v>0.02346</v>
      </c>
      <c r="R81" s="58" t="n">
        <f aca="false">IF(OR(L81="",Q81=""),"",(L81-Q81)*10000)</f>
        <v>195.4</v>
      </c>
      <c r="S81" s="30" t="n">
        <f aca="false">IF(AND(K81="고정",N81="N",J81&gt;=2,J81&lt;=4,I81&lt;&gt;""),1,0)</f>
        <v>1</v>
      </c>
      <c r="T81" s="59" t="n">
        <f aca="false">IF(S81=1,I81*L81,0)</f>
        <v>64.5</v>
      </c>
      <c r="U81" s="60" t="n">
        <f aca="false">IF(AND(S81=1,ISNUMBER(R81)),I81*R81,0)</f>
        <v>293100</v>
      </c>
      <c r="V81" s="30" t="n">
        <f aca="false">IF(AND(F81="Big4(국영)",K81="고정",N81="N",I81&lt;&gt;""),1,0)</f>
        <v>0</v>
      </c>
      <c r="W81" s="59" t="n">
        <f aca="false">IF(V81=1,I81*L81,0)</f>
        <v>0</v>
      </c>
      <c r="X81" s="60" t="n">
        <f aca="false">IF(AND(V81=1,ISNUMBER(R81)),I81*R81,0)</f>
        <v>0</v>
      </c>
      <c r="Y81" s="61" t="n">
        <f aca="false">IF(AND(S81=1,ISNUMBER(R81)),I81,0)</f>
        <v>1500</v>
      </c>
      <c r="Z81" s="61" t="n">
        <f aca="false">IF(AND(V81=1,ISNUMBER(R81)),I81,0)</f>
        <v>0</v>
      </c>
    </row>
    <row r="82" customFormat="false" ht="15" hidden="false" customHeight="false" outlineLevel="0" collapsed="false">
      <c r="A82" s="47" t="s">
        <v>304</v>
      </c>
      <c r="B82" s="52" t="n">
        <v>44727</v>
      </c>
      <c r="C82" s="53" t="n">
        <f aca="false">DATE(YEAR(B82),MONTH(B82),1)</f>
        <v>44713</v>
      </c>
      <c r="D82" s="5" t="str">
        <f aca="false">YEAR(B82)&amp;"Q"&amp;ROUNDUP(MONTH(B82)/3,0)</f>
        <v>2022Q2</v>
      </c>
      <c r="E82" s="47" t="s">
        <v>316</v>
      </c>
      <c r="F82" s="54" t="s">
        <v>139</v>
      </c>
      <c r="G82" s="47" t="s">
        <v>317</v>
      </c>
      <c r="H82" s="47"/>
      <c r="J82" s="56" t="n">
        <v>8</v>
      </c>
      <c r="K82" s="54" t="s">
        <v>153</v>
      </c>
      <c r="N82" s="47" t="s">
        <v>143</v>
      </c>
      <c r="O82" s="47" t="s">
        <v>318</v>
      </c>
      <c r="P82" s="54" t="s">
        <v>164</v>
      </c>
      <c r="Q82" s="48" t="n">
        <f aca="false">IF($J82="","",IFERROR(IF($J82&lt;=1,INDEX(VN_국채일별!$B$4:$B$1436,MATCH($B82,VN_국채일별!$A$4:$A$1436,1)),IF($J82&lt;=2,INDEX(VN_국채일별!$B$4:$B$1436,MATCH($B82,VN_국채일별!$A$4:$A$1436,1))+(INDEX(VN_국채일별!$C$4:$C$1436,MATCH($B82,VN_국채일별!$A$4:$A$1436,1))-INDEX(VN_국채일별!$B$4:$B$1436,MATCH($B82,VN_국채일별!$A$4:$A$1436,1)))*($J82-1),IF($J82&lt;=3,INDEX(VN_국채일별!$C$4:$C$1436,MATCH($B82,VN_국채일별!$A$4:$A$1436,1))+(INDEX(VN_국채일별!$D$4:$D$1436,MATCH($B82,VN_국채일별!$A$4:$A$1436,1))-INDEX(VN_국채일별!$C$4:$C$1436,MATCH($B82,VN_국채일별!$A$4:$A$1436,1)))*($J82-2),IF($J82&lt;=5,INDEX(VN_국채일별!$D$4:$D$1436,MATCH($B82,VN_국채일별!$A$4:$A$1436,1))+(INDEX(VN_국채일별!$E$4:$E$1436,MATCH($B82,VN_국채일별!$A$4:$A$1436,1))-INDEX(VN_국채일별!$D$4:$D$1436,MATCH($B82,VN_국채일별!$A$4:$A$1436,1)))*($J82-3)/2,IF($J82&lt;=7,INDEX(VN_국채일별!$E$4:$E$1436,MATCH($B82,VN_국채일별!$A$4:$A$1436,1))+(INDEX(VN_국채일별!$F$4:$F$1436,MATCH($B82,VN_국채일별!$A$4:$A$1436,1))-INDEX(VN_국채일별!$E$4:$E$1436,MATCH($B82,VN_국채일별!$A$4:$A$1436,1)))*($J82-5)/2,IF($J82&lt;=10,INDEX(VN_국채일별!$F$4:$F$1436,MATCH($B82,VN_국채일별!$A$4:$A$1436,1))+(INDEX(VN_국채일별!$G$4:$G$1436,MATCH($B82,VN_국채일별!$A$4:$A$1436,1))-INDEX(VN_국채일별!$F$4:$F$1436,MATCH($B82,VN_국채일별!$A$4:$A$1436,1)))*($J82-7)/3,INDEX(VN_국채일별!$G$4:$G$1436,MATCH($B82,VN_국채일별!$A$4:$A$1436,1)))))))),""))</f>
        <v>0.03311</v>
      </c>
      <c r="R82" s="58" t="str">
        <f aca="false">IF(OR(L82="",Q82=""),"",(L82-Q82)*10000)</f>
        <v/>
      </c>
      <c r="S82" s="30" t="n">
        <f aca="false">IF(AND(K82="고정",N82="N",J82&gt;=2,J82&lt;=4,I82&lt;&gt;""),1,0)</f>
        <v>0</v>
      </c>
      <c r="T82" s="59" t="n">
        <f aca="false">IF(S82=1,I82*L82,0)</f>
        <v>0</v>
      </c>
      <c r="U82" s="60" t="n">
        <f aca="false">IF(AND(S82=1,ISNUMBER(R82)),I82*R82,0)</f>
        <v>0</v>
      </c>
      <c r="V82" s="30" t="n">
        <f aca="false">IF(AND(F82="Big4(국영)",K82="고정",N82="N",I82&lt;&gt;""),1,0)</f>
        <v>0</v>
      </c>
      <c r="W82" s="59" t="n">
        <f aca="false">IF(V82=1,I82*L82,0)</f>
        <v>0</v>
      </c>
      <c r="X82" s="60" t="n">
        <f aca="false">IF(AND(V82=1,ISNUMBER(R82)),I82*R82,0)</f>
        <v>0</v>
      </c>
      <c r="Y82" s="61" t="n">
        <f aca="false">IF(AND(S82=1,ISNUMBER(R82)),I82,0)</f>
        <v>0</v>
      </c>
      <c r="Z82" s="61" t="n">
        <f aca="false">IF(AND(V82=1,ISNUMBER(R82)),I82,0)</f>
        <v>0</v>
      </c>
    </row>
    <row r="83" customFormat="false" ht="15" hidden="false" customHeight="false" outlineLevel="0" collapsed="false">
      <c r="A83" s="47" t="s">
        <v>304</v>
      </c>
      <c r="B83" s="52" t="n">
        <v>44728</v>
      </c>
      <c r="C83" s="53" t="n">
        <f aca="false">DATE(YEAR(B83),MONTH(B83),1)</f>
        <v>44713</v>
      </c>
      <c r="D83" s="5" t="str">
        <f aca="false">YEAR(B83)&amp;"Q"&amp;ROUNDUP(MONTH(B83)/3,0)</f>
        <v>2022Q2</v>
      </c>
      <c r="E83" s="47" t="s">
        <v>181</v>
      </c>
      <c r="F83" s="54" t="s">
        <v>139</v>
      </c>
      <c r="G83" s="47" t="s">
        <v>319</v>
      </c>
      <c r="H83" s="47" t="s">
        <v>320</v>
      </c>
      <c r="I83" s="55" t="n">
        <v>500</v>
      </c>
      <c r="J83" s="56" t="n">
        <v>3</v>
      </c>
      <c r="K83" s="54" t="s">
        <v>142</v>
      </c>
      <c r="L83" s="57" t="n">
        <v>0.044</v>
      </c>
      <c r="N83" s="47" t="s">
        <v>148</v>
      </c>
      <c r="O83" s="47" t="s">
        <v>321</v>
      </c>
      <c r="P83" s="47"/>
      <c r="Q83" s="48" t="n">
        <f aca="false">IF($J83="","",IFERROR(IF($J83&lt;=1,INDEX(VN_국채일별!$B$4:$B$1436,MATCH($B83,VN_국채일별!$A$4:$A$1436,1)),IF($J83&lt;=2,INDEX(VN_국채일별!$B$4:$B$1436,MATCH($B83,VN_국채일별!$A$4:$A$1436,1))+(INDEX(VN_국채일별!$C$4:$C$1436,MATCH($B83,VN_국채일별!$A$4:$A$1436,1))-INDEX(VN_국채일별!$B$4:$B$1436,MATCH($B83,VN_국채일별!$A$4:$A$1436,1)))*($J83-1),IF($J83&lt;=3,INDEX(VN_국채일별!$C$4:$C$1436,MATCH($B83,VN_국채일별!$A$4:$A$1436,1))+(INDEX(VN_국채일별!$D$4:$D$1436,MATCH($B83,VN_국채일별!$A$4:$A$1436,1))-INDEX(VN_국채일별!$C$4:$C$1436,MATCH($B83,VN_국채일별!$A$4:$A$1436,1)))*($J83-2),IF($J83&lt;=5,INDEX(VN_국채일별!$D$4:$D$1436,MATCH($B83,VN_국채일별!$A$4:$A$1436,1))+(INDEX(VN_국채일별!$E$4:$E$1436,MATCH($B83,VN_국채일별!$A$4:$A$1436,1))-INDEX(VN_국채일별!$D$4:$D$1436,MATCH($B83,VN_국채일별!$A$4:$A$1436,1)))*($J83-3)/2,IF($J83&lt;=7,INDEX(VN_국채일별!$E$4:$E$1436,MATCH($B83,VN_국채일별!$A$4:$A$1436,1))+(INDEX(VN_국채일별!$F$4:$F$1436,MATCH($B83,VN_국채일별!$A$4:$A$1436,1))-INDEX(VN_국채일별!$E$4:$E$1436,MATCH($B83,VN_국채일별!$A$4:$A$1436,1)))*($J83-5)/2,IF($J83&lt;=10,INDEX(VN_국채일별!$F$4:$F$1436,MATCH($B83,VN_국채일별!$A$4:$A$1436,1))+(INDEX(VN_국채일별!$G$4:$G$1436,MATCH($B83,VN_국채일별!$A$4:$A$1436,1))-INDEX(VN_국채일별!$F$4:$F$1436,MATCH($B83,VN_국채일별!$A$4:$A$1436,1)))*($J83-7)/3,INDEX(VN_국채일별!$G$4:$G$1436,MATCH($B83,VN_국채일별!$A$4:$A$1436,1)))))))),""))</f>
        <v>0.02326</v>
      </c>
      <c r="R83" s="58" t="n">
        <f aca="false">IF(OR(L83="",Q83=""),"",(L83-Q83)*10000)</f>
        <v>207.4</v>
      </c>
      <c r="S83" s="30" t="n">
        <f aca="false">IF(AND(K83="고정",N83="N",J83&gt;=2,J83&lt;=4,I83&lt;&gt;""),1,0)</f>
        <v>1</v>
      </c>
      <c r="T83" s="59" t="n">
        <f aca="false">IF(S83=1,I83*L83,0)</f>
        <v>22</v>
      </c>
      <c r="U83" s="60" t="n">
        <f aca="false">IF(AND(S83=1,ISNUMBER(R83)),I83*R83,0)</f>
        <v>103700</v>
      </c>
      <c r="V83" s="30" t="n">
        <f aca="false">IF(AND(F83="Big4(국영)",K83="고정",N83="N",I83&lt;&gt;""),1,0)</f>
        <v>0</v>
      </c>
      <c r="W83" s="59" t="n">
        <f aca="false">IF(V83=1,I83*L83,0)</f>
        <v>0</v>
      </c>
      <c r="X83" s="60" t="n">
        <f aca="false">IF(AND(V83=1,ISNUMBER(R83)),I83*R83,0)</f>
        <v>0</v>
      </c>
      <c r="Y83" s="61" t="n">
        <f aca="false">IF(AND(S83=1,ISNUMBER(R83)),I83,0)</f>
        <v>500</v>
      </c>
      <c r="Z83" s="61" t="n">
        <f aca="false">IF(AND(V83=1,ISNUMBER(R83)),I83,0)</f>
        <v>0</v>
      </c>
    </row>
    <row r="84" customFormat="false" ht="15" hidden="false" customHeight="false" outlineLevel="0" collapsed="false">
      <c r="A84" s="47" t="s">
        <v>304</v>
      </c>
      <c r="B84" s="52" t="n">
        <v>44728</v>
      </c>
      <c r="C84" s="53" t="n">
        <f aca="false">DATE(YEAR(B84),MONTH(B84),1)</f>
        <v>44713</v>
      </c>
      <c r="D84" s="5" t="str">
        <f aca="false">YEAR(B84)&amp;"Q"&amp;ROUNDUP(MONTH(B84)/3,0)</f>
        <v>2022Q2</v>
      </c>
      <c r="E84" s="47" t="s">
        <v>307</v>
      </c>
      <c r="F84" s="54" t="s">
        <v>139</v>
      </c>
      <c r="G84" s="47" t="s">
        <v>308</v>
      </c>
      <c r="H84" s="47" t="s">
        <v>322</v>
      </c>
      <c r="I84" s="55" t="n">
        <v>1500</v>
      </c>
      <c r="J84" s="56" t="n">
        <v>3</v>
      </c>
      <c r="K84" s="54" t="s">
        <v>142</v>
      </c>
      <c r="L84" s="57" t="n">
        <v>0.042</v>
      </c>
      <c r="N84" s="47" t="s">
        <v>148</v>
      </c>
      <c r="O84" s="47" t="s">
        <v>194</v>
      </c>
      <c r="P84" s="47"/>
      <c r="Q84" s="48" t="n">
        <f aca="false">IF($J84="","",IFERROR(IF($J84&lt;=1,INDEX(VN_국채일별!$B$4:$B$1436,MATCH($B84,VN_국채일별!$A$4:$A$1436,1)),IF($J84&lt;=2,INDEX(VN_국채일별!$B$4:$B$1436,MATCH($B84,VN_국채일별!$A$4:$A$1436,1))+(INDEX(VN_국채일별!$C$4:$C$1436,MATCH($B84,VN_국채일별!$A$4:$A$1436,1))-INDEX(VN_국채일별!$B$4:$B$1436,MATCH($B84,VN_국채일별!$A$4:$A$1436,1)))*($J84-1),IF($J84&lt;=3,INDEX(VN_국채일별!$C$4:$C$1436,MATCH($B84,VN_국채일별!$A$4:$A$1436,1))+(INDEX(VN_국채일별!$D$4:$D$1436,MATCH($B84,VN_국채일별!$A$4:$A$1436,1))-INDEX(VN_국채일별!$C$4:$C$1436,MATCH($B84,VN_국채일별!$A$4:$A$1436,1)))*($J84-2),IF($J84&lt;=5,INDEX(VN_국채일별!$D$4:$D$1436,MATCH($B84,VN_국채일별!$A$4:$A$1436,1))+(INDEX(VN_국채일별!$E$4:$E$1436,MATCH($B84,VN_국채일별!$A$4:$A$1436,1))-INDEX(VN_국채일별!$D$4:$D$1436,MATCH($B84,VN_국채일별!$A$4:$A$1436,1)))*($J84-3)/2,IF($J84&lt;=7,INDEX(VN_국채일별!$E$4:$E$1436,MATCH($B84,VN_국채일별!$A$4:$A$1436,1))+(INDEX(VN_국채일별!$F$4:$F$1436,MATCH($B84,VN_국채일별!$A$4:$A$1436,1))-INDEX(VN_국채일별!$E$4:$E$1436,MATCH($B84,VN_국채일별!$A$4:$A$1436,1)))*($J84-5)/2,IF($J84&lt;=10,INDEX(VN_국채일별!$F$4:$F$1436,MATCH($B84,VN_국채일별!$A$4:$A$1436,1))+(INDEX(VN_국채일별!$G$4:$G$1436,MATCH($B84,VN_국채일별!$A$4:$A$1436,1))-INDEX(VN_국채일별!$F$4:$F$1436,MATCH($B84,VN_국채일별!$A$4:$A$1436,1)))*($J84-7)/3,INDEX(VN_국채일별!$G$4:$G$1436,MATCH($B84,VN_국채일별!$A$4:$A$1436,1)))))))),""))</f>
        <v>0.02326</v>
      </c>
      <c r="R84" s="58" t="n">
        <f aca="false">IF(OR(L84="",Q84=""),"",(L84-Q84)*10000)</f>
        <v>187.4</v>
      </c>
      <c r="S84" s="30" t="n">
        <f aca="false">IF(AND(K84="고정",N84="N",J84&gt;=2,J84&lt;=4,I84&lt;&gt;""),1,0)</f>
        <v>1</v>
      </c>
      <c r="T84" s="59" t="n">
        <f aca="false">IF(S84=1,I84*L84,0)</f>
        <v>63</v>
      </c>
      <c r="U84" s="60" t="n">
        <f aca="false">IF(AND(S84=1,ISNUMBER(R84)),I84*R84,0)</f>
        <v>281100</v>
      </c>
      <c r="V84" s="30" t="n">
        <f aca="false">IF(AND(F84="Big4(국영)",K84="고정",N84="N",I84&lt;&gt;""),1,0)</f>
        <v>0</v>
      </c>
      <c r="W84" s="59" t="n">
        <f aca="false">IF(V84=1,I84*L84,0)</f>
        <v>0</v>
      </c>
      <c r="X84" s="60" t="n">
        <f aca="false">IF(AND(V84=1,ISNUMBER(R84)),I84*R84,0)</f>
        <v>0</v>
      </c>
      <c r="Y84" s="61" t="n">
        <f aca="false">IF(AND(S84=1,ISNUMBER(R84)),I84,0)</f>
        <v>1500</v>
      </c>
      <c r="Z84" s="61" t="n">
        <f aca="false">IF(AND(V84=1,ISNUMBER(R84)),I84,0)</f>
        <v>0</v>
      </c>
    </row>
    <row r="85" customFormat="false" ht="15" hidden="false" customHeight="false" outlineLevel="0" collapsed="false">
      <c r="A85" s="47" t="s">
        <v>304</v>
      </c>
      <c r="B85" s="52" t="n">
        <v>44733</v>
      </c>
      <c r="C85" s="53" t="n">
        <f aca="false">DATE(YEAR(B85),MONTH(B85),1)</f>
        <v>44713</v>
      </c>
      <c r="D85" s="5" t="str">
        <f aca="false">YEAR(B85)&amp;"Q"&amp;ROUNDUP(MONTH(B85)/3,0)</f>
        <v>2022Q2</v>
      </c>
      <c r="E85" s="47" t="s">
        <v>323</v>
      </c>
      <c r="F85" s="54" t="s">
        <v>139</v>
      </c>
      <c r="G85" s="47" t="s">
        <v>324</v>
      </c>
      <c r="H85" s="47" t="s">
        <v>325</v>
      </c>
      <c r="I85" s="55" t="n">
        <v>500</v>
      </c>
      <c r="J85" s="56" t="n">
        <v>3</v>
      </c>
      <c r="K85" s="54" t="s">
        <v>142</v>
      </c>
      <c r="L85" s="57" t="n">
        <v>0.047</v>
      </c>
      <c r="N85" s="47" t="s">
        <v>148</v>
      </c>
      <c r="O85" s="47" t="s">
        <v>326</v>
      </c>
      <c r="P85" s="47"/>
      <c r="Q85" s="48" t="n">
        <f aca="false">IF($J85="","",IFERROR(IF($J85&lt;=1,INDEX(VN_국채일별!$B$4:$B$1436,MATCH($B85,VN_국채일별!$A$4:$A$1436,1)),IF($J85&lt;=2,INDEX(VN_국채일별!$B$4:$B$1436,MATCH($B85,VN_국채일별!$A$4:$A$1436,1))+(INDEX(VN_국채일별!$C$4:$C$1436,MATCH($B85,VN_국채일별!$A$4:$A$1436,1))-INDEX(VN_국채일별!$B$4:$B$1436,MATCH($B85,VN_국채일별!$A$4:$A$1436,1)))*($J85-1),IF($J85&lt;=3,INDEX(VN_국채일별!$C$4:$C$1436,MATCH($B85,VN_국채일별!$A$4:$A$1436,1))+(INDEX(VN_국채일별!$D$4:$D$1436,MATCH($B85,VN_국채일별!$A$4:$A$1436,1))-INDEX(VN_국채일별!$C$4:$C$1436,MATCH($B85,VN_국채일별!$A$4:$A$1436,1)))*($J85-2),IF($J85&lt;=5,INDEX(VN_국채일별!$D$4:$D$1436,MATCH($B85,VN_국채일별!$A$4:$A$1436,1))+(INDEX(VN_국채일별!$E$4:$E$1436,MATCH($B85,VN_국채일별!$A$4:$A$1436,1))-INDEX(VN_국채일별!$D$4:$D$1436,MATCH($B85,VN_국채일별!$A$4:$A$1436,1)))*($J85-3)/2,IF($J85&lt;=7,INDEX(VN_국채일별!$E$4:$E$1436,MATCH($B85,VN_국채일별!$A$4:$A$1436,1))+(INDEX(VN_국채일별!$F$4:$F$1436,MATCH($B85,VN_국채일별!$A$4:$A$1436,1))-INDEX(VN_국채일별!$E$4:$E$1436,MATCH($B85,VN_국채일별!$A$4:$A$1436,1)))*($J85-5)/2,IF($J85&lt;=10,INDEX(VN_국채일별!$F$4:$F$1436,MATCH($B85,VN_국채일별!$A$4:$A$1436,1))+(INDEX(VN_국채일별!$G$4:$G$1436,MATCH($B85,VN_국채일별!$A$4:$A$1436,1))-INDEX(VN_국채일별!$F$4:$F$1436,MATCH($B85,VN_국채일별!$A$4:$A$1436,1)))*($J85-7)/3,INDEX(VN_국채일별!$G$4:$G$1436,MATCH($B85,VN_국채일별!$A$4:$A$1436,1)))))))),""))</f>
        <v>0.02315</v>
      </c>
      <c r="R85" s="58" t="n">
        <f aca="false">IF(OR(L85="",Q85=""),"",(L85-Q85)*10000)</f>
        <v>238.5</v>
      </c>
      <c r="S85" s="30" t="n">
        <f aca="false">IF(AND(K85="고정",N85="N",J85&gt;=2,J85&lt;=4,I85&lt;&gt;""),1,0)</f>
        <v>1</v>
      </c>
      <c r="T85" s="59" t="n">
        <f aca="false">IF(S85=1,I85*L85,0)</f>
        <v>23.5</v>
      </c>
      <c r="U85" s="60" t="n">
        <f aca="false">IF(AND(S85=1,ISNUMBER(R85)),I85*R85,0)</f>
        <v>119250</v>
      </c>
      <c r="V85" s="30" t="n">
        <f aca="false">IF(AND(F85="Big4(국영)",K85="고정",N85="N",I85&lt;&gt;""),1,0)</f>
        <v>0</v>
      </c>
      <c r="W85" s="59" t="n">
        <f aca="false">IF(V85=1,I85*L85,0)</f>
        <v>0</v>
      </c>
      <c r="X85" s="60" t="n">
        <f aca="false">IF(AND(V85=1,ISNUMBER(R85)),I85*R85,0)</f>
        <v>0</v>
      </c>
      <c r="Y85" s="61" t="n">
        <f aca="false">IF(AND(S85=1,ISNUMBER(R85)),I85,0)</f>
        <v>500</v>
      </c>
      <c r="Z85" s="61" t="n">
        <f aca="false">IF(AND(V85=1,ISNUMBER(R85)),I85,0)</f>
        <v>0</v>
      </c>
    </row>
    <row r="86" customFormat="false" ht="15" hidden="false" customHeight="false" outlineLevel="0" collapsed="false">
      <c r="A86" s="47" t="s">
        <v>304</v>
      </c>
      <c r="B86" s="52" t="n">
        <v>44733</v>
      </c>
      <c r="C86" s="53" t="n">
        <f aca="false">DATE(YEAR(B86),MONTH(B86),1)</f>
        <v>44713</v>
      </c>
      <c r="D86" s="5" t="str">
        <f aca="false">YEAR(B86)&amp;"Q"&amp;ROUNDUP(MONTH(B86)/3,0)</f>
        <v>2022Q2</v>
      </c>
      <c r="E86" s="47" t="s">
        <v>145</v>
      </c>
      <c r="F86" s="54" t="s">
        <v>139</v>
      </c>
      <c r="G86" s="47" t="s">
        <v>146</v>
      </c>
      <c r="H86" s="47" t="s">
        <v>327</v>
      </c>
      <c r="I86" s="55" t="n">
        <v>1000</v>
      </c>
      <c r="K86" s="54" t="s">
        <v>142</v>
      </c>
      <c r="L86" s="57" t="n">
        <v>0.043</v>
      </c>
      <c r="N86" s="47" t="s">
        <v>148</v>
      </c>
      <c r="O86" s="47" t="s">
        <v>310</v>
      </c>
      <c r="P86" s="47"/>
      <c r="Q86" s="48" t="str">
        <f aca="false">IF($J86="","",IFERROR(IF($J86&lt;=1,INDEX(VN_국채일별!$B$4:$B$1436,MATCH($B86,VN_국채일별!$A$4:$A$1436,1)),IF($J86&lt;=2,INDEX(VN_국채일별!$B$4:$B$1436,MATCH($B86,VN_국채일별!$A$4:$A$1436,1))+(INDEX(VN_국채일별!$C$4:$C$1436,MATCH($B86,VN_국채일별!$A$4:$A$1436,1))-INDEX(VN_국채일별!$B$4:$B$1436,MATCH($B86,VN_국채일별!$A$4:$A$1436,1)))*($J86-1),IF($J86&lt;=3,INDEX(VN_국채일별!$C$4:$C$1436,MATCH($B86,VN_국채일별!$A$4:$A$1436,1))+(INDEX(VN_국채일별!$D$4:$D$1436,MATCH($B86,VN_국채일별!$A$4:$A$1436,1))-INDEX(VN_국채일별!$C$4:$C$1436,MATCH($B86,VN_국채일별!$A$4:$A$1436,1)))*($J86-2),IF($J86&lt;=5,INDEX(VN_국채일별!$D$4:$D$1436,MATCH($B86,VN_국채일별!$A$4:$A$1436,1))+(INDEX(VN_국채일별!$E$4:$E$1436,MATCH($B86,VN_국채일별!$A$4:$A$1436,1))-INDEX(VN_국채일별!$D$4:$D$1436,MATCH($B86,VN_국채일별!$A$4:$A$1436,1)))*($J86-3)/2,IF($J86&lt;=7,INDEX(VN_국채일별!$E$4:$E$1436,MATCH($B86,VN_국채일별!$A$4:$A$1436,1))+(INDEX(VN_국채일별!$F$4:$F$1436,MATCH($B86,VN_국채일별!$A$4:$A$1436,1))-INDEX(VN_국채일별!$E$4:$E$1436,MATCH($B86,VN_국채일별!$A$4:$A$1436,1)))*($J86-5)/2,IF($J86&lt;=10,INDEX(VN_국채일별!$F$4:$F$1436,MATCH($B86,VN_국채일별!$A$4:$A$1436,1))+(INDEX(VN_국채일별!$G$4:$G$1436,MATCH($B86,VN_국채일별!$A$4:$A$1436,1))-INDEX(VN_국채일별!$F$4:$F$1436,MATCH($B86,VN_국채일별!$A$4:$A$1436,1)))*($J86-7)/3,INDEX(VN_국채일별!$G$4:$G$1436,MATCH($B86,VN_국채일별!$A$4:$A$1436,1)))))))),""))</f>
        <v/>
      </c>
      <c r="R86" s="58" t="str">
        <f aca="false">IF(OR(L86="",Q86=""),"",(L86-Q86)*10000)</f>
        <v/>
      </c>
      <c r="S86" s="30" t="n">
        <f aca="false">IF(AND(K86="고정",N86="N",J86&gt;=2,J86&lt;=4,I86&lt;&gt;""),1,0)</f>
        <v>0</v>
      </c>
      <c r="T86" s="59" t="n">
        <f aca="false">IF(S86=1,I86*L86,0)</f>
        <v>0</v>
      </c>
      <c r="U86" s="60" t="n">
        <f aca="false">IF(AND(S86=1,ISNUMBER(R86)),I86*R86,0)</f>
        <v>0</v>
      </c>
      <c r="V86" s="30" t="n">
        <f aca="false">IF(AND(F86="Big4(국영)",K86="고정",N86="N",I86&lt;&gt;""),1,0)</f>
        <v>0</v>
      </c>
      <c r="W86" s="59" t="n">
        <f aca="false">IF(V86=1,I86*L86,0)</f>
        <v>0</v>
      </c>
      <c r="X86" s="60" t="n">
        <f aca="false">IF(AND(V86=1,ISNUMBER(R86)),I86*R86,0)</f>
        <v>0</v>
      </c>
      <c r="Y86" s="61" t="n">
        <f aca="false">IF(AND(S86=1,ISNUMBER(R86)),I86,0)</f>
        <v>0</v>
      </c>
      <c r="Z86" s="61" t="n">
        <f aca="false">IF(AND(V86=1,ISNUMBER(R86)),I86,0)</f>
        <v>0</v>
      </c>
    </row>
    <row r="87" customFormat="false" ht="15" hidden="false" customHeight="false" outlineLevel="0" collapsed="false">
      <c r="A87" s="47" t="s">
        <v>304</v>
      </c>
      <c r="B87" s="52" t="n">
        <v>44734</v>
      </c>
      <c r="C87" s="53" t="n">
        <f aca="false">DATE(YEAR(B87),MONTH(B87),1)</f>
        <v>44713</v>
      </c>
      <c r="D87" s="5" t="str">
        <f aca="false">YEAR(B87)&amp;"Q"&amp;ROUNDUP(MONTH(B87)/3,0)</f>
        <v>2022Q2</v>
      </c>
      <c r="E87" s="62" t="s">
        <v>155</v>
      </c>
      <c r="F87" s="62" t="s">
        <v>156</v>
      </c>
      <c r="G87" s="47" t="s">
        <v>157</v>
      </c>
      <c r="H87" s="47" t="s">
        <v>328</v>
      </c>
      <c r="I87" s="55" t="n">
        <v>1981</v>
      </c>
      <c r="K87" s="54" t="s">
        <v>153</v>
      </c>
      <c r="N87" s="47" t="s">
        <v>143</v>
      </c>
      <c r="O87" s="47" t="s">
        <v>329</v>
      </c>
      <c r="P87" s="47"/>
      <c r="Q87" s="48" t="str">
        <f aca="false">IF($J87="","",IFERROR(IF($J87&lt;=1,INDEX(VN_국채일별!$B$4:$B$1436,MATCH($B87,VN_국채일별!$A$4:$A$1436,1)),IF($J87&lt;=2,INDEX(VN_국채일별!$B$4:$B$1436,MATCH($B87,VN_국채일별!$A$4:$A$1436,1))+(INDEX(VN_국채일별!$C$4:$C$1436,MATCH($B87,VN_국채일별!$A$4:$A$1436,1))-INDEX(VN_국채일별!$B$4:$B$1436,MATCH($B87,VN_국채일별!$A$4:$A$1436,1)))*($J87-1),IF($J87&lt;=3,INDEX(VN_국채일별!$C$4:$C$1436,MATCH($B87,VN_국채일별!$A$4:$A$1436,1))+(INDEX(VN_국채일별!$D$4:$D$1436,MATCH($B87,VN_국채일별!$A$4:$A$1436,1))-INDEX(VN_국채일별!$C$4:$C$1436,MATCH($B87,VN_국채일별!$A$4:$A$1436,1)))*($J87-2),IF($J87&lt;=5,INDEX(VN_국채일별!$D$4:$D$1436,MATCH($B87,VN_국채일별!$A$4:$A$1436,1))+(INDEX(VN_국채일별!$E$4:$E$1436,MATCH($B87,VN_국채일별!$A$4:$A$1436,1))-INDEX(VN_국채일별!$D$4:$D$1436,MATCH($B87,VN_국채일별!$A$4:$A$1436,1)))*($J87-3)/2,IF($J87&lt;=7,INDEX(VN_국채일별!$E$4:$E$1436,MATCH($B87,VN_국채일별!$A$4:$A$1436,1))+(INDEX(VN_국채일별!$F$4:$F$1436,MATCH($B87,VN_국채일별!$A$4:$A$1436,1))-INDEX(VN_국채일별!$E$4:$E$1436,MATCH($B87,VN_국채일별!$A$4:$A$1436,1)))*($J87-5)/2,IF($J87&lt;=10,INDEX(VN_국채일별!$F$4:$F$1436,MATCH($B87,VN_국채일별!$A$4:$A$1436,1))+(INDEX(VN_국채일별!$G$4:$G$1436,MATCH($B87,VN_국채일별!$A$4:$A$1436,1))-INDEX(VN_국채일별!$F$4:$F$1436,MATCH($B87,VN_국채일별!$A$4:$A$1436,1)))*($J87-7)/3,INDEX(VN_국채일별!$G$4:$G$1436,MATCH($B87,VN_국채일별!$A$4:$A$1436,1)))))))),""))</f>
        <v/>
      </c>
      <c r="R87" s="58" t="str">
        <f aca="false">IF(OR(L87="",Q87=""),"",(L87-Q87)*10000)</f>
        <v/>
      </c>
      <c r="S87" s="30" t="n">
        <f aca="false">IF(AND(K87="고정",N87="N",J87&gt;=2,J87&lt;=4,I87&lt;&gt;""),1,0)</f>
        <v>0</v>
      </c>
      <c r="T87" s="59" t="n">
        <f aca="false">IF(S87=1,I87*L87,0)</f>
        <v>0</v>
      </c>
      <c r="U87" s="60" t="n">
        <f aca="false">IF(AND(S87=1,ISNUMBER(R87)),I87*R87,0)</f>
        <v>0</v>
      </c>
      <c r="V87" s="30" t="n">
        <f aca="false">IF(AND(F87="Big4(국영)",K87="고정",N87="N",I87&lt;&gt;""),1,0)</f>
        <v>0</v>
      </c>
      <c r="W87" s="59" t="n">
        <f aca="false">IF(V87=1,I87*L87,0)</f>
        <v>0</v>
      </c>
      <c r="X87" s="60" t="n">
        <f aca="false">IF(AND(V87=1,ISNUMBER(R87)),I87*R87,0)</f>
        <v>0</v>
      </c>
      <c r="Y87" s="61" t="n">
        <f aca="false">IF(AND(S87=1,ISNUMBER(R87)),I87,0)</f>
        <v>0</v>
      </c>
      <c r="Z87" s="61" t="n">
        <f aca="false">IF(AND(V87=1,ISNUMBER(R87)),I87,0)</f>
        <v>0</v>
      </c>
    </row>
    <row r="88" customFormat="false" ht="15" hidden="false" customHeight="false" outlineLevel="0" collapsed="false">
      <c r="A88" s="47" t="s">
        <v>304</v>
      </c>
      <c r="B88" s="52" t="n">
        <v>44734</v>
      </c>
      <c r="C88" s="53" t="n">
        <f aca="false">DATE(YEAR(B88),MONTH(B88),1)</f>
        <v>44713</v>
      </c>
      <c r="D88" s="5" t="str">
        <f aca="false">YEAR(B88)&amp;"Q"&amp;ROUNDUP(MONTH(B88)/3,0)</f>
        <v>2022Q2</v>
      </c>
      <c r="E88" s="62" t="s">
        <v>155</v>
      </c>
      <c r="F88" s="62" t="s">
        <v>156</v>
      </c>
      <c r="G88" s="47" t="s">
        <v>157</v>
      </c>
      <c r="H88" s="47" t="s">
        <v>330</v>
      </c>
      <c r="I88" s="55" t="n">
        <v>14</v>
      </c>
      <c r="K88" s="54" t="s">
        <v>153</v>
      </c>
      <c r="N88" s="47" t="s">
        <v>143</v>
      </c>
      <c r="O88" s="47" t="s">
        <v>331</v>
      </c>
      <c r="P88" s="47"/>
      <c r="Q88" s="48" t="str">
        <f aca="false">IF($J88="","",IFERROR(IF($J88&lt;=1,INDEX(VN_국채일별!$B$4:$B$1436,MATCH($B88,VN_국채일별!$A$4:$A$1436,1)),IF($J88&lt;=2,INDEX(VN_국채일별!$B$4:$B$1436,MATCH($B88,VN_국채일별!$A$4:$A$1436,1))+(INDEX(VN_국채일별!$C$4:$C$1436,MATCH($B88,VN_국채일별!$A$4:$A$1436,1))-INDEX(VN_국채일별!$B$4:$B$1436,MATCH($B88,VN_국채일별!$A$4:$A$1436,1)))*($J88-1),IF($J88&lt;=3,INDEX(VN_국채일별!$C$4:$C$1436,MATCH($B88,VN_국채일별!$A$4:$A$1436,1))+(INDEX(VN_국채일별!$D$4:$D$1436,MATCH($B88,VN_국채일별!$A$4:$A$1436,1))-INDEX(VN_국채일별!$C$4:$C$1436,MATCH($B88,VN_국채일별!$A$4:$A$1436,1)))*($J88-2),IF($J88&lt;=5,INDEX(VN_국채일별!$D$4:$D$1436,MATCH($B88,VN_국채일별!$A$4:$A$1436,1))+(INDEX(VN_국채일별!$E$4:$E$1436,MATCH($B88,VN_국채일별!$A$4:$A$1436,1))-INDEX(VN_국채일별!$D$4:$D$1436,MATCH($B88,VN_국채일별!$A$4:$A$1436,1)))*($J88-3)/2,IF($J88&lt;=7,INDEX(VN_국채일별!$E$4:$E$1436,MATCH($B88,VN_국채일별!$A$4:$A$1436,1))+(INDEX(VN_국채일별!$F$4:$F$1436,MATCH($B88,VN_국채일별!$A$4:$A$1436,1))-INDEX(VN_국채일별!$E$4:$E$1436,MATCH($B88,VN_국채일별!$A$4:$A$1436,1)))*($J88-5)/2,IF($J88&lt;=10,INDEX(VN_국채일별!$F$4:$F$1436,MATCH($B88,VN_국채일별!$A$4:$A$1436,1))+(INDEX(VN_국채일별!$G$4:$G$1436,MATCH($B88,VN_국채일별!$A$4:$A$1436,1))-INDEX(VN_국채일별!$F$4:$F$1436,MATCH($B88,VN_국채일별!$A$4:$A$1436,1)))*($J88-7)/3,INDEX(VN_국채일별!$G$4:$G$1436,MATCH($B88,VN_국채일별!$A$4:$A$1436,1)))))))),""))</f>
        <v/>
      </c>
      <c r="R88" s="58" t="str">
        <f aca="false">IF(OR(L88="",Q88=""),"",(L88-Q88)*10000)</f>
        <v/>
      </c>
      <c r="S88" s="30" t="n">
        <f aca="false">IF(AND(K88="고정",N88="N",J88&gt;=2,J88&lt;=4,I88&lt;&gt;""),1,0)</f>
        <v>0</v>
      </c>
      <c r="T88" s="59" t="n">
        <f aca="false">IF(S88=1,I88*L88,0)</f>
        <v>0</v>
      </c>
      <c r="U88" s="60" t="n">
        <f aca="false">IF(AND(S88=1,ISNUMBER(R88)),I88*R88,0)</f>
        <v>0</v>
      </c>
      <c r="V88" s="30" t="n">
        <f aca="false">IF(AND(F88="Big4(국영)",K88="고정",N88="N",I88&lt;&gt;""),1,0)</f>
        <v>0</v>
      </c>
      <c r="W88" s="59" t="n">
        <f aca="false">IF(V88=1,I88*L88,0)</f>
        <v>0</v>
      </c>
      <c r="X88" s="60" t="n">
        <f aca="false">IF(AND(V88=1,ISNUMBER(R88)),I88*R88,0)</f>
        <v>0</v>
      </c>
      <c r="Y88" s="61" t="n">
        <f aca="false">IF(AND(S88=1,ISNUMBER(R88)),I88,0)</f>
        <v>0</v>
      </c>
      <c r="Z88" s="61" t="n">
        <f aca="false">IF(AND(V88=1,ISNUMBER(R88)),I88,0)</f>
        <v>0</v>
      </c>
    </row>
    <row r="89" customFormat="false" ht="15" hidden="false" customHeight="false" outlineLevel="0" collapsed="false">
      <c r="A89" s="47" t="s">
        <v>304</v>
      </c>
      <c r="B89" s="52" t="n">
        <v>44734</v>
      </c>
      <c r="C89" s="53" t="n">
        <f aca="false">DATE(YEAR(B89),MONTH(B89),1)</f>
        <v>44713</v>
      </c>
      <c r="D89" s="5" t="str">
        <f aca="false">YEAR(B89)&amp;"Q"&amp;ROUNDUP(MONTH(B89)/3,0)</f>
        <v>2022Q2</v>
      </c>
      <c r="E89" s="47" t="s">
        <v>181</v>
      </c>
      <c r="F89" s="54" t="s">
        <v>139</v>
      </c>
      <c r="G89" s="47" t="s">
        <v>182</v>
      </c>
      <c r="H89" s="47" t="s">
        <v>332</v>
      </c>
      <c r="I89" s="55" t="n">
        <v>1000</v>
      </c>
      <c r="J89" s="56" t="n">
        <v>3</v>
      </c>
      <c r="K89" s="54" t="s">
        <v>142</v>
      </c>
      <c r="L89" s="57" t="n">
        <v>0.044</v>
      </c>
      <c r="N89" s="47" t="s">
        <v>148</v>
      </c>
      <c r="O89" s="47" t="s">
        <v>321</v>
      </c>
      <c r="P89" s="47"/>
      <c r="Q89" s="48" t="n">
        <f aca="false">IF($J89="","",IFERROR(IF($J89&lt;=1,INDEX(VN_국채일별!$B$4:$B$1436,MATCH($B89,VN_국채일별!$A$4:$A$1436,1)),IF($J89&lt;=2,INDEX(VN_국채일별!$B$4:$B$1436,MATCH($B89,VN_국채일별!$A$4:$A$1436,1))+(INDEX(VN_국채일별!$C$4:$C$1436,MATCH($B89,VN_국채일별!$A$4:$A$1436,1))-INDEX(VN_국채일별!$B$4:$B$1436,MATCH($B89,VN_국채일별!$A$4:$A$1436,1)))*($J89-1),IF($J89&lt;=3,INDEX(VN_국채일별!$C$4:$C$1436,MATCH($B89,VN_국채일별!$A$4:$A$1436,1))+(INDEX(VN_국채일별!$D$4:$D$1436,MATCH($B89,VN_국채일별!$A$4:$A$1436,1))-INDEX(VN_국채일별!$C$4:$C$1436,MATCH($B89,VN_국채일별!$A$4:$A$1436,1)))*($J89-2),IF($J89&lt;=5,INDEX(VN_국채일별!$D$4:$D$1436,MATCH($B89,VN_국채일별!$A$4:$A$1436,1))+(INDEX(VN_국채일별!$E$4:$E$1436,MATCH($B89,VN_국채일별!$A$4:$A$1436,1))-INDEX(VN_국채일별!$D$4:$D$1436,MATCH($B89,VN_국채일별!$A$4:$A$1436,1)))*($J89-3)/2,IF($J89&lt;=7,INDEX(VN_국채일별!$E$4:$E$1436,MATCH($B89,VN_국채일별!$A$4:$A$1436,1))+(INDEX(VN_국채일별!$F$4:$F$1436,MATCH($B89,VN_국채일별!$A$4:$A$1436,1))-INDEX(VN_국채일별!$E$4:$E$1436,MATCH($B89,VN_국채일별!$A$4:$A$1436,1)))*($J89-5)/2,IF($J89&lt;=10,INDEX(VN_국채일별!$F$4:$F$1436,MATCH($B89,VN_국채일별!$A$4:$A$1436,1))+(INDEX(VN_국채일별!$G$4:$G$1436,MATCH($B89,VN_국채일별!$A$4:$A$1436,1))-INDEX(VN_국채일별!$F$4:$F$1436,MATCH($B89,VN_국채일별!$A$4:$A$1436,1)))*($J89-7)/3,INDEX(VN_국채일별!$G$4:$G$1436,MATCH($B89,VN_국채일별!$A$4:$A$1436,1)))))))),""))</f>
        <v>0.02304</v>
      </c>
      <c r="R89" s="58" t="n">
        <f aca="false">IF(OR(L89="",Q89=""),"",(L89-Q89)*10000)</f>
        <v>209.6</v>
      </c>
      <c r="S89" s="30" t="n">
        <f aca="false">IF(AND(K89="고정",N89="N",J89&gt;=2,J89&lt;=4,I89&lt;&gt;""),1,0)</f>
        <v>1</v>
      </c>
      <c r="T89" s="59" t="n">
        <f aca="false">IF(S89=1,I89*L89,0)</f>
        <v>44</v>
      </c>
      <c r="U89" s="60" t="n">
        <f aca="false">IF(AND(S89=1,ISNUMBER(R89)),I89*R89,0)</f>
        <v>209600</v>
      </c>
      <c r="V89" s="30" t="n">
        <f aca="false">IF(AND(F89="Big4(국영)",K89="고정",N89="N",I89&lt;&gt;""),1,0)</f>
        <v>0</v>
      </c>
      <c r="W89" s="59" t="n">
        <f aca="false">IF(V89=1,I89*L89,0)</f>
        <v>0</v>
      </c>
      <c r="X89" s="60" t="n">
        <f aca="false">IF(AND(V89=1,ISNUMBER(R89)),I89*R89,0)</f>
        <v>0</v>
      </c>
      <c r="Y89" s="61" t="n">
        <f aca="false">IF(AND(S89=1,ISNUMBER(R89)),I89,0)</f>
        <v>1000</v>
      </c>
      <c r="Z89" s="61" t="n">
        <f aca="false">IF(AND(V89=1,ISNUMBER(R89)),I89,0)</f>
        <v>0</v>
      </c>
    </row>
    <row r="90" customFormat="false" ht="15" hidden="false" customHeight="false" outlineLevel="0" collapsed="false">
      <c r="A90" s="47" t="s">
        <v>304</v>
      </c>
      <c r="B90" s="52" t="n">
        <v>44734</v>
      </c>
      <c r="C90" s="53" t="n">
        <f aca="false">DATE(YEAR(B90),MONTH(B90),1)</f>
        <v>44713</v>
      </c>
      <c r="D90" s="5" t="str">
        <f aca="false">YEAR(B90)&amp;"Q"&amp;ROUNDUP(MONTH(B90)/3,0)</f>
        <v>2022Q2</v>
      </c>
      <c r="E90" s="47" t="s">
        <v>150</v>
      </c>
      <c r="F90" s="54" t="s">
        <v>139</v>
      </c>
      <c r="G90" s="47" t="s">
        <v>333</v>
      </c>
      <c r="H90" s="47" t="s">
        <v>334</v>
      </c>
      <c r="I90" s="55" t="n">
        <v>400</v>
      </c>
      <c r="J90" s="56" t="n">
        <v>3</v>
      </c>
      <c r="K90" s="54" t="s">
        <v>142</v>
      </c>
      <c r="L90" s="57" t="n">
        <v>0.043</v>
      </c>
      <c r="N90" s="47" t="s">
        <v>148</v>
      </c>
      <c r="O90" s="47" t="s">
        <v>310</v>
      </c>
      <c r="P90" s="47"/>
      <c r="Q90" s="48" t="n">
        <f aca="false">IF($J90="","",IFERROR(IF($J90&lt;=1,INDEX(VN_국채일별!$B$4:$B$1436,MATCH($B90,VN_국채일별!$A$4:$A$1436,1)),IF($J90&lt;=2,INDEX(VN_국채일별!$B$4:$B$1436,MATCH($B90,VN_국채일별!$A$4:$A$1436,1))+(INDEX(VN_국채일별!$C$4:$C$1436,MATCH($B90,VN_국채일별!$A$4:$A$1436,1))-INDEX(VN_국채일별!$B$4:$B$1436,MATCH($B90,VN_국채일별!$A$4:$A$1436,1)))*($J90-1),IF($J90&lt;=3,INDEX(VN_국채일별!$C$4:$C$1436,MATCH($B90,VN_국채일별!$A$4:$A$1436,1))+(INDEX(VN_국채일별!$D$4:$D$1436,MATCH($B90,VN_국채일별!$A$4:$A$1436,1))-INDEX(VN_국채일별!$C$4:$C$1436,MATCH($B90,VN_국채일별!$A$4:$A$1436,1)))*($J90-2),IF($J90&lt;=5,INDEX(VN_국채일별!$D$4:$D$1436,MATCH($B90,VN_국채일별!$A$4:$A$1436,1))+(INDEX(VN_국채일별!$E$4:$E$1436,MATCH($B90,VN_국채일별!$A$4:$A$1436,1))-INDEX(VN_국채일별!$D$4:$D$1436,MATCH($B90,VN_국채일별!$A$4:$A$1436,1)))*($J90-3)/2,IF($J90&lt;=7,INDEX(VN_국채일별!$E$4:$E$1436,MATCH($B90,VN_국채일별!$A$4:$A$1436,1))+(INDEX(VN_국채일별!$F$4:$F$1436,MATCH($B90,VN_국채일별!$A$4:$A$1436,1))-INDEX(VN_국채일별!$E$4:$E$1436,MATCH($B90,VN_국채일별!$A$4:$A$1436,1)))*($J90-5)/2,IF($J90&lt;=10,INDEX(VN_국채일별!$F$4:$F$1436,MATCH($B90,VN_국채일별!$A$4:$A$1436,1))+(INDEX(VN_국채일별!$G$4:$G$1436,MATCH($B90,VN_국채일별!$A$4:$A$1436,1))-INDEX(VN_국채일별!$F$4:$F$1436,MATCH($B90,VN_국채일별!$A$4:$A$1436,1)))*($J90-7)/3,INDEX(VN_국채일별!$G$4:$G$1436,MATCH($B90,VN_국채일별!$A$4:$A$1436,1)))))))),""))</f>
        <v>0.02304</v>
      </c>
      <c r="R90" s="58" t="n">
        <f aca="false">IF(OR(L90="",Q90=""),"",(L90-Q90)*10000)</f>
        <v>199.6</v>
      </c>
      <c r="S90" s="30" t="n">
        <f aca="false">IF(AND(K90="고정",N90="N",J90&gt;=2,J90&lt;=4,I90&lt;&gt;""),1,0)</f>
        <v>1</v>
      </c>
      <c r="T90" s="59" t="n">
        <f aca="false">IF(S90=1,I90*L90,0)</f>
        <v>17.2</v>
      </c>
      <c r="U90" s="60" t="n">
        <f aca="false">IF(AND(S90=1,ISNUMBER(R90)),I90*R90,0)</f>
        <v>79840</v>
      </c>
      <c r="V90" s="30" t="n">
        <f aca="false">IF(AND(F90="Big4(국영)",K90="고정",N90="N",I90&lt;&gt;""),1,0)</f>
        <v>0</v>
      </c>
      <c r="W90" s="59" t="n">
        <f aca="false">IF(V90=1,I90*L90,0)</f>
        <v>0</v>
      </c>
      <c r="X90" s="60" t="n">
        <f aca="false">IF(AND(V90=1,ISNUMBER(R90)),I90*R90,0)</f>
        <v>0</v>
      </c>
      <c r="Y90" s="61" t="n">
        <f aca="false">IF(AND(S90=1,ISNUMBER(R90)),I90,0)</f>
        <v>400</v>
      </c>
      <c r="Z90" s="61" t="n">
        <f aca="false">IF(AND(V90=1,ISNUMBER(R90)),I90,0)</f>
        <v>0</v>
      </c>
    </row>
    <row r="91" customFormat="false" ht="15" hidden="false" customHeight="false" outlineLevel="0" collapsed="false">
      <c r="A91" s="47" t="s">
        <v>304</v>
      </c>
      <c r="B91" s="52" t="n">
        <v>44735</v>
      </c>
      <c r="C91" s="53" t="n">
        <f aca="false">DATE(YEAR(B91),MONTH(B91),1)</f>
        <v>44713</v>
      </c>
      <c r="D91" s="5" t="str">
        <f aca="false">YEAR(B91)&amp;"Q"&amp;ROUNDUP(MONTH(B91)/3,0)</f>
        <v>2022Q2</v>
      </c>
      <c r="E91" s="47" t="s">
        <v>181</v>
      </c>
      <c r="F91" s="54" t="s">
        <v>139</v>
      </c>
      <c r="G91" s="47" t="s">
        <v>182</v>
      </c>
      <c r="H91" s="47" t="s">
        <v>335</v>
      </c>
      <c r="I91" s="55" t="n">
        <v>500</v>
      </c>
      <c r="J91" s="56" t="n">
        <v>3</v>
      </c>
      <c r="K91" s="54" t="s">
        <v>142</v>
      </c>
      <c r="L91" s="57" t="n">
        <v>0.044</v>
      </c>
      <c r="N91" s="47" t="s">
        <v>148</v>
      </c>
      <c r="O91" s="47" t="s">
        <v>321</v>
      </c>
      <c r="P91" s="47"/>
      <c r="Q91" s="48" t="n">
        <f aca="false">IF($J91="","",IFERROR(IF($J91&lt;=1,INDEX(VN_국채일별!$B$4:$B$1436,MATCH($B91,VN_국채일별!$A$4:$A$1436,1)),IF($J91&lt;=2,INDEX(VN_국채일별!$B$4:$B$1436,MATCH($B91,VN_국채일별!$A$4:$A$1436,1))+(INDEX(VN_국채일별!$C$4:$C$1436,MATCH($B91,VN_국채일별!$A$4:$A$1436,1))-INDEX(VN_국채일별!$B$4:$B$1436,MATCH($B91,VN_국채일별!$A$4:$A$1436,1)))*($J91-1),IF($J91&lt;=3,INDEX(VN_국채일별!$C$4:$C$1436,MATCH($B91,VN_국채일별!$A$4:$A$1436,1))+(INDEX(VN_국채일별!$D$4:$D$1436,MATCH($B91,VN_국채일별!$A$4:$A$1436,1))-INDEX(VN_국채일별!$C$4:$C$1436,MATCH($B91,VN_국채일별!$A$4:$A$1436,1)))*($J91-2),IF($J91&lt;=5,INDEX(VN_국채일별!$D$4:$D$1436,MATCH($B91,VN_국채일별!$A$4:$A$1436,1))+(INDEX(VN_국채일별!$E$4:$E$1436,MATCH($B91,VN_국채일별!$A$4:$A$1436,1))-INDEX(VN_국채일별!$D$4:$D$1436,MATCH($B91,VN_국채일별!$A$4:$A$1436,1)))*($J91-3)/2,IF($J91&lt;=7,INDEX(VN_국채일별!$E$4:$E$1436,MATCH($B91,VN_국채일별!$A$4:$A$1436,1))+(INDEX(VN_국채일별!$F$4:$F$1436,MATCH($B91,VN_국채일별!$A$4:$A$1436,1))-INDEX(VN_국채일별!$E$4:$E$1436,MATCH($B91,VN_국채일별!$A$4:$A$1436,1)))*($J91-5)/2,IF($J91&lt;=10,INDEX(VN_국채일별!$F$4:$F$1436,MATCH($B91,VN_국채일별!$A$4:$A$1436,1))+(INDEX(VN_국채일별!$G$4:$G$1436,MATCH($B91,VN_국채일별!$A$4:$A$1436,1))-INDEX(VN_국채일별!$F$4:$F$1436,MATCH($B91,VN_국채일별!$A$4:$A$1436,1)))*($J91-7)/3,INDEX(VN_국채일별!$G$4:$G$1436,MATCH($B91,VN_국채일별!$A$4:$A$1436,1)))))))),""))</f>
        <v>0.02294</v>
      </c>
      <c r="R91" s="58" t="n">
        <f aca="false">IF(OR(L91="",Q91=""),"",(L91-Q91)*10000)</f>
        <v>210.6</v>
      </c>
      <c r="S91" s="30" t="n">
        <f aca="false">IF(AND(K91="고정",N91="N",J91&gt;=2,J91&lt;=4,I91&lt;&gt;""),1,0)</f>
        <v>1</v>
      </c>
      <c r="T91" s="59" t="n">
        <f aca="false">IF(S91=1,I91*L91,0)</f>
        <v>22</v>
      </c>
      <c r="U91" s="60" t="n">
        <f aca="false">IF(AND(S91=1,ISNUMBER(R91)),I91*R91,0)</f>
        <v>105300</v>
      </c>
      <c r="V91" s="30" t="n">
        <f aca="false">IF(AND(F91="Big4(국영)",K91="고정",N91="N",I91&lt;&gt;""),1,0)</f>
        <v>0</v>
      </c>
      <c r="W91" s="59" t="n">
        <f aca="false">IF(V91=1,I91*L91,0)</f>
        <v>0</v>
      </c>
      <c r="X91" s="60" t="n">
        <f aca="false">IF(AND(V91=1,ISNUMBER(R91)),I91*R91,0)</f>
        <v>0</v>
      </c>
      <c r="Y91" s="61" t="n">
        <f aca="false">IF(AND(S91=1,ISNUMBER(R91)),I91,0)</f>
        <v>500</v>
      </c>
      <c r="Z91" s="61" t="n">
        <f aca="false">IF(AND(V91=1,ISNUMBER(R91)),I91,0)</f>
        <v>0</v>
      </c>
    </row>
    <row r="92" customFormat="false" ht="15" hidden="false" customHeight="false" outlineLevel="0" collapsed="false">
      <c r="A92" s="47" t="s">
        <v>304</v>
      </c>
      <c r="B92" s="52" t="n">
        <v>44736</v>
      </c>
      <c r="C92" s="53" t="n">
        <f aca="false">DATE(YEAR(B92),MONTH(B92),1)</f>
        <v>44713</v>
      </c>
      <c r="D92" s="5" t="str">
        <f aca="false">YEAR(B92)&amp;"Q"&amp;ROUNDUP(MONTH(B92)/3,0)</f>
        <v>2022Q2</v>
      </c>
      <c r="E92" s="62" t="s">
        <v>173</v>
      </c>
      <c r="F92" s="62" t="s">
        <v>156</v>
      </c>
      <c r="G92" s="47" t="s">
        <v>174</v>
      </c>
      <c r="H92" s="47" t="s">
        <v>336</v>
      </c>
      <c r="I92" s="55" t="n">
        <v>200</v>
      </c>
      <c r="K92" s="54" t="s">
        <v>142</v>
      </c>
      <c r="L92" s="57" t="n">
        <v>0.068</v>
      </c>
      <c r="N92" s="47" t="s">
        <v>148</v>
      </c>
      <c r="O92" s="47" t="s">
        <v>337</v>
      </c>
      <c r="P92" s="47"/>
      <c r="Q92" s="48" t="str">
        <f aca="false">IF($J92="","",IFERROR(IF($J92&lt;=1,INDEX(VN_국채일별!$B$4:$B$1436,MATCH($B92,VN_국채일별!$A$4:$A$1436,1)),IF($J92&lt;=2,INDEX(VN_국채일별!$B$4:$B$1436,MATCH($B92,VN_국채일별!$A$4:$A$1436,1))+(INDEX(VN_국채일별!$C$4:$C$1436,MATCH($B92,VN_국채일별!$A$4:$A$1436,1))-INDEX(VN_국채일별!$B$4:$B$1436,MATCH($B92,VN_국채일별!$A$4:$A$1436,1)))*($J92-1),IF($J92&lt;=3,INDEX(VN_국채일별!$C$4:$C$1436,MATCH($B92,VN_국채일별!$A$4:$A$1436,1))+(INDEX(VN_국채일별!$D$4:$D$1436,MATCH($B92,VN_국채일별!$A$4:$A$1436,1))-INDEX(VN_국채일별!$C$4:$C$1436,MATCH($B92,VN_국채일별!$A$4:$A$1436,1)))*($J92-2),IF($J92&lt;=5,INDEX(VN_국채일별!$D$4:$D$1436,MATCH($B92,VN_국채일별!$A$4:$A$1436,1))+(INDEX(VN_국채일별!$E$4:$E$1436,MATCH($B92,VN_국채일별!$A$4:$A$1436,1))-INDEX(VN_국채일별!$D$4:$D$1436,MATCH($B92,VN_국채일별!$A$4:$A$1436,1)))*($J92-3)/2,IF($J92&lt;=7,INDEX(VN_국채일별!$E$4:$E$1436,MATCH($B92,VN_국채일별!$A$4:$A$1436,1))+(INDEX(VN_국채일별!$F$4:$F$1436,MATCH($B92,VN_국채일별!$A$4:$A$1436,1))-INDEX(VN_국채일별!$E$4:$E$1436,MATCH($B92,VN_국채일별!$A$4:$A$1436,1)))*($J92-5)/2,IF($J92&lt;=10,INDEX(VN_국채일별!$F$4:$F$1436,MATCH($B92,VN_국채일별!$A$4:$A$1436,1))+(INDEX(VN_국채일별!$G$4:$G$1436,MATCH($B92,VN_국채일별!$A$4:$A$1436,1))-INDEX(VN_국채일별!$F$4:$F$1436,MATCH($B92,VN_국채일별!$A$4:$A$1436,1)))*($J92-7)/3,INDEX(VN_국채일별!$G$4:$G$1436,MATCH($B92,VN_국채일별!$A$4:$A$1436,1)))))))),""))</f>
        <v/>
      </c>
      <c r="R92" s="58" t="str">
        <f aca="false">IF(OR(L92="",Q92=""),"",(L92-Q92)*10000)</f>
        <v/>
      </c>
      <c r="S92" s="30" t="n">
        <f aca="false">IF(AND(K92="고정",N92="N",J92&gt;=2,J92&lt;=4,I92&lt;&gt;""),1,0)</f>
        <v>0</v>
      </c>
      <c r="T92" s="59" t="n">
        <f aca="false">IF(S92=1,I92*L92,0)</f>
        <v>0</v>
      </c>
      <c r="U92" s="60" t="n">
        <f aca="false">IF(AND(S92=1,ISNUMBER(R92)),I92*R92,0)</f>
        <v>0</v>
      </c>
      <c r="V92" s="30" t="n">
        <f aca="false">IF(AND(F92="Big4(국영)",K92="고정",N92="N",I92&lt;&gt;""),1,0)</f>
        <v>1</v>
      </c>
      <c r="W92" s="59" t="n">
        <f aca="false">IF(V92=1,I92*L92,0)</f>
        <v>13.6</v>
      </c>
      <c r="X92" s="60" t="n">
        <f aca="false">IF(AND(V92=1,ISNUMBER(R92)),I92*R92,0)</f>
        <v>0</v>
      </c>
      <c r="Y92" s="61" t="n">
        <f aca="false">IF(AND(S92=1,ISNUMBER(R92)),I92,0)</f>
        <v>0</v>
      </c>
      <c r="Z92" s="61" t="n">
        <f aca="false">IF(AND(V92=1,ISNUMBER(R92)),I92,0)</f>
        <v>0</v>
      </c>
    </row>
    <row r="93" customFormat="false" ht="15" hidden="false" customHeight="false" outlineLevel="0" collapsed="false">
      <c r="A93" s="47" t="s">
        <v>338</v>
      </c>
      <c r="B93" s="52" t="n">
        <v>44775</v>
      </c>
      <c r="C93" s="53" t="n">
        <f aca="false">DATE(YEAR(B93),MONTH(B93),1)</f>
        <v>44774</v>
      </c>
      <c r="D93" s="5" t="str">
        <f aca="false">YEAR(B93)&amp;"Q"&amp;ROUNDUP(MONTH(B93)/3,0)</f>
        <v>2022Q3</v>
      </c>
      <c r="E93" s="47" t="s">
        <v>254</v>
      </c>
      <c r="F93" s="54" t="s">
        <v>139</v>
      </c>
      <c r="G93" s="47" t="s">
        <v>339</v>
      </c>
      <c r="H93" s="47" t="s">
        <v>340</v>
      </c>
      <c r="I93" s="55" t="n">
        <v>150</v>
      </c>
      <c r="J93" s="56" t="n">
        <v>1</v>
      </c>
      <c r="K93" s="54" t="s">
        <v>153</v>
      </c>
      <c r="N93" s="47" t="s">
        <v>148</v>
      </c>
      <c r="O93" s="47"/>
      <c r="P93" s="47"/>
      <c r="Q93" s="48" t="n">
        <f aca="false">IF($J93="","",IFERROR(IF($J93&lt;=1,INDEX(VN_국채일별!$B$4:$B$1436,MATCH($B93,VN_국채일별!$A$4:$A$1436,1)),IF($J93&lt;=2,INDEX(VN_국채일별!$B$4:$B$1436,MATCH($B93,VN_국채일별!$A$4:$A$1436,1))+(INDEX(VN_국채일별!$C$4:$C$1436,MATCH($B93,VN_국채일별!$A$4:$A$1436,1))-INDEX(VN_국채일별!$B$4:$B$1436,MATCH($B93,VN_국채일별!$A$4:$A$1436,1)))*($J93-1),IF($J93&lt;=3,INDEX(VN_국채일별!$C$4:$C$1436,MATCH($B93,VN_국채일별!$A$4:$A$1436,1))+(INDEX(VN_국채일별!$D$4:$D$1436,MATCH($B93,VN_국채일별!$A$4:$A$1436,1))-INDEX(VN_국채일별!$C$4:$C$1436,MATCH($B93,VN_국채일별!$A$4:$A$1436,1)))*($J93-2),IF($J93&lt;=5,INDEX(VN_국채일별!$D$4:$D$1436,MATCH($B93,VN_국채일별!$A$4:$A$1436,1))+(INDEX(VN_국채일별!$E$4:$E$1436,MATCH($B93,VN_국채일별!$A$4:$A$1436,1))-INDEX(VN_국채일별!$D$4:$D$1436,MATCH($B93,VN_국채일별!$A$4:$A$1436,1)))*($J93-3)/2,IF($J93&lt;=7,INDEX(VN_국채일별!$E$4:$E$1436,MATCH($B93,VN_국채일별!$A$4:$A$1436,1))+(INDEX(VN_국채일별!$F$4:$F$1436,MATCH($B93,VN_국채일별!$A$4:$A$1436,1))-INDEX(VN_국채일별!$E$4:$E$1436,MATCH($B93,VN_국채일별!$A$4:$A$1436,1)))*($J93-5)/2,IF($J93&lt;=10,INDEX(VN_국채일별!$F$4:$F$1436,MATCH($B93,VN_국채일별!$A$4:$A$1436,1))+(INDEX(VN_국채일별!$G$4:$G$1436,MATCH($B93,VN_국채일별!$A$4:$A$1436,1))-INDEX(VN_국채일별!$F$4:$F$1436,MATCH($B93,VN_국채일별!$A$4:$A$1436,1)))*($J93-7)/3,INDEX(VN_국채일별!$G$4:$G$1436,MATCH($B93,VN_국채일별!$A$4:$A$1436,1)))))))),""))</f>
        <v>0.02735</v>
      </c>
      <c r="R93" s="58" t="str">
        <f aca="false">IF(OR(L93="",Q93=""),"",(L93-Q93)*10000)</f>
        <v/>
      </c>
      <c r="S93" s="30" t="n">
        <f aca="false">IF(AND(K93="고정",N93="N",J93&gt;=2,J93&lt;=4,I93&lt;&gt;""),1,0)</f>
        <v>0</v>
      </c>
      <c r="T93" s="59" t="n">
        <f aca="false">IF(S93=1,I93*L93,0)</f>
        <v>0</v>
      </c>
      <c r="U93" s="60" t="n">
        <f aca="false">IF(AND(S93=1,ISNUMBER(R93)),I93*R93,0)</f>
        <v>0</v>
      </c>
      <c r="V93" s="30" t="n">
        <f aca="false">IF(AND(F93="Big4(국영)",K93="고정",N93="N",I93&lt;&gt;""),1,0)</f>
        <v>0</v>
      </c>
      <c r="W93" s="59" t="n">
        <f aca="false">IF(V93=1,I93*L93,0)</f>
        <v>0</v>
      </c>
      <c r="X93" s="60" t="n">
        <f aca="false">IF(AND(V93=1,ISNUMBER(R93)),I93*R93,0)</f>
        <v>0</v>
      </c>
      <c r="Y93" s="61" t="n">
        <f aca="false">IF(AND(S93=1,ISNUMBER(R93)),I93,0)</f>
        <v>0</v>
      </c>
      <c r="Z93" s="61" t="n">
        <f aca="false">IF(AND(V93=1,ISNUMBER(R93)),I93,0)</f>
        <v>0</v>
      </c>
    </row>
    <row r="94" customFormat="false" ht="15" hidden="false" customHeight="false" outlineLevel="0" collapsed="false">
      <c r="A94" s="47" t="s">
        <v>338</v>
      </c>
      <c r="B94" s="52" t="n">
        <v>44775</v>
      </c>
      <c r="C94" s="53" t="n">
        <f aca="false">DATE(YEAR(B94),MONTH(B94),1)</f>
        <v>44774</v>
      </c>
      <c r="D94" s="5" t="str">
        <f aca="false">YEAR(B94)&amp;"Q"&amp;ROUNDUP(MONTH(B94)/3,0)</f>
        <v>2022Q3</v>
      </c>
      <c r="E94" s="62" t="s">
        <v>173</v>
      </c>
      <c r="F94" s="62" t="s">
        <v>156</v>
      </c>
      <c r="G94" s="47" t="s">
        <v>174</v>
      </c>
      <c r="H94" s="47" t="s">
        <v>341</v>
      </c>
      <c r="I94" s="55" t="n">
        <v>50</v>
      </c>
      <c r="J94" s="56" t="n">
        <v>8</v>
      </c>
      <c r="K94" s="54" t="s">
        <v>153</v>
      </c>
      <c r="N94" s="47" t="s">
        <v>143</v>
      </c>
      <c r="O94" s="47" t="s">
        <v>342</v>
      </c>
      <c r="P94" s="47"/>
      <c r="Q94" s="48" t="n">
        <f aca="false">IF($J94="","",IFERROR(IF($J94&lt;=1,INDEX(VN_국채일별!$B$4:$B$1436,MATCH($B94,VN_국채일별!$A$4:$A$1436,1)),IF($J94&lt;=2,INDEX(VN_국채일별!$B$4:$B$1436,MATCH($B94,VN_국채일별!$A$4:$A$1436,1))+(INDEX(VN_국채일별!$C$4:$C$1436,MATCH($B94,VN_국채일별!$A$4:$A$1436,1))-INDEX(VN_국채일별!$B$4:$B$1436,MATCH($B94,VN_국채일별!$A$4:$A$1436,1)))*($J94-1),IF($J94&lt;=3,INDEX(VN_국채일별!$C$4:$C$1436,MATCH($B94,VN_국채일별!$A$4:$A$1436,1))+(INDEX(VN_국채일별!$D$4:$D$1436,MATCH($B94,VN_국채일별!$A$4:$A$1436,1))-INDEX(VN_국채일별!$C$4:$C$1436,MATCH($B94,VN_국채일별!$A$4:$A$1436,1)))*($J94-2),IF($J94&lt;=5,INDEX(VN_국채일별!$D$4:$D$1436,MATCH($B94,VN_국채일별!$A$4:$A$1436,1))+(INDEX(VN_국채일별!$E$4:$E$1436,MATCH($B94,VN_국채일별!$A$4:$A$1436,1))-INDEX(VN_국채일별!$D$4:$D$1436,MATCH($B94,VN_국채일별!$A$4:$A$1436,1)))*($J94-3)/2,IF($J94&lt;=7,INDEX(VN_국채일별!$E$4:$E$1436,MATCH($B94,VN_국채일별!$A$4:$A$1436,1))+(INDEX(VN_국채일별!$F$4:$F$1436,MATCH($B94,VN_국채일별!$A$4:$A$1436,1))-INDEX(VN_국채일별!$E$4:$E$1436,MATCH($B94,VN_국채일별!$A$4:$A$1436,1)))*($J94-5)/2,IF($J94&lt;=10,INDEX(VN_국채일별!$F$4:$F$1436,MATCH($B94,VN_국채일별!$A$4:$A$1436,1))+(INDEX(VN_국채일별!$G$4:$G$1436,MATCH($B94,VN_국채일별!$A$4:$A$1436,1))-INDEX(VN_국채일별!$F$4:$F$1436,MATCH($B94,VN_국채일별!$A$4:$A$1436,1)))*($J94-7)/3,INDEX(VN_국채일별!$G$4:$G$1436,MATCH($B94,VN_국채일별!$A$4:$A$1436,1)))))))),""))</f>
        <v>0.0342566666666667</v>
      </c>
      <c r="R94" s="58" t="str">
        <f aca="false">IF(OR(L94="",Q94=""),"",(L94-Q94)*10000)</f>
        <v/>
      </c>
      <c r="S94" s="30" t="n">
        <f aca="false">IF(AND(K94="고정",N94="N",J94&gt;=2,J94&lt;=4,I94&lt;&gt;""),1,0)</f>
        <v>0</v>
      </c>
      <c r="T94" s="59" t="n">
        <f aca="false">IF(S94=1,I94*L94,0)</f>
        <v>0</v>
      </c>
      <c r="U94" s="60" t="n">
        <f aca="false">IF(AND(S94=1,ISNUMBER(R94)),I94*R94,0)</f>
        <v>0</v>
      </c>
      <c r="V94" s="30" t="n">
        <f aca="false">IF(AND(F94="Big4(국영)",K94="고정",N94="N",I94&lt;&gt;""),1,0)</f>
        <v>0</v>
      </c>
      <c r="W94" s="59" t="n">
        <f aca="false">IF(V94=1,I94*L94,0)</f>
        <v>0</v>
      </c>
      <c r="X94" s="60" t="n">
        <f aca="false">IF(AND(V94=1,ISNUMBER(R94)),I94*R94,0)</f>
        <v>0</v>
      </c>
      <c r="Y94" s="61" t="n">
        <f aca="false">IF(AND(S94=1,ISNUMBER(R94)),I94,0)</f>
        <v>0</v>
      </c>
      <c r="Z94" s="61" t="n">
        <f aca="false">IF(AND(V94=1,ISNUMBER(R94)),I94,0)</f>
        <v>0</v>
      </c>
    </row>
    <row r="95" customFormat="false" ht="15" hidden="false" customHeight="false" outlineLevel="0" collapsed="false">
      <c r="A95" s="47" t="s">
        <v>338</v>
      </c>
      <c r="B95" s="52" t="n">
        <v>44776</v>
      </c>
      <c r="C95" s="53" t="n">
        <f aca="false">DATE(YEAR(B95),MONTH(B95),1)</f>
        <v>44774</v>
      </c>
      <c r="D95" s="5" t="str">
        <f aca="false">YEAR(B95)&amp;"Q"&amp;ROUNDUP(MONTH(B95)/3,0)</f>
        <v>2022Q3</v>
      </c>
      <c r="E95" s="47" t="s">
        <v>254</v>
      </c>
      <c r="F95" s="54" t="s">
        <v>139</v>
      </c>
      <c r="G95" s="47" t="s">
        <v>339</v>
      </c>
      <c r="H95" s="47" t="s">
        <v>343</v>
      </c>
      <c r="I95" s="55" t="n">
        <v>150</v>
      </c>
      <c r="J95" s="56" t="n">
        <v>1</v>
      </c>
      <c r="K95" s="54" t="s">
        <v>153</v>
      </c>
      <c r="N95" s="47" t="s">
        <v>148</v>
      </c>
      <c r="O95" s="47"/>
      <c r="P95" s="47"/>
      <c r="Q95" s="48" t="n">
        <f aca="false">IF($J95="","",IFERROR(IF($J95&lt;=1,INDEX(VN_국채일별!$B$4:$B$1436,MATCH($B95,VN_국채일별!$A$4:$A$1436,1)),IF($J95&lt;=2,INDEX(VN_국채일별!$B$4:$B$1436,MATCH($B95,VN_국채일별!$A$4:$A$1436,1))+(INDEX(VN_국채일별!$C$4:$C$1436,MATCH($B95,VN_국채일별!$A$4:$A$1436,1))-INDEX(VN_국채일별!$B$4:$B$1436,MATCH($B95,VN_국채일별!$A$4:$A$1436,1)))*($J95-1),IF($J95&lt;=3,INDEX(VN_국채일별!$C$4:$C$1436,MATCH($B95,VN_국채일별!$A$4:$A$1436,1))+(INDEX(VN_국채일별!$D$4:$D$1436,MATCH($B95,VN_국채일별!$A$4:$A$1436,1))-INDEX(VN_국채일별!$C$4:$C$1436,MATCH($B95,VN_국채일별!$A$4:$A$1436,1)))*($J95-2),IF($J95&lt;=5,INDEX(VN_국채일별!$D$4:$D$1436,MATCH($B95,VN_국채일별!$A$4:$A$1436,1))+(INDEX(VN_국채일별!$E$4:$E$1436,MATCH($B95,VN_국채일별!$A$4:$A$1436,1))-INDEX(VN_국채일별!$D$4:$D$1436,MATCH($B95,VN_국채일별!$A$4:$A$1436,1)))*($J95-3)/2,IF($J95&lt;=7,INDEX(VN_국채일별!$E$4:$E$1436,MATCH($B95,VN_국채일별!$A$4:$A$1436,1))+(INDEX(VN_국채일별!$F$4:$F$1436,MATCH($B95,VN_국채일별!$A$4:$A$1436,1))-INDEX(VN_국채일별!$E$4:$E$1436,MATCH($B95,VN_국채일별!$A$4:$A$1436,1)))*($J95-5)/2,IF($J95&lt;=10,INDEX(VN_국채일별!$F$4:$F$1436,MATCH($B95,VN_국채일별!$A$4:$A$1436,1))+(INDEX(VN_국채일별!$G$4:$G$1436,MATCH($B95,VN_국채일별!$A$4:$A$1436,1))-INDEX(VN_국채일별!$F$4:$F$1436,MATCH($B95,VN_국채일별!$A$4:$A$1436,1)))*($J95-7)/3,INDEX(VN_국채일별!$G$4:$G$1436,MATCH($B95,VN_국채일별!$A$4:$A$1436,1)))))))),""))</f>
        <v>0.02747</v>
      </c>
      <c r="R95" s="58" t="str">
        <f aca="false">IF(OR(L95="",Q95=""),"",(L95-Q95)*10000)</f>
        <v/>
      </c>
      <c r="S95" s="30" t="n">
        <f aca="false">IF(AND(K95="고정",N95="N",J95&gt;=2,J95&lt;=4,I95&lt;&gt;""),1,0)</f>
        <v>0</v>
      </c>
      <c r="T95" s="59" t="n">
        <f aca="false">IF(S95=1,I95*L95,0)</f>
        <v>0</v>
      </c>
      <c r="U95" s="60" t="n">
        <f aca="false">IF(AND(S95=1,ISNUMBER(R95)),I95*R95,0)</f>
        <v>0</v>
      </c>
      <c r="V95" s="30" t="n">
        <f aca="false">IF(AND(F95="Big4(국영)",K95="고정",N95="N",I95&lt;&gt;""),1,0)</f>
        <v>0</v>
      </c>
      <c r="W95" s="59" t="n">
        <f aca="false">IF(V95=1,I95*L95,0)</f>
        <v>0</v>
      </c>
      <c r="X95" s="60" t="n">
        <f aca="false">IF(AND(V95=1,ISNUMBER(R95)),I95*R95,0)</f>
        <v>0</v>
      </c>
      <c r="Y95" s="61" t="n">
        <f aca="false">IF(AND(S95=1,ISNUMBER(R95)),I95,0)</f>
        <v>0</v>
      </c>
      <c r="Z95" s="61" t="n">
        <f aca="false">IF(AND(V95=1,ISNUMBER(R95)),I95,0)</f>
        <v>0</v>
      </c>
    </row>
    <row r="96" customFormat="false" ht="15" hidden="false" customHeight="false" outlineLevel="0" collapsed="false">
      <c r="A96" s="47" t="s">
        <v>338</v>
      </c>
      <c r="B96" s="52" t="n">
        <v>44778</v>
      </c>
      <c r="C96" s="53" t="n">
        <f aca="false">DATE(YEAR(B96),MONTH(B96),1)</f>
        <v>44774</v>
      </c>
      <c r="D96" s="5" t="str">
        <f aca="false">YEAR(B96)&amp;"Q"&amp;ROUNDUP(MONTH(B96)/3,0)</f>
        <v>2022Q3</v>
      </c>
      <c r="E96" s="47" t="s">
        <v>138</v>
      </c>
      <c r="F96" s="54" t="s">
        <v>139</v>
      </c>
      <c r="G96" s="47" t="s">
        <v>140</v>
      </c>
      <c r="H96" s="47" t="s">
        <v>344</v>
      </c>
      <c r="I96" s="55" t="n">
        <v>60</v>
      </c>
      <c r="J96" s="56" t="n">
        <v>7</v>
      </c>
      <c r="K96" s="54" t="s">
        <v>153</v>
      </c>
      <c r="N96" s="47" t="s">
        <v>143</v>
      </c>
      <c r="O96" s="47"/>
      <c r="P96" s="47"/>
      <c r="Q96" s="48" t="n">
        <f aca="false">IF($J96="","",IFERROR(IF($J96&lt;=1,INDEX(VN_국채일별!$B$4:$B$1436,MATCH($B96,VN_국채일별!$A$4:$A$1436,1)),IF($J96&lt;=2,INDEX(VN_국채일별!$B$4:$B$1436,MATCH($B96,VN_국채일별!$A$4:$A$1436,1))+(INDEX(VN_국채일별!$C$4:$C$1436,MATCH($B96,VN_국채일별!$A$4:$A$1436,1))-INDEX(VN_국채일별!$B$4:$B$1436,MATCH($B96,VN_국채일별!$A$4:$A$1436,1)))*($J96-1),IF($J96&lt;=3,INDEX(VN_국채일별!$C$4:$C$1436,MATCH($B96,VN_국채일별!$A$4:$A$1436,1))+(INDEX(VN_국채일별!$D$4:$D$1436,MATCH($B96,VN_국채일별!$A$4:$A$1436,1))-INDEX(VN_국채일별!$C$4:$C$1436,MATCH($B96,VN_국채일별!$A$4:$A$1436,1)))*($J96-2),IF($J96&lt;=5,INDEX(VN_국채일별!$D$4:$D$1436,MATCH($B96,VN_국채일별!$A$4:$A$1436,1))+(INDEX(VN_국채일별!$E$4:$E$1436,MATCH($B96,VN_국채일별!$A$4:$A$1436,1))-INDEX(VN_국채일별!$D$4:$D$1436,MATCH($B96,VN_국채일별!$A$4:$A$1436,1)))*($J96-3)/2,IF($J96&lt;=7,INDEX(VN_국채일별!$E$4:$E$1436,MATCH($B96,VN_국채일별!$A$4:$A$1436,1))+(INDEX(VN_국채일별!$F$4:$F$1436,MATCH($B96,VN_국채일별!$A$4:$A$1436,1))-INDEX(VN_국채일별!$E$4:$E$1436,MATCH($B96,VN_국채일별!$A$4:$A$1436,1)))*($J96-5)/2,IF($J96&lt;=10,INDEX(VN_국채일별!$F$4:$F$1436,MATCH($B96,VN_국채일별!$A$4:$A$1436,1))+(INDEX(VN_국채일별!$G$4:$G$1436,MATCH($B96,VN_국채일별!$A$4:$A$1436,1))-INDEX(VN_국채일별!$F$4:$F$1436,MATCH($B96,VN_국채일별!$A$4:$A$1436,1)))*($J96-7)/3,INDEX(VN_국채일별!$G$4:$G$1436,MATCH($B96,VN_국채일별!$A$4:$A$1436,1)))))))),""))</f>
        <v>0.03432</v>
      </c>
      <c r="R96" s="58" t="str">
        <f aca="false">IF(OR(L96="",Q96=""),"",(L96-Q96)*10000)</f>
        <v/>
      </c>
      <c r="S96" s="30" t="n">
        <f aca="false">IF(AND(K96="고정",N96="N",J96&gt;=2,J96&lt;=4,I96&lt;&gt;""),1,0)</f>
        <v>0</v>
      </c>
      <c r="T96" s="59" t="n">
        <f aca="false">IF(S96=1,I96*L96,0)</f>
        <v>0</v>
      </c>
      <c r="U96" s="60" t="n">
        <f aca="false">IF(AND(S96=1,ISNUMBER(R96)),I96*R96,0)</f>
        <v>0</v>
      </c>
      <c r="V96" s="30" t="n">
        <f aca="false">IF(AND(F96="Big4(국영)",K96="고정",N96="N",I96&lt;&gt;""),1,0)</f>
        <v>0</v>
      </c>
      <c r="W96" s="59" t="n">
        <f aca="false">IF(V96=1,I96*L96,0)</f>
        <v>0</v>
      </c>
      <c r="X96" s="60" t="n">
        <f aca="false">IF(AND(V96=1,ISNUMBER(R96)),I96*R96,0)</f>
        <v>0</v>
      </c>
      <c r="Y96" s="61" t="n">
        <f aca="false">IF(AND(S96=1,ISNUMBER(R96)),I96,0)</f>
        <v>0</v>
      </c>
      <c r="Z96" s="61" t="n">
        <f aca="false">IF(AND(V96=1,ISNUMBER(R96)),I96,0)</f>
        <v>0</v>
      </c>
    </row>
    <row r="97" customFormat="false" ht="15" hidden="false" customHeight="false" outlineLevel="0" collapsed="false">
      <c r="A97" s="47" t="s">
        <v>338</v>
      </c>
      <c r="B97" s="52" t="n">
        <v>44782</v>
      </c>
      <c r="C97" s="53" t="n">
        <f aca="false">DATE(YEAR(B97),MONTH(B97),1)</f>
        <v>44774</v>
      </c>
      <c r="D97" s="5" t="str">
        <f aca="false">YEAR(B97)&amp;"Q"&amp;ROUNDUP(MONTH(B97)/3,0)</f>
        <v>2022Q3</v>
      </c>
      <c r="E97" s="62" t="s">
        <v>230</v>
      </c>
      <c r="F97" s="62" t="s">
        <v>156</v>
      </c>
      <c r="G97" s="47" t="s">
        <v>345</v>
      </c>
      <c r="H97" s="47" t="s">
        <v>346</v>
      </c>
      <c r="I97" s="55" t="n">
        <v>1500</v>
      </c>
      <c r="J97" s="56" t="n">
        <v>8</v>
      </c>
      <c r="K97" s="54" t="s">
        <v>153</v>
      </c>
      <c r="N97" s="47" t="s">
        <v>143</v>
      </c>
      <c r="O97" s="47" t="s">
        <v>347</v>
      </c>
      <c r="P97" s="47"/>
      <c r="Q97" s="48" t="n">
        <f aca="false">IF($J97="","",IFERROR(IF($J97&lt;=1,INDEX(VN_국채일별!$B$4:$B$1436,MATCH($B97,VN_국채일별!$A$4:$A$1436,1)),IF($J97&lt;=2,INDEX(VN_국채일별!$B$4:$B$1436,MATCH($B97,VN_국채일별!$A$4:$A$1436,1))+(INDEX(VN_국채일별!$C$4:$C$1436,MATCH($B97,VN_국채일별!$A$4:$A$1436,1))-INDEX(VN_국채일별!$B$4:$B$1436,MATCH($B97,VN_국채일별!$A$4:$A$1436,1)))*($J97-1),IF($J97&lt;=3,INDEX(VN_국채일별!$C$4:$C$1436,MATCH($B97,VN_국채일별!$A$4:$A$1436,1))+(INDEX(VN_국채일별!$D$4:$D$1436,MATCH($B97,VN_국채일별!$A$4:$A$1436,1))-INDEX(VN_국채일별!$C$4:$C$1436,MATCH($B97,VN_국채일별!$A$4:$A$1436,1)))*($J97-2),IF($J97&lt;=5,INDEX(VN_국채일별!$D$4:$D$1436,MATCH($B97,VN_국채일별!$A$4:$A$1436,1))+(INDEX(VN_국채일별!$E$4:$E$1436,MATCH($B97,VN_국채일별!$A$4:$A$1436,1))-INDEX(VN_국채일별!$D$4:$D$1436,MATCH($B97,VN_국채일별!$A$4:$A$1436,1)))*($J97-3)/2,IF($J97&lt;=7,INDEX(VN_국채일별!$E$4:$E$1436,MATCH($B97,VN_국채일별!$A$4:$A$1436,1))+(INDEX(VN_국채일별!$F$4:$F$1436,MATCH($B97,VN_국채일별!$A$4:$A$1436,1))-INDEX(VN_국채일별!$E$4:$E$1436,MATCH($B97,VN_국채일별!$A$4:$A$1436,1)))*($J97-5)/2,IF($J97&lt;=10,INDEX(VN_국채일별!$F$4:$F$1436,MATCH($B97,VN_국채일별!$A$4:$A$1436,1))+(INDEX(VN_국채일별!$G$4:$G$1436,MATCH($B97,VN_국채일별!$A$4:$A$1436,1))-INDEX(VN_국채일별!$F$4:$F$1436,MATCH($B97,VN_국채일별!$A$4:$A$1436,1)))*($J97-7)/3,INDEX(VN_국채일별!$G$4:$G$1436,MATCH($B97,VN_국채일별!$A$4:$A$1436,1)))))))),""))</f>
        <v>0.0355466666666667</v>
      </c>
      <c r="R97" s="58" t="str">
        <f aca="false">IF(OR(L97="",Q97=""),"",(L97-Q97)*10000)</f>
        <v/>
      </c>
      <c r="S97" s="30" t="n">
        <f aca="false">IF(AND(K97="고정",N97="N",J97&gt;=2,J97&lt;=4,I97&lt;&gt;""),1,0)</f>
        <v>0</v>
      </c>
      <c r="T97" s="59" t="n">
        <f aca="false">IF(S97=1,I97*L97,0)</f>
        <v>0</v>
      </c>
      <c r="U97" s="60" t="n">
        <f aca="false">IF(AND(S97=1,ISNUMBER(R97)),I97*R97,0)</f>
        <v>0</v>
      </c>
      <c r="V97" s="30" t="n">
        <f aca="false">IF(AND(F97="Big4(국영)",K97="고정",N97="N",I97&lt;&gt;""),1,0)</f>
        <v>0</v>
      </c>
      <c r="W97" s="59" t="n">
        <f aca="false">IF(V97=1,I97*L97,0)</f>
        <v>0</v>
      </c>
      <c r="X97" s="60" t="n">
        <f aca="false">IF(AND(V97=1,ISNUMBER(R97)),I97*R97,0)</f>
        <v>0</v>
      </c>
      <c r="Y97" s="61" t="n">
        <f aca="false">IF(AND(S97=1,ISNUMBER(R97)),I97,0)</f>
        <v>0</v>
      </c>
      <c r="Z97" s="61" t="n">
        <f aca="false">IF(AND(V97=1,ISNUMBER(R97)),I97,0)</f>
        <v>0</v>
      </c>
    </row>
    <row r="98" customFormat="false" ht="15" hidden="false" customHeight="false" outlineLevel="0" collapsed="false">
      <c r="A98" s="47" t="s">
        <v>338</v>
      </c>
      <c r="B98" s="52" t="n">
        <v>44783</v>
      </c>
      <c r="C98" s="53" t="n">
        <f aca="false">DATE(YEAR(B98),MONTH(B98),1)</f>
        <v>44774</v>
      </c>
      <c r="D98" s="5" t="str">
        <f aca="false">YEAR(B98)&amp;"Q"&amp;ROUNDUP(MONTH(B98)/3,0)</f>
        <v>2022Q3</v>
      </c>
      <c r="E98" s="62" t="s">
        <v>285</v>
      </c>
      <c r="F98" s="62" t="s">
        <v>156</v>
      </c>
      <c r="G98" s="47" t="s">
        <v>348</v>
      </c>
      <c r="H98" s="47" t="s">
        <v>349</v>
      </c>
      <c r="I98" s="55" t="n">
        <v>600</v>
      </c>
      <c r="J98" s="56" t="n">
        <v>10</v>
      </c>
      <c r="K98" s="54" t="s">
        <v>153</v>
      </c>
      <c r="N98" s="47" t="s">
        <v>143</v>
      </c>
      <c r="O98" s="47" t="s">
        <v>350</v>
      </c>
      <c r="P98" s="47"/>
      <c r="Q98" s="48" t="n">
        <f aca="false">IF($J98="","",IFERROR(IF($J98&lt;=1,INDEX(VN_국채일별!$B$4:$B$1436,MATCH($B98,VN_국채일별!$A$4:$A$1436,1)),IF($J98&lt;=2,INDEX(VN_국채일별!$B$4:$B$1436,MATCH($B98,VN_국채일별!$A$4:$A$1436,1))+(INDEX(VN_국채일별!$C$4:$C$1436,MATCH($B98,VN_국채일별!$A$4:$A$1436,1))-INDEX(VN_국채일별!$B$4:$B$1436,MATCH($B98,VN_국채일별!$A$4:$A$1436,1)))*($J98-1),IF($J98&lt;=3,INDEX(VN_국채일별!$C$4:$C$1436,MATCH($B98,VN_국채일별!$A$4:$A$1436,1))+(INDEX(VN_국채일별!$D$4:$D$1436,MATCH($B98,VN_국채일별!$A$4:$A$1436,1))-INDEX(VN_국채일별!$C$4:$C$1436,MATCH($B98,VN_국채일별!$A$4:$A$1436,1)))*($J98-2),IF($J98&lt;=5,INDEX(VN_국채일별!$D$4:$D$1436,MATCH($B98,VN_국채일별!$A$4:$A$1436,1))+(INDEX(VN_국채일별!$E$4:$E$1436,MATCH($B98,VN_국채일별!$A$4:$A$1436,1))-INDEX(VN_국채일별!$D$4:$D$1436,MATCH($B98,VN_국채일별!$A$4:$A$1436,1)))*($J98-3)/2,IF($J98&lt;=7,INDEX(VN_국채일별!$E$4:$E$1436,MATCH($B98,VN_국채일별!$A$4:$A$1436,1))+(INDEX(VN_국채일별!$F$4:$F$1436,MATCH($B98,VN_국채일별!$A$4:$A$1436,1))-INDEX(VN_국채일별!$E$4:$E$1436,MATCH($B98,VN_국채일별!$A$4:$A$1436,1)))*($J98-5)/2,IF($J98&lt;=10,INDEX(VN_국채일별!$F$4:$F$1436,MATCH($B98,VN_국채일별!$A$4:$A$1436,1))+(INDEX(VN_국채일별!$G$4:$G$1436,MATCH($B98,VN_국채일별!$A$4:$A$1436,1))-INDEX(VN_국채일별!$F$4:$F$1436,MATCH($B98,VN_국채일별!$A$4:$A$1436,1)))*($J98-7)/3,INDEX(VN_국채일별!$G$4:$G$1436,MATCH($B98,VN_국채일별!$A$4:$A$1436,1)))))))),""))</f>
        <v>0.03718</v>
      </c>
      <c r="R98" s="58" t="str">
        <f aca="false">IF(OR(L98="",Q98=""),"",(L98-Q98)*10000)</f>
        <v/>
      </c>
      <c r="S98" s="30" t="n">
        <f aca="false">IF(AND(K98="고정",N98="N",J98&gt;=2,J98&lt;=4,I98&lt;&gt;""),1,0)</f>
        <v>0</v>
      </c>
      <c r="T98" s="59" t="n">
        <f aca="false">IF(S98=1,I98*L98,0)</f>
        <v>0</v>
      </c>
      <c r="U98" s="60" t="n">
        <f aca="false">IF(AND(S98=1,ISNUMBER(R98)),I98*R98,0)</f>
        <v>0</v>
      </c>
      <c r="V98" s="30" t="n">
        <f aca="false">IF(AND(F98="Big4(국영)",K98="고정",N98="N",I98&lt;&gt;""),1,0)</f>
        <v>0</v>
      </c>
      <c r="W98" s="59" t="n">
        <f aca="false">IF(V98=1,I98*L98,0)</f>
        <v>0</v>
      </c>
      <c r="X98" s="60" t="n">
        <f aca="false">IF(AND(V98=1,ISNUMBER(R98)),I98*R98,0)</f>
        <v>0</v>
      </c>
      <c r="Y98" s="61" t="n">
        <f aca="false">IF(AND(S98=1,ISNUMBER(R98)),I98,0)</f>
        <v>0</v>
      </c>
      <c r="Z98" s="61" t="n">
        <f aca="false">IF(AND(V98=1,ISNUMBER(R98)),I98,0)</f>
        <v>0</v>
      </c>
    </row>
    <row r="99" customFormat="false" ht="15" hidden="false" customHeight="false" outlineLevel="0" collapsed="false">
      <c r="A99" s="47" t="s">
        <v>338</v>
      </c>
      <c r="B99" s="52" t="n">
        <v>44788</v>
      </c>
      <c r="C99" s="53" t="n">
        <f aca="false">DATE(YEAR(B99),MONTH(B99),1)</f>
        <v>44774</v>
      </c>
      <c r="D99" s="5" t="str">
        <f aca="false">YEAR(B99)&amp;"Q"&amp;ROUNDUP(MONTH(B99)/3,0)</f>
        <v>2022Q3</v>
      </c>
      <c r="E99" s="62" t="s">
        <v>230</v>
      </c>
      <c r="F99" s="62" t="s">
        <v>156</v>
      </c>
      <c r="G99" s="47" t="s">
        <v>345</v>
      </c>
      <c r="H99" s="47" t="s">
        <v>351</v>
      </c>
      <c r="I99" s="55" t="n">
        <v>100</v>
      </c>
      <c r="J99" s="56" t="n">
        <v>7</v>
      </c>
      <c r="K99" s="54" t="s">
        <v>153</v>
      </c>
      <c r="N99" s="47" t="s">
        <v>143</v>
      </c>
      <c r="O99" s="47"/>
      <c r="P99" s="47"/>
      <c r="Q99" s="48" t="n">
        <f aca="false">IF($J99="","",IFERROR(IF($J99&lt;=1,INDEX(VN_국채일별!$B$4:$B$1436,MATCH($B99,VN_국채일별!$A$4:$A$1436,1)),IF($J99&lt;=2,INDEX(VN_국채일별!$B$4:$B$1436,MATCH($B99,VN_국채일별!$A$4:$A$1436,1))+(INDEX(VN_국채일별!$C$4:$C$1436,MATCH($B99,VN_국채일별!$A$4:$A$1436,1))-INDEX(VN_국채일별!$B$4:$B$1436,MATCH($B99,VN_국채일별!$A$4:$A$1436,1)))*($J99-1),IF($J99&lt;=3,INDEX(VN_국채일별!$C$4:$C$1436,MATCH($B99,VN_국채일별!$A$4:$A$1436,1))+(INDEX(VN_국채일별!$D$4:$D$1436,MATCH($B99,VN_국채일별!$A$4:$A$1436,1))-INDEX(VN_국채일별!$C$4:$C$1436,MATCH($B99,VN_국채일별!$A$4:$A$1436,1)))*($J99-2),IF($J99&lt;=5,INDEX(VN_국채일별!$D$4:$D$1436,MATCH($B99,VN_국채일별!$A$4:$A$1436,1))+(INDEX(VN_국채일별!$E$4:$E$1436,MATCH($B99,VN_국채일별!$A$4:$A$1436,1))-INDEX(VN_국채일별!$D$4:$D$1436,MATCH($B99,VN_국채일별!$A$4:$A$1436,1)))*($J99-3)/2,IF($J99&lt;=7,INDEX(VN_국채일별!$E$4:$E$1436,MATCH($B99,VN_국채일별!$A$4:$A$1436,1))+(INDEX(VN_국채일별!$F$4:$F$1436,MATCH($B99,VN_국채일별!$A$4:$A$1436,1))-INDEX(VN_국채일별!$E$4:$E$1436,MATCH($B99,VN_국채일별!$A$4:$A$1436,1)))*($J99-5)/2,IF($J99&lt;=10,INDEX(VN_국채일별!$F$4:$F$1436,MATCH($B99,VN_국채일별!$A$4:$A$1436,1))+(INDEX(VN_국채일별!$G$4:$G$1436,MATCH($B99,VN_국채일별!$A$4:$A$1436,1))-INDEX(VN_국채일별!$F$4:$F$1436,MATCH($B99,VN_국채일별!$A$4:$A$1436,1)))*($J99-7)/3,INDEX(VN_국채일별!$G$4:$G$1436,MATCH($B99,VN_국채일별!$A$4:$A$1436,1)))))))),""))</f>
        <v>0.03399</v>
      </c>
      <c r="R99" s="58" t="str">
        <f aca="false">IF(OR(L99="",Q99=""),"",(L99-Q99)*10000)</f>
        <v/>
      </c>
      <c r="S99" s="30" t="n">
        <f aca="false">IF(AND(K99="고정",N99="N",J99&gt;=2,J99&lt;=4,I99&lt;&gt;""),1,0)</f>
        <v>0</v>
      </c>
      <c r="T99" s="59" t="n">
        <f aca="false">IF(S99=1,I99*L99,0)</f>
        <v>0</v>
      </c>
      <c r="U99" s="60" t="n">
        <f aca="false">IF(AND(S99=1,ISNUMBER(R99)),I99*R99,0)</f>
        <v>0</v>
      </c>
      <c r="V99" s="30" t="n">
        <f aca="false">IF(AND(F99="Big4(국영)",K99="고정",N99="N",I99&lt;&gt;""),1,0)</f>
        <v>0</v>
      </c>
      <c r="W99" s="59" t="n">
        <f aca="false">IF(V99=1,I99*L99,0)</f>
        <v>0</v>
      </c>
      <c r="X99" s="60" t="n">
        <f aca="false">IF(AND(V99=1,ISNUMBER(R99)),I99*R99,0)</f>
        <v>0</v>
      </c>
      <c r="Y99" s="61" t="n">
        <f aca="false">IF(AND(S99=1,ISNUMBER(R99)),I99,0)</f>
        <v>0</v>
      </c>
      <c r="Z99" s="61" t="n">
        <f aca="false">IF(AND(V99=1,ISNUMBER(R99)),I99,0)</f>
        <v>0</v>
      </c>
    </row>
    <row r="100" customFormat="false" ht="15" hidden="false" customHeight="false" outlineLevel="0" collapsed="false">
      <c r="A100" s="47" t="s">
        <v>338</v>
      </c>
      <c r="B100" s="52" t="n">
        <v>44792</v>
      </c>
      <c r="C100" s="53" t="n">
        <f aca="false">DATE(YEAR(B100),MONTH(B100),1)</f>
        <v>44774</v>
      </c>
      <c r="D100" s="5" t="str">
        <f aca="false">YEAR(B100)&amp;"Q"&amp;ROUNDUP(MONTH(B100)/3,0)</f>
        <v>2022Q3</v>
      </c>
      <c r="E100" s="62" t="s">
        <v>173</v>
      </c>
      <c r="F100" s="62" t="s">
        <v>156</v>
      </c>
      <c r="G100" s="47" t="s">
        <v>174</v>
      </c>
      <c r="H100" s="47" t="s">
        <v>352</v>
      </c>
      <c r="I100" s="55" t="n">
        <v>100</v>
      </c>
      <c r="J100" s="56" t="n">
        <v>15</v>
      </c>
      <c r="K100" s="54" t="s">
        <v>153</v>
      </c>
      <c r="N100" s="47" t="s">
        <v>143</v>
      </c>
      <c r="O100" s="47"/>
      <c r="P100" s="47"/>
      <c r="Q100" s="48" t="n">
        <f aca="false">IF($J100="","",IFERROR(IF($J100&lt;=1,INDEX(VN_국채일별!$B$4:$B$1436,MATCH($B100,VN_국채일별!$A$4:$A$1436,1)),IF($J100&lt;=2,INDEX(VN_국채일별!$B$4:$B$1436,MATCH($B100,VN_국채일별!$A$4:$A$1436,1))+(INDEX(VN_국채일별!$C$4:$C$1436,MATCH($B100,VN_국채일별!$A$4:$A$1436,1))-INDEX(VN_국채일별!$B$4:$B$1436,MATCH($B100,VN_국채일별!$A$4:$A$1436,1)))*($J100-1),IF($J100&lt;=3,INDEX(VN_국채일별!$C$4:$C$1436,MATCH($B100,VN_국채일별!$A$4:$A$1436,1))+(INDEX(VN_국채일별!$D$4:$D$1436,MATCH($B100,VN_국채일별!$A$4:$A$1436,1))-INDEX(VN_국채일별!$C$4:$C$1436,MATCH($B100,VN_국채일별!$A$4:$A$1436,1)))*($J100-2),IF($J100&lt;=5,INDEX(VN_국채일별!$D$4:$D$1436,MATCH($B100,VN_국채일별!$A$4:$A$1436,1))+(INDEX(VN_국채일별!$E$4:$E$1436,MATCH($B100,VN_국채일별!$A$4:$A$1436,1))-INDEX(VN_국채일별!$D$4:$D$1436,MATCH($B100,VN_국채일별!$A$4:$A$1436,1)))*($J100-3)/2,IF($J100&lt;=7,INDEX(VN_국채일별!$E$4:$E$1436,MATCH($B100,VN_국채일별!$A$4:$A$1436,1))+(INDEX(VN_국채일별!$F$4:$F$1436,MATCH($B100,VN_국채일별!$A$4:$A$1436,1))-INDEX(VN_국채일별!$E$4:$E$1436,MATCH($B100,VN_국채일별!$A$4:$A$1436,1)))*($J100-5)/2,IF($J100&lt;=10,INDEX(VN_국채일별!$F$4:$F$1436,MATCH($B100,VN_국채일별!$A$4:$A$1436,1))+(INDEX(VN_국채일별!$G$4:$G$1436,MATCH($B100,VN_국채일별!$A$4:$A$1436,1))-INDEX(VN_국채일별!$F$4:$F$1436,MATCH($B100,VN_국채일별!$A$4:$A$1436,1)))*($J100-7)/3,INDEX(VN_국채일별!$G$4:$G$1436,MATCH($B100,VN_국채일별!$A$4:$A$1436,1)))))))),""))</f>
        <v>0.03603</v>
      </c>
      <c r="R100" s="58" t="str">
        <f aca="false">IF(OR(L100="",Q100=""),"",(L100-Q100)*10000)</f>
        <v/>
      </c>
      <c r="S100" s="30" t="n">
        <f aca="false">IF(AND(K100="고정",N100="N",J100&gt;=2,J100&lt;=4,I100&lt;&gt;""),1,0)</f>
        <v>0</v>
      </c>
      <c r="T100" s="59" t="n">
        <f aca="false">IF(S100=1,I100*L100,0)</f>
        <v>0</v>
      </c>
      <c r="U100" s="60" t="n">
        <f aca="false">IF(AND(S100=1,ISNUMBER(R100)),I100*R100,0)</f>
        <v>0</v>
      </c>
      <c r="V100" s="30" t="n">
        <f aca="false">IF(AND(F100="Big4(국영)",K100="고정",N100="N",I100&lt;&gt;""),1,0)</f>
        <v>0</v>
      </c>
      <c r="W100" s="59" t="n">
        <f aca="false">IF(V100=1,I100*L100,0)</f>
        <v>0</v>
      </c>
      <c r="X100" s="60" t="n">
        <f aca="false">IF(AND(V100=1,ISNUMBER(R100)),I100*R100,0)</f>
        <v>0</v>
      </c>
      <c r="Y100" s="61" t="n">
        <f aca="false">IF(AND(S100=1,ISNUMBER(R100)),I100,0)</f>
        <v>0</v>
      </c>
      <c r="Z100" s="61" t="n">
        <f aca="false">IF(AND(V100=1,ISNUMBER(R100)),I100,0)</f>
        <v>0</v>
      </c>
    </row>
    <row r="101" customFormat="false" ht="15" hidden="false" customHeight="false" outlineLevel="0" collapsed="false">
      <c r="A101" s="47" t="s">
        <v>338</v>
      </c>
      <c r="B101" s="52" t="n">
        <v>44795</v>
      </c>
      <c r="C101" s="53" t="n">
        <f aca="false">DATE(YEAR(B101),MONTH(B101),1)</f>
        <v>44774</v>
      </c>
      <c r="D101" s="5" t="str">
        <f aca="false">YEAR(B101)&amp;"Q"&amp;ROUNDUP(MONTH(B101)/3,0)</f>
        <v>2022Q3</v>
      </c>
      <c r="E101" s="47" t="s">
        <v>353</v>
      </c>
      <c r="F101" s="54" t="s">
        <v>139</v>
      </c>
      <c r="G101" s="47" t="s">
        <v>354</v>
      </c>
      <c r="H101" s="47" t="s">
        <v>355</v>
      </c>
      <c r="I101" s="55" t="n">
        <v>300</v>
      </c>
      <c r="J101" s="56" t="n">
        <v>3</v>
      </c>
      <c r="K101" s="54" t="s">
        <v>153</v>
      </c>
      <c r="N101" s="47" t="s">
        <v>148</v>
      </c>
      <c r="O101" s="47"/>
      <c r="P101" s="47"/>
      <c r="Q101" s="48" t="n">
        <f aca="false">IF($J101="","",IFERROR(IF($J101&lt;=1,INDEX(VN_국채일별!$B$4:$B$1436,MATCH($B101,VN_국채일별!$A$4:$A$1436,1)),IF($J101&lt;=2,INDEX(VN_국채일별!$B$4:$B$1436,MATCH($B101,VN_국채일별!$A$4:$A$1436,1))+(INDEX(VN_국채일별!$C$4:$C$1436,MATCH($B101,VN_국채일별!$A$4:$A$1436,1))-INDEX(VN_국채일별!$B$4:$B$1436,MATCH($B101,VN_국채일별!$A$4:$A$1436,1)))*($J101-1),IF($J101&lt;=3,INDEX(VN_국채일별!$C$4:$C$1436,MATCH($B101,VN_국채일별!$A$4:$A$1436,1))+(INDEX(VN_국채일별!$D$4:$D$1436,MATCH($B101,VN_국채일별!$A$4:$A$1436,1))-INDEX(VN_국채일별!$C$4:$C$1436,MATCH($B101,VN_국채일별!$A$4:$A$1436,1)))*($J101-2),IF($J101&lt;=5,INDEX(VN_국채일별!$D$4:$D$1436,MATCH($B101,VN_국채일별!$A$4:$A$1436,1))+(INDEX(VN_국채일별!$E$4:$E$1436,MATCH($B101,VN_국채일별!$A$4:$A$1436,1))-INDEX(VN_국채일별!$D$4:$D$1436,MATCH($B101,VN_국채일별!$A$4:$A$1436,1)))*($J101-3)/2,IF($J101&lt;=7,INDEX(VN_국채일별!$E$4:$E$1436,MATCH($B101,VN_국채일별!$A$4:$A$1436,1))+(INDEX(VN_국채일별!$F$4:$F$1436,MATCH($B101,VN_국채일별!$A$4:$A$1436,1))-INDEX(VN_국채일별!$E$4:$E$1436,MATCH($B101,VN_국채일별!$A$4:$A$1436,1)))*($J101-5)/2,IF($J101&lt;=10,INDEX(VN_국채일별!$F$4:$F$1436,MATCH($B101,VN_국채일별!$A$4:$A$1436,1))+(INDEX(VN_국채일별!$G$4:$G$1436,MATCH($B101,VN_국채일별!$A$4:$A$1436,1))-INDEX(VN_국채일별!$F$4:$F$1436,MATCH($B101,VN_국채일별!$A$4:$A$1436,1)))*($J101-7)/3,INDEX(VN_국채일별!$G$4:$G$1436,MATCH($B101,VN_국채일별!$A$4:$A$1436,1)))))))),""))</f>
        <v>0.03144</v>
      </c>
      <c r="R101" s="58" t="str">
        <f aca="false">IF(OR(L101="",Q101=""),"",(L101-Q101)*10000)</f>
        <v/>
      </c>
      <c r="S101" s="30" t="n">
        <f aca="false">IF(AND(K101="고정",N101="N",J101&gt;=2,J101&lt;=4,I101&lt;&gt;""),1,0)</f>
        <v>0</v>
      </c>
      <c r="T101" s="59" t="n">
        <f aca="false">IF(S101=1,I101*L101,0)</f>
        <v>0</v>
      </c>
      <c r="U101" s="60" t="n">
        <f aca="false">IF(AND(S101=1,ISNUMBER(R101)),I101*R101,0)</f>
        <v>0</v>
      </c>
      <c r="V101" s="30" t="n">
        <f aca="false">IF(AND(F101="Big4(국영)",K101="고정",N101="N",I101&lt;&gt;""),1,0)</f>
        <v>0</v>
      </c>
      <c r="W101" s="59" t="n">
        <f aca="false">IF(V101=1,I101*L101,0)</f>
        <v>0</v>
      </c>
      <c r="X101" s="60" t="n">
        <f aca="false">IF(AND(V101=1,ISNUMBER(R101)),I101*R101,0)</f>
        <v>0</v>
      </c>
      <c r="Y101" s="61" t="n">
        <f aca="false">IF(AND(S101=1,ISNUMBER(R101)),I101,0)</f>
        <v>0</v>
      </c>
      <c r="Z101" s="61" t="n">
        <f aca="false">IF(AND(V101=1,ISNUMBER(R101)),I101,0)</f>
        <v>0</v>
      </c>
    </row>
    <row r="102" customFormat="false" ht="15" hidden="false" customHeight="false" outlineLevel="0" collapsed="false">
      <c r="A102" s="47" t="s">
        <v>338</v>
      </c>
      <c r="B102" s="52" t="n">
        <v>44795</v>
      </c>
      <c r="C102" s="53" t="n">
        <f aca="false">DATE(YEAR(B102),MONTH(B102),1)</f>
        <v>44774</v>
      </c>
      <c r="D102" s="5" t="str">
        <f aca="false">YEAR(B102)&amp;"Q"&amp;ROUNDUP(MONTH(B102)/3,0)</f>
        <v>2022Q3</v>
      </c>
      <c r="E102" s="47" t="s">
        <v>254</v>
      </c>
      <c r="F102" s="54" t="s">
        <v>139</v>
      </c>
      <c r="G102" s="47" t="s">
        <v>339</v>
      </c>
      <c r="H102" s="47" t="s">
        <v>356</v>
      </c>
      <c r="I102" s="55" t="n">
        <v>500</v>
      </c>
      <c r="J102" s="56" t="n">
        <v>1</v>
      </c>
      <c r="K102" s="54" t="s">
        <v>153</v>
      </c>
      <c r="N102" s="47" t="s">
        <v>148</v>
      </c>
      <c r="O102" s="47"/>
      <c r="P102" s="47"/>
      <c r="Q102" s="48" t="n">
        <f aca="false">IF($J102="","",IFERROR(IF($J102&lt;=1,INDEX(VN_국채일별!$B$4:$B$1436,MATCH($B102,VN_국채일별!$A$4:$A$1436,1)),IF($J102&lt;=2,INDEX(VN_국채일별!$B$4:$B$1436,MATCH($B102,VN_국채일별!$A$4:$A$1436,1))+(INDEX(VN_국채일별!$C$4:$C$1436,MATCH($B102,VN_국채일별!$A$4:$A$1436,1))-INDEX(VN_국채일별!$B$4:$B$1436,MATCH($B102,VN_국채일별!$A$4:$A$1436,1)))*($J102-1),IF($J102&lt;=3,INDEX(VN_국채일별!$C$4:$C$1436,MATCH($B102,VN_국채일별!$A$4:$A$1436,1))+(INDEX(VN_국채일별!$D$4:$D$1436,MATCH($B102,VN_국채일별!$A$4:$A$1436,1))-INDEX(VN_국채일별!$C$4:$C$1436,MATCH($B102,VN_국채일별!$A$4:$A$1436,1)))*($J102-2),IF($J102&lt;=5,INDEX(VN_국채일별!$D$4:$D$1436,MATCH($B102,VN_국채일별!$A$4:$A$1436,1))+(INDEX(VN_국채일별!$E$4:$E$1436,MATCH($B102,VN_국채일별!$A$4:$A$1436,1))-INDEX(VN_국채일별!$D$4:$D$1436,MATCH($B102,VN_국채일별!$A$4:$A$1436,1)))*($J102-3)/2,IF($J102&lt;=7,INDEX(VN_국채일별!$E$4:$E$1436,MATCH($B102,VN_국채일별!$A$4:$A$1436,1))+(INDEX(VN_국채일별!$F$4:$F$1436,MATCH($B102,VN_국채일별!$A$4:$A$1436,1))-INDEX(VN_국채일별!$E$4:$E$1436,MATCH($B102,VN_국채일별!$A$4:$A$1436,1)))*($J102-5)/2,IF($J102&lt;=10,INDEX(VN_국채일별!$F$4:$F$1436,MATCH($B102,VN_국채일별!$A$4:$A$1436,1))+(INDEX(VN_국채일별!$G$4:$G$1436,MATCH($B102,VN_국채일별!$A$4:$A$1436,1))-INDEX(VN_국채일별!$F$4:$F$1436,MATCH($B102,VN_국채일별!$A$4:$A$1436,1)))*($J102-7)/3,INDEX(VN_국채일별!$G$4:$G$1436,MATCH($B102,VN_국채일별!$A$4:$A$1436,1)))))))),""))</f>
        <v>0.02744</v>
      </c>
      <c r="R102" s="58" t="str">
        <f aca="false">IF(OR(L102="",Q102=""),"",(L102-Q102)*10000)</f>
        <v/>
      </c>
      <c r="S102" s="30" t="n">
        <f aca="false">IF(AND(K102="고정",N102="N",J102&gt;=2,J102&lt;=4,I102&lt;&gt;""),1,0)</f>
        <v>0</v>
      </c>
      <c r="T102" s="59" t="n">
        <f aca="false">IF(S102=1,I102*L102,0)</f>
        <v>0</v>
      </c>
      <c r="U102" s="60" t="n">
        <f aca="false">IF(AND(S102=1,ISNUMBER(R102)),I102*R102,0)</f>
        <v>0</v>
      </c>
      <c r="V102" s="30" t="n">
        <f aca="false">IF(AND(F102="Big4(국영)",K102="고정",N102="N",I102&lt;&gt;""),1,0)</f>
        <v>0</v>
      </c>
      <c r="W102" s="59" t="n">
        <f aca="false">IF(V102=1,I102*L102,0)</f>
        <v>0</v>
      </c>
      <c r="X102" s="60" t="n">
        <f aca="false">IF(AND(V102=1,ISNUMBER(R102)),I102*R102,0)</f>
        <v>0</v>
      </c>
      <c r="Y102" s="61" t="n">
        <f aca="false">IF(AND(S102=1,ISNUMBER(R102)),I102,0)</f>
        <v>0</v>
      </c>
      <c r="Z102" s="61" t="n">
        <f aca="false">IF(AND(V102=1,ISNUMBER(R102)),I102,0)</f>
        <v>0</v>
      </c>
    </row>
    <row r="103" customFormat="false" ht="15" hidden="false" customHeight="false" outlineLevel="0" collapsed="false">
      <c r="A103" s="47" t="s">
        <v>338</v>
      </c>
      <c r="B103" s="52" t="n">
        <v>44796</v>
      </c>
      <c r="C103" s="53" t="n">
        <f aca="false">DATE(YEAR(B103),MONTH(B103),1)</f>
        <v>44774</v>
      </c>
      <c r="D103" s="5" t="str">
        <f aca="false">YEAR(B103)&amp;"Q"&amp;ROUNDUP(MONTH(B103)/3,0)</f>
        <v>2022Q3</v>
      </c>
      <c r="E103" s="62" t="s">
        <v>173</v>
      </c>
      <c r="F103" s="62" t="s">
        <v>156</v>
      </c>
      <c r="G103" s="47" t="s">
        <v>174</v>
      </c>
      <c r="H103" s="47" t="s">
        <v>357</v>
      </c>
      <c r="I103" s="55" t="n">
        <v>230</v>
      </c>
      <c r="J103" s="56" t="n">
        <v>8</v>
      </c>
      <c r="K103" s="54" t="s">
        <v>153</v>
      </c>
      <c r="N103" s="47" t="s">
        <v>143</v>
      </c>
      <c r="O103" s="47"/>
      <c r="P103" s="47"/>
      <c r="Q103" s="48" t="n">
        <f aca="false">IF($J103="","",IFERROR(IF($J103&lt;=1,INDEX(VN_국채일별!$B$4:$B$1436,MATCH($B103,VN_국채일별!$A$4:$A$1436,1)),IF($J103&lt;=2,INDEX(VN_국채일별!$B$4:$B$1436,MATCH($B103,VN_국채일별!$A$4:$A$1436,1))+(INDEX(VN_국채일별!$C$4:$C$1436,MATCH($B103,VN_국채일별!$A$4:$A$1436,1))-INDEX(VN_국채일별!$B$4:$B$1436,MATCH($B103,VN_국채일별!$A$4:$A$1436,1)))*($J103-1),IF($J103&lt;=3,INDEX(VN_국채일별!$C$4:$C$1436,MATCH($B103,VN_국채일별!$A$4:$A$1436,1))+(INDEX(VN_국채일별!$D$4:$D$1436,MATCH($B103,VN_국채일별!$A$4:$A$1436,1))-INDEX(VN_국채일별!$C$4:$C$1436,MATCH($B103,VN_국채일별!$A$4:$A$1436,1)))*($J103-2),IF($J103&lt;=5,INDEX(VN_국채일별!$D$4:$D$1436,MATCH($B103,VN_국채일별!$A$4:$A$1436,1))+(INDEX(VN_국채일별!$E$4:$E$1436,MATCH($B103,VN_국채일별!$A$4:$A$1436,1))-INDEX(VN_국채일별!$D$4:$D$1436,MATCH($B103,VN_국채일별!$A$4:$A$1436,1)))*($J103-3)/2,IF($J103&lt;=7,INDEX(VN_국채일별!$E$4:$E$1436,MATCH($B103,VN_국채일별!$A$4:$A$1436,1))+(INDEX(VN_국채일별!$F$4:$F$1436,MATCH($B103,VN_국채일별!$A$4:$A$1436,1))-INDEX(VN_국채일별!$E$4:$E$1436,MATCH($B103,VN_국채일별!$A$4:$A$1436,1)))*($J103-5)/2,IF($J103&lt;=10,INDEX(VN_국채일별!$F$4:$F$1436,MATCH($B103,VN_국채일별!$A$4:$A$1436,1))+(INDEX(VN_국채일별!$G$4:$G$1436,MATCH($B103,VN_국채일별!$A$4:$A$1436,1))-INDEX(VN_국채일별!$F$4:$F$1436,MATCH($B103,VN_국채일별!$A$4:$A$1436,1)))*($J103-7)/3,INDEX(VN_국채일별!$G$4:$G$1436,MATCH($B103,VN_국채일별!$A$4:$A$1436,1)))))))),""))</f>
        <v>0.03528</v>
      </c>
      <c r="R103" s="58" t="str">
        <f aca="false">IF(OR(L103="",Q103=""),"",(L103-Q103)*10000)</f>
        <v/>
      </c>
      <c r="S103" s="30" t="n">
        <f aca="false">IF(AND(K103="고정",N103="N",J103&gt;=2,J103&lt;=4,I103&lt;&gt;""),1,0)</f>
        <v>0</v>
      </c>
      <c r="T103" s="59" t="n">
        <f aca="false">IF(S103=1,I103*L103,0)</f>
        <v>0</v>
      </c>
      <c r="U103" s="60" t="n">
        <f aca="false">IF(AND(S103=1,ISNUMBER(R103)),I103*R103,0)</f>
        <v>0</v>
      </c>
      <c r="V103" s="30" t="n">
        <f aca="false">IF(AND(F103="Big4(국영)",K103="고정",N103="N",I103&lt;&gt;""),1,0)</f>
        <v>0</v>
      </c>
      <c r="W103" s="59" t="n">
        <f aca="false">IF(V103=1,I103*L103,0)</f>
        <v>0</v>
      </c>
      <c r="X103" s="60" t="n">
        <f aca="false">IF(AND(V103=1,ISNUMBER(R103)),I103*R103,0)</f>
        <v>0</v>
      </c>
      <c r="Y103" s="61" t="n">
        <f aca="false">IF(AND(S103=1,ISNUMBER(R103)),I103,0)</f>
        <v>0</v>
      </c>
      <c r="Z103" s="61" t="n">
        <f aca="false">IF(AND(V103=1,ISNUMBER(R103)),I103,0)</f>
        <v>0</v>
      </c>
    </row>
    <row r="104" customFormat="false" ht="15" hidden="false" customHeight="false" outlineLevel="0" collapsed="false">
      <c r="A104" s="47" t="s">
        <v>338</v>
      </c>
      <c r="B104" s="52" t="n">
        <v>44797</v>
      </c>
      <c r="C104" s="53" t="n">
        <f aca="false">DATE(YEAR(B104),MONTH(B104),1)</f>
        <v>44774</v>
      </c>
      <c r="D104" s="5" t="str">
        <f aca="false">YEAR(B104)&amp;"Q"&amp;ROUNDUP(MONTH(B104)/3,0)</f>
        <v>2022Q3</v>
      </c>
      <c r="E104" s="47" t="s">
        <v>160</v>
      </c>
      <c r="F104" s="54" t="s">
        <v>139</v>
      </c>
      <c r="G104" s="47" t="s">
        <v>161</v>
      </c>
      <c r="H104" s="47" t="s">
        <v>358</v>
      </c>
      <c r="I104" s="55" t="n">
        <v>500</v>
      </c>
      <c r="J104" s="56" t="n">
        <v>3</v>
      </c>
      <c r="K104" s="54" t="s">
        <v>153</v>
      </c>
      <c r="N104" s="47" t="s">
        <v>148</v>
      </c>
      <c r="O104" s="47"/>
      <c r="P104" s="47"/>
      <c r="Q104" s="48" t="n">
        <f aca="false">IF($J104="","",IFERROR(IF($J104&lt;=1,INDEX(VN_국채일별!$B$4:$B$1436,MATCH($B104,VN_국채일별!$A$4:$A$1436,1)),IF($J104&lt;=2,INDEX(VN_국채일별!$B$4:$B$1436,MATCH($B104,VN_국채일별!$A$4:$A$1436,1))+(INDEX(VN_국채일별!$C$4:$C$1436,MATCH($B104,VN_국채일별!$A$4:$A$1436,1))-INDEX(VN_국채일별!$B$4:$B$1436,MATCH($B104,VN_국채일별!$A$4:$A$1436,1)))*($J104-1),IF($J104&lt;=3,INDEX(VN_국채일별!$C$4:$C$1436,MATCH($B104,VN_국채일별!$A$4:$A$1436,1))+(INDEX(VN_국채일별!$D$4:$D$1436,MATCH($B104,VN_국채일별!$A$4:$A$1436,1))-INDEX(VN_국채일별!$C$4:$C$1436,MATCH($B104,VN_국채일별!$A$4:$A$1436,1)))*($J104-2),IF($J104&lt;=5,INDEX(VN_국채일별!$D$4:$D$1436,MATCH($B104,VN_국채일별!$A$4:$A$1436,1))+(INDEX(VN_국채일별!$E$4:$E$1436,MATCH($B104,VN_국채일별!$A$4:$A$1436,1))-INDEX(VN_국채일별!$D$4:$D$1436,MATCH($B104,VN_국채일별!$A$4:$A$1436,1)))*($J104-3)/2,IF($J104&lt;=7,INDEX(VN_국채일별!$E$4:$E$1436,MATCH($B104,VN_국채일별!$A$4:$A$1436,1))+(INDEX(VN_국채일별!$F$4:$F$1436,MATCH($B104,VN_국채일별!$A$4:$A$1436,1))-INDEX(VN_국채일별!$E$4:$E$1436,MATCH($B104,VN_국채일별!$A$4:$A$1436,1)))*($J104-5)/2,IF($J104&lt;=10,INDEX(VN_국채일별!$F$4:$F$1436,MATCH($B104,VN_국채일별!$A$4:$A$1436,1))+(INDEX(VN_국채일별!$G$4:$G$1436,MATCH($B104,VN_국채일별!$A$4:$A$1436,1))-INDEX(VN_국채일별!$F$4:$F$1436,MATCH($B104,VN_국채일별!$A$4:$A$1436,1)))*($J104-7)/3,INDEX(VN_국채일별!$G$4:$G$1436,MATCH($B104,VN_국채일별!$A$4:$A$1436,1)))))))),""))</f>
        <v>0.03186</v>
      </c>
      <c r="R104" s="58" t="str">
        <f aca="false">IF(OR(L104="",Q104=""),"",(L104-Q104)*10000)</f>
        <v/>
      </c>
      <c r="S104" s="30" t="n">
        <f aca="false">IF(AND(K104="고정",N104="N",J104&gt;=2,J104&lt;=4,I104&lt;&gt;""),1,0)</f>
        <v>0</v>
      </c>
      <c r="T104" s="59" t="n">
        <f aca="false">IF(S104=1,I104*L104,0)</f>
        <v>0</v>
      </c>
      <c r="U104" s="60" t="n">
        <f aca="false">IF(AND(S104=1,ISNUMBER(R104)),I104*R104,0)</f>
        <v>0</v>
      </c>
      <c r="V104" s="30" t="n">
        <f aca="false">IF(AND(F104="Big4(국영)",K104="고정",N104="N",I104&lt;&gt;""),1,0)</f>
        <v>0</v>
      </c>
      <c r="W104" s="59" t="n">
        <f aca="false">IF(V104=1,I104*L104,0)</f>
        <v>0</v>
      </c>
      <c r="X104" s="60" t="n">
        <f aca="false">IF(AND(V104=1,ISNUMBER(R104)),I104*R104,0)</f>
        <v>0</v>
      </c>
      <c r="Y104" s="61" t="n">
        <f aca="false">IF(AND(S104=1,ISNUMBER(R104)),I104,0)</f>
        <v>0</v>
      </c>
      <c r="Z104" s="61" t="n">
        <f aca="false">IF(AND(V104=1,ISNUMBER(R104)),I104,0)</f>
        <v>0</v>
      </c>
    </row>
    <row r="105" customFormat="false" ht="15" hidden="false" customHeight="false" outlineLevel="0" collapsed="false">
      <c r="A105" s="47" t="s">
        <v>338</v>
      </c>
      <c r="B105" s="52" t="n">
        <v>44797</v>
      </c>
      <c r="C105" s="53" t="n">
        <f aca="false">DATE(YEAR(B105),MONTH(B105),1)</f>
        <v>44774</v>
      </c>
      <c r="D105" s="5" t="str">
        <f aca="false">YEAR(B105)&amp;"Q"&amp;ROUNDUP(MONTH(B105)/3,0)</f>
        <v>2022Q3</v>
      </c>
      <c r="E105" s="47" t="s">
        <v>353</v>
      </c>
      <c r="F105" s="54" t="s">
        <v>139</v>
      </c>
      <c r="G105" s="47" t="s">
        <v>354</v>
      </c>
      <c r="H105" s="47" t="s">
        <v>359</v>
      </c>
      <c r="I105" s="55" t="n">
        <v>1000</v>
      </c>
      <c r="J105" s="56" t="n">
        <v>3</v>
      </c>
      <c r="K105" s="54" t="s">
        <v>153</v>
      </c>
      <c r="N105" s="47" t="s">
        <v>148</v>
      </c>
      <c r="O105" s="47"/>
      <c r="P105" s="47"/>
      <c r="Q105" s="48" t="n">
        <f aca="false">IF($J105="","",IFERROR(IF($J105&lt;=1,INDEX(VN_국채일별!$B$4:$B$1436,MATCH($B105,VN_국채일별!$A$4:$A$1436,1)),IF($J105&lt;=2,INDEX(VN_국채일별!$B$4:$B$1436,MATCH($B105,VN_국채일별!$A$4:$A$1436,1))+(INDEX(VN_국채일별!$C$4:$C$1436,MATCH($B105,VN_국채일별!$A$4:$A$1436,1))-INDEX(VN_국채일별!$B$4:$B$1436,MATCH($B105,VN_국채일별!$A$4:$A$1436,1)))*($J105-1),IF($J105&lt;=3,INDEX(VN_국채일별!$C$4:$C$1436,MATCH($B105,VN_국채일별!$A$4:$A$1436,1))+(INDEX(VN_국채일별!$D$4:$D$1436,MATCH($B105,VN_국채일별!$A$4:$A$1436,1))-INDEX(VN_국채일별!$C$4:$C$1436,MATCH($B105,VN_국채일별!$A$4:$A$1436,1)))*($J105-2),IF($J105&lt;=5,INDEX(VN_국채일별!$D$4:$D$1436,MATCH($B105,VN_국채일별!$A$4:$A$1436,1))+(INDEX(VN_국채일별!$E$4:$E$1436,MATCH($B105,VN_국채일별!$A$4:$A$1436,1))-INDEX(VN_국채일별!$D$4:$D$1436,MATCH($B105,VN_국채일별!$A$4:$A$1436,1)))*($J105-3)/2,IF($J105&lt;=7,INDEX(VN_국채일별!$E$4:$E$1436,MATCH($B105,VN_국채일별!$A$4:$A$1436,1))+(INDEX(VN_국채일별!$F$4:$F$1436,MATCH($B105,VN_국채일별!$A$4:$A$1436,1))-INDEX(VN_국채일별!$E$4:$E$1436,MATCH($B105,VN_국채일별!$A$4:$A$1436,1)))*($J105-5)/2,IF($J105&lt;=10,INDEX(VN_국채일별!$F$4:$F$1436,MATCH($B105,VN_국채일별!$A$4:$A$1436,1))+(INDEX(VN_국채일별!$G$4:$G$1436,MATCH($B105,VN_국채일별!$A$4:$A$1436,1))-INDEX(VN_국채일별!$F$4:$F$1436,MATCH($B105,VN_국채일별!$A$4:$A$1436,1)))*($J105-7)/3,INDEX(VN_국채일별!$G$4:$G$1436,MATCH($B105,VN_국채일별!$A$4:$A$1436,1)))))))),""))</f>
        <v>0.03186</v>
      </c>
      <c r="R105" s="58" t="str">
        <f aca="false">IF(OR(L105="",Q105=""),"",(L105-Q105)*10000)</f>
        <v/>
      </c>
      <c r="S105" s="30" t="n">
        <f aca="false">IF(AND(K105="고정",N105="N",J105&gt;=2,J105&lt;=4,I105&lt;&gt;""),1,0)</f>
        <v>0</v>
      </c>
      <c r="T105" s="59" t="n">
        <f aca="false">IF(S105=1,I105*L105,0)</f>
        <v>0</v>
      </c>
      <c r="U105" s="60" t="n">
        <f aca="false">IF(AND(S105=1,ISNUMBER(R105)),I105*R105,0)</f>
        <v>0</v>
      </c>
      <c r="V105" s="30" t="n">
        <f aca="false">IF(AND(F105="Big4(국영)",K105="고정",N105="N",I105&lt;&gt;""),1,0)</f>
        <v>0</v>
      </c>
      <c r="W105" s="59" t="n">
        <f aca="false">IF(V105=1,I105*L105,0)</f>
        <v>0</v>
      </c>
      <c r="X105" s="60" t="n">
        <f aca="false">IF(AND(V105=1,ISNUMBER(R105)),I105*R105,0)</f>
        <v>0</v>
      </c>
      <c r="Y105" s="61" t="n">
        <f aca="false">IF(AND(S105=1,ISNUMBER(R105)),I105,0)</f>
        <v>0</v>
      </c>
      <c r="Z105" s="61" t="n">
        <f aca="false">IF(AND(V105=1,ISNUMBER(R105)),I105,0)</f>
        <v>0</v>
      </c>
    </row>
    <row r="106" customFormat="false" ht="15" hidden="false" customHeight="false" outlineLevel="0" collapsed="false">
      <c r="A106" s="47" t="s">
        <v>338</v>
      </c>
      <c r="B106" s="52" t="n">
        <v>44797</v>
      </c>
      <c r="C106" s="53" t="n">
        <f aca="false">DATE(YEAR(B106),MONTH(B106),1)</f>
        <v>44774</v>
      </c>
      <c r="D106" s="5" t="str">
        <f aca="false">YEAR(B106)&amp;"Q"&amp;ROUNDUP(MONTH(B106)/3,0)</f>
        <v>2022Q3</v>
      </c>
      <c r="E106" s="47" t="s">
        <v>181</v>
      </c>
      <c r="F106" s="54" t="s">
        <v>139</v>
      </c>
      <c r="G106" s="47" t="s">
        <v>182</v>
      </c>
      <c r="H106" s="47" t="s">
        <v>360</v>
      </c>
      <c r="I106" s="55" t="n">
        <v>1000</v>
      </c>
      <c r="J106" s="56" t="n">
        <v>3</v>
      </c>
      <c r="K106" s="54" t="s">
        <v>153</v>
      </c>
      <c r="N106" s="47" t="s">
        <v>148</v>
      </c>
      <c r="O106" s="47"/>
      <c r="P106" s="47"/>
      <c r="Q106" s="48" t="n">
        <f aca="false">IF($J106="","",IFERROR(IF($J106&lt;=1,INDEX(VN_국채일별!$B$4:$B$1436,MATCH($B106,VN_국채일별!$A$4:$A$1436,1)),IF($J106&lt;=2,INDEX(VN_국채일별!$B$4:$B$1436,MATCH($B106,VN_국채일별!$A$4:$A$1436,1))+(INDEX(VN_국채일별!$C$4:$C$1436,MATCH($B106,VN_국채일별!$A$4:$A$1436,1))-INDEX(VN_국채일별!$B$4:$B$1436,MATCH($B106,VN_국채일별!$A$4:$A$1436,1)))*($J106-1),IF($J106&lt;=3,INDEX(VN_국채일별!$C$4:$C$1436,MATCH($B106,VN_국채일별!$A$4:$A$1436,1))+(INDEX(VN_국채일별!$D$4:$D$1436,MATCH($B106,VN_국채일별!$A$4:$A$1436,1))-INDEX(VN_국채일별!$C$4:$C$1436,MATCH($B106,VN_국채일별!$A$4:$A$1436,1)))*($J106-2),IF($J106&lt;=5,INDEX(VN_국채일별!$D$4:$D$1436,MATCH($B106,VN_국채일별!$A$4:$A$1436,1))+(INDEX(VN_국채일별!$E$4:$E$1436,MATCH($B106,VN_국채일별!$A$4:$A$1436,1))-INDEX(VN_국채일별!$D$4:$D$1436,MATCH($B106,VN_국채일별!$A$4:$A$1436,1)))*($J106-3)/2,IF($J106&lt;=7,INDEX(VN_국채일별!$E$4:$E$1436,MATCH($B106,VN_국채일별!$A$4:$A$1436,1))+(INDEX(VN_국채일별!$F$4:$F$1436,MATCH($B106,VN_국채일별!$A$4:$A$1436,1))-INDEX(VN_국채일별!$E$4:$E$1436,MATCH($B106,VN_국채일별!$A$4:$A$1436,1)))*($J106-5)/2,IF($J106&lt;=10,INDEX(VN_국채일별!$F$4:$F$1436,MATCH($B106,VN_국채일별!$A$4:$A$1436,1))+(INDEX(VN_국채일별!$G$4:$G$1436,MATCH($B106,VN_국채일별!$A$4:$A$1436,1))-INDEX(VN_국채일별!$F$4:$F$1436,MATCH($B106,VN_국채일별!$A$4:$A$1436,1)))*($J106-7)/3,INDEX(VN_국채일별!$G$4:$G$1436,MATCH($B106,VN_국채일별!$A$4:$A$1436,1)))))))),""))</f>
        <v>0.03186</v>
      </c>
      <c r="R106" s="58" t="str">
        <f aca="false">IF(OR(L106="",Q106=""),"",(L106-Q106)*10000)</f>
        <v/>
      </c>
      <c r="S106" s="30" t="n">
        <f aca="false">IF(AND(K106="고정",N106="N",J106&gt;=2,J106&lt;=4,I106&lt;&gt;""),1,0)</f>
        <v>0</v>
      </c>
      <c r="T106" s="59" t="n">
        <f aca="false">IF(S106=1,I106*L106,0)</f>
        <v>0</v>
      </c>
      <c r="U106" s="60" t="n">
        <f aca="false">IF(AND(S106=1,ISNUMBER(R106)),I106*R106,0)</f>
        <v>0</v>
      </c>
      <c r="V106" s="30" t="n">
        <f aca="false">IF(AND(F106="Big4(국영)",K106="고정",N106="N",I106&lt;&gt;""),1,0)</f>
        <v>0</v>
      </c>
      <c r="W106" s="59" t="n">
        <f aca="false">IF(V106=1,I106*L106,0)</f>
        <v>0</v>
      </c>
      <c r="X106" s="60" t="n">
        <f aca="false">IF(AND(V106=1,ISNUMBER(R106)),I106*R106,0)</f>
        <v>0</v>
      </c>
      <c r="Y106" s="61" t="n">
        <f aca="false">IF(AND(S106=1,ISNUMBER(R106)),I106,0)</f>
        <v>0</v>
      </c>
      <c r="Z106" s="61" t="n">
        <f aca="false">IF(AND(V106=1,ISNUMBER(R106)),I106,0)</f>
        <v>0</v>
      </c>
    </row>
    <row r="107" customFormat="false" ht="15" hidden="false" customHeight="false" outlineLevel="0" collapsed="false">
      <c r="A107" s="47" t="s">
        <v>338</v>
      </c>
      <c r="B107" s="52" t="n">
        <v>44798</v>
      </c>
      <c r="C107" s="53" t="n">
        <f aca="false">DATE(YEAR(B107),MONTH(B107),1)</f>
        <v>44774</v>
      </c>
      <c r="D107" s="5" t="str">
        <f aca="false">YEAR(B107)&amp;"Q"&amp;ROUNDUP(MONTH(B107)/3,0)</f>
        <v>2022Q3</v>
      </c>
      <c r="E107" s="47" t="s">
        <v>248</v>
      </c>
      <c r="F107" s="54" t="s">
        <v>139</v>
      </c>
      <c r="G107" s="47" t="s">
        <v>361</v>
      </c>
      <c r="H107" s="47" t="s">
        <v>362</v>
      </c>
      <c r="I107" s="55" t="n">
        <v>1000</v>
      </c>
      <c r="J107" s="56" t="n">
        <v>3</v>
      </c>
      <c r="K107" s="54" t="s">
        <v>153</v>
      </c>
      <c r="N107" s="47" t="s">
        <v>148</v>
      </c>
      <c r="O107" s="47"/>
      <c r="P107" s="47"/>
      <c r="Q107" s="48" t="n">
        <f aca="false">IF($J107="","",IFERROR(IF($J107&lt;=1,INDEX(VN_국채일별!$B$4:$B$1436,MATCH($B107,VN_국채일별!$A$4:$A$1436,1)),IF($J107&lt;=2,INDEX(VN_국채일별!$B$4:$B$1436,MATCH($B107,VN_국채일별!$A$4:$A$1436,1))+(INDEX(VN_국채일별!$C$4:$C$1436,MATCH($B107,VN_국채일별!$A$4:$A$1436,1))-INDEX(VN_국채일별!$B$4:$B$1436,MATCH($B107,VN_국채일별!$A$4:$A$1436,1)))*($J107-1),IF($J107&lt;=3,INDEX(VN_국채일별!$C$4:$C$1436,MATCH($B107,VN_국채일별!$A$4:$A$1436,1))+(INDEX(VN_국채일별!$D$4:$D$1436,MATCH($B107,VN_국채일별!$A$4:$A$1436,1))-INDEX(VN_국채일별!$C$4:$C$1436,MATCH($B107,VN_국채일별!$A$4:$A$1436,1)))*($J107-2),IF($J107&lt;=5,INDEX(VN_국채일별!$D$4:$D$1436,MATCH($B107,VN_국채일별!$A$4:$A$1436,1))+(INDEX(VN_국채일별!$E$4:$E$1436,MATCH($B107,VN_국채일별!$A$4:$A$1436,1))-INDEX(VN_국채일별!$D$4:$D$1436,MATCH($B107,VN_국채일별!$A$4:$A$1436,1)))*($J107-3)/2,IF($J107&lt;=7,INDEX(VN_국채일별!$E$4:$E$1436,MATCH($B107,VN_국채일별!$A$4:$A$1436,1))+(INDEX(VN_국채일별!$F$4:$F$1436,MATCH($B107,VN_국채일별!$A$4:$A$1436,1))-INDEX(VN_국채일별!$E$4:$E$1436,MATCH($B107,VN_국채일별!$A$4:$A$1436,1)))*($J107-5)/2,IF($J107&lt;=10,INDEX(VN_국채일별!$F$4:$F$1436,MATCH($B107,VN_국채일별!$A$4:$A$1436,1))+(INDEX(VN_국채일별!$G$4:$G$1436,MATCH($B107,VN_국채일별!$A$4:$A$1436,1))-INDEX(VN_국채일별!$F$4:$F$1436,MATCH($B107,VN_국채일별!$A$4:$A$1436,1)))*($J107-7)/3,INDEX(VN_국채일별!$G$4:$G$1436,MATCH($B107,VN_국채일별!$A$4:$A$1436,1)))))))),""))</f>
        <v>0.03191</v>
      </c>
      <c r="R107" s="58" t="str">
        <f aca="false">IF(OR(L107="",Q107=""),"",(L107-Q107)*10000)</f>
        <v/>
      </c>
      <c r="S107" s="30" t="n">
        <f aca="false">IF(AND(K107="고정",N107="N",J107&gt;=2,J107&lt;=4,I107&lt;&gt;""),1,0)</f>
        <v>0</v>
      </c>
      <c r="T107" s="59" t="n">
        <f aca="false">IF(S107=1,I107*L107,0)</f>
        <v>0</v>
      </c>
      <c r="U107" s="60" t="n">
        <f aca="false">IF(AND(S107=1,ISNUMBER(R107)),I107*R107,0)</f>
        <v>0</v>
      </c>
      <c r="V107" s="30" t="n">
        <f aca="false">IF(AND(F107="Big4(국영)",K107="고정",N107="N",I107&lt;&gt;""),1,0)</f>
        <v>0</v>
      </c>
      <c r="W107" s="59" t="n">
        <f aca="false">IF(V107=1,I107*L107,0)</f>
        <v>0</v>
      </c>
      <c r="X107" s="60" t="n">
        <f aca="false">IF(AND(V107=1,ISNUMBER(R107)),I107*R107,0)</f>
        <v>0</v>
      </c>
      <c r="Y107" s="61" t="n">
        <f aca="false">IF(AND(S107=1,ISNUMBER(R107)),I107,0)</f>
        <v>0</v>
      </c>
      <c r="Z107" s="61" t="n">
        <f aca="false">IF(AND(V107=1,ISNUMBER(R107)),I107,0)</f>
        <v>0</v>
      </c>
    </row>
    <row r="108" customFormat="false" ht="15" hidden="false" customHeight="false" outlineLevel="0" collapsed="false">
      <c r="A108" s="47" t="s">
        <v>363</v>
      </c>
      <c r="B108" s="52" t="n">
        <v>44810</v>
      </c>
      <c r="C108" s="53" t="n">
        <f aca="false">DATE(YEAR(B108),MONTH(B108),1)</f>
        <v>44805</v>
      </c>
      <c r="D108" s="5" t="str">
        <f aca="false">YEAR(B108)&amp;"Q"&amp;ROUNDUP(MONTH(B108)/3,0)</f>
        <v>2022Q3</v>
      </c>
      <c r="E108" s="47" t="s">
        <v>196</v>
      </c>
      <c r="F108" s="54" t="s">
        <v>139</v>
      </c>
      <c r="G108" s="47" t="s">
        <v>298</v>
      </c>
      <c r="H108" s="47" t="s">
        <v>364</v>
      </c>
      <c r="I108" s="55" t="n">
        <v>2000</v>
      </c>
      <c r="J108" s="56" t="n">
        <v>1.1</v>
      </c>
      <c r="K108" s="54" t="s">
        <v>153</v>
      </c>
      <c r="N108" s="47" t="s">
        <v>148</v>
      </c>
      <c r="O108" s="47"/>
      <c r="P108" s="47"/>
      <c r="Q108" s="48" t="n">
        <f aca="false">IF($J108="","",IFERROR(IF($J108&lt;=1,INDEX(VN_국채일별!$B$4:$B$1436,MATCH($B108,VN_국채일별!$A$4:$A$1436,1)),IF($J108&lt;=2,INDEX(VN_국채일별!$B$4:$B$1436,MATCH($B108,VN_국채일별!$A$4:$A$1436,1))+(INDEX(VN_국채일별!$C$4:$C$1436,MATCH($B108,VN_국채일별!$A$4:$A$1436,1))-INDEX(VN_국채일별!$B$4:$B$1436,MATCH($B108,VN_국채일별!$A$4:$A$1436,1)))*($J108-1),IF($J108&lt;=3,INDEX(VN_국채일별!$C$4:$C$1436,MATCH($B108,VN_국채일별!$A$4:$A$1436,1))+(INDEX(VN_국채일별!$D$4:$D$1436,MATCH($B108,VN_국채일별!$A$4:$A$1436,1))-INDEX(VN_국채일별!$C$4:$C$1436,MATCH($B108,VN_국채일별!$A$4:$A$1436,1)))*($J108-2),IF($J108&lt;=5,INDEX(VN_국채일별!$D$4:$D$1436,MATCH($B108,VN_국채일별!$A$4:$A$1436,1))+(INDEX(VN_국채일별!$E$4:$E$1436,MATCH($B108,VN_국채일별!$A$4:$A$1436,1))-INDEX(VN_국채일별!$D$4:$D$1436,MATCH($B108,VN_국채일별!$A$4:$A$1436,1)))*($J108-3)/2,IF($J108&lt;=7,INDEX(VN_국채일별!$E$4:$E$1436,MATCH($B108,VN_국채일별!$A$4:$A$1436,1))+(INDEX(VN_국채일별!$F$4:$F$1436,MATCH($B108,VN_국채일별!$A$4:$A$1436,1))-INDEX(VN_국채일별!$E$4:$E$1436,MATCH($B108,VN_국채일별!$A$4:$A$1436,1)))*($J108-5)/2,IF($J108&lt;=10,INDEX(VN_국채일별!$F$4:$F$1436,MATCH($B108,VN_국채일별!$A$4:$A$1436,1))+(INDEX(VN_국채일별!$G$4:$G$1436,MATCH($B108,VN_국채일별!$A$4:$A$1436,1))-INDEX(VN_국채일별!$F$4:$F$1436,MATCH($B108,VN_국채일별!$A$4:$A$1436,1)))*($J108-7)/3,INDEX(VN_국채일별!$G$4:$G$1436,MATCH($B108,VN_국채일별!$A$4:$A$1436,1)))))))),""))</f>
        <v>0.029169</v>
      </c>
      <c r="R108" s="58" t="str">
        <f aca="false">IF(OR(L108="",Q108=""),"",(L108-Q108)*10000)</f>
        <v/>
      </c>
      <c r="S108" s="30" t="n">
        <f aca="false">IF(AND(K108="고정",N108="N",J108&gt;=2,J108&lt;=4,I108&lt;&gt;""),1,0)</f>
        <v>0</v>
      </c>
      <c r="T108" s="59" t="n">
        <f aca="false">IF(S108=1,I108*L108,0)</f>
        <v>0</v>
      </c>
      <c r="U108" s="60" t="n">
        <f aca="false">IF(AND(S108=1,ISNUMBER(R108)),I108*R108,0)</f>
        <v>0</v>
      </c>
      <c r="V108" s="30" t="n">
        <f aca="false">IF(AND(F108="Big4(국영)",K108="고정",N108="N",I108&lt;&gt;""),1,0)</f>
        <v>0</v>
      </c>
      <c r="W108" s="59" t="n">
        <f aca="false">IF(V108=1,I108*L108,0)</f>
        <v>0</v>
      </c>
      <c r="X108" s="60" t="n">
        <f aca="false">IF(AND(V108=1,ISNUMBER(R108)),I108*R108,0)</f>
        <v>0</v>
      </c>
      <c r="Y108" s="61" t="n">
        <f aca="false">IF(AND(S108=1,ISNUMBER(R108)),I108,0)</f>
        <v>0</v>
      </c>
      <c r="Z108" s="61" t="n">
        <f aca="false">IF(AND(V108=1,ISNUMBER(R108)),I108,0)</f>
        <v>0</v>
      </c>
    </row>
    <row r="109" customFormat="false" ht="15" hidden="false" customHeight="false" outlineLevel="0" collapsed="false">
      <c r="A109" s="47" t="s">
        <v>363</v>
      </c>
      <c r="B109" s="52" t="n">
        <v>44812</v>
      </c>
      <c r="C109" s="53" t="n">
        <f aca="false">DATE(YEAR(B109),MONTH(B109),1)</f>
        <v>44805</v>
      </c>
      <c r="D109" s="5" t="str">
        <f aca="false">YEAR(B109)&amp;"Q"&amp;ROUNDUP(MONTH(B109)/3,0)</f>
        <v>2022Q3</v>
      </c>
      <c r="E109" s="47" t="s">
        <v>365</v>
      </c>
      <c r="F109" s="54" t="s">
        <v>139</v>
      </c>
      <c r="G109" s="47" t="s">
        <v>366</v>
      </c>
      <c r="H109" s="47" t="s">
        <v>367</v>
      </c>
      <c r="I109" s="55" t="n">
        <v>300</v>
      </c>
      <c r="J109" s="56" t="n">
        <v>3</v>
      </c>
      <c r="K109" s="54" t="s">
        <v>153</v>
      </c>
      <c r="N109" s="47" t="s">
        <v>148</v>
      </c>
      <c r="O109" s="47"/>
      <c r="P109" s="47"/>
      <c r="Q109" s="48" t="n">
        <f aca="false">IF($J109="","",IFERROR(IF($J109&lt;=1,INDEX(VN_국채일별!$B$4:$B$1436,MATCH($B109,VN_국채일별!$A$4:$A$1436,1)),IF($J109&lt;=2,INDEX(VN_국채일별!$B$4:$B$1436,MATCH($B109,VN_국채일별!$A$4:$A$1436,1))+(INDEX(VN_국채일별!$C$4:$C$1436,MATCH($B109,VN_국채일별!$A$4:$A$1436,1))-INDEX(VN_국채일별!$B$4:$B$1436,MATCH($B109,VN_국채일별!$A$4:$A$1436,1)))*($J109-1),IF($J109&lt;=3,INDEX(VN_국채일별!$C$4:$C$1436,MATCH($B109,VN_국채일별!$A$4:$A$1436,1))+(INDEX(VN_국채일별!$D$4:$D$1436,MATCH($B109,VN_국채일별!$A$4:$A$1436,1))-INDEX(VN_국채일별!$C$4:$C$1436,MATCH($B109,VN_국채일별!$A$4:$A$1436,1)))*($J109-2),IF($J109&lt;=5,INDEX(VN_국채일별!$D$4:$D$1436,MATCH($B109,VN_국채일별!$A$4:$A$1436,1))+(INDEX(VN_국채일별!$E$4:$E$1436,MATCH($B109,VN_국채일별!$A$4:$A$1436,1))-INDEX(VN_국채일별!$D$4:$D$1436,MATCH($B109,VN_국채일별!$A$4:$A$1436,1)))*($J109-3)/2,IF($J109&lt;=7,INDEX(VN_국채일별!$E$4:$E$1436,MATCH($B109,VN_국채일별!$A$4:$A$1436,1))+(INDEX(VN_국채일별!$F$4:$F$1436,MATCH($B109,VN_국채일별!$A$4:$A$1436,1))-INDEX(VN_국채일별!$E$4:$E$1436,MATCH($B109,VN_국채일별!$A$4:$A$1436,1)))*($J109-5)/2,IF($J109&lt;=10,INDEX(VN_국채일별!$F$4:$F$1436,MATCH($B109,VN_국채일별!$A$4:$A$1436,1))+(INDEX(VN_국채일별!$G$4:$G$1436,MATCH($B109,VN_국채일별!$A$4:$A$1436,1))-INDEX(VN_국채일별!$F$4:$F$1436,MATCH($B109,VN_국채일별!$A$4:$A$1436,1)))*($J109-7)/3,INDEX(VN_국채일별!$G$4:$G$1436,MATCH($B109,VN_국채일별!$A$4:$A$1436,1)))))))),""))</f>
        <v>0.03244</v>
      </c>
      <c r="R109" s="58" t="str">
        <f aca="false">IF(OR(L109="",Q109=""),"",(L109-Q109)*10000)</f>
        <v/>
      </c>
      <c r="S109" s="30" t="n">
        <f aca="false">IF(AND(K109="고정",N109="N",J109&gt;=2,J109&lt;=4,I109&lt;&gt;""),1,0)</f>
        <v>0</v>
      </c>
      <c r="T109" s="59" t="n">
        <f aca="false">IF(S109=1,I109*L109,0)</f>
        <v>0</v>
      </c>
      <c r="U109" s="60" t="n">
        <f aca="false">IF(AND(S109=1,ISNUMBER(R109)),I109*R109,0)</f>
        <v>0</v>
      </c>
      <c r="V109" s="30" t="n">
        <f aca="false">IF(AND(F109="Big4(국영)",K109="고정",N109="N",I109&lt;&gt;""),1,0)</f>
        <v>0</v>
      </c>
      <c r="W109" s="59" t="n">
        <f aca="false">IF(V109=1,I109*L109,0)</f>
        <v>0</v>
      </c>
      <c r="X109" s="60" t="n">
        <f aca="false">IF(AND(V109=1,ISNUMBER(R109)),I109*R109,0)</f>
        <v>0</v>
      </c>
      <c r="Y109" s="61" t="n">
        <f aca="false">IF(AND(S109=1,ISNUMBER(R109)),I109,0)</f>
        <v>0</v>
      </c>
      <c r="Z109" s="61" t="n">
        <f aca="false">IF(AND(V109=1,ISNUMBER(R109)),I109,0)</f>
        <v>0</v>
      </c>
    </row>
    <row r="110" customFormat="false" ht="15" hidden="false" customHeight="false" outlineLevel="0" collapsed="false">
      <c r="A110" s="47" t="s">
        <v>363</v>
      </c>
      <c r="B110" s="52" t="n">
        <v>44812</v>
      </c>
      <c r="C110" s="53" t="n">
        <f aca="false">DATE(YEAR(B110),MONTH(B110),1)</f>
        <v>44805</v>
      </c>
      <c r="D110" s="5" t="str">
        <f aca="false">YEAR(B110)&amp;"Q"&amp;ROUNDUP(MONTH(B110)/3,0)</f>
        <v>2022Q3</v>
      </c>
      <c r="E110" s="47" t="s">
        <v>215</v>
      </c>
      <c r="F110" s="54" t="s">
        <v>139</v>
      </c>
      <c r="G110" s="47" t="s">
        <v>368</v>
      </c>
      <c r="H110" s="47" t="s">
        <v>369</v>
      </c>
      <c r="I110" s="55" t="n">
        <v>750</v>
      </c>
      <c r="J110" s="56" t="n">
        <v>5</v>
      </c>
      <c r="K110" s="54" t="s">
        <v>153</v>
      </c>
      <c r="N110" s="47" t="s">
        <v>148</v>
      </c>
      <c r="O110" s="47"/>
      <c r="P110" s="47"/>
      <c r="Q110" s="48" t="n">
        <f aca="false">IF($J110="","",IFERROR(IF($J110&lt;=1,INDEX(VN_국채일별!$B$4:$B$1436,MATCH($B110,VN_국채일별!$A$4:$A$1436,1)),IF($J110&lt;=2,INDEX(VN_국채일별!$B$4:$B$1436,MATCH($B110,VN_국채일별!$A$4:$A$1436,1))+(INDEX(VN_국채일별!$C$4:$C$1436,MATCH($B110,VN_국채일별!$A$4:$A$1436,1))-INDEX(VN_국채일별!$B$4:$B$1436,MATCH($B110,VN_국채일별!$A$4:$A$1436,1)))*($J110-1),IF($J110&lt;=3,INDEX(VN_국채일별!$C$4:$C$1436,MATCH($B110,VN_국채일별!$A$4:$A$1436,1))+(INDEX(VN_국채일별!$D$4:$D$1436,MATCH($B110,VN_국채일별!$A$4:$A$1436,1))-INDEX(VN_국채일별!$C$4:$C$1436,MATCH($B110,VN_국채일별!$A$4:$A$1436,1)))*($J110-2),IF($J110&lt;=5,INDEX(VN_국채일별!$D$4:$D$1436,MATCH($B110,VN_국채일별!$A$4:$A$1436,1))+(INDEX(VN_국채일별!$E$4:$E$1436,MATCH($B110,VN_국채일별!$A$4:$A$1436,1))-INDEX(VN_국채일별!$D$4:$D$1436,MATCH($B110,VN_국채일별!$A$4:$A$1436,1)))*($J110-3)/2,IF($J110&lt;=7,INDEX(VN_국채일별!$E$4:$E$1436,MATCH($B110,VN_국채일별!$A$4:$A$1436,1))+(INDEX(VN_국채일별!$F$4:$F$1436,MATCH($B110,VN_국채일별!$A$4:$A$1436,1))-INDEX(VN_국채일별!$E$4:$E$1436,MATCH($B110,VN_국채일별!$A$4:$A$1436,1)))*($J110-5)/2,IF($J110&lt;=10,INDEX(VN_국채일별!$F$4:$F$1436,MATCH($B110,VN_국채일별!$A$4:$A$1436,1))+(INDEX(VN_국채일별!$G$4:$G$1436,MATCH($B110,VN_국채일별!$A$4:$A$1436,1))-INDEX(VN_국채일별!$F$4:$F$1436,MATCH($B110,VN_국채일별!$A$4:$A$1436,1)))*($J110-7)/3,INDEX(VN_국채일별!$G$4:$G$1436,MATCH($B110,VN_국채일별!$A$4:$A$1436,1)))))))),""))</f>
        <v>0.03352</v>
      </c>
      <c r="R110" s="58" t="str">
        <f aca="false">IF(OR(L110="",Q110=""),"",(L110-Q110)*10000)</f>
        <v/>
      </c>
      <c r="S110" s="30" t="n">
        <f aca="false">IF(AND(K110="고정",N110="N",J110&gt;=2,J110&lt;=4,I110&lt;&gt;""),1,0)</f>
        <v>0</v>
      </c>
      <c r="T110" s="59" t="n">
        <f aca="false">IF(S110=1,I110*L110,0)</f>
        <v>0</v>
      </c>
      <c r="U110" s="60" t="n">
        <f aca="false">IF(AND(S110=1,ISNUMBER(R110)),I110*R110,0)</f>
        <v>0</v>
      </c>
      <c r="V110" s="30" t="n">
        <f aca="false">IF(AND(F110="Big4(국영)",K110="고정",N110="N",I110&lt;&gt;""),1,0)</f>
        <v>0</v>
      </c>
      <c r="W110" s="59" t="n">
        <f aca="false">IF(V110=1,I110*L110,0)</f>
        <v>0</v>
      </c>
      <c r="X110" s="60" t="n">
        <f aca="false">IF(AND(V110=1,ISNUMBER(R110)),I110*R110,0)</f>
        <v>0</v>
      </c>
      <c r="Y110" s="61" t="n">
        <f aca="false">IF(AND(S110=1,ISNUMBER(R110)),I110,0)</f>
        <v>0</v>
      </c>
      <c r="Z110" s="61" t="n">
        <f aca="false">IF(AND(V110=1,ISNUMBER(R110)),I110,0)</f>
        <v>0</v>
      </c>
    </row>
    <row r="111" customFormat="false" ht="15" hidden="false" customHeight="false" outlineLevel="0" collapsed="false">
      <c r="A111" s="47" t="s">
        <v>363</v>
      </c>
      <c r="B111" s="52" t="n">
        <v>44812</v>
      </c>
      <c r="C111" s="53" t="n">
        <f aca="false">DATE(YEAR(B111),MONTH(B111),1)</f>
        <v>44805</v>
      </c>
      <c r="D111" s="5" t="str">
        <f aca="false">YEAR(B111)&amp;"Q"&amp;ROUNDUP(MONTH(B111)/3,0)</f>
        <v>2022Q3</v>
      </c>
      <c r="E111" s="62" t="s">
        <v>173</v>
      </c>
      <c r="F111" s="62" t="s">
        <v>156</v>
      </c>
      <c r="G111" s="47" t="s">
        <v>174</v>
      </c>
      <c r="H111" s="47" t="s">
        <v>370</v>
      </c>
      <c r="I111" s="55" t="n">
        <v>90</v>
      </c>
      <c r="J111" s="56" t="n">
        <v>10</v>
      </c>
      <c r="K111" s="54" t="s">
        <v>153</v>
      </c>
      <c r="N111" s="47" t="s">
        <v>143</v>
      </c>
      <c r="O111" s="47"/>
      <c r="P111" s="47"/>
      <c r="Q111" s="48" t="n">
        <f aca="false">IF($J111="","",IFERROR(IF($J111&lt;=1,INDEX(VN_국채일별!$B$4:$B$1436,MATCH($B111,VN_국채일별!$A$4:$A$1436,1)),IF($J111&lt;=2,INDEX(VN_국채일별!$B$4:$B$1436,MATCH($B111,VN_국채일별!$A$4:$A$1436,1))+(INDEX(VN_국채일별!$C$4:$C$1436,MATCH($B111,VN_국채일별!$A$4:$A$1436,1))-INDEX(VN_국채일별!$B$4:$B$1436,MATCH($B111,VN_국채일별!$A$4:$A$1436,1)))*($J111-1),IF($J111&lt;=3,INDEX(VN_국채일별!$C$4:$C$1436,MATCH($B111,VN_국채일별!$A$4:$A$1436,1))+(INDEX(VN_국채일별!$D$4:$D$1436,MATCH($B111,VN_국채일별!$A$4:$A$1436,1))-INDEX(VN_국채일별!$C$4:$C$1436,MATCH($B111,VN_국채일별!$A$4:$A$1436,1)))*($J111-2),IF($J111&lt;=5,INDEX(VN_국채일별!$D$4:$D$1436,MATCH($B111,VN_국채일별!$A$4:$A$1436,1))+(INDEX(VN_국채일별!$E$4:$E$1436,MATCH($B111,VN_국채일별!$A$4:$A$1436,1))-INDEX(VN_국채일별!$D$4:$D$1436,MATCH($B111,VN_국채일별!$A$4:$A$1436,1)))*($J111-3)/2,IF($J111&lt;=7,INDEX(VN_국채일별!$E$4:$E$1436,MATCH($B111,VN_국채일별!$A$4:$A$1436,1))+(INDEX(VN_국채일별!$F$4:$F$1436,MATCH($B111,VN_국채일별!$A$4:$A$1436,1))-INDEX(VN_국채일별!$E$4:$E$1436,MATCH($B111,VN_국채일별!$A$4:$A$1436,1)))*($J111-5)/2,IF($J111&lt;=10,INDEX(VN_국채일별!$F$4:$F$1436,MATCH($B111,VN_국채일별!$A$4:$A$1436,1))+(INDEX(VN_국채일별!$G$4:$G$1436,MATCH($B111,VN_국채일별!$A$4:$A$1436,1))-INDEX(VN_국채일별!$F$4:$F$1436,MATCH($B111,VN_국채일별!$A$4:$A$1436,1)))*($J111-7)/3,INDEX(VN_국채일별!$G$4:$G$1436,MATCH($B111,VN_국채일별!$A$4:$A$1436,1)))))))),""))</f>
        <v>0.03833</v>
      </c>
      <c r="R111" s="58" t="str">
        <f aca="false">IF(OR(L111="",Q111=""),"",(L111-Q111)*10000)</f>
        <v/>
      </c>
      <c r="S111" s="30" t="n">
        <f aca="false">IF(AND(K111="고정",N111="N",J111&gt;=2,J111&lt;=4,I111&lt;&gt;""),1,0)</f>
        <v>0</v>
      </c>
      <c r="T111" s="59" t="n">
        <f aca="false">IF(S111=1,I111*L111,0)</f>
        <v>0</v>
      </c>
      <c r="U111" s="60" t="n">
        <f aca="false">IF(AND(S111=1,ISNUMBER(R111)),I111*R111,0)</f>
        <v>0</v>
      </c>
      <c r="V111" s="30" t="n">
        <f aca="false">IF(AND(F111="Big4(국영)",K111="고정",N111="N",I111&lt;&gt;""),1,0)</f>
        <v>0</v>
      </c>
      <c r="W111" s="59" t="n">
        <f aca="false">IF(V111=1,I111*L111,0)</f>
        <v>0</v>
      </c>
      <c r="X111" s="60" t="n">
        <f aca="false">IF(AND(V111=1,ISNUMBER(R111)),I111*R111,0)</f>
        <v>0</v>
      </c>
      <c r="Y111" s="61" t="n">
        <f aca="false">IF(AND(S111=1,ISNUMBER(R111)),I111,0)</f>
        <v>0</v>
      </c>
      <c r="Z111" s="61" t="n">
        <f aca="false">IF(AND(V111=1,ISNUMBER(R111)),I111,0)</f>
        <v>0</v>
      </c>
    </row>
    <row r="112" customFormat="false" ht="15" hidden="false" customHeight="false" outlineLevel="0" collapsed="false">
      <c r="A112" s="47" t="s">
        <v>363</v>
      </c>
      <c r="B112" s="52" t="n">
        <v>44813</v>
      </c>
      <c r="C112" s="53" t="n">
        <f aca="false">DATE(YEAR(B112),MONTH(B112),1)</f>
        <v>44805</v>
      </c>
      <c r="D112" s="5" t="str">
        <f aca="false">YEAR(B112)&amp;"Q"&amp;ROUNDUP(MONTH(B112)/3,0)</f>
        <v>2022Q3</v>
      </c>
      <c r="E112" s="47" t="s">
        <v>181</v>
      </c>
      <c r="F112" s="54" t="s">
        <v>139</v>
      </c>
      <c r="G112" s="47" t="s">
        <v>182</v>
      </c>
      <c r="H112" s="47" t="s">
        <v>371</v>
      </c>
      <c r="I112" s="55" t="n">
        <v>300</v>
      </c>
      <c r="J112" s="56" t="n">
        <v>3</v>
      </c>
      <c r="K112" s="54" t="s">
        <v>153</v>
      </c>
      <c r="N112" s="47" t="s">
        <v>148</v>
      </c>
      <c r="O112" s="47"/>
      <c r="P112" s="47"/>
      <c r="Q112" s="48" t="n">
        <f aca="false">IF($J112="","",IFERROR(IF($J112&lt;=1,INDEX(VN_국채일별!$B$4:$B$1436,MATCH($B112,VN_국채일별!$A$4:$A$1436,1)),IF($J112&lt;=2,INDEX(VN_국채일별!$B$4:$B$1436,MATCH($B112,VN_국채일별!$A$4:$A$1436,1))+(INDEX(VN_국채일별!$C$4:$C$1436,MATCH($B112,VN_국채일별!$A$4:$A$1436,1))-INDEX(VN_국채일별!$B$4:$B$1436,MATCH($B112,VN_국채일별!$A$4:$A$1436,1)))*($J112-1),IF($J112&lt;=3,INDEX(VN_국채일별!$C$4:$C$1436,MATCH($B112,VN_국채일별!$A$4:$A$1436,1))+(INDEX(VN_국채일별!$D$4:$D$1436,MATCH($B112,VN_국채일별!$A$4:$A$1436,1))-INDEX(VN_국채일별!$C$4:$C$1436,MATCH($B112,VN_국채일별!$A$4:$A$1436,1)))*($J112-2),IF($J112&lt;=5,INDEX(VN_국채일별!$D$4:$D$1436,MATCH($B112,VN_국채일별!$A$4:$A$1436,1))+(INDEX(VN_국채일별!$E$4:$E$1436,MATCH($B112,VN_국채일별!$A$4:$A$1436,1))-INDEX(VN_국채일별!$D$4:$D$1436,MATCH($B112,VN_국채일별!$A$4:$A$1436,1)))*($J112-3)/2,IF($J112&lt;=7,INDEX(VN_국채일별!$E$4:$E$1436,MATCH($B112,VN_국채일별!$A$4:$A$1436,1))+(INDEX(VN_국채일별!$F$4:$F$1436,MATCH($B112,VN_국채일별!$A$4:$A$1436,1))-INDEX(VN_국채일별!$E$4:$E$1436,MATCH($B112,VN_국채일별!$A$4:$A$1436,1)))*($J112-5)/2,IF($J112&lt;=10,INDEX(VN_국채일별!$F$4:$F$1436,MATCH($B112,VN_국채일별!$A$4:$A$1436,1))+(INDEX(VN_국채일별!$G$4:$G$1436,MATCH($B112,VN_국채일별!$A$4:$A$1436,1))-INDEX(VN_국채일별!$F$4:$F$1436,MATCH($B112,VN_국채일별!$A$4:$A$1436,1)))*($J112-7)/3,INDEX(VN_국채일별!$G$4:$G$1436,MATCH($B112,VN_국채일별!$A$4:$A$1436,1)))))))),""))</f>
        <v>0.03235</v>
      </c>
      <c r="R112" s="58" t="str">
        <f aca="false">IF(OR(L112="",Q112=""),"",(L112-Q112)*10000)</f>
        <v/>
      </c>
      <c r="S112" s="30" t="n">
        <f aca="false">IF(AND(K112="고정",N112="N",J112&gt;=2,J112&lt;=4,I112&lt;&gt;""),1,0)</f>
        <v>0</v>
      </c>
      <c r="T112" s="59" t="n">
        <f aca="false">IF(S112=1,I112*L112,0)</f>
        <v>0</v>
      </c>
      <c r="U112" s="60" t="n">
        <f aca="false">IF(AND(S112=1,ISNUMBER(R112)),I112*R112,0)</f>
        <v>0</v>
      </c>
      <c r="V112" s="30" t="n">
        <f aca="false">IF(AND(F112="Big4(국영)",K112="고정",N112="N",I112&lt;&gt;""),1,0)</f>
        <v>0</v>
      </c>
      <c r="W112" s="59" t="n">
        <f aca="false">IF(V112=1,I112*L112,0)</f>
        <v>0</v>
      </c>
      <c r="X112" s="60" t="n">
        <f aca="false">IF(AND(V112=1,ISNUMBER(R112)),I112*R112,0)</f>
        <v>0</v>
      </c>
      <c r="Y112" s="61" t="n">
        <f aca="false">IF(AND(S112=1,ISNUMBER(R112)),I112,0)</f>
        <v>0</v>
      </c>
      <c r="Z112" s="61" t="n">
        <f aca="false">IF(AND(V112=1,ISNUMBER(R112)),I112,0)</f>
        <v>0</v>
      </c>
    </row>
    <row r="113" customFormat="false" ht="15" hidden="false" customHeight="false" outlineLevel="0" collapsed="false">
      <c r="A113" s="47" t="s">
        <v>363</v>
      </c>
      <c r="B113" s="52" t="n">
        <v>44813</v>
      </c>
      <c r="C113" s="53" t="n">
        <f aca="false">DATE(YEAR(B113),MONTH(B113),1)</f>
        <v>44805</v>
      </c>
      <c r="D113" s="5" t="str">
        <f aca="false">YEAR(B113)&amp;"Q"&amp;ROUNDUP(MONTH(B113)/3,0)</f>
        <v>2022Q3</v>
      </c>
      <c r="E113" s="62" t="s">
        <v>155</v>
      </c>
      <c r="F113" s="62" t="s">
        <v>156</v>
      </c>
      <c r="G113" s="47" t="s">
        <v>157</v>
      </c>
      <c r="H113" s="47" t="s">
        <v>372</v>
      </c>
      <c r="I113" s="55" t="n">
        <v>60</v>
      </c>
      <c r="J113" s="56" t="n">
        <v>15</v>
      </c>
      <c r="K113" s="54" t="s">
        <v>153</v>
      </c>
      <c r="N113" s="47" t="s">
        <v>143</v>
      </c>
      <c r="O113" s="47"/>
      <c r="P113" s="47"/>
      <c r="Q113" s="48" t="n">
        <f aca="false">IF($J113="","",IFERROR(IF($J113&lt;=1,INDEX(VN_국채일별!$B$4:$B$1436,MATCH($B113,VN_국채일별!$A$4:$A$1436,1)),IF($J113&lt;=2,INDEX(VN_국채일별!$B$4:$B$1436,MATCH($B113,VN_국채일별!$A$4:$A$1436,1))+(INDEX(VN_국채일별!$C$4:$C$1436,MATCH($B113,VN_국채일별!$A$4:$A$1436,1))-INDEX(VN_국채일별!$B$4:$B$1436,MATCH($B113,VN_국채일별!$A$4:$A$1436,1)))*($J113-1),IF($J113&lt;=3,INDEX(VN_국채일별!$C$4:$C$1436,MATCH($B113,VN_국채일별!$A$4:$A$1436,1))+(INDEX(VN_국채일별!$D$4:$D$1436,MATCH($B113,VN_국채일별!$A$4:$A$1436,1))-INDEX(VN_국채일별!$C$4:$C$1436,MATCH($B113,VN_국채일별!$A$4:$A$1436,1)))*($J113-2),IF($J113&lt;=5,INDEX(VN_국채일별!$D$4:$D$1436,MATCH($B113,VN_국채일별!$A$4:$A$1436,1))+(INDEX(VN_국채일별!$E$4:$E$1436,MATCH($B113,VN_국채일별!$A$4:$A$1436,1))-INDEX(VN_국채일별!$D$4:$D$1436,MATCH($B113,VN_국채일별!$A$4:$A$1436,1)))*($J113-3)/2,IF($J113&lt;=7,INDEX(VN_국채일별!$E$4:$E$1436,MATCH($B113,VN_국채일별!$A$4:$A$1436,1))+(INDEX(VN_국채일별!$F$4:$F$1436,MATCH($B113,VN_국채일별!$A$4:$A$1436,1))-INDEX(VN_국채일별!$E$4:$E$1436,MATCH($B113,VN_국채일별!$A$4:$A$1436,1)))*($J113-5)/2,IF($J113&lt;=10,INDEX(VN_국채일별!$F$4:$F$1436,MATCH($B113,VN_국채일별!$A$4:$A$1436,1))+(INDEX(VN_국채일별!$G$4:$G$1436,MATCH($B113,VN_국채일별!$A$4:$A$1436,1))-INDEX(VN_국채일별!$F$4:$F$1436,MATCH($B113,VN_국채일별!$A$4:$A$1436,1)))*($J113-7)/3,INDEX(VN_국채일별!$G$4:$G$1436,MATCH($B113,VN_국채일별!$A$4:$A$1436,1)))))))),""))</f>
        <v>0.03817</v>
      </c>
      <c r="R113" s="58" t="str">
        <f aca="false">IF(OR(L113="",Q113=""),"",(L113-Q113)*10000)</f>
        <v/>
      </c>
      <c r="S113" s="30" t="n">
        <f aca="false">IF(AND(K113="고정",N113="N",J113&gt;=2,J113&lt;=4,I113&lt;&gt;""),1,0)</f>
        <v>0</v>
      </c>
      <c r="T113" s="59" t="n">
        <f aca="false">IF(S113=1,I113*L113,0)</f>
        <v>0</v>
      </c>
      <c r="U113" s="60" t="n">
        <f aca="false">IF(AND(S113=1,ISNUMBER(R113)),I113*R113,0)</f>
        <v>0</v>
      </c>
      <c r="V113" s="30" t="n">
        <f aca="false">IF(AND(F113="Big4(국영)",K113="고정",N113="N",I113&lt;&gt;""),1,0)</f>
        <v>0</v>
      </c>
      <c r="W113" s="59" t="n">
        <f aca="false">IF(V113=1,I113*L113,0)</f>
        <v>0</v>
      </c>
      <c r="X113" s="60" t="n">
        <f aca="false">IF(AND(V113=1,ISNUMBER(R113)),I113*R113,0)</f>
        <v>0</v>
      </c>
      <c r="Y113" s="61" t="n">
        <f aca="false">IF(AND(S113=1,ISNUMBER(R113)),I113,0)</f>
        <v>0</v>
      </c>
      <c r="Z113" s="61" t="n">
        <f aca="false">IF(AND(V113=1,ISNUMBER(R113)),I113,0)</f>
        <v>0</v>
      </c>
    </row>
    <row r="114" customFormat="false" ht="15" hidden="false" customHeight="false" outlineLevel="0" collapsed="false">
      <c r="A114" s="47" t="s">
        <v>363</v>
      </c>
      <c r="B114" s="52" t="n">
        <v>44816</v>
      </c>
      <c r="C114" s="53" t="n">
        <f aca="false">DATE(YEAR(B114),MONTH(B114),1)</f>
        <v>44805</v>
      </c>
      <c r="D114" s="5" t="str">
        <f aca="false">YEAR(B114)&amp;"Q"&amp;ROUNDUP(MONTH(B114)/3,0)</f>
        <v>2022Q3</v>
      </c>
      <c r="E114" s="47" t="s">
        <v>166</v>
      </c>
      <c r="F114" s="54" t="s">
        <v>139</v>
      </c>
      <c r="G114" s="47" t="s">
        <v>227</v>
      </c>
      <c r="H114" s="47" t="s">
        <v>373</v>
      </c>
      <c r="I114" s="55" t="n">
        <v>300</v>
      </c>
      <c r="J114" s="56" t="n">
        <v>3</v>
      </c>
      <c r="K114" s="54" t="s">
        <v>153</v>
      </c>
      <c r="N114" s="47" t="s">
        <v>148</v>
      </c>
      <c r="O114" s="47"/>
      <c r="P114" s="47"/>
      <c r="Q114" s="48" t="n">
        <f aca="false">IF($J114="","",IFERROR(IF($J114&lt;=1,INDEX(VN_국채일별!$B$4:$B$1436,MATCH($B114,VN_국채일별!$A$4:$A$1436,1)),IF($J114&lt;=2,INDEX(VN_국채일별!$B$4:$B$1436,MATCH($B114,VN_국채일별!$A$4:$A$1436,1))+(INDEX(VN_국채일별!$C$4:$C$1436,MATCH($B114,VN_국채일별!$A$4:$A$1436,1))-INDEX(VN_국채일별!$B$4:$B$1436,MATCH($B114,VN_국채일별!$A$4:$A$1436,1)))*($J114-1),IF($J114&lt;=3,INDEX(VN_국채일별!$C$4:$C$1436,MATCH($B114,VN_국채일별!$A$4:$A$1436,1))+(INDEX(VN_국채일별!$D$4:$D$1436,MATCH($B114,VN_국채일별!$A$4:$A$1436,1))-INDEX(VN_국채일별!$C$4:$C$1436,MATCH($B114,VN_국채일별!$A$4:$A$1436,1)))*($J114-2),IF($J114&lt;=5,INDEX(VN_국채일별!$D$4:$D$1436,MATCH($B114,VN_국채일별!$A$4:$A$1436,1))+(INDEX(VN_국채일별!$E$4:$E$1436,MATCH($B114,VN_국채일별!$A$4:$A$1436,1))-INDEX(VN_국채일별!$D$4:$D$1436,MATCH($B114,VN_국채일별!$A$4:$A$1436,1)))*($J114-3)/2,IF($J114&lt;=7,INDEX(VN_국채일별!$E$4:$E$1436,MATCH($B114,VN_국채일별!$A$4:$A$1436,1))+(INDEX(VN_국채일별!$F$4:$F$1436,MATCH($B114,VN_국채일별!$A$4:$A$1436,1))-INDEX(VN_국채일별!$E$4:$E$1436,MATCH($B114,VN_국채일별!$A$4:$A$1436,1)))*($J114-5)/2,IF($J114&lt;=10,INDEX(VN_국채일별!$F$4:$F$1436,MATCH($B114,VN_국채일별!$A$4:$A$1436,1))+(INDEX(VN_국채일별!$G$4:$G$1436,MATCH($B114,VN_국채일별!$A$4:$A$1436,1))-INDEX(VN_국채일별!$F$4:$F$1436,MATCH($B114,VN_국채일별!$A$4:$A$1436,1)))*($J114-7)/3,INDEX(VN_국채일별!$G$4:$G$1436,MATCH($B114,VN_국채일별!$A$4:$A$1436,1)))))))),""))</f>
        <v>0.0322</v>
      </c>
      <c r="R114" s="58" t="str">
        <f aca="false">IF(OR(L114="",Q114=""),"",(L114-Q114)*10000)</f>
        <v/>
      </c>
      <c r="S114" s="30" t="n">
        <f aca="false">IF(AND(K114="고정",N114="N",J114&gt;=2,J114&lt;=4,I114&lt;&gt;""),1,0)</f>
        <v>0</v>
      </c>
      <c r="T114" s="59" t="n">
        <f aca="false">IF(S114=1,I114*L114,0)</f>
        <v>0</v>
      </c>
      <c r="U114" s="60" t="n">
        <f aca="false">IF(AND(S114=1,ISNUMBER(R114)),I114*R114,0)</f>
        <v>0</v>
      </c>
      <c r="V114" s="30" t="n">
        <f aca="false">IF(AND(F114="Big4(국영)",K114="고정",N114="N",I114&lt;&gt;""),1,0)</f>
        <v>0</v>
      </c>
      <c r="W114" s="59" t="n">
        <f aca="false">IF(V114=1,I114*L114,0)</f>
        <v>0</v>
      </c>
      <c r="X114" s="60" t="n">
        <f aca="false">IF(AND(V114=1,ISNUMBER(R114)),I114*R114,0)</f>
        <v>0</v>
      </c>
      <c r="Y114" s="61" t="n">
        <f aca="false">IF(AND(S114=1,ISNUMBER(R114)),I114,0)</f>
        <v>0</v>
      </c>
      <c r="Z114" s="61" t="n">
        <f aca="false">IF(AND(V114=1,ISNUMBER(R114)),I114,0)</f>
        <v>0</v>
      </c>
    </row>
    <row r="115" customFormat="false" ht="15" hidden="false" customHeight="false" outlineLevel="0" collapsed="false">
      <c r="A115" s="47" t="s">
        <v>363</v>
      </c>
      <c r="B115" s="52" t="n">
        <v>44819</v>
      </c>
      <c r="C115" s="53" t="n">
        <f aca="false">DATE(YEAR(B115),MONTH(B115),1)</f>
        <v>44805</v>
      </c>
      <c r="D115" s="5" t="str">
        <f aca="false">YEAR(B115)&amp;"Q"&amp;ROUNDUP(MONTH(B115)/3,0)</f>
        <v>2022Q3</v>
      </c>
      <c r="E115" s="47" t="s">
        <v>181</v>
      </c>
      <c r="F115" s="54" t="s">
        <v>139</v>
      </c>
      <c r="G115" s="47" t="s">
        <v>182</v>
      </c>
      <c r="H115" s="47" t="s">
        <v>374</v>
      </c>
      <c r="I115" s="55" t="n">
        <v>1000</v>
      </c>
      <c r="J115" s="56" t="n">
        <v>3</v>
      </c>
      <c r="K115" s="54" t="s">
        <v>153</v>
      </c>
      <c r="N115" s="47" t="s">
        <v>148</v>
      </c>
      <c r="O115" s="47"/>
      <c r="P115" s="47"/>
      <c r="Q115" s="48" t="n">
        <f aca="false">IF($J115="","",IFERROR(IF($J115&lt;=1,INDEX(VN_국채일별!$B$4:$B$1436,MATCH($B115,VN_국채일별!$A$4:$A$1436,1)),IF($J115&lt;=2,INDEX(VN_국채일별!$B$4:$B$1436,MATCH($B115,VN_국채일별!$A$4:$A$1436,1))+(INDEX(VN_국채일별!$C$4:$C$1436,MATCH($B115,VN_국채일별!$A$4:$A$1436,1))-INDEX(VN_국채일별!$B$4:$B$1436,MATCH($B115,VN_국채일별!$A$4:$A$1436,1)))*($J115-1),IF($J115&lt;=3,INDEX(VN_국채일별!$C$4:$C$1436,MATCH($B115,VN_국채일별!$A$4:$A$1436,1))+(INDEX(VN_국채일별!$D$4:$D$1436,MATCH($B115,VN_국채일별!$A$4:$A$1436,1))-INDEX(VN_국채일별!$C$4:$C$1436,MATCH($B115,VN_국채일별!$A$4:$A$1436,1)))*($J115-2),IF($J115&lt;=5,INDEX(VN_국채일별!$D$4:$D$1436,MATCH($B115,VN_국채일별!$A$4:$A$1436,1))+(INDEX(VN_국채일별!$E$4:$E$1436,MATCH($B115,VN_국채일별!$A$4:$A$1436,1))-INDEX(VN_국채일별!$D$4:$D$1436,MATCH($B115,VN_국채일별!$A$4:$A$1436,1)))*($J115-3)/2,IF($J115&lt;=7,INDEX(VN_국채일별!$E$4:$E$1436,MATCH($B115,VN_국채일별!$A$4:$A$1436,1))+(INDEX(VN_국채일별!$F$4:$F$1436,MATCH($B115,VN_국채일별!$A$4:$A$1436,1))-INDEX(VN_국채일별!$E$4:$E$1436,MATCH($B115,VN_국채일별!$A$4:$A$1436,1)))*($J115-5)/2,IF($J115&lt;=10,INDEX(VN_국채일별!$F$4:$F$1436,MATCH($B115,VN_국채일별!$A$4:$A$1436,1))+(INDEX(VN_국채일별!$G$4:$G$1436,MATCH($B115,VN_국채일별!$A$4:$A$1436,1))-INDEX(VN_국채일별!$F$4:$F$1436,MATCH($B115,VN_국채일별!$A$4:$A$1436,1)))*($J115-7)/3,INDEX(VN_국채일별!$G$4:$G$1436,MATCH($B115,VN_국채일별!$A$4:$A$1436,1)))))))),""))</f>
        <v>0.03242</v>
      </c>
      <c r="R115" s="58" t="str">
        <f aca="false">IF(OR(L115="",Q115=""),"",(L115-Q115)*10000)</f>
        <v/>
      </c>
      <c r="S115" s="30" t="n">
        <f aca="false">IF(AND(K115="고정",N115="N",J115&gt;=2,J115&lt;=4,I115&lt;&gt;""),1,0)</f>
        <v>0</v>
      </c>
      <c r="T115" s="59" t="n">
        <f aca="false">IF(S115=1,I115*L115,0)</f>
        <v>0</v>
      </c>
      <c r="U115" s="60" t="n">
        <f aca="false">IF(AND(S115=1,ISNUMBER(R115)),I115*R115,0)</f>
        <v>0</v>
      </c>
      <c r="V115" s="30" t="n">
        <f aca="false">IF(AND(F115="Big4(국영)",K115="고정",N115="N",I115&lt;&gt;""),1,0)</f>
        <v>0</v>
      </c>
      <c r="W115" s="59" t="n">
        <f aca="false">IF(V115=1,I115*L115,0)</f>
        <v>0</v>
      </c>
      <c r="X115" s="60" t="n">
        <f aca="false">IF(AND(V115=1,ISNUMBER(R115)),I115*R115,0)</f>
        <v>0</v>
      </c>
      <c r="Y115" s="61" t="n">
        <f aca="false">IF(AND(S115=1,ISNUMBER(R115)),I115,0)</f>
        <v>0</v>
      </c>
      <c r="Z115" s="61" t="n">
        <f aca="false">IF(AND(V115=1,ISNUMBER(R115)),I115,0)</f>
        <v>0</v>
      </c>
    </row>
    <row r="116" customFormat="false" ht="15" hidden="false" customHeight="false" outlineLevel="0" collapsed="false">
      <c r="A116" s="47" t="s">
        <v>363</v>
      </c>
      <c r="B116" s="52" t="n">
        <v>44819</v>
      </c>
      <c r="C116" s="53" t="n">
        <f aca="false">DATE(YEAR(B116),MONTH(B116),1)</f>
        <v>44805</v>
      </c>
      <c r="D116" s="5" t="str">
        <f aca="false">YEAR(B116)&amp;"Q"&amp;ROUNDUP(MONTH(B116)/3,0)</f>
        <v>2022Q3</v>
      </c>
      <c r="E116" s="47" t="s">
        <v>181</v>
      </c>
      <c r="F116" s="54" t="s">
        <v>139</v>
      </c>
      <c r="G116" s="47" t="s">
        <v>182</v>
      </c>
      <c r="H116" s="47" t="s">
        <v>375</v>
      </c>
      <c r="I116" s="55" t="n">
        <v>500</v>
      </c>
      <c r="J116" s="56" t="n">
        <v>3</v>
      </c>
      <c r="K116" s="54" t="s">
        <v>153</v>
      </c>
      <c r="N116" s="47" t="s">
        <v>148</v>
      </c>
      <c r="O116" s="47"/>
      <c r="P116" s="47"/>
      <c r="Q116" s="48" t="n">
        <f aca="false">IF($J116="","",IFERROR(IF($J116&lt;=1,INDEX(VN_국채일별!$B$4:$B$1436,MATCH($B116,VN_국채일별!$A$4:$A$1436,1)),IF($J116&lt;=2,INDEX(VN_국채일별!$B$4:$B$1436,MATCH($B116,VN_국채일별!$A$4:$A$1436,1))+(INDEX(VN_국채일별!$C$4:$C$1436,MATCH($B116,VN_국채일별!$A$4:$A$1436,1))-INDEX(VN_국채일별!$B$4:$B$1436,MATCH($B116,VN_국채일별!$A$4:$A$1436,1)))*($J116-1),IF($J116&lt;=3,INDEX(VN_국채일별!$C$4:$C$1436,MATCH($B116,VN_국채일별!$A$4:$A$1436,1))+(INDEX(VN_국채일별!$D$4:$D$1436,MATCH($B116,VN_국채일별!$A$4:$A$1436,1))-INDEX(VN_국채일별!$C$4:$C$1436,MATCH($B116,VN_국채일별!$A$4:$A$1436,1)))*($J116-2),IF($J116&lt;=5,INDEX(VN_국채일별!$D$4:$D$1436,MATCH($B116,VN_국채일별!$A$4:$A$1436,1))+(INDEX(VN_국채일별!$E$4:$E$1436,MATCH($B116,VN_국채일별!$A$4:$A$1436,1))-INDEX(VN_국채일별!$D$4:$D$1436,MATCH($B116,VN_국채일별!$A$4:$A$1436,1)))*($J116-3)/2,IF($J116&lt;=7,INDEX(VN_국채일별!$E$4:$E$1436,MATCH($B116,VN_국채일별!$A$4:$A$1436,1))+(INDEX(VN_국채일별!$F$4:$F$1436,MATCH($B116,VN_국채일별!$A$4:$A$1436,1))-INDEX(VN_국채일별!$E$4:$E$1436,MATCH($B116,VN_국채일별!$A$4:$A$1436,1)))*($J116-5)/2,IF($J116&lt;=10,INDEX(VN_국채일별!$F$4:$F$1436,MATCH($B116,VN_국채일별!$A$4:$A$1436,1))+(INDEX(VN_국채일별!$G$4:$G$1436,MATCH($B116,VN_국채일별!$A$4:$A$1436,1))-INDEX(VN_국채일별!$F$4:$F$1436,MATCH($B116,VN_국채일별!$A$4:$A$1436,1)))*($J116-7)/3,INDEX(VN_국채일별!$G$4:$G$1436,MATCH($B116,VN_국채일별!$A$4:$A$1436,1)))))))),""))</f>
        <v>0.03242</v>
      </c>
      <c r="R116" s="58" t="str">
        <f aca="false">IF(OR(L116="",Q116=""),"",(L116-Q116)*10000)</f>
        <v/>
      </c>
      <c r="S116" s="30" t="n">
        <f aca="false">IF(AND(K116="고정",N116="N",J116&gt;=2,J116&lt;=4,I116&lt;&gt;""),1,0)</f>
        <v>0</v>
      </c>
      <c r="T116" s="59" t="n">
        <f aca="false">IF(S116=1,I116*L116,0)</f>
        <v>0</v>
      </c>
      <c r="U116" s="60" t="n">
        <f aca="false">IF(AND(S116=1,ISNUMBER(R116)),I116*R116,0)</f>
        <v>0</v>
      </c>
      <c r="V116" s="30" t="n">
        <f aca="false">IF(AND(F116="Big4(국영)",K116="고정",N116="N",I116&lt;&gt;""),1,0)</f>
        <v>0</v>
      </c>
      <c r="W116" s="59" t="n">
        <f aca="false">IF(V116=1,I116*L116,0)</f>
        <v>0</v>
      </c>
      <c r="X116" s="60" t="n">
        <f aca="false">IF(AND(V116=1,ISNUMBER(R116)),I116*R116,0)</f>
        <v>0</v>
      </c>
      <c r="Y116" s="61" t="n">
        <f aca="false">IF(AND(S116=1,ISNUMBER(R116)),I116,0)</f>
        <v>0</v>
      </c>
      <c r="Z116" s="61" t="n">
        <f aca="false">IF(AND(V116=1,ISNUMBER(R116)),I116,0)</f>
        <v>0</v>
      </c>
    </row>
    <row r="117" customFormat="false" ht="15" hidden="false" customHeight="false" outlineLevel="0" collapsed="false">
      <c r="A117" s="47" t="s">
        <v>363</v>
      </c>
      <c r="B117" s="52" t="n">
        <v>44819</v>
      </c>
      <c r="C117" s="53" t="n">
        <f aca="false">DATE(YEAR(B117),MONTH(B117),1)</f>
        <v>44805</v>
      </c>
      <c r="D117" s="5" t="str">
        <f aca="false">YEAR(B117)&amp;"Q"&amp;ROUNDUP(MONTH(B117)/3,0)</f>
        <v>2022Q3</v>
      </c>
      <c r="E117" s="62" t="s">
        <v>155</v>
      </c>
      <c r="F117" s="62" t="s">
        <v>156</v>
      </c>
      <c r="G117" s="47" t="s">
        <v>157</v>
      </c>
      <c r="H117" s="47" t="s">
        <v>376</v>
      </c>
      <c r="I117" s="55" t="n">
        <v>500</v>
      </c>
      <c r="J117" s="56" t="n">
        <v>7</v>
      </c>
      <c r="K117" s="54" t="s">
        <v>153</v>
      </c>
      <c r="N117" s="47" t="s">
        <v>143</v>
      </c>
      <c r="O117" s="47"/>
      <c r="P117" s="47"/>
      <c r="Q117" s="48" t="n">
        <f aca="false">IF($J117="","",IFERROR(IF($J117&lt;=1,INDEX(VN_국채일별!$B$4:$B$1436,MATCH($B117,VN_국채일별!$A$4:$A$1436,1)),IF($J117&lt;=2,INDEX(VN_국채일별!$B$4:$B$1436,MATCH($B117,VN_국채일별!$A$4:$A$1436,1))+(INDEX(VN_국채일별!$C$4:$C$1436,MATCH($B117,VN_국채일별!$A$4:$A$1436,1))-INDEX(VN_국채일별!$B$4:$B$1436,MATCH($B117,VN_국채일별!$A$4:$A$1436,1)))*($J117-1),IF($J117&lt;=3,INDEX(VN_국채일별!$C$4:$C$1436,MATCH($B117,VN_국채일별!$A$4:$A$1436,1))+(INDEX(VN_국채일별!$D$4:$D$1436,MATCH($B117,VN_국채일별!$A$4:$A$1436,1))-INDEX(VN_국채일별!$C$4:$C$1436,MATCH($B117,VN_국채일별!$A$4:$A$1436,1)))*($J117-2),IF($J117&lt;=5,INDEX(VN_국채일별!$D$4:$D$1436,MATCH($B117,VN_국채일별!$A$4:$A$1436,1))+(INDEX(VN_국채일별!$E$4:$E$1436,MATCH($B117,VN_국채일별!$A$4:$A$1436,1))-INDEX(VN_국채일별!$D$4:$D$1436,MATCH($B117,VN_국채일별!$A$4:$A$1436,1)))*($J117-3)/2,IF($J117&lt;=7,INDEX(VN_국채일별!$E$4:$E$1436,MATCH($B117,VN_국채일별!$A$4:$A$1436,1))+(INDEX(VN_국채일별!$F$4:$F$1436,MATCH($B117,VN_국채일별!$A$4:$A$1436,1))-INDEX(VN_국채일별!$E$4:$E$1436,MATCH($B117,VN_국채일별!$A$4:$A$1436,1)))*($J117-5)/2,IF($J117&lt;=10,INDEX(VN_국채일별!$F$4:$F$1436,MATCH($B117,VN_국채일별!$A$4:$A$1436,1))+(INDEX(VN_국채일별!$G$4:$G$1436,MATCH($B117,VN_국채일별!$A$4:$A$1436,1))-INDEX(VN_국채일별!$F$4:$F$1436,MATCH($B117,VN_국채일별!$A$4:$A$1436,1)))*($J117-7)/3,INDEX(VN_국채일별!$G$4:$G$1436,MATCH($B117,VN_국채일별!$A$4:$A$1436,1)))))))),""))</f>
        <v>0.03754</v>
      </c>
      <c r="R117" s="58" t="str">
        <f aca="false">IF(OR(L117="",Q117=""),"",(L117-Q117)*10000)</f>
        <v/>
      </c>
      <c r="S117" s="30" t="n">
        <f aca="false">IF(AND(K117="고정",N117="N",J117&gt;=2,J117&lt;=4,I117&lt;&gt;""),1,0)</f>
        <v>0</v>
      </c>
      <c r="T117" s="59" t="n">
        <f aca="false">IF(S117=1,I117*L117,0)</f>
        <v>0</v>
      </c>
      <c r="U117" s="60" t="n">
        <f aca="false">IF(AND(S117=1,ISNUMBER(R117)),I117*R117,0)</f>
        <v>0</v>
      </c>
      <c r="V117" s="30" t="n">
        <f aca="false">IF(AND(F117="Big4(국영)",K117="고정",N117="N",I117&lt;&gt;""),1,0)</f>
        <v>0</v>
      </c>
      <c r="W117" s="59" t="n">
        <f aca="false">IF(V117=1,I117*L117,0)</f>
        <v>0</v>
      </c>
      <c r="X117" s="60" t="n">
        <f aca="false">IF(AND(V117=1,ISNUMBER(R117)),I117*R117,0)</f>
        <v>0</v>
      </c>
      <c r="Y117" s="61" t="n">
        <f aca="false">IF(AND(S117=1,ISNUMBER(R117)),I117,0)</f>
        <v>0</v>
      </c>
      <c r="Z117" s="61" t="n">
        <f aca="false">IF(AND(V117=1,ISNUMBER(R117)),I117,0)</f>
        <v>0</v>
      </c>
    </row>
    <row r="118" customFormat="false" ht="15" hidden="false" customHeight="false" outlineLevel="0" collapsed="false">
      <c r="A118" s="47" t="s">
        <v>363</v>
      </c>
      <c r="B118" s="52" t="n">
        <v>44819</v>
      </c>
      <c r="C118" s="53" t="n">
        <f aca="false">DATE(YEAR(B118),MONTH(B118),1)</f>
        <v>44805</v>
      </c>
      <c r="D118" s="5" t="str">
        <f aca="false">YEAR(B118)&amp;"Q"&amp;ROUNDUP(MONTH(B118)/3,0)</f>
        <v>2022Q3</v>
      </c>
      <c r="E118" s="62" t="s">
        <v>173</v>
      </c>
      <c r="F118" s="62" t="s">
        <v>156</v>
      </c>
      <c r="G118" s="47" t="s">
        <v>174</v>
      </c>
      <c r="H118" s="47" t="s">
        <v>377</v>
      </c>
      <c r="I118" s="55" t="n">
        <v>3000</v>
      </c>
      <c r="J118" s="56" t="n">
        <v>8</v>
      </c>
      <c r="K118" s="54" t="s">
        <v>153</v>
      </c>
      <c r="N118" s="47" t="s">
        <v>143</v>
      </c>
      <c r="O118" s="47" t="s">
        <v>378</v>
      </c>
      <c r="P118" s="47"/>
      <c r="Q118" s="48" t="n">
        <f aca="false">IF($J118="","",IFERROR(IF($J118&lt;=1,INDEX(VN_국채일별!$B$4:$B$1436,MATCH($B118,VN_국채일별!$A$4:$A$1436,1)),IF($J118&lt;=2,INDEX(VN_국채일별!$B$4:$B$1436,MATCH($B118,VN_국채일별!$A$4:$A$1436,1))+(INDEX(VN_국채일별!$C$4:$C$1436,MATCH($B118,VN_국채일별!$A$4:$A$1436,1))-INDEX(VN_국채일별!$B$4:$B$1436,MATCH($B118,VN_국채일별!$A$4:$A$1436,1)))*($J118-1),IF($J118&lt;=3,INDEX(VN_국채일별!$C$4:$C$1436,MATCH($B118,VN_국채일별!$A$4:$A$1436,1))+(INDEX(VN_국채일별!$D$4:$D$1436,MATCH($B118,VN_국채일별!$A$4:$A$1436,1))-INDEX(VN_국채일별!$C$4:$C$1436,MATCH($B118,VN_국채일별!$A$4:$A$1436,1)))*($J118-2),IF($J118&lt;=5,INDEX(VN_국채일별!$D$4:$D$1436,MATCH($B118,VN_국채일별!$A$4:$A$1436,1))+(INDEX(VN_국채일별!$E$4:$E$1436,MATCH($B118,VN_국채일별!$A$4:$A$1436,1))-INDEX(VN_국채일별!$D$4:$D$1436,MATCH($B118,VN_국채일별!$A$4:$A$1436,1)))*($J118-3)/2,IF($J118&lt;=7,INDEX(VN_국채일별!$E$4:$E$1436,MATCH($B118,VN_국채일별!$A$4:$A$1436,1))+(INDEX(VN_국채일별!$F$4:$F$1436,MATCH($B118,VN_국채일별!$A$4:$A$1436,1))-INDEX(VN_국채일별!$E$4:$E$1436,MATCH($B118,VN_국채일별!$A$4:$A$1436,1)))*($J118-5)/2,IF($J118&lt;=10,INDEX(VN_국채일별!$F$4:$F$1436,MATCH($B118,VN_국채일별!$A$4:$A$1436,1))+(INDEX(VN_국채일별!$G$4:$G$1436,MATCH($B118,VN_국채일별!$A$4:$A$1436,1))-INDEX(VN_국채일별!$F$4:$F$1436,MATCH($B118,VN_국채일별!$A$4:$A$1436,1)))*($J118-7)/3,INDEX(VN_국채일별!$G$4:$G$1436,MATCH($B118,VN_국채일별!$A$4:$A$1436,1)))))))),""))</f>
        <v>0.0379</v>
      </c>
      <c r="R118" s="58" t="str">
        <f aca="false">IF(OR(L118="",Q118=""),"",(L118-Q118)*10000)</f>
        <v/>
      </c>
      <c r="S118" s="30" t="n">
        <f aca="false">IF(AND(K118="고정",N118="N",J118&gt;=2,J118&lt;=4,I118&lt;&gt;""),1,0)</f>
        <v>0</v>
      </c>
      <c r="T118" s="59" t="n">
        <f aca="false">IF(S118=1,I118*L118,0)</f>
        <v>0</v>
      </c>
      <c r="U118" s="60" t="n">
        <f aca="false">IF(AND(S118=1,ISNUMBER(R118)),I118*R118,0)</f>
        <v>0</v>
      </c>
      <c r="V118" s="30" t="n">
        <f aca="false">IF(AND(F118="Big4(국영)",K118="고정",N118="N",I118&lt;&gt;""),1,0)</f>
        <v>0</v>
      </c>
      <c r="W118" s="59" t="n">
        <f aca="false">IF(V118=1,I118*L118,0)</f>
        <v>0</v>
      </c>
      <c r="X118" s="60" t="n">
        <f aca="false">IF(AND(V118=1,ISNUMBER(R118)),I118*R118,0)</f>
        <v>0</v>
      </c>
      <c r="Y118" s="61" t="n">
        <f aca="false">IF(AND(S118=1,ISNUMBER(R118)),I118,0)</f>
        <v>0</v>
      </c>
      <c r="Z118" s="61" t="n">
        <f aca="false">IF(AND(V118=1,ISNUMBER(R118)),I118,0)</f>
        <v>0</v>
      </c>
    </row>
    <row r="119" customFormat="false" ht="15" hidden="false" customHeight="false" outlineLevel="0" collapsed="false">
      <c r="A119" s="47" t="s">
        <v>363</v>
      </c>
      <c r="B119" s="52" t="n">
        <v>44820</v>
      </c>
      <c r="C119" s="53" t="n">
        <f aca="false">DATE(YEAR(B119),MONTH(B119),1)</f>
        <v>44805</v>
      </c>
      <c r="D119" s="5" t="str">
        <f aca="false">YEAR(B119)&amp;"Q"&amp;ROUNDUP(MONTH(B119)/3,0)</f>
        <v>2022Q3</v>
      </c>
      <c r="E119" s="62" t="s">
        <v>285</v>
      </c>
      <c r="F119" s="62" t="s">
        <v>156</v>
      </c>
      <c r="G119" s="47" t="s">
        <v>348</v>
      </c>
      <c r="H119" s="47" t="s">
        <v>379</v>
      </c>
      <c r="I119" s="55" t="n">
        <v>435</v>
      </c>
      <c r="J119" s="56" t="n">
        <v>10</v>
      </c>
      <c r="K119" s="54" t="s">
        <v>153</v>
      </c>
      <c r="N119" s="47" t="s">
        <v>143</v>
      </c>
      <c r="O119" s="47"/>
      <c r="P119" s="47"/>
      <c r="Q119" s="48" t="n">
        <f aca="false">IF($J119="","",IFERROR(IF($J119&lt;=1,INDEX(VN_국채일별!$B$4:$B$1436,MATCH($B119,VN_국채일별!$A$4:$A$1436,1)),IF($J119&lt;=2,INDEX(VN_국채일별!$B$4:$B$1436,MATCH($B119,VN_국채일별!$A$4:$A$1436,1))+(INDEX(VN_국채일별!$C$4:$C$1436,MATCH($B119,VN_국채일별!$A$4:$A$1436,1))-INDEX(VN_국채일별!$B$4:$B$1436,MATCH($B119,VN_국채일별!$A$4:$A$1436,1)))*($J119-1),IF($J119&lt;=3,INDEX(VN_국채일별!$C$4:$C$1436,MATCH($B119,VN_국채일별!$A$4:$A$1436,1))+(INDEX(VN_국채일별!$D$4:$D$1436,MATCH($B119,VN_국채일별!$A$4:$A$1436,1))-INDEX(VN_국채일별!$C$4:$C$1436,MATCH($B119,VN_국채일별!$A$4:$A$1436,1)))*($J119-2),IF($J119&lt;=5,INDEX(VN_국채일별!$D$4:$D$1436,MATCH($B119,VN_국채일별!$A$4:$A$1436,1))+(INDEX(VN_국채일별!$E$4:$E$1436,MATCH($B119,VN_국채일별!$A$4:$A$1436,1))-INDEX(VN_국채일별!$D$4:$D$1436,MATCH($B119,VN_국채일별!$A$4:$A$1436,1)))*($J119-3)/2,IF($J119&lt;=7,INDEX(VN_국채일별!$E$4:$E$1436,MATCH($B119,VN_국채일별!$A$4:$A$1436,1))+(INDEX(VN_국채일별!$F$4:$F$1436,MATCH($B119,VN_국채일별!$A$4:$A$1436,1))-INDEX(VN_국채일별!$E$4:$E$1436,MATCH($B119,VN_국채일별!$A$4:$A$1436,1)))*($J119-5)/2,IF($J119&lt;=10,INDEX(VN_국채일별!$F$4:$F$1436,MATCH($B119,VN_국채일별!$A$4:$A$1436,1))+(INDEX(VN_국채일별!$G$4:$G$1436,MATCH($B119,VN_국채일별!$A$4:$A$1436,1))-INDEX(VN_국채일별!$F$4:$F$1436,MATCH($B119,VN_국채일별!$A$4:$A$1436,1)))*($J119-7)/3,INDEX(VN_국채일별!$G$4:$G$1436,MATCH($B119,VN_국채일별!$A$4:$A$1436,1)))))))),""))</f>
        <v>0.039</v>
      </c>
      <c r="R119" s="58" t="str">
        <f aca="false">IF(OR(L119="",Q119=""),"",(L119-Q119)*10000)</f>
        <v/>
      </c>
      <c r="S119" s="30" t="n">
        <f aca="false">IF(AND(K119="고정",N119="N",J119&gt;=2,J119&lt;=4,I119&lt;&gt;""),1,0)</f>
        <v>0</v>
      </c>
      <c r="T119" s="59" t="n">
        <f aca="false">IF(S119=1,I119*L119,0)</f>
        <v>0</v>
      </c>
      <c r="U119" s="60" t="n">
        <f aca="false">IF(AND(S119=1,ISNUMBER(R119)),I119*R119,0)</f>
        <v>0</v>
      </c>
      <c r="V119" s="30" t="n">
        <f aca="false">IF(AND(F119="Big4(국영)",K119="고정",N119="N",I119&lt;&gt;""),1,0)</f>
        <v>0</v>
      </c>
      <c r="W119" s="59" t="n">
        <f aca="false">IF(V119=1,I119*L119,0)</f>
        <v>0</v>
      </c>
      <c r="X119" s="60" t="n">
        <f aca="false">IF(AND(V119=1,ISNUMBER(R119)),I119*R119,0)</f>
        <v>0</v>
      </c>
      <c r="Y119" s="61" t="n">
        <f aca="false">IF(AND(S119=1,ISNUMBER(R119)),I119,0)</f>
        <v>0</v>
      </c>
      <c r="Z119" s="61" t="n">
        <f aca="false">IF(AND(V119=1,ISNUMBER(R119)),I119,0)</f>
        <v>0</v>
      </c>
    </row>
    <row r="120" customFormat="false" ht="15" hidden="false" customHeight="false" outlineLevel="0" collapsed="false">
      <c r="A120" s="47" t="s">
        <v>363</v>
      </c>
      <c r="B120" s="52" t="n">
        <v>44820</v>
      </c>
      <c r="C120" s="53" t="n">
        <f aca="false">DATE(YEAR(B120),MONTH(B120),1)</f>
        <v>44805</v>
      </c>
      <c r="D120" s="5" t="str">
        <f aca="false">YEAR(B120)&amp;"Q"&amp;ROUNDUP(MONTH(B120)/3,0)</f>
        <v>2022Q3</v>
      </c>
      <c r="E120" s="62" t="s">
        <v>285</v>
      </c>
      <c r="F120" s="62" t="s">
        <v>156</v>
      </c>
      <c r="G120" s="47" t="s">
        <v>348</v>
      </c>
      <c r="H120" s="47" t="s">
        <v>380</v>
      </c>
      <c r="I120" s="55" t="n">
        <v>53</v>
      </c>
      <c r="J120" s="56" t="n">
        <v>6</v>
      </c>
      <c r="K120" s="54" t="s">
        <v>153</v>
      </c>
      <c r="N120" s="47" t="s">
        <v>148</v>
      </c>
      <c r="O120" s="47"/>
      <c r="P120" s="47"/>
      <c r="Q120" s="48" t="n">
        <f aca="false">IF($J120="","",IFERROR(IF($J120&lt;=1,INDEX(VN_국채일별!$B$4:$B$1436,MATCH($B120,VN_국채일별!$A$4:$A$1436,1)),IF($J120&lt;=2,INDEX(VN_국채일별!$B$4:$B$1436,MATCH($B120,VN_국채일별!$A$4:$A$1436,1))+(INDEX(VN_국채일별!$C$4:$C$1436,MATCH($B120,VN_국채일별!$A$4:$A$1436,1))-INDEX(VN_국채일별!$B$4:$B$1436,MATCH($B120,VN_국채일별!$A$4:$A$1436,1)))*($J120-1),IF($J120&lt;=3,INDEX(VN_국채일별!$C$4:$C$1436,MATCH($B120,VN_국채일별!$A$4:$A$1436,1))+(INDEX(VN_국채일별!$D$4:$D$1436,MATCH($B120,VN_국채일별!$A$4:$A$1436,1))-INDEX(VN_국채일별!$C$4:$C$1436,MATCH($B120,VN_국채일별!$A$4:$A$1436,1)))*($J120-2),IF($J120&lt;=5,INDEX(VN_국채일별!$D$4:$D$1436,MATCH($B120,VN_국채일별!$A$4:$A$1436,1))+(INDEX(VN_국채일별!$E$4:$E$1436,MATCH($B120,VN_국채일별!$A$4:$A$1436,1))-INDEX(VN_국채일별!$D$4:$D$1436,MATCH($B120,VN_국채일별!$A$4:$A$1436,1)))*($J120-3)/2,IF($J120&lt;=7,INDEX(VN_국채일별!$E$4:$E$1436,MATCH($B120,VN_국채일별!$A$4:$A$1436,1))+(INDEX(VN_국채일별!$F$4:$F$1436,MATCH($B120,VN_국채일별!$A$4:$A$1436,1))-INDEX(VN_국채일별!$E$4:$E$1436,MATCH($B120,VN_국채일별!$A$4:$A$1436,1)))*($J120-5)/2,IF($J120&lt;=10,INDEX(VN_국채일별!$F$4:$F$1436,MATCH($B120,VN_국채일별!$A$4:$A$1436,1))+(INDEX(VN_국채일별!$G$4:$G$1436,MATCH($B120,VN_국채일별!$A$4:$A$1436,1))-INDEX(VN_국채일별!$F$4:$F$1436,MATCH($B120,VN_국채일별!$A$4:$A$1436,1)))*($J120-7)/3,INDEX(VN_국채일별!$G$4:$G$1436,MATCH($B120,VN_국채일별!$A$4:$A$1436,1)))))))),""))</f>
        <v>0.036065</v>
      </c>
      <c r="R120" s="58" t="str">
        <f aca="false">IF(OR(L120="",Q120=""),"",(L120-Q120)*10000)</f>
        <v/>
      </c>
      <c r="S120" s="30" t="n">
        <f aca="false">IF(AND(K120="고정",N120="N",J120&gt;=2,J120&lt;=4,I120&lt;&gt;""),1,0)</f>
        <v>0</v>
      </c>
      <c r="T120" s="59" t="n">
        <f aca="false">IF(S120=1,I120*L120,0)</f>
        <v>0</v>
      </c>
      <c r="U120" s="60" t="n">
        <f aca="false">IF(AND(S120=1,ISNUMBER(R120)),I120*R120,0)</f>
        <v>0</v>
      </c>
      <c r="V120" s="30" t="n">
        <f aca="false">IF(AND(F120="Big4(국영)",K120="고정",N120="N",I120&lt;&gt;""),1,0)</f>
        <v>0</v>
      </c>
      <c r="W120" s="59" t="n">
        <f aca="false">IF(V120=1,I120*L120,0)</f>
        <v>0</v>
      </c>
      <c r="X120" s="60" t="n">
        <f aca="false">IF(AND(V120=1,ISNUMBER(R120)),I120*R120,0)</f>
        <v>0</v>
      </c>
      <c r="Y120" s="61" t="n">
        <f aca="false">IF(AND(S120=1,ISNUMBER(R120)),I120,0)</f>
        <v>0</v>
      </c>
      <c r="Z120" s="61" t="n">
        <f aca="false">IF(AND(V120=1,ISNUMBER(R120)),I120,0)</f>
        <v>0</v>
      </c>
    </row>
    <row r="121" customFormat="false" ht="15" hidden="false" customHeight="false" outlineLevel="0" collapsed="false">
      <c r="A121" s="47" t="s">
        <v>363</v>
      </c>
      <c r="B121" s="52" t="n">
        <v>44820</v>
      </c>
      <c r="C121" s="53" t="n">
        <f aca="false">DATE(YEAR(B121),MONTH(B121),1)</f>
        <v>44805</v>
      </c>
      <c r="D121" s="5" t="str">
        <f aca="false">YEAR(B121)&amp;"Q"&amp;ROUNDUP(MONTH(B121)/3,0)</f>
        <v>2022Q3</v>
      </c>
      <c r="E121" s="47" t="s">
        <v>160</v>
      </c>
      <c r="F121" s="54" t="s">
        <v>139</v>
      </c>
      <c r="G121" s="47" t="s">
        <v>161</v>
      </c>
      <c r="H121" s="47" t="s">
        <v>381</v>
      </c>
      <c r="I121" s="55" t="n">
        <v>100</v>
      </c>
      <c r="J121" s="56" t="n">
        <v>7</v>
      </c>
      <c r="K121" s="54" t="s">
        <v>153</v>
      </c>
      <c r="N121" s="47" t="s">
        <v>143</v>
      </c>
      <c r="O121" s="47"/>
      <c r="P121" s="47"/>
      <c r="Q121" s="48" t="n">
        <f aca="false">IF($J121="","",IFERROR(IF($J121&lt;=1,INDEX(VN_국채일별!$B$4:$B$1436,MATCH($B121,VN_국채일별!$A$4:$A$1436,1)),IF($J121&lt;=2,INDEX(VN_국채일별!$B$4:$B$1436,MATCH($B121,VN_국채일별!$A$4:$A$1436,1))+(INDEX(VN_국채일별!$C$4:$C$1436,MATCH($B121,VN_국채일별!$A$4:$A$1436,1))-INDEX(VN_국채일별!$B$4:$B$1436,MATCH($B121,VN_국채일별!$A$4:$A$1436,1)))*($J121-1),IF($J121&lt;=3,INDEX(VN_국채일별!$C$4:$C$1436,MATCH($B121,VN_국채일별!$A$4:$A$1436,1))+(INDEX(VN_국채일별!$D$4:$D$1436,MATCH($B121,VN_국채일별!$A$4:$A$1436,1))-INDEX(VN_국채일별!$C$4:$C$1436,MATCH($B121,VN_국채일별!$A$4:$A$1436,1)))*($J121-2),IF($J121&lt;=5,INDEX(VN_국채일별!$D$4:$D$1436,MATCH($B121,VN_국채일별!$A$4:$A$1436,1))+(INDEX(VN_국채일별!$E$4:$E$1436,MATCH($B121,VN_국채일별!$A$4:$A$1436,1))-INDEX(VN_국채일별!$D$4:$D$1436,MATCH($B121,VN_국채일별!$A$4:$A$1436,1)))*($J121-3)/2,IF($J121&lt;=7,INDEX(VN_국채일별!$E$4:$E$1436,MATCH($B121,VN_국채일별!$A$4:$A$1436,1))+(INDEX(VN_국채일별!$F$4:$F$1436,MATCH($B121,VN_국채일별!$A$4:$A$1436,1))-INDEX(VN_국채일별!$E$4:$E$1436,MATCH($B121,VN_국채일별!$A$4:$A$1436,1)))*($J121-5)/2,IF($J121&lt;=10,INDEX(VN_국채일별!$F$4:$F$1436,MATCH($B121,VN_국채일별!$A$4:$A$1436,1))+(INDEX(VN_국채일별!$G$4:$G$1436,MATCH($B121,VN_국채일별!$A$4:$A$1436,1))-INDEX(VN_국채일별!$F$4:$F$1436,MATCH($B121,VN_국채일별!$A$4:$A$1436,1)))*($J121-7)/3,INDEX(VN_국채일별!$G$4:$G$1436,MATCH($B121,VN_국채일별!$A$4:$A$1436,1)))))))),""))</f>
        <v>0.03787</v>
      </c>
      <c r="R121" s="58" t="str">
        <f aca="false">IF(OR(L121="",Q121=""),"",(L121-Q121)*10000)</f>
        <v/>
      </c>
      <c r="S121" s="30" t="n">
        <f aca="false">IF(AND(K121="고정",N121="N",J121&gt;=2,J121&lt;=4,I121&lt;&gt;""),1,0)</f>
        <v>0</v>
      </c>
      <c r="T121" s="59" t="n">
        <f aca="false">IF(S121=1,I121*L121,0)</f>
        <v>0</v>
      </c>
      <c r="U121" s="60" t="n">
        <f aca="false">IF(AND(S121=1,ISNUMBER(R121)),I121*R121,0)</f>
        <v>0</v>
      </c>
      <c r="V121" s="30" t="n">
        <f aca="false">IF(AND(F121="Big4(국영)",K121="고정",N121="N",I121&lt;&gt;""),1,0)</f>
        <v>0</v>
      </c>
      <c r="W121" s="59" t="n">
        <f aca="false">IF(V121=1,I121*L121,0)</f>
        <v>0</v>
      </c>
      <c r="X121" s="60" t="n">
        <f aca="false">IF(AND(V121=1,ISNUMBER(R121)),I121*R121,0)</f>
        <v>0</v>
      </c>
      <c r="Y121" s="61" t="n">
        <f aca="false">IF(AND(S121=1,ISNUMBER(R121)),I121,0)</f>
        <v>0</v>
      </c>
      <c r="Z121" s="61" t="n">
        <f aca="false">IF(AND(V121=1,ISNUMBER(R121)),I121,0)</f>
        <v>0</v>
      </c>
    </row>
    <row r="122" customFormat="false" ht="15" hidden="false" customHeight="false" outlineLevel="0" collapsed="false">
      <c r="A122" s="47" t="s">
        <v>382</v>
      </c>
      <c r="B122" s="52" t="n">
        <v>44904</v>
      </c>
      <c r="C122" s="53" t="n">
        <f aca="false">DATE(YEAR(B122),MONTH(B122),1)</f>
        <v>44896</v>
      </c>
      <c r="D122" s="5" t="str">
        <f aca="false">YEAR(B122)&amp;"Q"&amp;ROUNDUP(MONTH(B122)/3,0)</f>
        <v>2022Q4</v>
      </c>
      <c r="E122" s="62" t="s">
        <v>155</v>
      </c>
      <c r="F122" s="62" t="s">
        <v>156</v>
      </c>
      <c r="G122" s="47" t="s">
        <v>157</v>
      </c>
      <c r="H122" s="47" t="s">
        <v>383</v>
      </c>
      <c r="I122" s="55" t="n">
        <v>200</v>
      </c>
      <c r="J122" s="56" t="n">
        <v>20</v>
      </c>
      <c r="K122" s="54" t="s">
        <v>142</v>
      </c>
      <c r="L122" s="57" t="n">
        <v>0.085</v>
      </c>
      <c r="N122" s="47" t="s">
        <v>143</v>
      </c>
      <c r="O122" s="47" t="s">
        <v>384</v>
      </c>
      <c r="P122" s="47"/>
      <c r="Q122" s="48" t="n">
        <f aca="false">IF($J122="","",IFERROR(IF($J122&lt;=1,INDEX(VN_국채일별!$B$4:$B$1436,MATCH($B122,VN_국채일별!$A$4:$A$1436,1)),IF($J122&lt;=2,INDEX(VN_국채일별!$B$4:$B$1436,MATCH($B122,VN_국채일별!$A$4:$A$1436,1))+(INDEX(VN_국채일별!$C$4:$C$1436,MATCH($B122,VN_국채일별!$A$4:$A$1436,1))-INDEX(VN_국채일별!$B$4:$B$1436,MATCH($B122,VN_국채일별!$A$4:$A$1436,1)))*($J122-1),IF($J122&lt;=3,INDEX(VN_국채일별!$C$4:$C$1436,MATCH($B122,VN_국채일별!$A$4:$A$1436,1))+(INDEX(VN_국채일별!$D$4:$D$1436,MATCH($B122,VN_국채일별!$A$4:$A$1436,1))-INDEX(VN_국채일별!$C$4:$C$1436,MATCH($B122,VN_국채일별!$A$4:$A$1436,1)))*($J122-2),IF($J122&lt;=5,INDEX(VN_국채일별!$D$4:$D$1436,MATCH($B122,VN_국채일별!$A$4:$A$1436,1))+(INDEX(VN_국채일별!$E$4:$E$1436,MATCH($B122,VN_국채일별!$A$4:$A$1436,1))-INDEX(VN_국채일별!$D$4:$D$1436,MATCH($B122,VN_국채일별!$A$4:$A$1436,1)))*($J122-3)/2,IF($J122&lt;=7,INDEX(VN_국채일별!$E$4:$E$1436,MATCH($B122,VN_국채일별!$A$4:$A$1436,1))+(INDEX(VN_국채일별!$F$4:$F$1436,MATCH($B122,VN_국채일별!$A$4:$A$1436,1))-INDEX(VN_국채일별!$E$4:$E$1436,MATCH($B122,VN_국채일별!$A$4:$A$1436,1)))*($J122-5)/2,IF($J122&lt;=10,INDEX(VN_국채일별!$F$4:$F$1436,MATCH($B122,VN_국채일별!$A$4:$A$1436,1))+(INDEX(VN_국채일별!$G$4:$G$1436,MATCH($B122,VN_국채일별!$A$4:$A$1436,1))-INDEX(VN_국채일별!$F$4:$F$1436,MATCH($B122,VN_국채일별!$A$4:$A$1436,1)))*($J122-7)/3,INDEX(VN_국채일별!$G$4:$G$1436,MATCH($B122,VN_국채일별!$A$4:$A$1436,1)))))))),""))</f>
        <v>0.05143</v>
      </c>
      <c r="R122" s="58" t="n">
        <f aca="false">IF(OR(L122="",Q122=""),"",(L122-Q122)*10000)</f>
        <v>335.7</v>
      </c>
      <c r="S122" s="30" t="n">
        <f aca="false">IF(AND(K122="고정",N122="N",J122&gt;=2,J122&lt;=4,I122&lt;&gt;""),1,0)</f>
        <v>0</v>
      </c>
      <c r="T122" s="59" t="n">
        <f aca="false">IF(S122=1,I122*L122,0)</f>
        <v>0</v>
      </c>
      <c r="U122" s="60" t="n">
        <f aca="false">IF(AND(S122=1,ISNUMBER(R122)),I122*R122,0)</f>
        <v>0</v>
      </c>
      <c r="V122" s="30" t="n">
        <f aca="false">IF(AND(F122="Big4(국영)",K122="고정",N122="N",I122&lt;&gt;""),1,0)</f>
        <v>0</v>
      </c>
      <c r="W122" s="59" t="n">
        <f aca="false">IF(V122=1,I122*L122,0)</f>
        <v>0</v>
      </c>
      <c r="X122" s="60" t="n">
        <f aca="false">IF(AND(V122=1,ISNUMBER(R122)),I122*R122,0)</f>
        <v>0</v>
      </c>
      <c r="Y122" s="61" t="n">
        <f aca="false">IF(AND(S122=1,ISNUMBER(R122)),I122,0)</f>
        <v>0</v>
      </c>
      <c r="Z122" s="61" t="n">
        <f aca="false">IF(AND(V122=1,ISNUMBER(R122)),I122,0)</f>
        <v>0</v>
      </c>
    </row>
    <row r="123" customFormat="false" ht="15" hidden="false" customHeight="false" outlineLevel="0" collapsed="false">
      <c r="A123" s="47" t="s">
        <v>382</v>
      </c>
      <c r="B123" s="52" t="n">
        <v>44925</v>
      </c>
      <c r="C123" s="53" t="n">
        <f aca="false">DATE(YEAR(B123),MONTH(B123),1)</f>
        <v>44896</v>
      </c>
      <c r="D123" s="5" t="str">
        <f aca="false">YEAR(B123)&amp;"Q"&amp;ROUNDUP(MONTH(B123)/3,0)</f>
        <v>2022Q4</v>
      </c>
      <c r="E123" s="47" t="s">
        <v>160</v>
      </c>
      <c r="F123" s="54" t="s">
        <v>139</v>
      </c>
      <c r="G123" s="47" t="s">
        <v>385</v>
      </c>
      <c r="H123" s="47" t="s">
        <v>386</v>
      </c>
      <c r="I123" s="55" t="n">
        <v>200</v>
      </c>
      <c r="J123" s="56" t="n">
        <v>7</v>
      </c>
      <c r="K123" s="54" t="s">
        <v>142</v>
      </c>
      <c r="L123" s="57" t="n">
        <v>0.088</v>
      </c>
      <c r="N123" s="47" t="s">
        <v>143</v>
      </c>
      <c r="O123" s="47" t="s">
        <v>387</v>
      </c>
      <c r="P123" s="47"/>
      <c r="Q123" s="48" t="n">
        <f aca="false">IF($J123="","",IFERROR(IF($J123&lt;=1,INDEX(VN_국채일별!$B$4:$B$1436,MATCH($B123,VN_국채일별!$A$4:$A$1436,1)),IF($J123&lt;=2,INDEX(VN_국채일별!$B$4:$B$1436,MATCH($B123,VN_국채일별!$A$4:$A$1436,1))+(INDEX(VN_국채일별!$C$4:$C$1436,MATCH($B123,VN_국채일별!$A$4:$A$1436,1))-INDEX(VN_국채일별!$B$4:$B$1436,MATCH($B123,VN_국채일별!$A$4:$A$1436,1)))*($J123-1),IF($J123&lt;=3,INDEX(VN_국채일별!$C$4:$C$1436,MATCH($B123,VN_국채일별!$A$4:$A$1436,1))+(INDEX(VN_국채일별!$D$4:$D$1436,MATCH($B123,VN_국채일별!$A$4:$A$1436,1))-INDEX(VN_국채일별!$C$4:$C$1436,MATCH($B123,VN_국채일별!$A$4:$A$1436,1)))*($J123-2),IF($J123&lt;=5,INDEX(VN_국채일별!$D$4:$D$1436,MATCH($B123,VN_국채일별!$A$4:$A$1436,1))+(INDEX(VN_국채일별!$E$4:$E$1436,MATCH($B123,VN_국채일별!$A$4:$A$1436,1))-INDEX(VN_국채일별!$D$4:$D$1436,MATCH($B123,VN_국채일별!$A$4:$A$1436,1)))*($J123-3)/2,IF($J123&lt;=7,INDEX(VN_국채일별!$E$4:$E$1436,MATCH($B123,VN_국채일별!$A$4:$A$1436,1))+(INDEX(VN_국채일별!$F$4:$F$1436,MATCH($B123,VN_국채일별!$A$4:$A$1436,1))-INDEX(VN_국채일별!$E$4:$E$1436,MATCH($B123,VN_국채일별!$A$4:$A$1436,1)))*($J123-5)/2,IF($J123&lt;=10,INDEX(VN_국채일별!$F$4:$F$1436,MATCH($B123,VN_국채일별!$A$4:$A$1436,1))+(INDEX(VN_국채일별!$G$4:$G$1436,MATCH($B123,VN_국채일별!$A$4:$A$1436,1))-INDEX(VN_국채일별!$F$4:$F$1436,MATCH($B123,VN_국채일별!$A$4:$A$1436,1)))*($J123-7)/3,INDEX(VN_국채일별!$G$4:$G$1436,MATCH($B123,VN_국채일별!$A$4:$A$1436,1)))))))),""))</f>
        <v>0.04986</v>
      </c>
      <c r="R123" s="58" t="n">
        <f aca="false">IF(OR(L123="",Q123=""),"",(L123-Q123)*10000)</f>
        <v>381.4</v>
      </c>
      <c r="S123" s="30" t="n">
        <f aca="false">IF(AND(K123="고정",N123="N",J123&gt;=2,J123&lt;=4,I123&lt;&gt;""),1,0)</f>
        <v>0</v>
      </c>
      <c r="T123" s="59" t="n">
        <f aca="false">IF(S123=1,I123*L123,0)</f>
        <v>0</v>
      </c>
      <c r="U123" s="60" t="n">
        <f aca="false">IF(AND(S123=1,ISNUMBER(R123)),I123*R123,0)</f>
        <v>0</v>
      </c>
      <c r="V123" s="30" t="n">
        <f aca="false">IF(AND(F123="Big4(국영)",K123="고정",N123="N",I123&lt;&gt;""),1,0)</f>
        <v>0</v>
      </c>
      <c r="W123" s="59" t="n">
        <f aca="false">IF(V123=1,I123*L123,0)</f>
        <v>0</v>
      </c>
      <c r="X123" s="60" t="n">
        <f aca="false">IF(AND(V123=1,ISNUMBER(R123)),I123*R123,0)</f>
        <v>0</v>
      </c>
      <c r="Y123" s="61" t="n">
        <f aca="false">IF(AND(S123=1,ISNUMBER(R123)),I123,0)</f>
        <v>0</v>
      </c>
      <c r="Z123" s="61" t="n">
        <f aca="false">IF(AND(V123=1,ISNUMBER(R123)),I123,0)</f>
        <v>0</v>
      </c>
    </row>
    <row r="124" customFormat="false" ht="15" hidden="false" customHeight="false" outlineLevel="0" collapsed="false">
      <c r="A124" s="47" t="s">
        <v>388</v>
      </c>
      <c r="B124" s="52" t="n">
        <v>45100</v>
      </c>
      <c r="C124" s="53" t="n">
        <f aca="false">DATE(YEAR(B124),MONTH(B124),1)</f>
        <v>45078</v>
      </c>
      <c r="D124" s="5" t="str">
        <f aca="false">YEAR(B124)&amp;"Q"&amp;ROUNDUP(MONTH(B124)/3,0)</f>
        <v>2023Q2</v>
      </c>
      <c r="E124" s="62" t="s">
        <v>155</v>
      </c>
      <c r="F124" s="62" t="s">
        <v>156</v>
      </c>
      <c r="G124" s="47" t="s">
        <v>157</v>
      </c>
      <c r="H124" s="47" t="s">
        <v>389</v>
      </c>
      <c r="I124" s="55" t="n">
        <v>490</v>
      </c>
      <c r="J124" s="56" t="n">
        <v>6</v>
      </c>
      <c r="K124" s="54" t="s">
        <v>153</v>
      </c>
      <c r="N124" s="47" t="s">
        <v>143</v>
      </c>
      <c r="O124" s="47" t="s">
        <v>390</v>
      </c>
      <c r="P124" s="47"/>
      <c r="Q124" s="48" t="n">
        <f aca="false">IF($J124="","",IFERROR(IF($J124&lt;=1,INDEX(VN_국채일별!$B$4:$B$1436,MATCH($B124,VN_국채일별!$A$4:$A$1436,1)),IF($J124&lt;=2,INDEX(VN_국채일별!$B$4:$B$1436,MATCH($B124,VN_국채일별!$A$4:$A$1436,1))+(INDEX(VN_국채일별!$C$4:$C$1436,MATCH($B124,VN_국채일별!$A$4:$A$1436,1))-INDEX(VN_국채일별!$B$4:$B$1436,MATCH($B124,VN_국채일별!$A$4:$A$1436,1)))*($J124-1),IF($J124&lt;=3,INDEX(VN_국채일별!$C$4:$C$1436,MATCH($B124,VN_국채일별!$A$4:$A$1436,1))+(INDEX(VN_국채일별!$D$4:$D$1436,MATCH($B124,VN_국채일별!$A$4:$A$1436,1))-INDEX(VN_국채일별!$C$4:$C$1436,MATCH($B124,VN_국채일별!$A$4:$A$1436,1)))*($J124-2),IF($J124&lt;=5,INDEX(VN_국채일별!$D$4:$D$1436,MATCH($B124,VN_국채일별!$A$4:$A$1436,1))+(INDEX(VN_국채일별!$E$4:$E$1436,MATCH($B124,VN_국채일별!$A$4:$A$1436,1))-INDEX(VN_국채일별!$D$4:$D$1436,MATCH($B124,VN_국채일별!$A$4:$A$1436,1)))*($J124-3)/2,IF($J124&lt;=7,INDEX(VN_국채일별!$E$4:$E$1436,MATCH($B124,VN_국채일별!$A$4:$A$1436,1))+(INDEX(VN_국채일별!$F$4:$F$1436,MATCH($B124,VN_국채일별!$A$4:$A$1436,1))-INDEX(VN_국채일별!$E$4:$E$1436,MATCH($B124,VN_국채일별!$A$4:$A$1436,1)))*($J124-5)/2,IF($J124&lt;=10,INDEX(VN_국채일별!$F$4:$F$1436,MATCH($B124,VN_국채일별!$A$4:$A$1436,1))+(INDEX(VN_국채일별!$G$4:$G$1436,MATCH($B124,VN_국채일별!$A$4:$A$1436,1))-INDEX(VN_국채일별!$F$4:$F$1436,MATCH($B124,VN_국채일별!$A$4:$A$1436,1)))*($J124-7)/3,INDEX(VN_국채일별!$G$4:$G$1436,MATCH($B124,VN_국채일별!$A$4:$A$1436,1)))))))),""))</f>
        <v>0.023375</v>
      </c>
      <c r="R124" s="58" t="str">
        <f aca="false">IF(OR(L124="",Q124=""),"",(L124-Q124)*10000)</f>
        <v/>
      </c>
      <c r="S124" s="30" t="n">
        <f aca="false">IF(AND(K124="고정",N124="N",J124&gt;=2,J124&lt;=4,I124&lt;&gt;""),1,0)</f>
        <v>0</v>
      </c>
      <c r="T124" s="59" t="n">
        <f aca="false">IF(S124=1,I124*L124,0)</f>
        <v>0</v>
      </c>
      <c r="U124" s="60" t="n">
        <f aca="false">IF(AND(S124=1,ISNUMBER(R124)),I124*R124,0)</f>
        <v>0</v>
      </c>
      <c r="V124" s="30" t="n">
        <f aca="false">IF(AND(F124="Big4(국영)",K124="고정",N124="N",I124&lt;&gt;""),1,0)</f>
        <v>0</v>
      </c>
      <c r="W124" s="59" t="n">
        <f aca="false">IF(V124=1,I124*L124,0)</f>
        <v>0</v>
      </c>
      <c r="X124" s="60" t="n">
        <f aca="false">IF(AND(V124=1,ISNUMBER(R124)),I124*R124,0)</f>
        <v>0</v>
      </c>
      <c r="Y124" s="61" t="n">
        <f aca="false">IF(AND(S124=1,ISNUMBER(R124)),I124,0)</f>
        <v>0</v>
      </c>
      <c r="Z124" s="61" t="n">
        <f aca="false">IF(AND(V124=1,ISNUMBER(R124)),I124,0)</f>
        <v>0</v>
      </c>
    </row>
    <row r="125" customFormat="false" ht="15" hidden="false" customHeight="false" outlineLevel="0" collapsed="false">
      <c r="A125" s="47" t="s">
        <v>388</v>
      </c>
      <c r="B125" s="52" t="n">
        <v>45103</v>
      </c>
      <c r="C125" s="53" t="n">
        <f aca="false">DATE(YEAR(B125),MONTH(B125),1)</f>
        <v>45078</v>
      </c>
      <c r="D125" s="5" t="str">
        <f aca="false">YEAR(B125)&amp;"Q"&amp;ROUNDUP(MONTH(B125)/3,0)</f>
        <v>2023Q2</v>
      </c>
      <c r="E125" s="47" t="s">
        <v>215</v>
      </c>
      <c r="F125" s="54" t="s">
        <v>139</v>
      </c>
      <c r="G125" s="47" t="s">
        <v>391</v>
      </c>
      <c r="H125" s="47" t="s">
        <v>392</v>
      </c>
      <c r="I125" s="55" t="n">
        <v>400</v>
      </c>
      <c r="J125" s="56" t="n">
        <v>6</v>
      </c>
      <c r="K125" s="54" t="s">
        <v>153</v>
      </c>
      <c r="N125" s="47" t="s">
        <v>148</v>
      </c>
      <c r="O125" s="47" t="s">
        <v>393</v>
      </c>
      <c r="P125" s="47"/>
      <c r="Q125" s="48" t="n">
        <f aca="false">IF($J125="","",IFERROR(IF($J125&lt;=1,INDEX(VN_국채일별!$B$4:$B$1436,MATCH($B125,VN_국채일별!$A$4:$A$1436,1)),IF($J125&lt;=2,INDEX(VN_국채일별!$B$4:$B$1436,MATCH($B125,VN_국채일별!$A$4:$A$1436,1))+(INDEX(VN_국채일별!$C$4:$C$1436,MATCH($B125,VN_국채일별!$A$4:$A$1436,1))-INDEX(VN_국채일별!$B$4:$B$1436,MATCH($B125,VN_국채일별!$A$4:$A$1436,1)))*($J125-1),IF($J125&lt;=3,INDEX(VN_국채일별!$C$4:$C$1436,MATCH($B125,VN_국채일별!$A$4:$A$1436,1))+(INDEX(VN_국채일별!$D$4:$D$1436,MATCH($B125,VN_국채일별!$A$4:$A$1436,1))-INDEX(VN_국채일별!$C$4:$C$1436,MATCH($B125,VN_국채일별!$A$4:$A$1436,1)))*($J125-2),IF($J125&lt;=5,INDEX(VN_국채일별!$D$4:$D$1436,MATCH($B125,VN_국채일별!$A$4:$A$1436,1))+(INDEX(VN_국채일별!$E$4:$E$1436,MATCH($B125,VN_국채일별!$A$4:$A$1436,1))-INDEX(VN_국채일별!$D$4:$D$1436,MATCH($B125,VN_국채일별!$A$4:$A$1436,1)))*($J125-3)/2,IF($J125&lt;=7,INDEX(VN_국채일별!$E$4:$E$1436,MATCH($B125,VN_국채일별!$A$4:$A$1436,1))+(INDEX(VN_국채일별!$F$4:$F$1436,MATCH($B125,VN_국채일별!$A$4:$A$1436,1))-INDEX(VN_국채일별!$E$4:$E$1436,MATCH($B125,VN_국채일별!$A$4:$A$1436,1)))*($J125-5)/2,IF($J125&lt;=10,INDEX(VN_국채일별!$F$4:$F$1436,MATCH($B125,VN_국채일별!$A$4:$A$1436,1))+(INDEX(VN_국채일별!$G$4:$G$1436,MATCH($B125,VN_국채일별!$A$4:$A$1436,1))-INDEX(VN_국채일별!$F$4:$F$1436,MATCH($B125,VN_국채일별!$A$4:$A$1436,1)))*($J125-7)/3,INDEX(VN_국채일별!$G$4:$G$1436,MATCH($B125,VN_국채일별!$A$4:$A$1436,1)))))))),""))</f>
        <v>0.02336</v>
      </c>
      <c r="R125" s="58" t="str">
        <f aca="false">IF(OR(L125="",Q125=""),"",(L125-Q125)*10000)</f>
        <v/>
      </c>
      <c r="S125" s="30" t="n">
        <f aca="false">IF(AND(K125="고정",N125="N",J125&gt;=2,J125&lt;=4,I125&lt;&gt;""),1,0)</f>
        <v>0</v>
      </c>
      <c r="T125" s="59" t="n">
        <f aca="false">IF(S125=1,I125*L125,0)</f>
        <v>0</v>
      </c>
      <c r="U125" s="60" t="n">
        <f aca="false">IF(AND(S125=1,ISNUMBER(R125)),I125*R125,0)</f>
        <v>0</v>
      </c>
      <c r="V125" s="30" t="n">
        <f aca="false">IF(AND(F125="Big4(국영)",K125="고정",N125="N",I125&lt;&gt;""),1,0)</f>
        <v>0</v>
      </c>
      <c r="W125" s="59" t="n">
        <f aca="false">IF(V125=1,I125*L125,0)</f>
        <v>0</v>
      </c>
      <c r="X125" s="60" t="n">
        <f aca="false">IF(AND(V125=1,ISNUMBER(R125)),I125*R125,0)</f>
        <v>0</v>
      </c>
      <c r="Y125" s="61" t="n">
        <f aca="false">IF(AND(S125=1,ISNUMBER(R125)),I125,0)</f>
        <v>0</v>
      </c>
      <c r="Z125" s="61" t="n">
        <f aca="false">IF(AND(V125=1,ISNUMBER(R125)),I125,0)</f>
        <v>0</v>
      </c>
    </row>
    <row r="126" customFormat="false" ht="15" hidden="false" customHeight="false" outlineLevel="0" collapsed="false">
      <c r="A126" s="47" t="s">
        <v>388</v>
      </c>
      <c r="B126" s="52" t="n">
        <v>45103</v>
      </c>
      <c r="C126" s="53" t="n">
        <f aca="false">DATE(YEAR(B126),MONTH(B126),1)</f>
        <v>45078</v>
      </c>
      <c r="D126" s="5" t="str">
        <f aca="false">YEAR(B126)&amp;"Q"&amp;ROUNDUP(MONTH(B126)/3,0)</f>
        <v>2023Q2</v>
      </c>
      <c r="E126" s="47" t="s">
        <v>181</v>
      </c>
      <c r="F126" s="54" t="s">
        <v>139</v>
      </c>
      <c r="G126" s="47" t="s">
        <v>182</v>
      </c>
      <c r="H126" s="47" t="s">
        <v>394</v>
      </c>
      <c r="I126" s="55" t="n">
        <v>200</v>
      </c>
      <c r="J126" s="56" t="n">
        <v>5</v>
      </c>
      <c r="K126" s="54" t="s">
        <v>153</v>
      </c>
      <c r="M126" s="57" t="n">
        <v>0.081</v>
      </c>
      <c r="N126" s="47" t="s">
        <v>148</v>
      </c>
      <c r="O126" s="47" t="s">
        <v>395</v>
      </c>
      <c r="P126" s="47"/>
      <c r="Q126" s="48" t="n">
        <f aca="false">IF($J126="","",IFERROR(IF($J126&lt;=1,INDEX(VN_국채일별!$B$4:$B$1436,MATCH($B126,VN_국채일별!$A$4:$A$1436,1)),IF($J126&lt;=2,INDEX(VN_국채일별!$B$4:$B$1436,MATCH($B126,VN_국채일별!$A$4:$A$1436,1))+(INDEX(VN_국채일별!$C$4:$C$1436,MATCH($B126,VN_국채일별!$A$4:$A$1436,1))-INDEX(VN_국채일별!$B$4:$B$1436,MATCH($B126,VN_국채일별!$A$4:$A$1436,1)))*($J126-1),IF($J126&lt;=3,INDEX(VN_국채일별!$C$4:$C$1436,MATCH($B126,VN_국채일별!$A$4:$A$1436,1))+(INDEX(VN_국채일별!$D$4:$D$1436,MATCH($B126,VN_국채일별!$A$4:$A$1436,1))-INDEX(VN_국채일별!$C$4:$C$1436,MATCH($B126,VN_국채일별!$A$4:$A$1436,1)))*($J126-2),IF($J126&lt;=5,INDEX(VN_국채일별!$D$4:$D$1436,MATCH($B126,VN_국채일별!$A$4:$A$1436,1))+(INDEX(VN_국채일별!$E$4:$E$1436,MATCH($B126,VN_국채일별!$A$4:$A$1436,1))-INDEX(VN_국채일별!$D$4:$D$1436,MATCH($B126,VN_국채일별!$A$4:$A$1436,1)))*($J126-3)/2,IF($J126&lt;=7,INDEX(VN_국채일별!$E$4:$E$1436,MATCH($B126,VN_국채일별!$A$4:$A$1436,1))+(INDEX(VN_국채일별!$F$4:$F$1436,MATCH($B126,VN_국채일별!$A$4:$A$1436,1))-INDEX(VN_국채일별!$E$4:$E$1436,MATCH($B126,VN_국채일별!$A$4:$A$1436,1)))*($J126-5)/2,IF($J126&lt;=10,INDEX(VN_국채일별!$F$4:$F$1436,MATCH($B126,VN_국채일별!$A$4:$A$1436,1))+(INDEX(VN_국채일별!$G$4:$G$1436,MATCH($B126,VN_국채일별!$A$4:$A$1436,1))-INDEX(VN_국채일별!$F$4:$F$1436,MATCH($B126,VN_국채일별!$A$4:$A$1436,1)))*($J126-7)/3,INDEX(VN_국채일별!$G$4:$G$1436,MATCH($B126,VN_국채일별!$A$4:$A$1436,1)))))))),""))</f>
        <v>0.02307</v>
      </c>
      <c r="R126" s="58" t="str">
        <f aca="false">IF(OR(L126="",Q126=""),"",(L126-Q126)*10000)</f>
        <v/>
      </c>
      <c r="S126" s="30" t="n">
        <f aca="false">IF(AND(K126="고정",N126="N",J126&gt;=2,J126&lt;=4,I126&lt;&gt;""),1,0)</f>
        <v>0</v>
      </c>
      <c r="T126" s="59" t="n">
        <f aca="false">IF(S126=1,I126*L126,0)</f>
        <v>0</v>
      </c>
      <c r="U126" s="60" t="n">
        <f aca="false">IF(AND(S126=1,ISNUMBER(R126)),I126*R126,0)</f>
        <v>0</v>
      </c>
      <c r="V126" s="30" t="n">
        <f aca="false">IF(AND(F126="Big4(국영)",K126="고정",N126="N",I126&lt;&gt;""),1,0)</f>
        <v>0</v>
      </c>
      <c r="W126" s="59" t="n">
        <f aca="false">IF(V126=1,I126*L126,0)</f>
        <v>0</v>
      </c>
      <c r="X126" s="60" t="n">
        <f aca="false">IF(AND(V126=1,ISNUMBER(R126)),I126*R126,0)</f>
        <v>0</v>
      </c>
      <c r="Y126" s="61" t="n">
        <f aca="false">IF(AND(S126=1,ISNUMBER(R126)),I126,0)</f>
        <v>0</v>
      </c>
      <c r="Z126" s="61" t="n">
        <f aca="false">IF(AND(V126=1,ISNUMBER(R126)),I126,0)</f>
        <v>0</v>
      </c>
    </row>
    <row r="127" customFormat="false" ht="15" hidden="false" customHeight="false" outlineLevel="0" collapsed="false">
      <c r="A127" s="47" t="s">
        <v>388</v>
      </c>
      <c r="B127" s="52" t="n">
        <v>45104</v>
      </c>
      <c r="C127" s="53" t="n">
        <f aca="false">DATE(YEAR(B127),MONTH(B127),1)</f>
        <v>45078</v>
      </c>
      <c r="D127" s="5" t="str">
        <f aca="false">YEAR(B127)&amp;"Q"&amp;ROUNDUP(MONTH(B127)/3,0)</f>
        <v>2023Q2</v>
      </c>
      <c r="E127" s="47" t="s">
        <v>181</v>
      </c>
      <c r="F127" s="54" t="s">
        <v>139</v>
      </c>
      <c r="G127" s="47" t="s">
        <v>182</v>
      </c>
      <c r="H127" s="47" t="s">
        <v>396</v>
      </c>
      <c r="I127" s="55" t="n">
        <v>1300</v>
      </c>
      <c r="J127" s="56" t="n">
        <v>2</v>
      </c>
      <c r="K127" s="54" t="s">
        <v>142</v>
      </c>
      <c r="L127" s="57" t="n">
        <v>0.073</v>
      </c>
      <c r="N127" s="47" t="s">
        <v>148</v>
      </c>
      <c r="O127" s="47" t="s">
        <v>397</v>
      </c>
      <c r="P127" s="47"/>
      <c r="Q127" s="48" t="n">
        <f aca="false">IF($J127="","",IFERROR(IF($J127&lt;=1,INDEX(VN_국채일별!$B$4:$B$1436,MATCH($B127,VN_국채일별!$A$4:$A$1436,1)),IF($J127&lt;=2,INDEX(VN_국채일별!$B$4:$B$1436,MATCH($B127,VN_국채일별!$A$4:$A$1436,1))+(INDEX(VN_국채일별!$C$4:$C$1436,MATCH($B127,VN_국채일별!$A$4:$A$1436,1))-INDEX(VN_국채일별!$B$4:$B$1436,MATCH($B127,VN_국채일별!$A$4:$A$1436,1)))*($J127-1),IF($J127&lt;=3,INDEX(VN_국채일별!$C$4:$C$1436,MATCH($B127,VN_국채일별!$A$4:$A$1436,1))+(INDEX(VN_국채일별!$D$4:$D$1436,MATCH($B127,VN_국채일별!$A$4:$A$1436,1))-INDEX(VN_국채일별!$C$4:$C$1436,MATCH($B127,VN_국채일별!$A$4:$A$1436,1)))*($J127-2),IF($J127&lt;=5,INDEX(VN_국채일별!$D$4:$D$1436,MATCH($B127,VN_국채일별!$A$4:$A$1436,1))+(INDEX(VN_국채일별!$E$4:$E$1436,MATCH($B127,VN_국채일별!$A$4:$A$1436,1))-INDEX(VN_국채일별!$D$4:$D$1436,MATCH($B127,VN_국채일별!$A$4:$A$1436,1)))*($J127-3)/2,IF($J127&lt;=7,INDEX(VN_국채일별!$E$4:$E$1436,MATCH($B127,VN_국채일별!$A$4:$A$1436,1))+(INDEX(VN_국채일별!$F$4:$F$1436,MATCH($B127,VN_국채일별!$A$4:$A$1436,1))-INDEX(VN_국채일별!$E$4:$E$1436,MATCH($B127,VN_국채일별!$A$4:$A$1436,1)))*($J127-5)/2,IF($J127&lt;=10,INDEX(VN_국채일별!$F$4:$F$1436,MATCH($B127,VN_국채일별!$A$4:$A$1436,1))+(INDEX(VN_국채일별!$G$4:$G$1436,MATCH($B127,VN_국채일별!$A$4:$A$1436,1))-INDEX(VN_국채일별!$F$4:$F$1436,MATCH($B127,VN_국채일별!$A$4:$A$1436,1)))*($J127-7)/3,INDEX(VN_국채일별!$G$4:$G$1436,MATCH($B127,VN_국채일별!$A$4:$A$1436,1)))))))),""))</f>
        <v>0.02286</v>
      </c>
      <c r="R127" s="58" t="n">
        <f aca="false">IF(OR(L127="",Q127=""),"",(L127-Q127)*10000)</f>
        <v>501.4</v>
      </c>
      <c r="S127" s="30" t="n">
        <f aca="false">IF(AND(K127="고정",N127="N",J127&gt;=2,J127&lt;=4,I127&lt;&gt;""),1,0)</f>
        <v>1</v>
      </c>
      <c r="T127" s="59" t="n">
        <f aca="false">IF(S127=1,I127*L127,0)</f>
        <v>94.9</v>
      </c>
      <c r="U127" s="60" t="n">
        <f aca="false">IF(AND(S127=1,ISNUMBER(R127)),I127*R127,0)</f>
        <v>651820</v>
      </c>
      <c r="V127" s="30" t="n">
        <f aca="false">IF(AND(F127="Big4(국영)",K127="고정",N127="N",I127&lt;&gt;""),1,0)</f>
        <v>0</v>
      </c>
      <c r="W127" s="59" t="n">
        <f aca="false">IF(V127=1,I127*L127,0)</f>
        <v>0</v>
      </c>
      <c r="X127" s="60" t="n">
        <f aca="false">IF(AND(V127=1,ISNUMBER(R127)),I127*R127,0)</f>
        <v>0</v>
      </c>
      <c r="Y127" s="61" t="n">
        <f aca="false">IF(AND(S127=1,ISNUMBER(R127)),I127,0)</f>
        <v>1300</v>
      </c>
      <c r="Z127" s="61" t="n">
        <f aca="false">IF(AND(V127=1,ISNUMBER(R127)),I127,0)</f>
        <v>0</v>
      </c>
    </row>
    <row r="128" customFormat="false" ht="15" hidden="false" customHeight="false" outlineLevel="0" collapsed="false">
      <c r="A128" s="47" t="s">
        <v>388</v>
      </c>
      <c r="B128" s="52" t="n">
        <v>45106</v>
      </c>
      <c r="C128" s="53" t="n">
        <f aca="false">DATE(YEAR(B128),MONTH(B128),1)</f>
        <v>45078</v>
      </c>
      <c r="D128" s="5" t="str">
        <f aca="false">YEAR(B128)&amp;"Q"&amp;ROUNDUP(MONTH(B128)/3,0)</f>
        <v>2023Q2</v>
      </c>
      <c r="E128" s="47" t="s">
        <v>181</v>
      </c>
      <c r="F128" s="54" t="s">
        <v>139</v>
      </c>
      <c r="G128" s="47" t="s">
        <v>182</v>
      </c>
      <c r="H128" s="47" t="s">
        <v>398</v>
      </c>
      <c r="I128" s="55" t="n">
        <v>500</v>
      </c>
      <c r="J128" s="56" t="n">
        <v>3</v>
      </c>
      <c r="K128" s="54" t="s">
        <v>142</v>
      </c>
      <c r="L128" s="57" t="n">
        <v>0.077</v>
      </c>
      <c r="N128" s="47" t="s">
        <v>148</v>
      </c>
      <c r="O128" s="47" t="s">
        <v>399</v>
      </c>
      <c r="P128" s="47"/>
      <c r="Q128" s="48" t="n">
        <f aca="false">IF($J128="","",IFERROR(IF($J128&lt;=1,INDEX(VN_국채일별!$B$4:$B$1436,MATCH($B128,VN_국채일별!$A$4:$A$1436,1)),IF($J128&lt;=2,INDEX(VN_국채일별!$B$4:$B$1436,MATCH($B128,VN_국채일별!$A$4:$A$1436,1))+(INDEX(VN_국채일별!$C$4:$C$1436,MATCH($B128,VN_국채일별!$A$4:$A$1436,1))-INDEX(VN_국채일별!$B$4:$B$1436,MATCH($B128,VN_국채일별!$A$4:$A$1436,1)))*($J128-1),IF($J128&lt;=3,INDEX(VN_국채일별!$C$4:$C$1436,MATCH($B128,VN_국채일별!$A$4:$A$1436,1))+(INDEX(VN_국채일별!$D$4:$D$1436,MATCH($B128,VN_국채일별!$A$4:$A$1436,1))-INDEX(VN_국채일별!$C$4:$C$1436,MATCH($B128,VN_국채일별!$A$4:$A$1436,1)))*($J128-2),IF($J128&lt;=5,INDEX(VN_국채일별!$D$4:$D$1436,MATCH($B128,VN_국채일별!$A$4:$A$1436,1))+(INDEX(VN_국채일별!$E$4:$E$1436,MATCH($B128,VN_국채일별!$A$4:$A$1436,1))-INDEX(VN_국채일별!$D$4:$D$1436,MATCH($B128,VN_국채일별!$A$4:$A$1436,1)))*($J128-3)/2,IF($J128&lt;=7,INDEX(VN_국채일별!$E$4:$E$1436,MATCH($B128,VN_국채일별!$A$4:$A$1436,1))+(INDEX(VN_국채일별!$F$4:$F$1436,MATCH($B128,VN_국채일별!$A$4:$A$1436,1))-INDEX(VN_국채일별!$E$4:$E$1436,MATCH($B128,VN_국채일별!$A$4:$A$1436,1)))*($J128-5)/2,IF($J128&lt;=10,INDEX(VN_국채일별!$F$4:$F$1436,MATCH($B128,VN_국채일별!$A$4:$A$1436,1))+(INDEX(VN_국채일별!$G$4:$G$1436,MATCH($B128,VN_국채일별!$A$4:$A$1436,1))-INDEX(VN_국채일별!$F$4:$F$1436,MATCH($B128,VN_국채일별!$A$4:$A$1436,1)))*($J128-7)/3,INDEX(VN_국채일별!$G$4:$G$1436,MATCH($B128,VN_국채일별!$A$4:$A$1436,1)))))))),""))</f>
        <v>0.02305</v>
      </c>
      <c r="R128" s="58" t="n">
        <f aca="false">IF(OR(L128="",Q128=""),"",(L128-Q128)*10000)</f>
        <v>539.5</v>
      </c>
      <c r="S128" s="30" t="n">
        <f aca="false">IF(AND(K128="고정",N128="N",J128&gt;=2,J128&lt;=4,I128&lt;&gt;""),1,0)</f>
        <v>1</v>
      </c>
      <c r="T128" s="59" t="n">
        <f aca="false">IF(S128=1,I128*L128,0)</f>
        <v>38.5</v>
      </c>
      <c r="U128" s="60" t="n">
        <f aca="false">IF(AND(S128=1,ISNUMBER(R128)),I128*R128,0)</f>
        <v>269750</v>
      </c>
      <c r="V128" s="30" t="n">
        <f aca="false">IF(AND(F128="Big4(국영)",K128="고정",N128="N",I128&lt;&gt;""),1,0)</f>
        <v>0</v>
      </c>
      <c r="W128" s="59" t="n">
        <f aca="false">IF(V128=1,I128*L128,0)</f>
        <v>0</v>
      </c>
      <c r="X128" s="60" t="n">
        <f aca="false">IF(AND(V128=1,ISNUMBER(R128)),I128*R128,0)</f>
        <v>0</v>
      </c>
      <c r="Y128" s="61" t="n">
        <f aca="false">IF(AND(S128=1,ISNUMBER(R128)),I128,0)</f>
        <v>500</v>
      </c>
      <c r="Z128" s="61" t="n">
        <f aca="false">IF(AND(V128=1,ISNUMBER(R128)),I128,0)</f>
        <v>0</v>
      </c>
    </row>
    <row r="129" customFormat="false" ht="15" hidden="false" customHeight="false" outlineLevel="0" collapsed="false">
      <c r="A129" s="47" t="s">
        <v>400</v>
      </c>
      <c r="B129" s="52" t="n">
        <v>45114</v>
      </c>
      <c r="C129" s="53" t="n">
        <f aca="false">DATE(YEAR(B129),MONTH(B129),1)</f>
        <v>45108</v>
      </c>
      <c r="D129" s="5" t="str">
        <f aca="false">YEAR(B129)&amp;"Q"&amp;ROUNDUP(MONTH(B129)/3,0)</f>
        <v>2023Q3</v>
      </c>
      <c r="E129" s="62" t="s">
        <v>155</v>
      </c>
      <c r="F129" s="62" t="s">
        <v>156</v>
      </c>
      <c r="G129" s="47" t="s">
        <v>157</v>
      </c>
      <c r="H129" s="47" t="s">
        <v>401</v>
      </c>
      <c r="I129" s="55" t="n">
        <v>195</v>
      </c>
      <c r="J129" s="56" t="n">
        <v>7</v>
      </c>
      <c r="K129" s="54" t="s">
        <v>153</v>
      </c>
      <c r="N129" s="47" t="s">
        <v>143</v>
      </c>
      <c r="O129" s="47" t="s">
        <v>402</v>
      </c>
      <c r="P129" s="47"/>
      <c r="Q129" s="48" t="n">
        <f aca="false">IF($J129="","",IFERROR(IF($J129&lt;=1,INDEX(VN_국채일별!$B$4:$B$1436,MATCH($B129,VN_국채일별!$A$4:$A$1436,1)),IF($J129&lt;=2,INDEX(VN_국채일별!$B$4:$B$1436,MATCH($B129,VN_국채일별!$A$4:$A$1436,1))+(INDEX(VN_국채일별!$C$4:$C$1436,MATCH($B129,VN_국채일별!$A$4:$A$1436,1))-INDEX(VN_국채일별!$B$4:$B$1436,MATCH($B129,VN_국채일별!$A$4:$A$1436,1)))*($J129-1),IF($J129&lt;=3,INDEX(VN_국채일별!$C$4:$C$1436,MATCH($B129,VN_국채일별!$A$4:$A$1436,1))+(INDEX(VN_국채일별!$D$4:$D$1436,MATCH($B129,VN_국채일별!$A$4:$A$1436,1))-INDEX(VN_국채일별!$C$4:$C$1436,MATCH($B129,VN_국채일별!$A$4:$A$1436,1)))*($J129-2),IF($J129&lt;=5,INDEX(VN_국채일별!$D$4:$D$1436,MATCH($B129,VN_국채일별!$A$4:$A$1436,1))+(INDEX(VN_국채일별!$E$4:$E$1436,MATCH($B129,VN_국채일별!$A$4:$A$1436,1))-INDEX(VN_국채일별!$D$4:$D$1436,MATCH($B129,VN_국채일별!$A$4:$A$1436,1)))*($J129-3)/2,IF($J129&lt;=7,INDEX(VN_국채일별!$E$4:$E$1436,MATCH($B129,VN_국채일별!$A$4:$A$1436,1))+(INDEX(VN_국채일별!$F$4:$F$1436,MATCH($B129,VN_국채일별!$A$4:$A$1436,1))-INDEX(VN_국채일별!$E$4:$E$1436,MATCH($B129,VN_국채일별!$A$4:$A$1436,1)))*($J129-5)/2,IF($J129&lt;=10,INDEX(VN_국채일별!$F$4:$F$1436,MATCH($B129,VN_국채일별!$A$4:$A$1436,1))+(INDEX(VN_국채일별!$G$4:$G$1436,MATCH($B129,VN_국채일별!$A$4:$A$1436,1))-INDEX(VN_국채일별!$F$4:$F$1436,MATCH($B129,VN_국채일별!$A$4:$A$1436,1)))*($J129-7)/3,INDEX(VN_국채일별!$G$4:$G$1436,MATCH($B129,VN_국채일별!$A$4:$A$1436,1)))))))),""))</f>
        <v>0.02546</v>
      </c>
      <c r="R129" s="58" t="str">
        <f aca="false">IF(OR(L129="",Q129=""),"",(L129-Q129)*10000)</f>
        <v/>
      </c>
      <c r="S129" s="30" t="n">
        <f aca="false">IF(AND(K129="고정",N129="N",J129&gt;=2,J129&lt;=4,I129&lt;&gt;""),1,0)</f>
        <v>0</v>
      </c>
      <c r="T129" s="59" t="n">
        <f aca="false">IF(S129=1,I129*L129,0)</f>
        <v>0</v>
      </c>
      <c r="U129" s="60" t="n">
        <f aca="false">IF(AND(S129=1,ISNUMBER(R129)),I129*R129,0)</f>
        <v>0</v>
      </c>
      <c r="V129" s="30" t="n">
        <f aca="false">IF(AND(F129="Big4(국영)",K129="고정",N129="N",I129&lt;&gt;""),1,0)</f>
        <v>0</v>
      </c>
      <c r="W129" s="59" t="n">
        <f aca="false">IF(V129=1,I129*L129,0)</f>
        <v>0</v>
      </c>
      <c r="X129" s="60" t="n">
        <f aca="false">IF(AND(V129=1,ISNUMBER(R129)),I129*R129,0)</f>
        <v>0</v>
      </c>
      <c r="Y129" s="61" t="n">
        <f aca="false">IF(AND(S129=1,ISNUMBER(R129)),I129,0)</f>
        <v>0</v>
      </c>
      <c r="Z129" s="61" t="n">
        <f aca="false">IF(AND(V129=1,ISNUMBER(R129)),I129,0)</f>
        <v>0</v>
      </c>
    </row>
    <row r="130" customFormat="false" ht="15" hidden="false" customHeight="false" outlineLevel="0" collapsed="false">
      <c r="A130" s="47" t="s">
        <v>400</v>
      </c>
      <c r="B130" s="52" t="n">
        <v>45118</v>
      </c>
      <c r="C130" s="53" t="n">
        <f aca="false">DATE(YEAR(B130),MONTH(B130),1)</f>
        <v>45108</v>
      </c>
      <c r="D130" s="5" t="str">
        <f aca="false">YEAR(B130)&amp;"Q"&amp;ROUNDUP(MONTH(B130)/3,0)</f>
        <v>2023Q3</v>
      </c>
      <c r="E130" s="62" t="s">
        <v>173</v>
      </c>
      <c r="F130" s="62" t="s">
        <v>156</v>
      </c>
      <c r="G130" s="47" t="s">
        <v>174</v>
      </c>
      <c r="H130" s="47" t="s">
        <v>403</v>
      </c>
      <c r="I130" s="55" t="n">
        <v>100</v>
      </c>
      <c r="J130" s="56" t="n">
        <v>10</v>
      </c>
      <c r="K130" s="54" t="s">
        <v>142</v>
      </c>
      <c r="L130" s="57" t="n">
        <v>0.075</v>
      </c>
      <c r="N130" s="47" t="s">
        <v>143</v>
      </c>
      <c r="O130" s="47" t="s">
        <v>404</v>
      </c>
      <c r="P130" s="47"/>
      <c r="Q130" s="48" t="n">
        <f aca="false">IF($J130="","",IFERROR(IF($J130&lt;=1,INDEX(VN_국채일별!$B$4:$B$1436,MATCH($B130,VN_국채일별!$A$4:$A$1436,1)),IF($J130&lt;=2,INDEX(VN_국채일별!$B$4:$B$1436,MATCH($B130,VN_국채일별!$A$4:$A$1436,1))+(INDEX(VN_국채일별!$C$4:$C$1436,MATCH($B130,VN_국채일별!$A$4:$A$1436,1))-INDEX(VN_국채일별!$B$4:$B$1436,MATCH($B130,VN_국채일별!$A$4:$A$1436,1)))*($J130-1),IF($J130&lt;=3,INDEX(VN_국채일별!$C$4:$C$1436,MATCH($B130,VN_국채일별!$A$4:$A$1436,1))+(INDEX(VN_국채일별!$D$4:$D$1436,MATCH($B130,VN_국채일별!$A$4:$A$1436,1))-INDEX(VN_국채일별!$C$4:$C$1436,MATCH($B130,VN_국채일별!$A$4:$A$1436,1)))*($J130-2),IF($J130&lt;=5,INDEX(VN_국채일별!$D$4:$D$1436,MATCH($B130,VN_국채일별!$A$4:$A$1436,1))+(INDEX(VN_국채일별!$E$4:$E$1436,MATCH($B130,VN_국채일별!$A$4:$A$1436,1))-INDEX(VN_국채일별!$D$4:$D$1436,MATCH($B130,VN_국채일별!$A$4:$A$1436,1)))*($J130-3)/2,IF($J130&lt;=7,INDEX(VN_국채일별!$E$4:$E$1436,MATCH($B130,VN_국채일별!$A$4:$A$1436,1))+(INDEX(VN_국채일별!$F$4:$F$1436,MATCH($B130,VN_국채일별!$A$4:$A$1436,1))-INDEX(VN_국채일별!$E$4:$E$1436,MATCH($B130,VN_국채일별!$A$4:$A$1436,1)))*($J130-5)/2,IF($J130&lt;=10,INDEX(VN_국채일별!$F$4:$F$1436,MATCH($B130,VN_국채일별!$A$4:$A$1436,1))+(INDEX(VN_국채일별!$G$4:$G$1436,MATCH($B130,VN_국채일별!$A$4:$A$1436,1))-INDEX(VN_국채일별!$F$4:$F$1436,MATCH($B130,VN_국채일별!$A$4:$A$1436,1)))*($J130-7)/3,INDEX(VN_국채일별!$G$4:$G$1436,MATCH($B130,VN_국채일별!$A$4:$A$1436,1)))))))),""))</f>
        <v>0.02737</v>
      </c>
      <c r="R130" s="58" t="n">
        <f aca="false">IF(OR(L130="",Q130=""),"",(L130-Q130)*10000)</f>
        <v>476.3</v>
      </c>
      <c r="S130" s="30" t="n">
        <f aca="false">IF(AND(K130="고정",N130="N",J130&gt;=2,J130&lt;=4,I130&lt;&gt;""),1,0)</f>
        <v>0</v>
      </c>
      <c r="T130" s="59" t="n">
        <f aca="false">IF(S130=1,I130*L130,0)</f>
        <v>0</v>
      </c>
      <c r="U130" s="60" t="n">
        <f aca="false">IF(AND(S130=1,ISNUMBER(R130)),I130*R130,0)</f>
        <v>0</v>
      </c>
      <c r="V130" s="30" t="n">
        <f aca="false">IF(AND(F130="Big4(국영)",K130="고정",N130="N",I130&lt;&gt;""),1,0)</f>
        <v>0</v>
      </c>
      <c r="W130" s="59" t="n">
        <f aca="false">IF(V130=1,I130*L130,0)</f>
        <v>0</v>
      </c>
      <c r="X130" s="60" t="n">
        <f aca="false">IF(AND(V130=1,ISNUMBER(R130)),I130*R130,0)</f>
        <v>0</v>
      </c>
      <c r="Y130" s="61" t="n">
        <f aca="false">IF(AND(S130=1,ISNUMBER(R130)),I130,0)</f>
        <v>0</v>
      </c>
      <c r="Z130" s="61" t="n">
        <f aca="false">IF(AND(V130=1,ISNUMBER(R130)),I130,0)</f>
        <v>0</v>
      </c>
    </row>
    <row r="131" customFormat="false" ht="15" hidden="false" customHeight="false" outlineLevel="0" collapsed="false">
      <c r="A131" s="47" t="s">
        <v>400</v>
      </c>
      <c r="B131" s="52" t="n">
        <v>45121</v>
      </c>
      <c r="C131" s="53" t="n">
        <f aca="false">DATE(YEAR(B131),MONTH(B131),1)</f>
        <v>45108</v>
      </c>
      <c r="D131" s="5" t="str">
        <f aca="false">YEAR(B131)&amp;"Q"&amp;ROUNDUP(MONTH(B131)/3,0)</f>
        <v>2023Q3</v>
      </c>
      <c r="E131" s="47" t="s">
        <v>181</v>
      </c>
      <c r="F131" s="54" t="s">
        <v>139</v>
      </c>
      <c r="G131" s="47" t="s">
        <v>182</v>
      </c>
      <c r="H131" s="47" t="s">
        <v>405</v>
      </c>
      <c r="I131" s="55" t="n">
        <v>1000</v>
      </c>
      <c r="J131" s="56" t="n">
        <v>3</v>
      </c>
      <c r="K131" s="54" t="s">
        <v>142</v>
      </c>
      <c r="L131" s="57" t="n">
        <v>0.075</v>
      </c>
      <c r="N131" s="47" t="s">
        <v>148</v>
      </c>
      <c r="O131" s="47" t="s">
        <v>404</v>
      </c>
      <c r="P131" s="47"/>
      <c r="Q131" s="48" t="n">
        <f aca="false">IF($J131="","",IFERROR(IF($J131&lt;=1,INDEX(VN_국채일별!$B$4:$B$1436,MATCH($B131,VN_국채일별!$A$4:$A$1436,1)),IF($J131&lt;=2,INDEX(VN_국채일별!$B$4:$B$1436,MATCH($B131,VN_국채일별!$A$4:$A$1436,1))+(INDEX(VN_국채일별!$C$4:$C$1436,MATCH($B131,VN_국채일별!$A$4:$A$1436,1))-INDEX(VN_국채일별!$B$4:$B$1436,MATCH($B131,VN_국채일별!$A$4:$A$1436,1)))*($J131-1),IF($J131&lt;=3,INDEX(VN_국채일별!$C$4:$C$1436,MATCH($B131,VN_국채일별!$A$4:$A$1436,1))+(INDEX(VN_국채일별!$D$4:$D$1436,MATCH($B131,VN_국채일별!$A$4:$A$1436,1))-INDEX(VN_국채일별!$C$4:$C$1436,MATCH($B131,VN_국채일별!$A$4:$A$1436,1)))*($J131-2),IF($J131&lt;=5,INDEX(VN_국채일별!$D$4:$D$1436,MATCH($B131,VN_국채일별!$A$4:$A$1436,1))+(INDEX(VN_국채일별!$E$4:$E$1436,MATCH($B131,VN_국채일별!$A$4:$A$1436,1))-INDEX(VN_국채일별!$D$4:$D$1436,MATCH($B131,VN_국채일별!$A$4:$A$1436,1)))*($J131-3)/2,IF($J131&lt;=7,INDEX(VN_국채일별!$E$4:$E$1436,MATCH($B131,VN_국채일별!$A$4:$A$1436,1))+(INDEX(VN_국채일별!$F$4:$F$1436,MATCH($B131,VN_국채일별!$A$4:$A$1436,1))-INDEX(VN_국채일별!$E$4:$E$1436,MATCH($B131,VN_국채일별!$A$4:$A$1436,1)))*($J131-5)/2,IF($J131&lt;=10,INDEX(VN_국채일별!$F$4:$F$1436,MATCH($B131,VN_국채일별!$A$4:$A$1436,1))+(INDEX(VN_국채일별!$G$4:$G$1436,MATCH($B131,VN_국채일별!$A$4:$A$1436,1))-INDEX(VN_국채일별!$F$4:$F$1436,MATCH($B131,VN_국채일별!$A$4:$A$1436,1)))*($J131-7)/3,INDEX(VN_국채일별!$G$4:$G$1436,MATCH($B131,VN_국채일별!$A$4:$A$1436,1)))))))),""))</f>
        <v>0.01991</v>
      </c>
      <c r="R131" s="58" t="n">
        <f aca="false">IF(OR(L131="",Q131=""),"",(L131-Q131)*10000)</f>
        <v>550.9</v>
      </c>
      <c r="S131" s="30" t="n">
        <f aca="false">IF(AND(K131="고정",N131="N",J131&gt;=2,J131&lt;=4,I131&lt;&gt;""),1,0)</f>
        <v>1</v>
      </c>
      <c r="T131" s="59" t="n">
        <f aca="false">IF(S131=1,I131*L131,0)</f>
        <v>75</v>
      </c>
      <c r="U131" s="60" t="n">
        <f aca="false">IF(AND(S131=1,ISNUMBER(R131)),I131*R131,0)</f>
        <v>550900</v>
      </c>
      <c r="V131" s="30" t="n">
        <f aca="false">IF(AND(F131="Big4(국영)",K131="고정",N131="N",I131&lt;&gt;""),1,0)</f>
        <v>0</v>
      </c>
      <c r="W131" s="59" t="n">
        <f aca="false">IF(V131=1,I131*L131,0)</f>
        <v>0</v>
      </c>
      <c r="X131" s="60" t="n">
        <f aca="false">IF(AND(V131=1,ISNUMBER(R131)),I131*R131,0)</f>
        <v>0</v>
      </c>
      <c r="Y131" s="61" t="n">
        <f aca="false">IF(AND(S131=1,ISNUMBER(R131)),I131,0)</f>
        <v>1000</v>
      </c>
      <c r="Z131" s="61" t="n">
        <f aca="false">IF(AND(V131=1,ISNUMBER(R131)),I131,0)</f>
        <v>0</v>
      </c>
    </row>
    <row r="132" customFormat="false" ht="15" hidden="false" customHeight="false" outlineLevel="0" collapsed="false">
      <c r="A132" s="47" t="s">
        <v>400</v>
      </c>
      <c r="B132" s="52" t="n">
        <v>45127</v>
      </c>
      <c r="C132" s="53" t="n">
        <f aca="false">DATE(YEAR(B132),MONTH(B132),1)</f>
        <v>45108</v>
      </c>
      <c r="D132" s="5" t="str">
        <f aca="false">YEAR(B132)&amp;"Q"&amp;ROUNDUP(MONTH(B132)/3,0)</f>
        <v>2023Q3</v>
      </c>
      <c r="E132" s="62" t="s">
        <v>173</v>
      </c>
      <c r="F132" s="62" t="s">
        <v>156</v>
      </c>
      <c r="G132" s="47" t="s">
        <v>174</v>
      </c>
      <c r="H132" s="47" t="s">
        <v>406</v>
      </c>
      <c r="I132" s="55" t="n">
        <v>3000</v>
      </c>
      <c r="J132" s="56" t="n">
        <v>10</v>
      </c>
      <c r="K132" s="54" t="s">
        <v>153</v>
      </c>
      <c r="N132" s="47" t="s">
        <v>143</v>
      </c>
      <c r="O132" s="47" t="s">
        <v>407</v>
      </c>
      <c r="P132" s="47"/>
      <c r="Q132" s="48" t="n">
        <f aca="false">IF($J132="","",IFERROR(IF($J132&lt;=1,INDEX(VN_국채일별!$B$4:$B$1436,MATCH($B132,VN_국채일별!$A$4:$A$1436,1)),IF($J132&lt;=2,INDEX(VN_국채일별!$B$4:$B$1436,MATCH($B132,VN_국채일별!$A$4:$A$1436,1))+(INDEX(VN_국채일별!$C$4:$C$1436,MATCH($B132,VN_국채일별!$A$4:$A$1436,1))-INDEX(VN_국채일별!$B$4:$B$1436,MATCH($B132,VN_국채일별!$A$4:$A$1436,1)))*($J132-1),IF($J132&lt;=3,INDEX(VN_국채일별!$C$4:$C$1436,MATCH($B132,VN_국채일별!$A$4:$A$1436,1))+(INDEX(VN_국채일별!$D$4:$D$1436,MATCH($B132,VN_국채일별!$A$4:$A$1436,1))-INDEX(VN_국채일별!$C$4:$C$1436,MATCH($B132,VN_국채일별!$A$4:$A$1436,1)))*($J132-2),IF($J132&lt;=5,INDEX(VN_국채일별!$D$4:$D$1436,MATCH($B132,VN_국채일별!$A$4:$A$1436,1))+(INDEX(VN_국채일별!$E$4:$E$1436,MATCH($B132,VN_국채일별!$A$4:$A$1436,1))-INDEX(VN_국채일별!$D$4:$D$1436,MATCH($B132,VN_국채일별!$A$4:$A$1436,1)))*($J132-3)/2,IF($J132&lt;=7,INDEX(VN_국채일별!$E$4:$E$1436,MATCH($B132,VN_국채일별!$A$4:$A$1436,1))+(INDEX(VN_국채일별!$F$4:$F$1436,MATCH($B132,VN_국채일별!$A$4:$A$1436,1))-INDEX(VN_국채일별!$E$4:$E$1436,MATCH($B132,VN_국채일별!$A$4:$A$1436,1)))*($J132-5)/2,IF($J132&lt;=10,INDEX(VN_국채일별!$F$4:$F$1436,MATCH($B132,VN_국채일별!$A$4:$A$1436,1))+(INDEX(VN_국채일별!$G$4:$G$1436,MATCH($B132,VN_국채일별!$A$4:$A$1436,1))-INDEX(VN_국채일별!$F$4:$F$1436,MATCH($B132,VN_국채일별!$A$4:$A$1436,1)))*($J132-7)/3,INDEX(VN_국채일별!$G$4:$G$1436,MATCH($B132,VN_국채일별!$A$4:$A$1436,1)))))))),""))</f>
        <v>0.02528</v>
      </c>
      <c r="R132" s="58" t="str">
        <f aca="false">IF(OR(L132="",Q132=""),"",(L132-Q132)*10000)</f>
        <v/>
      </c>
      <c r="S132" s="30" t="n">
        <f aca="false">IF(AND(K132="고정",N132="N",J132&gt;=2,J132&lt;=4,I132&lt;&gt;""),1,0)</f>
        <v>0</v>
      </c>
      <c r="T132" s="59" t="n">
        <f aca="false">IF(S132=1,I132*L132,0)</f>
        <v>0</v>
      </c>
      <c r="U132" s="60" t="n">
        <f aca="false">IF(AND(S132=1,ISNUMBER(R132)),I132*R132,0)</f>
        <v>0</v>
      </c>
      <c r="V132" s="30" t="n">
        <f aca="false">IF(AND(F132="Big4(국영)",K132="고정",N132="N",I132&lt;&gt;""),1,0)</f>
        <v>0</v>
      </c>
      <c r="W132" s="59" t="n">
        <f aca="false">IF(V132=1,I132*L132,0)</f>
        <v>0</v>
      </c>
      <c r="X132" s="60" t="n">
        <f aca="false">IF(AND(V132=1,ISNUMBER(R132)),I132*R132,0)</f>
        <v>0</v>
      </c>
      <c r="Y132" s="61" t="n">
        <f aca="false">IF(AND(S132=1,ISNUMBER(R132)),I132,0)</f>
        <v>0</v>
      </c>
      <c r="Z132" s="61" t="n">
        <f aca="false">IF(AND(V132=1,ISNUMBER(R132)),I132,0)</f>
        <v>0</v>
      </c>
    </row>
    <row r="133" customFormat="false" ht="15" hidden="false" customHeight="false" outlineLevel="0" collapsed="false">
      <c r="A133" s="47" t="s">
        <v>400</v>
      </c>
      <c r="B133" s="52" t="n">
        <v>45127</v>
      </c>
      <c r="C133" s="53" t="n">
        <f aca="false">DATE(YEAR(B133),MONTH(B133),1)</f>
        <v>45108</v>
      </c>
      <c r="D133" s="5" t="str">
        <f aca="false">YEAR(B133)&amp;"Q"&amp;ROUNDUP(MONTH(B133)/3,0)</f>
        <v>2023Q3</v>
      </c>
      <c r="E133" s="62" t="s">
        <v>173</v>
      </c>
      <c r="F133" s="62" t="s">
        <v>156</v>
      </c>
      <c r="G133" s="47" t="s">
        <v>174</v>
      </c>
      <c r="H133" s="47" t="s">
        <v>408</v>
      </c>
      <c r="I133" s="55" t="n">
        <v>2000</v>
      </c>
      <c r="J133" s="56" t="n">
        <v>8</v>
      </c>
      <c r="K133" s="54" t="s">
        <v>153</v>
      </c>
      <c r="N133" s="47" t="s">
        <v>143</v>
      </c>
      <c r="O133" s="47" t="s">
        <v>409</v>
      </c>
      <c r="P133" s="47"/>
      <c r="Q133" s="48" t="n">
        <f aca="false">IF($J133="","",IFERROR(IF($J133&lt;=1,INDEX(VN_국채일별!$B$4:$B$1436,MATCH($B133,VN_국채일별!$A$4:$A$1436,1)),IF($J133&lt;=2,INDEX(VN_국채일별!$B$4:$B$1436,MATCH($B133,VN_국채일별!$A$4:$A$1436,1))+(INDEX(VN_국채일별!$C$4:$C$1436,MATCH($B133,VN_국채일별!$A$4:$A$1436,1))-INDEX(VN_국채일별!$B$4:$B$1436,MATCH($B133,VN_국채일별!$A$4:$A$1436,1)))*($J133-1),IF($J133&lt;=3,INDEX(VN_국채일별!$C$4:$C$1436,MATCH($B133,VN_국채일별!$A$4:$A$1436,1))+(INDEX(VN_국채일별!$D$4:$D$1436,MATCH($B133,VN_국채일별!$A$4:$A$1436,1))-INDEX(VN_국채일별!$C$4:$C$1436,MATCH($B133,VN_국채일별!$A$4:$A$1436,1)))*($J133-2),IF($J133&lt;=5,INDEX(VN_국채일별!$D$4:$D$1436,MATCH($B133,VN_국채일별!$A$4:$A$1436,1))+(INDEX(VN_국채일별!$E$4:$E$1436,MATCH($B133,VN_국채일별!$A$4:$A$1436,1))-INDEX(VN_국채일별!$D$4:$D$1436,MATCH($B133,VN_국채일별!$A$4:$A$1436,1)))*($J133-3)/2,IF($J133&lt;=7,INDEX(VN_국채일별!$E$4:$E$1436,MATCH($B133,VN_국채일별!$A$4:$A$1436,1))+(INDEX(VN_국채일별!$F$4:$F$1436,MATCH($B133,VN_국채일별!$A$4:$A$1436,1))-INDEX(VN_국채일별!$E$4:$E$1436,MATCH($B133,VN_국채일별!$A$4:$A$1436,1)))*($J133-5)/2,IF($J133&lt;=10,INDEX(VN_국채일별!$F$4:$F$1436,MATCH($B133,VN_국채일별!$A$4:$A$1436,1))+(INDEX(VN_국채일별!$G$4:$G$1436,MATCH($B133,VN_국채일별!$A$4:$A$1436,1))-INDEX(VN_국채일별!$F$4:$F$1436,MATCH($B133,VN_국채일별!$A$4:$A$1436,1)))*($J133-7)/3,INDEX(VN_국채일별!$G$4:$G$1436,MATCH($B133,VN_국채일별!$A$4:$A$1436,1)))))))),""))</f>
        <v>0.0238</v>
      </c>
      <c r="R133" s="58" t="str">
        <f aca="false">IF(OR(L133="",Q133=""),"",(L133-Q133)*10000)</f>
        <v/>
      </c>
      <c r="S133" s="30" t="n">
        <f aca="false">IF(AND(K133="고정",N133="N",J133&gt;=2,J133&lt;=4,I133&lt;&gt;""),1,0)</f>
        <v>0</v>
      </c>
      <c r="T133" s="59" t="n">
        <f aca="false">IF(S133=1,I133*L133,0)</f>
        <v>0</v>
      </c>
      <c r="U133" s="60" t="n">
        <f aca="false">IF(AND(S133=1,ISNUMBER(R133)),I133*R133,0)</f>
        <v>0</v>
      </c>
      <c r="V133" s="30" t="n">
        <f aca="false">IF(AND(F133="Big4(국영)",K133="고정",N133="N",I133&lt;&gt;""),1,0)</f>
        <v>0</v>
      </c>
      <c r="W133" s="59" t="n">
        <f aca="false">IF(V133=1,I133*L133,0)</f>
        <v>0</v>
      </c>
      <c r="X133" s="60" t="n">
        <f aca="false">IF(AND(V133=1,ISNUMBER(R133)),I133*R133,0)</f>
        <v>0</v>
      </c>
      <c r="Y133" s="61" t="n">
        <f aca="false">IF(AND(S133=1,ISNUMBER(R133)),I133,0)</f>
        <v>0</v>
      </c>
      <c r="Z133" s="61" t="n">
        <f aca="false">IF(AND(V133=1,ISNUMBER(R133)),I133,0)</f>
        <v>0</v>
      </c>
    </row>
    <row r="134" customFormat="false" ht="15" hidden="false" customHeight="false" outlineLevel="0" collapsed="false">
      <c r="A134" s="47" t="s">
        <v>400</v>
      </c>
      <c r="B134" s="52" t="n">
        <v>45128</v>
      </c>
      <c r="C134" s="53" t="n">
        <f aca="false">DATE(YEAR(B134),MONTH(B134),1)</f>
        <v>45108</v>
      </c>
      <c r="D134" s="5" t="str">
        <f aca="false">YEAR(B134)&amp;"Q"&amp;ROUNDUP(MONTH(B134)/3,0)</f>
        <v>2023Q3</v>
      </c>
      <c r="E134" s="47" t="s">
        <v>248</v>
      </c>
      <c r="F134" s="54" t="s">
        <v>139</v>
      </c>
      <c r="G134" s="47" t="s">
        <v>361</v>
      </c>
      <c r="H134" s="47" t="s">
        <v>410</v>
      </c>
      <c r="I134" s="55" t="n">
        <v>500</v>
      </c>
      <c r="J134" s="56" t="n">
        <v>7</v>
      </c>
      <c r="K134" s="54" t="s">
        <v>153</v>
      </c>
      <c r="N134" s="47" t="s">
        <v>143</v>
      </c>
      <c r="O134" s="47" t="s">
        <v>411</v>
      </c>
      <c r="P134" s="47"/>
      <c r="Q134" s="48" t="n">
        <f aca="false">IF($J134="","",IFERROR(IF($J134&lt;=1,INDEX(VN_국채일별!$B$4:$B$1436,MATCH($B134,VN_국채일별!$A$4:$A$1436,1)),IF($J134&lt;=2,INDEX(VN_국채일별!$B$4:$B$1436,MATCH($B134,VN_국채일별!$A$4:$A$1436,1))+(INDEX(VN_국채일별!$C$4:$C$1436,MATCH($B134,VN_국채일별!$A$4:$A$1436,1))-INDEX(VN_국채일별!$B$4:$B$1436,MATCH($B134,VN_국채일별!$A$4:$A$1436,1)))*($J134-1),IF($J134&lt;=3,INDEX(VN_국채일별!$C$4:$C$1436,MATCH($B134,VN_국채일별!$A$4:$A$1436,1))+(INDEX(VN_국채일별!$D$4:$D$1436,MATCH($B134,VN_국채일별!$A$4:$A$1436,1))-INDEX(VN_국채일별!$C$4:$C$1436,MATCH($B134,VN_국채일별!$A$4:$A$1436,1)))*($J134-2),IF($J134&lt;=5,INDEX(VN_국채일별!$D$4:$D$1436,MATCH($B134,VN_국채일별!$A$4:$A$1436,1))+(INDEX(VN_국채일별!$E$4:$E$1436,MATCH($B134,VN_국채일별!$A$4:$A$1436,1))-INDEX(VN_국채일별!$D$4:$D$1436,MATCH($B134,VN_국채일별!$A$4:$A$1436,1)))*($J134-3)/2,IF($J134&lt;=7,INDEX(VN_국채일별!$E$4:$E$1436,MATCH($B134,VN_국채일별!$A$4:$A$1436,1))+(INDEX(VN_국채일별!$F$4:$F$1436,MATCH($B134,VN_국채일별!$A$4:$A$1436,1))-INDEX(VN_국채일별!$E$4:$E$1436,MATCH($B134,VN_국채일별!$A$4:$A$1436,1)))*($J134-5)/2,IF($J134&lt;=10,INDEX(VN_국채일별!$F$4:$F$1436,MATCH($B134,VN_국채일별!$A$4:$A$1436,1))+(INDEX(VN_국채일별!$G$4:$G$1436,MATCH($B134,VN_국채일별!$A$4:$A$1436,1))-INDEX(VN_국채일별!$F$4:$F$1436,MATCH($B134,VN_국채일별!$A$4:$A$1436,1)))*($J134-7)/3,INDEX(VN_국채일별!$G$4:$G$1436,MATCH($B134,VN_국채일별!$A$4:$A$1436,1)))))))),""))</f>
        <v>0.02283</v>
      </c>
      <c r="R134" s="58" t="str">
        <f aca="false">IF(OR(L134="",Q134=""),"",(L134-Q134)*10000)</f>
        <v/>
      </c>
      <c r="S134" s="30" t="n">
        <f aca="false">IF(AND(K134="고정",N134="N",J134&gt;=2,J134&lt;=4,I134&lt;&gt;""),1,0)</f>
        <v>0</v>
      </c>
      <c r="T134" s="59" t="n">
        <f aca="false">IF(S134=1,I134*L134,0)</f>
        <v>0</v>
      </c>
      <c r="U134" s="60" t="n">
        <f aca="false">IF(AND(S134=1,ISNUMBER(R134)),I134*R134,0)</f>
        <v>0</v>
      </c>
      <c r="V134" s="30" t="n">
        <f aca="false">IF(AND(F134="Big4(국영)",K134="고정",N134="N",I134&lt;&gt;""),1,0)</f>
        <v>0</v>
      </c>
      <c r="W134" s="59" t="n">
        <f aca="false">IF(V134=1,I134*L134,0)</f>
        <v>0</v>
      </c>
      <c r="X134" s="60" t="n">
        <f aca="false">IF(AND(V134=1,ISNUMBER(R134)),I134*R134,0)</f>
        <v>0</v>
      </c>
      <c r="Y134" s="61" t="n">
        <f aca="false">IF(AND(S134=1,ISNUMBER(R134)),I134,0)</f>
        <v>0</v>
      </c>
      <c r="Z134" s="61" t="n">
        <f aca="false">IF(AND(V134=1,ISNUMBER(R134)),I134,0)</f>
        <v>0</v>
      </c>
    </row>
    <row r="135" customFormat="false" ht="15" hidden="false" customHeight="false" outlineLevel="0" collapsed="false">
      <c r="A135" s="47" t="s">
        <v>400</v>
      </c>
      <c r="B135" s="52" t="n">
        <v>45128</v>
      </c>
      <c r="C135" s="53" t="n">
        <f aca="false">DATE(YEAR(B135),MONTH(B135),1)</f>
        <v>45108</v>
      </c>
      <c r="D135" s="5" t="str">
        <f aca="false">YEAR(B135)&amp;"Q"&amp;ROUNDUP(MONTH(B135)/3,0)</f>
        <v>2023Q3</v>
      </c>
      <c r="E135" s="62" t="s">
        <v>155</v>
      </c>
      <c r="F135" s="62" t="s">
        <v>156</v>
      </c>
      <c r="G135" s="47" t="s">
        <v>157</v>
      </c>
      <c r="H135" s="47" t="s">
        <v>412</v>
      </c>
      <c r="I135" s="55" t="n">
        <v>460</v>
      </c>
      <c r="J135" s="56" t="n">
        <v>15</v>
      </c>
      <c r="K135" s="54" t="s">
        <v>142</v>
      </c>
      <c r="L135" s="57" t="n">
        <v>0.076</v>
      </c>
      <c r="N135" s="47" t="s">
        <v>143</v>
      </c>
      <c r="O135" s="47" t="s">
        <v>144</v>
      </c>
      <c r="P135" s="47"/>
      <c r="Q135" s="48" t="n">
        <f aca="false">IF($J135="","",IFERROR(IF($J135&lt;=1,INDEX(VN_국채일별!$B$4:$B$1436,MATCH($B135,VN_국채일별!$A$4:$A$1436,1)),IF($J135&lt;=2,INDEX(VN_국채일별!$B$4:$B$1436,MATCH($B135,VN_국채일별!$A$4:$A$1436,1))+(INDEX(VN_국채일별!$C$4:$C$1436,MATCH($B135,VN_국채일별!$A$4:$A$1436,1))-INDEX(VN_국채일별!$B$4:$B$1436,MATCH($B135,VN_국채일별!$A$4:$A$1436,1)))*($J135-1),IF($J135&lt;=3,INDEX(VN_국채일별!$C$4:$C$1436,MATCH($B135,VN_국채일별!$A$4:$A$1436,1))+(INDEX(VN_국채일별!$D$4:$D$1436,MATCH($B135,VN_국채일별!$A$4:$A$1436,1))-INDEX(VN_국채일별!$C$4:$C$1436,MATCH($B135,VN_국채일별!$A$4:$A$1436,1)))*($J135-2),IF($J135&lt;=5,INDEX(VN_국채일별!$D$4:$D$1436,MATCH($B135,VN_국채일별!$A$4:$A$1436,1))+(INDEX(VN_국채일별!$E$4:$E$1436,MATCH($B135,VN_국채일별!$A$4:$A$1436,1))-INDEX(VN_국채일별!$D$4:$D$1436,MATCH($B135,VN_국채일별!$A$4:$A$1436,1)))*($J135-3)/2,IF($J135&lt;=7,INDEX(VN_국채일별!$E$4:$E$1436,MATCH($B135,VN_국채일별!$A$4:$A$1436,1))+(INDEX(VN_국채일별!$F$4:$F$1436,MATCH($B135,VN_국채일별!$A$4:$A$1436,1))-INDEX(VN_국채일별!$E$4:$E$1436,MATCH($B135,VN_국채일별!$A$4:$A$1436,1)))*($J135-5)/2,IF($J135&lt;=10,INDEX(VN_국채일별!$F$4:$F$1436,MATCH($B135,VN_국채일별!$A$4:$A$1436,1))+(INDEX(VN_국채일별!$G$4:$G$1436,MATCH($B135,VN_국채일별!$A$4:$A$1436,1))-INDEX(VN_국채일별!$F$4:$F$1436,MATCH($B135,VN_국채일별!$A$4:$A$1436,1)))*($J135-7)/3,INDEX(VN_국채일별!$G$4:$G$1436,MATCH($B135,VN_국채일별!$A$4:$A$1436,1)))))))),""))</f>
        <v>0.02511</v>
      </c>
      <c r="R135" s="58" t="n">
        <f aca="false">IF(OR(L135="",Q135=""),"",(L135-Q135)*10000)</f>
        <v>508.9</v>
      </c>
      <c r="S135" s="30" t="n">
        <f aca="false">IF(AND(K135="고정",N135="N",J135&gt;=2,J135&lt;=4,I135&lt;&gt;""),1,0)</f>
        <v>0</v>
      </c>
      <c r="T135" s="59" t="n">
        <f aca="false">IF(S135=1,I135*L135,0)</f>
        <v>0</v>
      </c>
      <c r="U135" s="60" t="n">
        <f aca="false">IF(AND(S135=1,ISNUMBER(R135)),I135*R135,0)</f>
        <v>0</v>
      </c>
      <c r="V135" s="30" t="n">
        <f aca="false">IF(AND(F135="Big4(국영)",K135="고정",N135="N",I135&lt;&gt;""),1,0)</f>
        <v>0</v>
      </c>
      <c r="W135" s="59" t="n">
        <f aca="false">IF(V135=1,I135*L135,0)</f>
        <v>0</v>
      </c>
      <c r="X135" s="60" t="n">
        <f aca="false">IF(AND(V135=1,ISNUMBER(R135)),I135*R135,0)</f>
        <v>0</v>
      </c>
      <c r="Y135" s="61" t="n">
        <f aca="false">IF(AND(S135=1,ISNUMBER(R135)),I135,0)</f>
        <v>0</v>
      </c>
      <c r="Z135" s="61" t="n">
        <f aca="false">IF(AND(V135=1,ISNUMBER(R135)),I135,0)</f>
        <v>0</v>
      </c>
    </row>
    <row r="136" customFormat="false" ht="15" hidden="false" customHeight="false" outlineLevel="0" collapsed="false">
      <c r="A136" s="47" t="s">
        <v>413</v>
      </c>
      <c r="B136" s="52" t="n">
        <v>45139</v>
      </c>
      <c r="C136" s="53" t="n">
        <f aca="false">DATE(YEAR(B136),MONTH(B136),1)</f>
        <v>45139</v>
      </c>
      <c r="D136" s="5" t="str">
        <f aca="false">YEAR(B136)&amp;"Q"&amp;ROUNDUP(MONTH(B136)/3,0)</f>
        <v>2023Q3</v>
      </c>
      <c r="E136" s="62" t="s">
        <v>155</v>
      </c>
      <c r="F136" s="62" t="s">
        <v>156</v>
      </c>
      <c r="G136" s="47" t="s">
        <v>157</v>
      </c>
      <c r="H136" s="47" t="s">
        <v>414</v>
      </c>
      <c r="I136" s="55" t="n">
        <v>500</v>
      </c>
      <c r="J136" s="56" t="n">
        <v>20</v>
      </c>
      <c r="K136" s="54" t="s">
        <v>142</v>
      </c>
      <c r="L136" s="57" t="n">
        <v>0.077</v>
      </c>
      <c r="N136" s="47" t="s">
        <v>143</v>
      </c>
      <c r="O136" s="47" t="s">
        <v>399</v>
      </c>
      <c r="P136" s="47"/>
      <c r="Q136" s="48" t="n">
        <f aca="false">IF($J136="","",IFERROR(IF($J136&lt;=1,INDEX(VN_국채일별!$B$4:$B$1436,MATCH($B136,VN_국채일별!$A$4:$A$1436,1)),IF($J136&lt;=2,INDEX(VN_국채일별!$B$4:$B$1436,MATCH($B136,VN_국채일별!$A$4:$A$1436,1))+(INDEX(VN_국채일별!$C$4:$C$1436,MATCH($B136,VN_국채일별!$A$4:$A$1436,1))-INDEX(VN_국채일별!$B$4:$B$1436,MATCH($B136,VN_국채일별!$A$4:$A$1436,1)))*($J136-1),IF($J136&lt;=3,INDEX(VN_국채일별!$C$4:$C$1436,MATCH($B136,VN_국채일별!$A$4:$A$1436,1))+(INDEX(VN_국채일별!$D$4:$D$1436,MATCH($B136,VN_국채일별!$A$4:$A$1436,1))-INDEX(VN_국채일별!$C$4:$C$1436,MATCH($B136,VN_국채일별!$A$4:$A$1436,1)))*($J136-2),IF($J136&lt;=5,INDEX(VN_국채일별!$D$4:$D$1436,MATCH($B136,VN_국채일별!$A$4:$A$1436,1))+(INDEX(VN_국채일별!$E$4:$E$1436,MATCH($B136,VN_국채일별!$A$4:$A$1436,1))-INDEX(VN_국채일별!$D$4:$D$1436,MATCH($B136,VN_국채일별!$A$4:$A$1436,1)))*($J136-3)/2,IF($J136&lt;=7,INDEX(VN_국채일별!$E$4:$E$1436,MATCH($B136,VN_국채일별!$A$4:$A$1436,1))+(INDEX(VN_국채일별!$F$4:$F$1436,MATCH($B136,VN_국채일별!$A$4:$A$1436,1))-INDEX(VN_국채일별!$E$4:$E$1436,MATCH($B136,VN_국채일별!$A$4:$A$1436,1)))*($J136-5)/2,IF($J136&lt;=10,INDEX(VN_국채일별!$F$4:$F$1436,MATCH($B136,VN_국채일별!$A$4:$A$1436,1))+(INDEX(VN_국채일별!$G$4:$G$1436,MATCH($B136,VN_국채일별!$A$4:$A$1436,1))-INDEX(VN_국채일별!$F$4:$F$1436,MATCH($B136,VN_국채일별!$A$4:$A$1436,1)))*($J136-7)/3,INDEX(VN_국채일별!$G$4:$G$1436,MATCH($B136,VN_국채일별!$A$4:$A$1436,1)))))))),""))</f>
        <v>0.02447</v>
      </c>
      <c r="R136" s="58" t="n">
        <f aca="false">IF(OR(L136="",Q136=""),"",(L136-Q136)*10000)</f>
        <v>525.3</v>
      </c>
      <c r="S136" s="30" t="n">
        <f aca="false">IF(AND(K136="고정",N136="N",J136&gt;=2,J136&lt;=4,I136&lt;&gt;""),1,0)</f>
        <v>0</v>
      </c>
      <c r="T136" s="59" t="n">
        <f aca="false">IF(S136=1,I136*L136,0)</f>
        <v>0</v>
      </c>
      <c r="U136" s="60" t="n">
        <f aca="false">IF(AND(S136=1,ISNUMBER(R136)),I136*R136,0)</f>
        <v>0</v>
      </c>
      <c r="V136" s="30" t="n">
        <f aca="false">IF(AND(F136="Big4(국영)",K136="고정",N136="N",I136&lt;&gt;""),1,0)</f>
        <v>0</v>
      </c>
      <c r="W136" s="59" t="n">
        <f aca="false">IF(V136=1,I136*L136,0)</f>
        <v>0</v>
      </c>
      <c r="X136" s="60" t="n">
        <f aca="false">IF(AND(V136=1,ISNUMBER(R136)),I136*R136,0)</f>
        <v>0</v>
      </c>
      <c r="Y136" s="61" t="n">
        <f aca="false">IF(AND(S136=1,ISNUMBER(R136)),I136,0)</f>
        <v>0</v>
      </c>
      <c r="Z136" s="61" t="n">
        <f aca="false">IF(AND(V136=1,ISNUMBER(R136)),I136,0)</f>
        <v>0</v>
      </c>
    </row>
    <row r="137" customFormat="false" ht="15" hidden="false" customHeight="false" outlineLevel="0" collapsed="false">
      <c r="A137" s="47" t="s">
        <v>413</v>
      </c>
      <c r="B137" s="52" t="n">
        <v>45140</v>
      </c>
      <c r="C137" s="53" t="n">
        <f aca="false">DATE(YEAR(B137),MONTH(B137),1)</f>
        <v>45139</v>
      </c>
      <c r="D137" s="5" t="str">
        <f aca="false">YEAR(B137)&amp;"Q"&amp;ROUNDUP(MONTH(B137)/3,0)</f>
        <v>2023Q3</v>
      </c>
      <c r="E137" s="47" t="s">
        <v>145</v>
      </c>
      <c r="F137" s="54" t="s">
        <v>139</v>
      </c>
      <c r="G137" s="47" t="s">
        <v>146</v>
      </c>
      <c r="H137" s="47" t="s">
        <v>415</v>
      </c>
      <c r="I137" s="55" t="n">
        <v>1000</v>
      </c>
      <c r="J137" s="56" t="n">
        <v>3</v>
      </c>
      <c r="K137" s="54" t="s">
        <v>142</v>
      </c>
      <c r="L137" s="57" t="n">
        <v>0.075</v>
      </c>
      <c r="N137" s="47" t="s">
        <v>148</v>
      </c>
      <c r="O137" s="47" t="s">
        <v>404</v>
      </c>
      <c r="P137" s="47"/>
      <c r="Q137" s="48" t="n">
        <f aca="false">IF($J137="","",IFERROR(IF($J137&lt;=1,INDEX(VN_국채일별!$B$4:$B$1436,MATCH($B137,VN_국채일별!$A$4:$A$1436,1)),IF($J137&lt;=2,INDEX(VN_국채일별!$B$4:$B$1436,MATCH($B137,VN_국채일별!$A$4:$A$1436,1))+(INDEX(VN_국채일별!$C$4:$C$1436,MATCH($B137,VN_국채일별!$A$4:$A$1436,1))-INDEX(VN_국채일별!$B$4:$B$1436,MATCH($B137,VN_국채일별!$A$4:$A$1436,1)))*($J137-1),IF($J137&lt;=3,INDEX(VN_국채일별!$C$4:$C$1436,MATCH($B137,VN_국채일별!$A$4:$A$1436,1))+(INDEX(VN_국채일별!$D$4:$D$1436,MATCH($B137,VN_국채일별!$A$4:$A$1436,1))-INDEX(VN_국채일별!$C$4:$C$1436,MATCH($B137,VN_국채일별!$A$4:$A$1436,1)))*($J137-2),IF($J137&lt;=5,INDEX(VN_국채일별!$D$4:$D$1436,MATCH($B137,VN_국채일별!$A$4:$A$1436,1))+(INDEX(VN_국채일별!$E$4:$E$1436,MATCH($B137,VN_국채일별!$A$4:$A$1436,1))-INDEX(VN_국채일별!$D$4:$D$1436,MATCH($B137,VN_국채일별!$A$4:$A$1436,1)))*($J137-3)/2,IF($J137&lt;=7,INDEX(VN_국채일별!$E$4:$E$1436,MATCH($B137,VN_국채일별!$A$4:$A$1436,1))+(INDEX(VN_국채일별!$F$4:$F$1436,MATCH($B137,VN_국채일별!$A$4:$A$1436,1))-INDEX(VN_국채일별!$E$4:$E$1436,MATCH($B137,VN_국채일별!$A$4:$A$1436,1)))*($J137-5)/2,IF($J137&lt;=10,INDEX(VN_국채일별!$F$4:$F$1436,MATCH($B137,VN_국채일별!$A$4:$A$1436,1))+(INDEX(VN_국채일별!$G$4:$G$1436,MATCH($B137,VN_국채일별!$A$4:$A$1436,1))-INDEX(VN_국채일별!$F$4:$F$1436,MATCH($B137,VN_국채일별!$A$4:$A$1436,1)))*($J137-7)/3,INDEX(VN_국채일별!$G$4:$G$1436,MATCH($B137,VN_국채일별!$A$4:$A$1436,1)))))))),""))</f>
        <v>0.01862</v>
      </c>
      <c r="R137" s="58" t="n">
        <f aca="false">IF(OR(L137="",Q137=""),"",(L137-Q137)*10000)</f>
        <v>563.8</v>
      </c>
      <c r="S137" s="30" t="n">
        <f aca="false">IF(AND(K137="고정",N137="N",J137&gt;=2,J137&lt;=4,I137&lt;&gt;""),1,0)</f>
        <v>1</v>
      </c>
      <c r="T137" s="59" t="n">
        <f aca="false">IF(S137=1,I137*L137,0)</f>
        <v>75</v>
      </c>
      <c r="U137" s="60" t="n">
        <f aca="false">IF(AND(S137=1,ISNUMBER(R137)),I137*R137,0)</f>
        <v>563800</v>
      </c>
      <c r="V137" s="30" t="n">
        <f aca="false">IF(AND(F137="Big4(국영)",K137="고정",N137="N",I137&lt;&gt;""),1,0)</f>
        <v>0</v>
      </c>
      <c r="W137" s="59" t="n">
        <f aca="false">IF(V137=1,I137*L137,0)</f>
        <v>0</v>
      </c>
      <c r="X137" s="60" t="n">
        <f aca="false">IF(AND(V137=1,ISNUMBER(R137)),I137*R137,0)</f>
        <v>0</v>
      </c>
      <c r="Y137" s="61" t="n">
        <f aca="false">IF(AND(S137=1,ISNUMBER(R137)),I137,0)</f>
        <v>1000</v>
      </c>
      <c r="Z137" s="61" t="n">
        <f aca="false">IF(AND(V137=1,ISNUMBER(R137)),I137,0)</f>
        <v>0</v>
      </c>
    </row>
    <row r="138" customFormat="false" ht="15" hidden="false" customHeight="false" outlineLevel="0" collapsed="false">
      <c r="A138" s="47" t="s">
        <v>413</v>
      </c>
      <c r="B138" s="52" t="n">
        <v>45145</v>
      </c>
      <c r="C138" s="53" t="n">
        <f aca="false">DATE(YEAR(B138),MONTH(B138),1)</f>
        <v>45139</v>
      </c>
      <c r="D138" s="5" t="str">
        <f aca="false">YEAR(B138)&amp;"Q"&amp;ROUNDUP(MONTH(B138)/3,0)</f>
        <v>2023Q3</v>
      </c>
      <c r="E138" s="47" t="s">
        <v>254</v>
      </c>
      <c r="F138" s="54" t="s">
        <v>139</v>
      </c>
      <c r="G138" s="47" t="s">
        <v>339</v>
      </c>
      <c r="H138" s="47" t="s">
        <v>416</v>
      </c>
      <c r="I138" s="55" t="n">
        <v>2500</v>
      </c>
      <c r="J138" s="56" t="n">
        <v>2</v>
      </c>
      <c r="K138" s="54" t="s">
        <v>142</v>
      </c>
      <c r="L138" s="57" t="n">
        <v>0.065</v>
      </c>
      <c r="N138" s="47" t="s">
        <v>148</v>
      </c>
      <c r="O138" s="47" t="s">
        <v>417</v>
      </c>
      <c r="P138" s="47"/>
      <c r="Q138" s="48" t="n">
        <f aca="false">IF($J138="","",IFERROR(IF($J138&lt;=1,INDEX(VN_국채일별!$B$4:$B$1436,MATCH($B138,VN_국채일별!$A$4:$A$1436,1)),IF($J138&lt;=2,INDEX(VN_국채일별!$B$4:$B$1436,MATCH($B138,VN_국채일별!$A$4:$A$1436,1))+(INDEX(VN_국채일별!$C$4:$C$1436,MATCH($B138,VN_국채일별!$A$4:$A$1436,1))-INDEX(VN_국채일별!$B$4:$B$1436,MATCH($B138,VN_국채일별!$A$4:$A$1436,1)))*($J138-1),IF($J138&lt;=3,INDEX(VN_국채일별!$C$4:$C$1436,MATCH($B138,VN_국채일별!$A$4:$A$1436,1))+(INDEX(VN_국채일별!$D$4:$D$1436,MATCH($B138,VN_국채일별!$A$4:$A$1436,1))-INDEX(VN_국채일별!$C$4:$C$1436,MATCH($B138,VN_국채일별!$A$4:$A$1436,1)))*($J138-2),IF($J138&lt;=5,INDEX(VN_국채일별!$D$4:$D$1436,MATCH($B138,VN_국채일별!$A$4:$A$1436,1))+(INDEX(VN_국채일별!$E$4:$E$1436,MATCH($B138,VN_국채일별!$A$4:$A$1436,1))-INDEX(VN_국채일별!$D$4:$D$1436,MATCH($B138,VN_국채일별!$A$4:$A$1436,1)))*($J138-3)/2,IF($J138&lt;=7,INDEX(VN_국채일별!$E$4:$E$1436,MATCH($B138,VN_국채일별!$A$4:$A$1436,1))+(INDEX(VN_국채일별!$F$4:$F$1436,MATCH($B138,VN_국채일별!$A$4:$A$1436,1))-INDEX(VN_국채일별!$E$4:$E$1436,MATCH($B138,VN_국채일별!$A$4:$A$1436,1)))*($J138-5)/2,IF($J138&lt;=10,INDEX(VN_국채일별!$F$4:$F$1436,MATCH($B138,VN_국채일별!$A$4:$A$1436,1))+(INDEX(VN_국채일별!$G$4:$G$1436,MATCH($B138,VN_국채일별!$A$4:$A$1436,1))-INDEX(VN_국채일별!$F$4:$F$1436,MATCH($B138,VN_국채일별!$A$4:$A$1436,1)))*($J138-7)/3,INDEX(VN_국채일별!$G$4:$G$1436,MATCH($B138,VN_국채일별!$A$4:$A$1436,1)))))))),""))</f>
        <v>0.01855</v>
      </c>
      <c r="R138" s="58" t="n">
        <f aca="false">IF(OR(L138="",Q138=""),"",(L138-Q138)*10000)</f>
        <v>464.5</v>
      </c>
      <c r="S138" s="30" t="n">
        <f aca="false">IF(AND(K138="고정",N138="N",J138&gt;=2,J138&lt;=4,I138&lt;&gt;""),1,0)</f>
        <v>1</v>
      </c>
      <c r="T138" s="59" t="n">
        <f aca="false">IF(S138=1,I138*L138,0)</f>
        <v>162.5</v>
      </c>
      <c r="U138" s="60" t="n">
        <f aca="false">IF(AND(S138=1,ISNUMBER(R138)),I138*R138,0)</f>
        <v>1161250</v>
      </c>
      <c r="V138" s="30" t="n">
        <f aca="false">IF(AND(F138="Big4(국영)",K138="고정",N138="N",I138&lt;&gt;""),1,0)</f>
        <v>0</v>
      </c>
      <c r="W138" s="59" t="n">
        <f aca="false">IF(V138=1,I138*L138,0)</f>
        <v>0</v>
      </c>
      <c r="X138" s="60" t="n">
        <f aca="false">IF(AND(V138=1,ISNUMBER(R138)),I138*R138,0)</f>
        <v>0</v>
      </c>
      <c r="Y138" s="61" t="n">
        <f aca="false">IF(AND(S138=1,ISNUMBER(R138)),I138,0)</f>
        <v>2500</v>
      </c>
      <c r="Z138" s="61" t="n">
        <f aca="false">IF(AND(V138=1,ISNUMBER(R138)),I138,0)</f>
        <v>0</v>
      </c>
    </row>
    <row r="139" customFormat="false" ht="15" hidden="false" customHeight="false" outlineLevel="0" collapsed="false">
      <c r="A139" s="47" t="s">
        <v>413</v>
      </c>
      <c r="B139" s="52" t="n">
        <v>45149</v>
      </c>
      <c r="C139" s="53" t="n">
        <f aca="false">DATE(YEAR(B139),MONTH(B139),1)</f>
        <v>45139</v>
      </c>
      <c r="D139" s="5" t="str">
        <f aca="false">YEAR(B139)&amp;"Q"&amp;ROUNDUP(MONTH(B139)/3,0)</f>
        <v>2023Q3</v>
      </c>
      <c r="E139" s="47" t="s">
        <v>254</v>
      </c>
      <c r="F139" s="54" t="s">
        <v>139</v>
      </c>
      <c r="G139" s="47" t="s">
        <v>339</v>
      </c>
      <c r="H139" s="47" t="s">
        <v>418</v>
      </c>
      <c r="I139" s="55" t="n">
        <v>2500</v>
      </c>
      <c r="J139" s="56" t="n">
        <v>2</v>
      </c>
      <c r="K139" s="54" t="s">
        <v>142</v>
      </c>
      <c r="L139" s="57" t="n">
        <v>0.065</v>
      </c>
      <c r="N139" s="47" t="s">
        <v>148</v>
      </c>
      <c r="O139" s="47" t="s">
        <v>417</v>
      </c>
      <c r="P139" s="47"/>
      <c r="Q139" s="48" t="n">
        <f aca="false">IF($J139="","",IFERROR(IF($J139&lt;=1,INDEX(VN_국채일별!$B$4:$B$1436,MATCH($B139,VN_국채일별!$A$4:$A$1436,1)),IF($J139&lt;=2,INDEX(VN_국채일별!$B$4:$B$1436,MATCH($B139,VN_국채일별!$A$4:$A$1436,1))+(INDEX(VN_국채일별!$C$4:$C$1436,MATCH($B139,VN_국채일별!$A$4:$A$1436,1))-INDEX(VN_국채일별!$B$4:$B$1436,MATCH($B139,VN_국채일별!$A$4:$A$1436,1)))*($J139-1),IF($J139&lt;=3,INDEX(VN_국채일별!$C$4:$C$1436,MATCH($B139,VN_국채일별!$A$4:$A$1436,1))+(INDEX(VN_국채일별!$D$4:$D$1436,MATCH($B139,VN_국채일별!$A$4:$A$1436,1))-INDEX(VN_국채일별!$C$4:$C$1436,MATCH($B139,VN_국채일별!$A$4:$A$1436,1)))*($J139-2),IF($J139&lt;=5,INDEX(VN_국채일별!$D$4:$D$1436,MATCH($B139,VN_국채일별!$A$4:$A$1436,1))+(INDEX(VN_국채일별!$E$4:$E$1436,MATCH($B139,VN_국채일별!$A$4:$A$1436,1))-INDEX(VN_국채일별!$D$4:$D$1436,MATCH($B139,VN_국채일별!$A$4:$A$1436,1)))*($J139-3)/2,IF($J139&lt;=7,INDEX(VN_국채일별!$E$4:$E$1436,MATCH($B139,VN_국채일별!$A$4:$A$1436,1))+(INDEX(VN_국채일별!$F$4:$F$1436,MATCH($B139,VN_국채일별!$A$4:$A$1436,1))-INDEX(VN_국채일별!$E$4:$E$1436,MATCH($B139,VN_국채일별!$A$4:$A$1436,1)))*($J139-5)/2,IF($J139&lt;=10,INDEX(VN_국채일별!$F$4:$F$1436,MATCH($B139,VN_국채일별!$A$4:$A$1436,1))+(INDEX(VN_국채일별!$G$4:$G$1436,MATCH($B139,VN_국채일별!$A$4:$A$1436,1))-INDEX(VN_국채일별!$F$4:$F$1436,MATCH($B139,VN_국채일별!$A$4:$A$1436,1)))*($J139-7)/3,INDEX(VN_국채일별!$G$4:$G$1436,MATCH($B139,VN_국채일별!$A$4:$A$1436,1)))))))),""))</f>
        <v>0.01863</v>
      </c>
      <c r="R139" s="58" t="n">
        <f aca="false">IF(OR(L139="",Q139=""),"",(L139-Q139)*10000)</f>
        <v>463.7</v>
      </c>
      <c r="S139" s="30" t="n">
        <f aca="false">IF(AND(K139="고정",N139="N",J139&gt;=2,J139&lt;=4,I139&lt;&gt;""),1,0)</f>
        <v>1</v>
      </c>
      <c r="T139" s="59" t="n">
        <f aca="false">IF(S139=1,I139*L139,0)</f>
        <v>162.5</v>
      </c>
      <c r="U139" s="60" t="n">
        <f aca="false">IF(AND(S139=1,ISNUMBER(R139)),I139*R139,0)</f>
        <v>1159250</v>
      </c>
      <c r="V139" s="30" t="n">
        <f aca="false">IF(AND(F139="Big4(국영)",K139="고정",N139="N",I139&lt;&gt;""),1,0)</f>
        <v>0</v>
      </c>
      <c r="W139" s="59" t="n">
        <f aca="false">IF(V139=1,I139*L139,0)</f>
        <v>0</v>
      </c>
      <c r="X139" s="60" t="n">
        <f aca="false">IF(AND(V139=1,ISNUMBER(R139)),I139*R139,0)</f>
        <v>0</v>
      </c>
      <c r="Y139" s="61" t="n">
        <f aca="false">IF(AND(S139=1,ISNUMBER(R139)),I139,0)</f>
        <v>2500</v>
      </c>
      <c r="Z139" s="61" t="n">
        <f aca="false">IF(AND(V139=1,ISNUMBER(R139)),I139,0)</f>
        <v>0</v>
      </c>
    </row>
    <row r="140" customFormat="false" ht="15" hidden="false" customHeight="false" outlineLevel="0" collapsed="false">
      <c r="A140" s="47" t="s">
        <v>413</v>
      </c>
      <c r="B140" s="52" t="n">
        <v>45152</v>
      </c>
      <c r="C140" s="53" t="n">
        <f aca="false">DATE(YEAR(B140),MONTH(B140),1)</f>
        <v>45139</v>
      </c>
      <c r="D140" s="5" t="str">
        <f aca="false">YEAR(B140)&amp;"Q"&amp;ROUNDUP(MONTH(B140)/3,0)</f>
        <v>2023Q3</v>
      </c>
      <c r="E140" s="47" t="s">
        <v>323</v>
      </c>
      <c r="F140" s="54" t="s">
        <v>139</v>
      </c>
      <c r="G140" s="47" t="s">
        <v>324</v>
      </c>
      <c r="H140" s="47" t="s">
        <v>419</v>
      </c>
      <c r="I140" s="55" t="n">
        <v>800</v>
      </c>
      <c r="J140" s="56" t="n">
        <v>3</v>
      </c>
      <c r="K140" s="54" t="s">
        <v>142</v>
      </c>
      <c r="L140" s="57" t="n">
        <v>0.065</v>
      </c>
      <c r="N140" s="47" t="s">
        <v>148</v>
      </c>
      <c r="O140" s="47" t="s">
        <v>417</v>
      </c>
      <c r="P140" s="47"/>
      <c r="Q140" s="48" t="n">
        <f aca="false">IF($J140="","",IFERROR(IF($J140&lt;=1,INDEX(VN_국채일별!$B$4:$B$1436,MATCH($B140,VN_국채일별!$A$4:$A$1436,1)),IF($J140&lt;=2,INDEX(VN_국채일별!$B$4:$B$1436,MATCH($B140,VN_국채일별!$A$4:$A$1436,1))+(INDEX(VN_국채일별!$C$4:$C$1436,MATCH($B140,VN_국채일별!$A$4:$A$1436,1))-INDEX(VN_국채일별!$B$4:$B$1436,MATCH($B140,VN_국채일별!$A$4:$A$1436,1)))*($J140-1),IF($J140&lt;=3,INDEX(VN_국채일별!$C$4:$C$1436,MATCH($B140,VN_국채일별!$A$4:$A$1436,1))+(INDEX(VN_국채일별!$D$4:$D$1436,MATCH($B140,VN_국채일별!$A$4:$A$1436,1))-INDEX(VN_국채일별!$C$4:$C$1436,MATCH($B140,VN_국채일별!$A$4:$A$1436,1)))*($J140-2),IF($J140&lt;=5,INDEX(VN_국채일별!$D$4:$D$1436,MATCH($B140,VN_국채일별!$A$4:$A$1436,1))+(INDEX(VN_국채일별!$E$4:$E$1436,MATCH($B140,VN_국채일별!$A$4:$A$1436,1))-INDEX(VN_국채일별!$D$4:$D$1436,MATCH($B140,VN_국채일별!$A$4:$A$1436,1)))*($J140-3)/2,IF($J140&lt;=7,INDEX(VN_국채일별!$E$4:$E$1436,MATCH($B140,VN_국채일별!$A$4:$A$1436,1))+(INDEX(VN_국채일별!$F$4:$F$1436,MATCH($B140,VN_국채일별!$A$4:$A$1436,1))-INDEX(VN_국채일별!$E$4:$E$1436,MATCH($B140,VN_국채일별!$A$4:$A$1436,1)))*($J140-5)/2,IF($J140&lt;=10,INDEX(VN_국채일별!$F$4:$F$1436,MATCH($B140,VN_국채일별!$A$4:$A$1436,1))+(INDEX(VN_국채일별!$G$4:$G$1436,MATCH($B140,VN_국채일별!$A$4:$A$1436,1))-INDEX(VN_국채일별!$F$4:$F$1436,MATCH($B140,VN_국채일별!$A$4:$A$1436,1)))*($J140-7)/3,INDEX(VN_국채일별!$G$4:$G$1436,MATCH($B140,VN_국채일별!$A$4:$A$1436,1)))))))),""))</f>
        <v>0.01854</v>
      </c>
      <c r="R140" s="58" t="n">
        <f aca="false">IF(OR(L140="",Q140=""),"",(L140-Q140)*10000)</f>
        <v>464.6</v>
      </c>
      <c r="S140" s="30" t="n">
        <f aca="false">IF(AND(K140="고정",N140="N",J140&gt;=2,J140&lt;=4,I140&lt;&gt;""),1,0)</f>
        <v>1</v>
      </c>
      <c r="T140" s="59" t="n">
        <f aca="false">IF(S140=1,I140*L140,0)</f>
        <v>52</v>
      </c>
      <c r="U140" s="60" t="n">
        <f aca="false">IF(AND(S140=1,ISNUMBER(R140)),I140*R140,0)</f>
        <v>371680</v>
      </c>
      <c r="V140" s="30" t="n">
        <f aca="false">IF(AND(F140="Big4(국영)",K140="고정",N140="N",I140&lt;&gt;""),1,0)</f>
        <v>0</v>
      </c>
      <c r="W140" s="59" t="n">
        <f aca="false">IF(V140=1,I140*L140,0)</f>
        <v>0</v>
      </c>
      <c r="X140" s="60" t="n">
        <f aca="false">IF(AND(V140=1,ISNUMBER(R140)),I140*R140,0)</f>
        <v>0</v>
      </c>
      <c r="Y140" s="61" t="n">
        <f aca="false">IF(AND(S140=1,ISNUMBER(R140)),I140,0)</f>
        <v>800</v>
      </c>
      <c r="Z140" s="61" t="n">
        <f aca="false">IF(AND(V140=1,ISNUMBER(R140)),I140,0)</f>
        <v>0</v>
      </c>
    </row>
    <row r="141" customFormat="false" ht="15" hidden="false" customHeight="false" outlineLevel="0" collapsed="false">
      <c r="A141" s="47" t="s">
        <v>413</v>
      </c>
      <c r="B141" s="52" t="n">
        <v>45153</v>
      </c>
      <c r="C141" s="53" t="n">
        <f aca="false">DATE(YEAR(B141),MONTH(B141),1)</f>
        <v>45139</v>
      </c>
      <c r="D141" s="5" t="str">
        <f aca="false">YEAR(B141)&amp;"Q"&amp;ROUNDUP(MONTH(B141)/3,0)</f>
        <v>2023Q3</v>
      </c>
      <c r="E141" s="47" t="s">
        <v>254</v>
      </c>
      <c r="F141" s="54" t="s">
        <v>139</v>
      </c>
      <c r="G141" s="47" t="s">
        <v>339</v>
      </c>
      <c r="H141" s="47" t="s">
        <v>420</v>
      </c>
      <c r="I141" s="55" t="n">
        <v>1500</v>
      </c>
      <c r="J141" s="56" t="n">
        <v>2</v>
      </c>
      <c r="K141" s="54" t="s">
        <v>142</v>
      </c>
      <c r="L141" s="57" t="n">
        <v>0.065</v>
      </c>
      <c r="N141" s="47" t="s">
        <v>148</v>
      </c>
      <c r="O141" s="47" t="s">
        <v>417</v>
      </c>
      <c r="P141" s="47"/>
      <c r="Q141" s="48" t="n">
        <f aca="false">IF($J141="","",IFERROR(IF($J141&lt;=1,INDEX(VN_국채일별!$B$4:$B$1436,MATCH($B141,VN_국채일별!$A$4:$A$1436,1)),IF($J141&lt;=2,INDEX(VN_국채일별!$B$4:$B$1436,MATCH($B141,VN_국채일별!$A$4:$A$1436,1))+(INDEX(VN_국채일별!$C$4:$C$1436,MATCH($B141,VN_국채일별!$A$4:$A$1436,1))-INDEX(VN_국채일별!$B$4:$B$1436,MATCH($B141,VN_국채일별!$A$4:$A$1436,1)))*($J141-1),IF($J141&lt;=3,INDEX(VN_국채일별!$C$4:$C$1436,MATCH($B141,VN_국채일별!$A$4:$A$1436,1))+(INDEX(VN_국채일별!$D$4:$D$1436,MATCH($B141,VN_국채일별!$A$4:$A$1436,1))-INDEX(VN_국채일별!$C$4:$C$1436,MATCH($B141,VN_국채일별!$A$4:$A$1436,1)))*($J141-2),IF($J141&lt;=5,INDEX(VN_국채일별!$D$4:$D$1436,MATCH($B141,VN_국채일별!$A$4:$A$1436,1))+(INDEX(VN_국채일별!$E$4:$E$1436,MATCH($B141,VN_국채일별!$A$4:$A$1436,1))-INDEX(VN_국채일별!$D$4:$D$1436,MATCH($B141,VN_국채일별!$A$4:$A$1436,1)))*($J141-3)/2,IF($J141&lt;=7,INDEX(VN_국채일별!$E$4:$E$1436,MATCH($B141,VN_국채일별!$A$4:$A$1436,1))+(INDEX(VN_국채일별!$F$4:$F$1436,MATCH($B141,VN_국채일별!$A$4:$A$1436,1))-INDEX(VN_국채일별!$E$4:$E$1436,MATCH($B141,VN_국채일별!$A$4:$A$1436,1)))*($J141-5)/2,IF($J141&lt;=10,INDEX(VN_국채일별!$F$4:$F$1436,MATCH($B141,VN_국채일별!$A$4:$A$1436,1))+(INDEX(VN_국채일별!$G$4:$G$1436,MATCH($B141,VN_국채일별!$A$4:$A$1436,1))-INDEX(VN_국채일별!$F$4:$F$1436,MATCH($B141,VN_국채일별!$A$4:$A$1436,1)))*($J141-7)/3,INDEX(VN_국채일별!$G$4:$G$1436,MATCH($B141,VN_국채일별!$A$4:$A$1436,1)))))))),""))</f>
        <v>0.01868</v>
      </c>
      <c r="R141" s="58" t="n">
        <f aca="false">IF(OR(L141="",Q141=""),"",(L141-Q141)*10000)</f>
        <v>463.2</v>
      </c>
      <c r="S141" s="30" t="n">
        <f aca="false">IF(AND(K141="고정",N141="N",J141&gt;=2,J141&lt;=4,I141&lt;&gt;""),1,0)</f>
        <v>1</v>
      </c>
      <c r="T141" s="59" t="n">
        <f aca="false">IF(S141=1,I141*L141,0)</f>
        <v>97.5</v>
      </c>
      <c r="U141" s="60" t="n">
        <f aca="false">IF(AND(S141=1,ISNUMBER(R141)),I141*R141,0)</f>
        <v>694800</v>
      </c>
      <c r="V141" s="30" t="n">
        <f aca="false">IF(AND(F141="Big4(국영)",K141="고정",N141="N",I141&lt;&gt;""),1,0)</f>
        <v>0</v>
      </c>
      <c r="W141" s="59" t="n">
        <f aca="false">IF(V141=1,I141*L141,0)</f>
        <v>0</v>
      </c>
      <c r="X141" s="60" t="n">
        <f aca="false">IF(AND(V141=1,ISNUMBER(R141)),I141*R141,0)</f>
        <v>0</v>
      </c>
      <c r="Y141" s="61" t="n">
        <f aca="false">IF(AND(S141=1,ISNUMBER(R141)),I141,0)</f>
        <v>1500</v>
      </c>
      <c r="Z141" s="61" t="n">
        <f aca="false">IF(AND(V141=1,ISNUMBER(R141)),I141,0)</f>
        <v>0</v>
      </c>
    </row>
    <row r="142" customFormat="false" ht="15" hidden="false" customHeight="false" outlineLevel="0" collapsed="false">
      <c r="A142" s="47" t="s">
        <v>413</v>
      </c>
      <c r="B142" s="52" t="n">
        <v>45156</v>
      </c>
      <c r="C142" s="53" t="n">
        <f aca="false">DATE(YEAR(B142),MONTH(B142),1)</f>
        <v>45139</v>
      </c>
      <c r="D142" s="5" t="str">
        <f aca="false">YEAR(B142)&amp;"Q"&amp;ROUNDUP(MONTH(B142)/3,0)</f>
        <v>2023Q3</v>
      </c>
      <c r="E142" s="47" t="s">
        <v>181</v>
      </c>
      <c r="F142" s="54" t="s">
        <v>139</v>
      </c>
      <c r="G142" s="47" t="s">
        <v>182</v>
      </c>
      <c r="H142" s="47" t="s">
        <v>421</v>
      </c>
      <c r="I142" s="55" t="n">
        <v>2000</v>
      </c>
      <c r="J142" s="56" t="n">
        <v>3</v>
      </c>
      <c r="K142" s="54" t="s">
        <v>142</v>
      </c>
      <c r="L142" s="57" t="n">
        <v>0.066</v>
      </c>
      <c r="N142" s="47" t="s">
        <v>148</v>
      </c>
      <c r="O142" s="47" t="s">
        <v>422</v>
      </c>
      <c r="P142" s="47"/>
      <c r="Q142" s="48" t="n">
        <f aca="false">IF($J142="","",IFERROR(IF($J142&lt;=1,INDEX(VN_국채일별!$B$4:$B$1436,MATCH($B142,VN_국채일별!$A$4:$A$1436,1)),IF($J142&lt;=2,INDEX(VN_국채일별!$B$4:$B$1436,MATCH($B142,VN_국채일별!$A$4:$A$1436,1))+(INDEX(VN_국채일별!$C$4:$C$1436,MATCH($B142,VN_국채일별!$A$4:$A$1436,1))-INDEX(VN_국채일별!$B$4:$B$1436,MATCH($B142,VN_국채일별!$A$4:$A$1436,1)))*($J142-1),IF($J142&lt;=3,INDEX(VN_국채일별!$C$4:$C$1436,MATCH($B142,VN_국채일별!$A$4:$A$1436,1))+(INDEX(VN_국채일별!$D$4:$D$1436,MATCH($B142,VN_국채일별!$A$4:$A$1436,1))-INDEX(VN_국채일별!$C$4:$C$1436,MATCH($B142,VN_국채일별!$A$4:$A$1436,1)))*($J142-2),IF($J142&lt;=5,INDEX(VN_국채일별!$D$4:$D$1436,MATCH($B142,VN_국채일별!$A$4:$A$1436,1))+(INDEX(VN_국채일별!$E$4:$E$1436,MATCH($B142,VN_국채일별!$A$4:$A$1436,1))-INDEX(VN_국채일별!$D$4:$D$1436,MATCH($B142,VN_국채일별!$A$4:$A$1436,1)))*($J142-3)/2,IF($J142&lt;=7,INDEX(VN_국채일별!$E$4:$E$1436,MATCH($B142,VN_국채일별!$A$4:$A$1436,1))+(INDEX(VN_국채일별!$F$4:$F$1436,MATCH($B142,VN_국채일별!$A$4:$A$1436,1))-INDEX(VN_국채일별!$E$4:$E$1436,MATCH($B142,VN_국채일별!$A$4:$A$1436,1)))*($J142-5)/2,IF($J142&lt;=10,INDEX(VN_국채일별!$F$4:$F$1436,MATCH($B142,VN_국채일별!$A$4:$A$1436,1))+(INDEX(VN_국채일별!$G$4:$G$1436,MATCH($B142,VN_국채일별!$A$4:$A$1436,1))-INDEX(VN_국채일별!$F$4:$F$1436,MATCH($B142,VN_국채일별!$A$4:$A$1436,1)))*($J142-7)/3,INDEX(VN_국채일별!$G$4:$G$1436,MATCH($B142,VN_국채일별!$A$4:$A$1436,1)))))))),""))</f>
        <v>0.01854</v>
      </c>
      <c r="R142" s="58" t="n">
        <f aca="false">IF(OR(L142="",Q142=""),"",(L142-Q142)*10000)</f>
        <v>474.6</v>
      </c>
      <c r="S142" s="30" t="n">
        <f aca="false">IF(AND(K142="고정",N142="N",J142&gt;=2,J142&lt;=4,I142&lt;&gt;""),1,0)</f>
        <v>1</v>
      </c>
      <c r="T142" s="59" t="n">
        <f aca="false">IF(S142=1,I142*L142,0)</f>
        <v>132</v>
      </c>
      <c r="U142" s="60" t="n">
        <f aca="false">IF(AND(S142=1,ISNUMBER(R142)),I142*R142,0)</f>
        <v>949200</v>
      </c>
      <c r="V142" s="30" t="n">
        <f aca="false">IF(AND(F142="Big4(국영)",K142="고정",N142="N",I142&lt;&gt;""),1,0)</f>
        <v>0</v>
      </c>
      <c r="W142" s="59" t="n">
        <f aca="false">IF(V142=1,I142*L142,0)</f>
        <v>0</v>
      </c>
      <c r="X142" s="60" t="n">
        <f aca="false">IF(AND(V142=1,ISNUMBER(R142)),I142*R142,0)</f>
        <v>0</v>
      </c>
      <c r="Y142" s="61" t="n">
        <f aca="false">IF(AND(S142=1,ISNUMBER(R142)),I142,0)</f>
        <v>2000</v>
      </c>
      <c r="Z142" s="61" t="n">
        <f aca="false">IF(AND(V142=1,ISNUMBER(R142)),I142,0)</f>
        <v>0</v>
      </c>
    </row>
    <row r="143" customFormat="false" ht="15" hidden="false" customHeight="false" outlineLevel="0" collapsed="false">
      <c r="A143" s="47" t="s">
        <v>413</v>
      </c>
      <c r="B143" s="52" t="n">
        <v>45163</v>
      </c>
      <c r="C143" s="53" t="n">
        <f aca="false">DATE(YEAR(B143),MONTH(B143),1)</f>
        <v>45139</v>
      </c>
      <c r="D143" s="5" t="str">
        <f aca="false">YEAR(B143)&amp;"Q"&amp;ROUNDUP(MONTH(B143)/3,0)</f>
        <v>2023Q3</v>
      </c>
      <c r="E143" s="47" t="s">
        <v>166</v>
      </c>
      <c r="F143" s="54" t="s">
        <v>139</v>
      </c>
      <c r="G143" s="47" t="s">
        <v>167</v>
      </c>
      <c r="H143" s="47" t="s">
        <v>423</v>
      </c>
      <c r="I143" s="55" t="n">
        <v>2000</v>
      </c>
      <c r="J143" s="56" t="n">
        <v>2</v>
      </c>
      <c r="K143" s="54" t="s">
        <v>142</v>
      </c>
      <c r="L143" s="57" t="n">
        <v>0.064</v>
      </c>
      <c r="N143" s="47" t="s">
        <v>148</v>
      </c>
      <c r="O143" s="47" t="s">
        <v>424</v>
      </c>
      <c r="P143" s="47"/>
      <c r="Q143" s="48" t="n">
        <f aca="false">IF($J143="","",IFERROR(IF($J143&lt;=1,INDEX(VN_국채일별!$B$4:$B$1436,MATCH($B143,VN_국채일별!$A$4:$A$1436,1)),IF($J143&lt;=2,INDEX(VN_국채일별!$B$4:$B$1436,MATCH($B143,VN_국채일별!$A$4:$A$1436,1))+(INDEX(VN_국채일별!$C$4:$C$1436,MATCH($B143,VN_국채일별!$A$4:$A$1436,1))-INDEX(VN_국채일별!$B$4:$B$1436,MATCH($B143,VN_국채일별!$A$4:$A$1436,1)))*($J143-1),IF($J143&lt;=3,INDEX(VN_국채일별!$C$4:$C$1436,MATCH($B143,VN_국채일별!$A$4:$A$1436,1))+(INDEX(VN_국채일별!$D$4:$D$1436,MATCH($B143,VN_국채일별!$A$4:$A$1436,1))-INDEX(VN_국채일별!$C$4:$C$1436,MATCH($B143,VN_국채일별!$A$4:$A$1436,1)))*($J143-2),IF($J143&lt;=5,INDEX(VN_국채일별!$D$4:$D$1436,MATCH($B143,VN_국채일별!$A$4:$A$1436,1))+(INDEX(VN_국채일별!$E$4:$E$1436,MATCH($B143,VN_국채일별!$A$4:$A$1436,1))-INDEX(VN_국채일별!$D$4:$D$1436,MATCH($B143,VN_국채일별!$A$4:$A$1436,1)))*($J143-3)/2,IF($J143&lt;=7,INDEX(VN_국채일별!$E$4:$E$1436,MATCH($B143,VN_국채일별!$A$4:$A$1436,1))+(INDEX(VN_국채일별!$F$4:$F$1436,MATCH($B143,VN_국채일별!$A$4:$A$1436,1))-INDEX(VN_국채일별!$E$4:$E$1436,MATCH($B143,VN_국채일별!$A$4:$A$1436,1)))*($J143-5)/2,IF($J143&lt;=10,INDEX(VN_국채일별!$F$4:$F$1436,MATCH($B143,VN_국채일별!$A$4:$A$1436,1))+(INDEX(VN_국채일별!$G$4:$G$1436,MATCH($B143,VN_국채일별!$A$4:$A$1436,1))-INDEX(VN_국채일별!$F$4:$F$1436,MATCH($B143,VN_국채일별!$A$4:$A$1436,1)))*($J143-7)/3,INDEX(VN_국채일별!$G$4:$G$1436,MATCH($B143,VN_국채일별!$A$4:$A$1436,1)))))))),""))</f>
        <v>0.01867</v>
      </c>
      <c r="R143" s="58" t="n">
        <f aca="false">IF(OR(L143="",Q143=""),"",(L143-Q143)*10000)</f>
        <v>453.3</v>
      </c>
      <c r="S143" s="30" t="n">
        <f aca="false">IF(AND(K143="고정",N143="N",J143&gt;=2,J143&lt;=4,I143&lt;&gt;""),1,0)</f>
        <v>1</v>
      </c>
      <c r="T143" s="59" t="n">
        <f aca="false">IF(S143=1,I143*L143,0)</f>
        <v>128</v>
      </c>
      <c r="U143" s="60" t="n">
        <f aca="false">IF(AND(S143=1,ISNUMBER(R143)),I143*R143,0)</f>
        <v>906600</v>
      </c>
      <c r="V143" s="30" t="n">
        <f aca="false">IF(AND(F143="Big4(국영)",K143="고정",N143="N",I143&lt;&gt;""),1,0)</f>
        <v>0</v>
      </c>
      <c r="W143" s="59" t="n">
        <f aca="false">IF(V143=1,I143*L143,0)</f>
        <v>0</v>
      </c>
      <c r="X143" s="60" t="n">
        <f aca="false">IF(AND(V143=1,ISNUMBER(R143)),I143*R143,0)</f>
        <v>0</v>
      </c>
      <c r="Y143" s="61" t="n">
        <f aca="false">IF(AND(S143=1,ISNUMBER(R143)),I143,0)</f>
        <v>2000</v>
      </c>
      <c r="Z143" s="61" t="n">
        <f aca="false">IF(AND(V143=1,ISNUMBER(R143)),I143,0)</f>
        <v>0</v>
      </c>
    </row>
    <row r="144" customFormat="false" ht="15" hidden="false" customHeight="false" outlineLevel="0" collapsed="false">
      <c r="A144" s="47" t="s">
        <v>413</v>
      </c>
      <c r="B144" s="52" t="n">
        <v>45166</v>
      </c>
      <c r="C144" s="53" t="n">
        <f aca="false">DATE(YEAR(B144),MONTH(B144),1)</f>
        <v>45139</v>
      </c>
      <c r="D144" s="5" t="str">
        <f aca="false">YEAR(B144)&amp;"Q"&amp;ROUNDUP(MONTH(B144)/3,0)</f>
        <v>2023Q3</v>
      </c>
      <c r="E144" s="47" t="s">
        <v>166</v>
      </c>
      <c r="F144" s="54" t="s">
        <v>139</v>
      </c>
      <c r="G144" s="47" t="s">
        <v>167</v>
      </c>
      <c r="H144" s="47" t="s">
        <v>425</v>
      </c>
      <c r="I144" s="55" t="n">
        <v>1000</v>
      </c>
      <c r="J144" s="56" t="n">
        <v>2</v>
      </c>
      <c r="K144" s="54" t="s">
        <v>142</v>
      </c>
      <c r="L144" s="57" t="n">
        <v>0.066</v>
      </c>
      <c r="N144" s="47" t="s">
        <v>148</v>
      </c>
      <c r="O144" s="47" t="s">
        <v>422</v>
      </c>
      <c r="P144" s="47"/>
      <c r="Q144" s="48" t="n">
        <f aca="false">IF($J144="","",IFERROR(IF($J144&lt;=1,INDEX(VN_국채일별!$B$4:$B$1436,MATCH($B144,VN_국채일별!$A$4:$A$1436,1)),IF($J144&lt;=2,INDEX(VN_국채일별!$B$4:$B$1436,MATCH($B144,VN_국채일별!$A$4:$A$1436,1))+(INDEX(VN_국채일별!$C$4:$C$1436,MATCH($B144,VN_국채일별!$A$4:$A$1436,1))-INDEX(VN_국채일별!$B$4:$B$1436,MATCH($B144,VN_국채일별!$A$4:$A$1436,1)))*($J144-1),IF($J144&lt;=3,INDEX(VN_국채일별!$C$4:$C$1436,MATCH($B144,VN_국채일별!$A$4:$A$1436,1))+(INDEX(VN_국채일별!$D$4:$D$1436,MATCH($B144,VN_국채일별!$A$4:$A$1436,1))-INDEX(VN_국채일별!$C$4:$C$1436,MATCH($B144,VN_국채일별!$A$4:$A$1436,1)))*($J144-2),IF($J144&lt;=5,INDEX(VN_국채일별!$D$4:$D$1436,MATCH($B144,VN_국채일별!$A$4:$A$1436,1))+(INDEX(VN_국채일별!$E$4:$E$1436,MATCH($B144,VN_국채일별!$A$4:$A$1436,1))-INDEX(VN_국채일별!$D$4:$D$1436,MATCH($B144,VN_국채일별!$A$4:$A$1436,1)))*($J144-3)/2,IF($J144&lt;=7,INDEX(VN_국채일별!$E$4:$E$1436,MATCH($B144,VN_국채일별!$A$4:$A$1436,1))+(INDEX(VN_국채일별!$F$4:$F$1436,MATCH($B144,VN_국채일별!$A$4:$A$1436,1))-INDEX(VN_국채일별!$E$4:$E$1436,MATCH($B144,VN_국채일별!$A$4:$A$1436,1)))*($J144-5)/2,IF($J144&lt;=10,INDEX(VN_국채일별!$F$4:$F$1436,MATCH($B144,VN_국채일별!$A$4:$A$1436,1))+(INDEX(VN_국채일별!$G$4:$G$1436,MATCH($B144,VN_국채일별!$A$4:$A$1436,1))-INDEX(VN_국채일별!$F$4:$F$1436,MATCH($B144,VN_국채일별!$A$4:$A$1436,1)))*($J144-7)/3,INDEX(VN_국채일별!$G$4:$G$1436,MATCH($B144,VN_국채일별!$A$4:$A$1436,1)))))))),""))</f>
        <v>0.01867</v>
      </c>
      <c r="R144" s="58" t="n">
        <f aca="false">IF(OR(L144="",Q144=""),"",(L144-Q144)*10000)</f>
        <v>473.3</v>
      </c>
      <c r="S144" s="30" t="n">
        <f aca="false">IF(AND(K144="고정",N144="N",J144&gt;=2,J144&lt;=4,I144&lt;&gt;""),1,0)</f>
        <v>1</v>
      </c>
      <c r="T144" s="59" t="n">
        <f aca="false">IF(S144=1,I144*L144,0)</f>
        <v>66</v>
      </c>
      <c r="U144" s="60" t="n">
        <f aca="false">IF(AND(S144=1,ISNUMBER(R144)),I144*R144,0)</f>
        <v>473300</v>
      </c>
      <c r="V144" s="30" t="n">
        <f aca="false">IF(AND(F144="Big4(국영)",K144="고정",N144="N",I144&lt;&gt;""),1,0)</f>
        <v>0</v>
      </c>
      <c r="W144" s="59" t="n">
        <f aca="false">IF(V144=1,I144*L144,0)</f>
        <v>0</v>
      </c>
      <c r="X144" s="60" t="n">
        <f aca="false">IF(AND(V144=1,ISNUMBER(R144)),I144*R144,0)</f>
        <v>0</v>
      </c>
      <c r="Y144" s="61" t="n">
        <f aca="false">IF(AND(S144=1,ISNUMBER(R144)),I144,0)</f>
        <v>1000</v>
      </c>
      <c r="Z144" s="61" t="n">
        <f aca="false">IF(AND(V144=1,ISNUMBER(R144)),I144,0)</f>
        <v>0</v>
      </c>
    </row>
    <row r="145" customFormat="false" ht="15" hidden="false" customHeight="false" outlineLevel="0" collapsed="false">
      <c r="A145" s="47" t="s">
        <v>426</v>
      </c>
      <c r="B145" s="52" t="n">
        <v>45180</v>
      </c>
      <c r="C145" s="53" t="n">
        <f aca="false">DATE(YEAR(B145),MONTH(B145),1)</f>
        <v>45170</v>
      </c>
      <c r="D145" s="5" t="str">
        <f aca="false">YEAR(B145)&amp;"Q"&amp;ROUNDUP(MONTH(B145)/3,0)</f>
        <v>2023Q3</v>
      </c>
      <c r="E145" s="47" t="s">
        <v>323</v>
      </c>
      <c r="F145" s="54" t="s">
        <v>139</v>
      </c>
      <c r="G145" s="47" t="s">
        <v>324</v>
      </c>
      <c r="H145" s="47" t="s">
        <v>427</v>
      </c>
      <c r="I145" s="55" t="n">
        <v>500</v>
      </c>
      <c r="J145" s="56" t="n">
        <v>3</v>
      </c>
      <c r="K145" s="54" t="s">
        <v>142</v>
      </c>
      <c r="L145" s="57" t="n">
        <v>0.065</v>
      </c>
      <c r="N145" s="47" t="s">
        <v>148</v>
      </c>
      <c r="O145" s="47" t="s">
        <v>417</v>
      </c>
      <c r="P145" s="47"/>
      <c r="Q145" s="48" t="n">
        <f aca="false">IF($J145="","",IFERROR(IF($J145&lt;=1,INDEX(VN_국채일별!$B$4:$B$1436,MATCH($B145,VN_국채일별!$A$4:$A$1436,1)),IF($J145&lt;=2,INDEX(VN_국채일별!$B$4:$B$1436,MATCH($B145,VN_국채일별!$A$4:$A$1436,1))+(INDEX(VN_국채일별!$C$4:$C$1436,MATCH($B145,VN_국채일별!$A$4:$A$1436,1))-INDEX(VN_국채일별!$B$4:$B$1436,MATCH($B145,VN_국채일별!$A$4:$A$1436,1)))*($J145-1),IF($J145&lt;=3,INDEX(VN_국채일별!$C$4:$C$1436,MATCH($B145,VN_국채일별!$A$4:$A$1436,1))+(INDEX(VN_국채일별!$D$4:$D$1436,MATCH($B145,VN_국채일별!$A$4:$A$1436,1))-INDEX(VN_국채일별!$C$4:$C$1436,MATCH($B145,VN_국채일별!$A$4:$A$1436,1)))*($J145-2),IF($J145&lt;=5,INDEX(VN_국채일별!$D$4:$D$1436,MATCH($B145,VN_국채일별!$A$4:$A$1436,1))+(INDEX(VN_국채일별!$E$4:$E$1436,MATCH($B145,VN_국채일별!$A$4:$A$1436,1))-INDEX(VN_국채일별!$D$4:$D$1436,MATCH($B145,VN_국채일별!$A$4:$A$1436,1)))*($J145-3)/2,IF($J145&lt;=7,INDEX(VN_국채일별!$E$4:$E$1436,MATCH($B145,VN_국채일별!$A$4:$A$1436,1))+(INDEX(VN_국채일별!$F$4:$F$1436,MATCH($B145,VN_국채일별!$A$4:$A$1436,1))-INDEX(VN_국채일별!$E$4:$E$1436,MATCH($B145,VN_국채일별!$A$4:$A$1436,1)))*($J145-5)/2,IF($J145&lt;=10,INDEX(VN_국채일별!$F$4:$F$1436,MATCH($B145,VN_국채일별!$A$4:$A$1436,1))+(INDEX(VN_국채일별!$G$4:$G$1436,MATCH($B145,VN_국채일별!$A$4:$A$1436,1))-INDEX(VN_국채일별!$F$4:$F$1436,MATCH($B145,VN_국채일별!$A$4:$A$1436,1)))*($J145-7)/3,INDEX(VN_국채일별!$G$4:$G$1436,MATCH($B145,VN_국채일별!$A$4:$A$1436,1)))))))),""))</f>
        <v>0.01848</v>
      </c>
      <c r="R145" s="58" t="n">
        <f aca="false">IF(OR(L145="",Q145=""),"",(L145-Q145)*10000)</f>
        <v>465.2</v>
      </c>
      <c r="S145" s="30" t="n">
        <f aca="false">IF(AND(K145="고정",N145="N",J145&gt;=2,J145&lt;=4,I145&lt;&gt;""),1,0)</f>
        <v>1</v>
      </c>
      <c r="T145" s="59" t="n">
        <f aca="false">IF(S145=1,I145*L145,0)</f>
        <v>32.5</v>
      </c>
      <c r="U145" s="60" t="n">
        <f aca="false">IF(AND(S145=1,ISNUMBER(R145)),I145*R145,0)</f>
        <v>232600</v>
      </c>
      <c r="V145" s="30" t="n">
        <f aca="false">IF(AND(F145="Big4(국영)",K145="고정",N145="N",I145&lt;&gt;""),1,0)</f>
        <v>0</v>
      </c>
      <c r="W145" s="59" t="n">
        <f aca="false">IF(V145=1,I145*L145,0)</f>
        <v>0</v>
      </c>
      <c r="X145" s="60" t="n">
        <f aca="false">IF(AND(V145=1,ISNUMBER(R145)),I145*R145,0)</f>
        <v>0</v>
      </c>
      <c r="Y145" s="61" t="n">
        <f aca="false">IF(AND(S145=1,ISNUMBER(R145)),I145,0)</f>
        <v>500</v>
      </c>
      <c r="Z145" s="61" t="n">
        <f aca="false">IF(AND(V145=1,ISNUMBER(R145)),I145,0)</f>
        <v>0</v>
      </c>
    </row>
    <row r="146" customFormat="false" ht="15" hidden="false" customHeight="false" outlineLevel="0" collapsed="false">
      <c r="A146" s="47" t="s">
        <v>426</v>
      </c>
      <c r="B146" s="52" t="n">
        <v>45181</v>
      </c>
      <c r="C146" s="53" t="n">
        <f aca="false">DATE(YEAR(B146),MONTH(B146),1)</f>
        <v>45170</v>
      </c>
      <c r="D146" s="5" t="str">
        <f aca="false">YEAR(B146)&amp;"Q"&amp;ROUNDUP(MONTH(B146)/3,0)</f>
        <v>2023Q3</v>
      </c>
      <c r="E146" s="47" t="s">
        <v>254</v>
      </c>
      <c r="F146" s="54" t="s">
        <v>139</v>
      </c>
      <c r="G146" s="47" t="s">
        <v>339</v>
      </c>
      <c r="H146" s="47" t="s">
        <v>428</v>
      </c>
      <c r="I146" s="55" t="n">
        <v>5000</v>
      </c>
      <c r="J146" s="56" t="n">
        <v>2</v>
      </c>
      <c r="K146" s="54" t="s">
        <v>142</v>
      </c>
      <c r="L146" s="57" t="n">
        <v>0.065</v>
      </c>
      <c r="N146" s="47" t="s">
        <v>148</v>
      </c>
      <c r="O146" s="47" t="s">
        <v>417</v>
      </c>
      <c r="P146" s="47"/>
      <c r="Q146" s="48" t="n">
        <f aca="false">IF($J146="","",IFERROR(IF($J146&lt;=1,INDEX(VN_국채일별!$B$4:$B$1436,MATCH($B146,VN_국채일별!$A$4:$A$1436,1)),IF($J146&lt;=2,INDEX(VN_국채일별!$B$4:$B$1436,MATCH($B146,VN_국채일별!$A$4:$A$1436,1))+(INDEX(VN_국채일별!$C$4:$C$1436,MATCH($B146,VN_국채일별!$A$4:$A$1436,1))-INDEX(VN_국채일별!$B$4:$B$1436,MATCH($B146,VN_국채일별!$A$4:$A$1436,1)))*($J146-1),IF($J146&lt;=3,INDEX(VN_국채일별!$C$4:$C$1436,MATCH($B146,VN_국채일별!$A$4:$A$1436,1))+(INDEX(VN_국채일별!$D$4:$D$1436,MATCH($B146,VN_국채일별!$A$4:$A$1436,1))-INDEX(VN_국채일별!$C$4:$C$1436,MATCH($B146,VN_국채일별!$A$4:$A$1436,1)))*($J146-2),IF($J146&lt;=5,INDEX(VN_국채일별!$D$4:$D$1436,MATCH($B146,VN_국채일별!$A$4:$A$1436,1))+(INDEX(VN_국채일별!$E$4:$E$1436,MATCH($B146,VN_국채일별!$A$4:$A$1436,1))-INDEX(VN_국채일별!$D$4:$D$1436,MATCH($B146,VN_국채일별!$A$4:$A$1436,1)))*($J146-3)/2,IF($J146&lt;=7,INDEX(VN_국채일별!$E$4:$E$1436,MATCH($B146,VN_국채일별!$A$4:$A$1436,1))+(INDEX(VN_국채일별!$F$4:$F$1436,MATCH($B146,VN_국채일별!$A$4:$A$1436,1))-INDEX(VN_국채일별!$E$4:$E$1436,MATCH($B146,VN_국채일별!$A$4:$A$1436,1)))*($J146-5)/2,IF($J146&lt;=10,INDEX(VN_국채일별!$F$4:$F$1436,MATCH($B146,VN_국채일별!$A$4:$A$1436,1))+(INDEX(VN_국채일별!$G$4:$G$1436,MATCH($B146,VN_국채일별!$A$4:$A$1436,1))-INDEX(VN_국채일별!$F$4:$F$1436,MATCH($B146,VN_국채일별!$A$4:$A$1436,1)))*($J146-7)/3,INDEX(VN_국채일별!$G$4:$G$1436,MATCH($B146,VN_국채일별!$A$4:$A$1436,1)))))))),""))</f>
        <v>0.01868</v>
      </c>
      <c r="R146" s="58" t="n">
        <f aca="false">IF(OR(L146="",Q146=""),"",(L146-Q146)*10000)</f>
        <v>463.2</v>
      </c>
      <c r="S146" s="30" t="n">
        <f aca="false">IF(AND(K146="고정",N146="N",J146&gt;=2,J146&lt;=4,I146&lt;&gt;""),1,0)</f>
        <v>1</v>
      </c>
      <c r="T146" s="59" t="n">
        <f aca="false">IF(S146=1,I146*L146,0)</f>
        <v>325</v>
      </c>
      <c r="U146" s="60" t="n">
        <f aca="false">IF(AND(S146=1,ISNUMBER(R146)),I146*R146,0)</f>
        <v>2316000</v>
      </c>
      <c r="V146" s="30" t="n">
        <f aca="false">IF(AND(F146="Big4(국영)",K146="고정",N146="N",I146&lt;&gt;""),1,0)</f>
        <v>0</v>
      </c>
      <c r="W146" s="59" t="n">
        <f aca="false">IF(V146=1,I146*L146,0)</f>
        <v>0</v>
      </c>
      <c r="X146" s="60" t="n">
        <f aca="false">IF(AND(V146=1,ISNUMBER(R146)),I146*R146,0)</f>
        <v>0</v>
      </c>
      <c r="Y146" s="61" t="n">
        <f aca="false">IF(AND(S146=1,ISNUMBER(R146)),I146,0)</f>
        <v>5000</v>
      </c>
      <c r="Z146" s="61" t="n">
        <f aca="false">IF(AND(V146=1,ISNUMBER(R146)),I146,0)</f>
        <v>0</v>
      </c>
    </row>
    <row r="147" customFormat="false" ht="15" hidden="false" customHeight="false" outlineLevel="0" collapsed="false">
      <c r="A147" s="47" t="s">
        <v>426</v>
      </c>
      <c r="B147" s="52" t="n">
        <v>45182</v>
      </c>
      <c r="C147" s="53" t="n">
        <f aca="false">DATE(YEAR(B147),MONTH(B147),1)</f>
        <v>45170</v>
      </c>
      <c r="D147" s="5" t="str">
        <f aca="false">YEAR(B147)&amp;"Q"&amp;ROUNDUP(MONTH(B147)/3,0)</f>
        <v>2023Q3</v>
      </c>
      <c r="E147" s="62" t="s">
        <v>155</v>
      </c>
      <c r="F147" s="62" t="s">
        <v>156</v>
      </c>
      <c r="G147" s="47" t="s">
        <v>157</v>
      </c>
      <c r="H147" s="47" t="s">
        <v>429</v>
      </c>
      <c r="I147" s="55" t="n">
        <v>200</v>
      </c>
      <c r="J147" s="56" t="n">
        <v>8</v>
      </c>
      <c r="K147" s="54" t="s">
        <v>153</v>
      </c>
      <c r="N147" s="47" t="s">
        <v>143</v>
      </c>
      <c r="O147" s="47" t="s">
        <v>430</v>
      </c>
      <c r="P147" s="47"/>
      <c r="Q147" s="48" t="n">
        <f aca="false">IF($J147="","",IFERROR(IF($J147&lt;=1,INDEX(VN_국채일별!$B$4:$B$1436,MATCH($B147,VN_국채일별!$A$4:$A$1436,1)),IF($J147&lt;=2,INDEX(VN_국채일별!$B$4:$B$1436,MATCH($B147,VN_국채일별!$A$4:$A$1436,1))+(INDEX(VN_국채일별!$C$4:$C$1436,MATCH($B147,VN_국채일별!$A$4:$A$1436,1))-INDEX(VN_국채일별!$B$4:$B$1436,MATCH($B147,VN_국채일별!$A$4:$A$1436,1)))*($J147-1),IF($J147&lt;=3,INDEX(VN_국채일별!$C$4:$C$1436,MATCH($B147,VN_국채일별!$A$4:$A$1436,1))+(INDEX(VN_국채일별!$D$4:$D$1436,MATCH($B147,VN_국채일별!$A$4:$A$1436,1))-INDEX(VN_국채일별!$C$4:$C$1436,MATCH($B147,VN_국채일별!$A$4:$A$1436,1)))*($J147-2),IF($J147&lt;=5,INDEX(VN_국채일별!$D$4:$D$1436,MATCH($B147,VN_국채일별!$A$4:$A$1436,1))+(INDEX(VN_국채일별!$E$4:$E$1436,MATCH($B147,VN_국채일별!$A$4:$A$1436,1))-INDEX(VN_국채일별!$D$4:$D$1436,MATCH($B147,VN_국채일별!$A$4:$A$1436,1)))*($J147-3)/2,IF($J147&lt;=7,INDEX(VN_국채일별!$E$4:$E$1436,MATCH($B147,VN_국채일별!$A$4:$A$1436,1))+(INDEX(VN_국채일별!$F$4:$F$1436,MATCH($B147,VN_국채일별!$A$4:$A$1436,1))-INDEX(VN_국채일별!$E$4:$E$1436,MATCH($B147,VN_국채일별!$A$4:$A$1436,1)))*($J147-5)/2,IF($J147&lt;=10,INDEX(VN_국채일별!$F$4:$F$1436,MATCH($B147,VN_국채일별!$A$4:$A$1436,1))+(INDEX(VN_국채일별!$G$4:$G$1436,MATCH($B147,VN_국채일별!$A$4:$A$1436,1))-INDEX(VN_국채일별!$F$4:$F$1436,MATCH($B147,VN_국채일별!$A$4:$A$1436,1)))*($J147-7)/3,INDEX(VN_국채일별!$G$4:$G$1436,MATCH($B147,VN_국채일별!$A$4:$A$1436,1)))))))),""))</f>
        <v>0.02499</v>
      </c>
      <c r="R147" s="58" t="str">
        <f aca="false">IF(OR(L147="",Q147=""),"",(L147-Q147)*10000)</f>
        <v/>
      </c>
      <c r="S147" s="30" t="n">
        <f aca="false">IF(AND(K147="고정",N147="N",J147&gt;=2,J147&lt;=4,I147&lt;&gt;""),1,0)</f>
        <v>0</v>
      </c>
      <c r="T147" s="59" t="n">
        <f aca="false">IF(S147=1,I147*L147,0)</f>
        <v>0</v>
      </c>
      <c r="U147" s="60" t="n">
        <f aca="false">IF(AND(S147=1,ISNUMBER(R147)),I147*R147,0)</f>
        <v>0</v>
      </c>
      <c r="V147" s="30" t="n">
        <f aca="false">IF(AND(F147="Big4(국영)",K147="고정",N147="N",I147&lt;&gt;""),1,0)</f>
        <v>0</v>
      </c>
      <c r="W147" s="59" t="n">
        <f aca="false">IF(V147=1,I147*L147,0)</f>
        <v>0</v>
      </c>
      <c r="X147" s="60" t="n">
        <f aca="false">IF(AND(V147=1,ISNUMBER(R147)),I147*R147,0)</f>
        <v>0</v>
      </c>
      <c r="Y147" s="61" t="n">
        <f aca="false">IF(AND(S147=1,ISNUMBER(R147)),I147,0)</f>
        <v>0</v>
      </c>
      <c r="Z147" s="61" t="n">
        <f aca="false">IF(AND(V147=1,ISNUMBER(R147)),I147,0)</f>
        <v>0</v>
      </c>
    </row>
    <row r="148" customFormat="false" ht="15" hidden="false" customHeight="false" outlineLevel="0" collapsed="false">
      <c r="A148" s="47" t="s">
        <v>426</v>
      </c>
      <c r="B148" s="52" t="n">
        <v>45188</v>
      </c>
      <c r="C148" s="53" t="n">
        <f aca="false">DATE(YEAR(B148),MONTH(B148),1)</f>
        <v>45170</v>
      </c>
      <c r="D148" s="5" t="str">
        <f aca="false">YEAR(B148)&amp;"Q"&amp;ROUNDUP(MONTH(B148)/3,0)</f>
        <v>2023Q3</v>
      </c>
      <c r="E148" s="47" t="s">
        <v>254</v>
      </c>
      <c r="F148" s="54" t="s">
        <v>139</v>
      </c>
      <c r="G148" s="47" t="s">
        <v>339</v>
      </c>
      <c r="H148" s="47" t="s">
        <v>431</v>
      </c>
      <c r="I148" s="55" t="n">
        <v>2000</v>
      </c>
      <c r="J148" s="56" t="n">
        <v>2</v>
      </c>
      <c r="K148" s="54" t="s">
        <v>142</v>
      </c>
      <c r="L148" s="57" t="n">
        <v>0.065</v>
      </c>
      <c r="N148" s="47" t="s">
        <v>148</v>
      </c>
      <c r="O148" s="47" t="s">
        <v>417</v>
      </c>
      <c r="P148" s="47"/>
      <c r="Q148" s="48" t="n">
        <f aca="false">IF($J148="","",IFERROR(IF($J148&lt;=1,INDEX(VN_국채일별!$B$4:$B$1436,MATCH($B148,VN_국채일별!$A$4:$A$1436,1)),IF($J148&lt;=2,INDEX(VN_국채일별!$B$4:$B$1436,MATCH($B148,VN_국채일별!$A$4:$A$1436,1))+(INDEX(VN_국채일별!$C$4:$C$1436,MATCH($B148,VN_국채일별!$A$4:$A$1436,1))-INDEX(VN_국채일별!$B$4:$B$1436,MATCH($B148,VN_국채일별!$A$4:$A$1436,1)))*($J148-1),IF($J148&lt;=3,INDEX(VN_국채일별!$C$4:$C$1436,MATCH($B148,VN_국채일별!$A$4:$A$1436,1))+(INDEX(VN_국채일별!$D$4:$D$1436,MATCH($B148,VN_국채일별!$A$4:$A$1436,1))-INDEX(VN_국채일별!$C$4:$C$1436,MATCH($B148,VN_국채일별!$A$4:$A$1436,1)))*($J148-2),IF($J148&lt;=5,INDEX(VN_국채일별!$D$4:$D$1436,MATCH($B148,VN_국채일별!$A$4:$A$1436,1))+(INDEX(VN_국채일별!$E$4:$E$1436,MATCH($B148,VN_국채일별!$A$4:$A$1436,1))-INDEX(VN_국채일별!$D$4:$D$1436,MATCH($B148,VN_국채일별!$A$4:$A$1436,1)))*($J148-3)/2,IF($J148&lt;=7,INDEX(VN_국채일별!$E$4:$E$1436,MATCH($B148,VN_국채일별!$A$4:$A$1436,1))+(INDEX(VN_국채일별!$F$4:$F$1436,MATCH($B148,VN_국채일별!$A$4:$A$1436,1))-INDEX(VN_국채일별!$E$4:$E$1436,MATCH($B148,VN_국채일별!$A$4:$A$1436,1)))*($J148-5)/2,IF($J148&lt;=10,INDEX(VN_국채일별!$F$4:$F$1436,MATCH($B148,VN_국채일별!$A$4:$A$1436,1))+(INDEX(VN_국채일별!$G$4:$G$1436,MATCH($B148,VN_국채일별!$A$4:$A$1436,1))-INDEX(VN_국채일별!$F$4:$F$1436,MATCH($B148,VN_국채일별!$A$4:$A$1436,1)))*($J148-7)/3,INDEX(VN_국채일별!$G$4:$G$1436,MATCH($B148,VN_국채일별!$A$4:$A$1436,1)))))))),""))</f>
        <v>0.01859</v>
      </c>
      <c r="R148" s="58" t="n">
        <f aca="false">IF(OR(L148="",Q148=""),"",(L148-Q148)*10000)</f>
        <v>464.1</v>
      </c>
      <c r="S148" s="30" t="n">
        <f aca="false">IF(AND(K148="고정",N148="N",J148&gt;=2,J148&lt;=4,I148&lt;&gt;""),1,0)</f>
        <v>1</v>
      </c>
      <c r="T148" s="59" t="n">
        <f aca="false">IF(S148=1,I148*L148,0)</f>
        <v>130</v>
      </c>
      <c r="U148" s="60" t="n">
        <f aca="false">IF(AND(S148=1,ISNUMBER(R148)),I148*R148,0)</f>
        <v>928200</v>
      </c>
      <c r="V148" s="30" t="n">
        <f aca="false">IF(AND(F148="Big4(국영)",K148="고정",N148="N",I148&lt;&gt;""),1,0)</f>
        <v>0</v>
      </c>
      <c r="W148" s="59" t="n">
        <f aca="false">IF(V148=1,I148*L148,0)</f>
        <v>0</v>
      </c>
      <c r="X148" s="60" t="n">
        <f aca="false">IF(AND(V148=1,ISNUMBER(R148)),I148*R148,0)</f>
        <v>0</v>
      </c>
      <c r="Y148" s="61" t="n">
        <f aca="false">IF(AND(S148=1,ISNUMBER(R148)),I148,0)</f>
        <v>2000</v>
      </c>
      <c r="Z148" s="61" t="n">
        <f aca="false">IF(AND(V148=1,ISNUMBER(R148)),I148,0)</f>
        <v>0</v>
      </c>
    </row>
    <row r="149" customFormat="false" ht="15" hidden="false" customHeight="false" outlineLevel="0" collapsed="false">
      <c r="A149" s="47" t="s">
        <v>426</v>
      </c>
      <c r="B149" s="52" t="n">
        <v>45191</v>
      </c>
      <c r="C149" s="53" t="n">
        <f aca="false">DATE(YEAR(B149),MONTH(B149),1)</f>
        <v>45170</v>
      </c>
      <c r="D149" s="5" t="str">
        <f aca="false">YEAR(B149)&amp;"Q"&amp;ROUNDUP(MONTH(B149)/3,0)</f>
        <v>2023Q3</v>
      </c>
      <c r="E149" s="47" t="s">
        <v>160</v>
      </c>
      <c r="F149" s="54" t="s">
        <v>139</v>
      </c>
      <c r="G149" s="47" t="s">
        <v>161</v>
      </c>
      <c r="H149" s="47" t="s">
        <v>432</v>
      </c>
      <c r="I149" s="55" t="n">
        <v>100</v>
      </c>
      <c r="J149" s="56" t="n">
        <v>7</v>
      </c>
      <c r="K149" s="54" t="s">
        <v>142</v>
      </c>
      <c r="L149" s="57" t="n">
        <v>0.075</v>
      </c>
      <c r="N149" s="47" t="s">
        <v>143</v>
      </c>
      <c r="O149" s="47" t="s">
        <v>404</v>
      </c>
      <c r="P149" s="47"/>
      <c r="Q149" s="48" t="n">
        <f aca="false">IF($J149="","",IFERROR(IF($J149&lt;=1,INDEX(VN_국채일별!$B$4:$B$1436,MATCH($B149,VN_국채일별!$A$4:$A$1436,1)),IF($J149&lt;=2,INDEX(VN_국채일별!$B$4:$B$1436,MATCH($B149,VN_국채일별!$A$4:$A$1436,1))+(INDEX(VN_국채일별!$C$4:$C$1436,MATCH($B149,VN_국채일별!$A$4:$A$1436,1))-INDEX(VN_국채일별!$B$4:$B$1436,MATCH($B149,VN_국채일별!$A$4:$A$1436,1)))*($J149-1),IF($J149&lt;=3,INDEX(VN_국채일별!$C$4:$C$1436,MATCH($B149,VN_국채일별!$A$4:$A$1436,1))+(INDEX(VN_국채일별!$D$4:$D$1436,MATCH($B149,VN_국채일별!$A$4:$A$1436,1))-INDEX(VN_국채일별!$C$4:$C$1436,MATCH($B149,VN_국채일별!$A$4:$A$1436,1)))*($J149-2),IF($J149&lt;=5,INDEX(VN_국채일별!$D$4:$D$1436,MATCH($B149,VN_국채일별!$A$4:$A$1436,1))+(INDEX(VN_국채일별!$E$4:$E$1436,MATCH($B149,VN_국채일별!$A$4:$A$1436,1))-INDEX(VN_국채일별!$D$4:$D$1436,MATCH($B149,VN_국채일별!$A$4:$A$1436,1)))*($J149-3)/2,IF($J149&lt;=7,INDEX(VN_국채일별!$E$4:$E$1436,MATCH($B149,VN_국채일별!$A$4:$A$1436,1))+(INDEX(VN_국채일별!$F$4:$F$1436,MATCH($B149,VN_국채일별!$A$4:$A$1436,1))-INDEX(VN_국채일별!$E$4:$E$1436,MATCH($B149,VN_국채일별!$A$4:$A$1436,1)))*($J149-5)/2,IF($J149&lt;=10,INDEX(VN_국채일별!$F$4:$F$1436,MATCH($B149,VN_국채일별!$A$4:$A$1436,1))+(INDEX(VN_국채일별!$G$4:$G$1436,MATCH($B149,VN_국채일별!$A$4:$A$1436,1))-INDEX(VN_국채일별!$F$4:$F$1436,MATCH($B149,VN_국채일별!$A$4:$A$1436,1)))*($J149-7)/3,INDEX(VN_국채일별!$G$4:$G$1436,MATCH($B149,VN_국채일별!$A$4:$A$1436,1)))))))),""))</f>
        <v>0.02437</v>
      </c>
      <c r="R149" s="58" t="n">
        <f aca="false">IF(OR(L149="",Q149=""),"",(L149-Q149)*10000)</f>
        <v>506.3</v>
      </c>
      <c r="S149" s="30" t="n">
        <f aca="false">IF(AND(K149="고정",N149="N",J149&gt;=2,J149&lt;=4,I149&lt;&gt;""),1,0)</f>
        <v>0</v>
      </c>
      <c r="T149" s="59" t="n">
        <f aca="false">IF(S149=1,I149*L149,0)</f>
        <v>0</v>
      </c>
      <c r="U149" s="60" t="n">
        <f aca="false">IF(AND(S149=1,ISNUMBER(R149)),I149*R149,0)</f>
        <v>0</v>
      </c>
      <c r="V149" s="30" t="n">
        <f aca="false">IF(AND(F149="Big4(국영)",K149="고정",N149="N",I149&lt;&gt;""),1,0)</f>
        <v>0</v>
      </c>
      <c r="W149" s="59" t="n">
        <f aca="false">IF(V149=1,I149*L149,0)</f>
        <v>0</v>
      </c>
      <c r="X149" s="60" t="n">
        <f aca="false">IF(AND(V149=1,ISNUMBER(R149)),I149*R149,0)</f>
        <v>0</v>
      </c>
      <c r="Y149" s="61" t="n">
        <f aca="false">IF(AND(S149=1,ISNUMBER(R149)),I149,0)</f>
        <v>0</v>
      </c>
      <c r="Z149" s="61" t="n">
        <f aca="false">IF(AND(V149=1,ISNUMBER(R149)),I149,0)</f>
        <v>0</v>
      </c>
    </row>
    <row r="150" customFormat="false" ht="15" hidden="false" customHeight="false" outlineLevel="0" collapsed="false">
      <c r="A150" s="47" t="s">
        <v>426</v>
      </c>
      <c r="B150" s="52" t="n">
        <v>45191</v>
      </c>
      <c r="C150" s="53" t="n">
        <f aca="false">DATE(YEAR(B150),MONTH(B150),1)</f>
        <v>45170</v>
      </c>
      <c r="D150" s="5" t="str">
        <f aca="false">YEAR(B150)&amp;"Q"&amp;ROUNDUP(MONTH(B150)/3,0)</f>
        <v>2023Q3</v>
      </c>
      <c r="E150" s="47" t="s">
        <v>181</v>
      </c>
      <c r="F150" s="54" t="s">
        <v>139</v>
      </c>
      <c r="G150" s="47" t="s">
        <v>182</v>
      </c>
      <c r="H150" s="47" t="s">
        <v>433</v>
      </c>
      <c r="I150" s="55" t="n">
        <v>1200</v>
      </c>
      <c r="J150" s="56" t="n">
        <v>3</v>
      </c>
      <c r="K150" s="54" t="s">
        <v>142</v>
      </c>
      <c r="L150" s="57" t="n">
        <v>0.064</v>
      </c>
      <c r="N150" s="47" t="s">
        <v>148</v>
      </c>
      <c r="O150" s="47" t="s">
        <v>424</v>
      </c>
      <c r="P150" s="47"/>
      <c r="Q150" s="48" t="n">
        <f aca="false">IF($J150="","",IFERROR(IF($J150&lt;=1,INDEX(VN_국채일별!$B$4:$B$1436,MATCH($B150,VN_국채일별!$A$4:$A$1436,1)),IF($J150&lt;=2,INDEX(VN_국채일별!$B$4:$B$1436,MATCH($B150,VN_국채일별!$A$4:$A$1436,1))+(INDEX(VN_국채일별!$C$4:$C$1436,MATCH($B150,VN_국채일별!$A$4:$A$1436,1))-INDEX(VN_국채일별!$B$4:$B$1436,MATCH($B150,VN_국채일별!$A$4:$A$1436,1)))*($J150-1),IF($J150&lt;=3,INDEX(VN_국채일별!$C$4:$C$1436,MATCH($B150,VN_국채일별!$A$4:$A$1436,1))+(INDEX(VN_국채일별!$D$4:$D$1436,MATCH($B150,VN_국채일별!$A$4:$A$1436,1))-INDEX(VN_국채일별!$C$4:$C$1436,MATCH($B150,VN_국채일별!$A$4:$A$1436,1)))*($J150-2),IF($J150&lt;=5,INDEX(VN_국채일별!$D$4:$D$1436,MATCH($B150,VN_국채일별!$A$4:$A$1436,1))+(INDEX(VN_국채일별!$E$4:$E$1436,MATCH($B150,VN_국채일별!$A$4:$A$1436,1))-INDEX(VN_국채일별!$D$4:$D$1436,MATCH($B150,VN_국채일별!$A$4:$A$1436,1)))*($J150-3)/2,IF($J150&lt;=7,INDEX(VN_국채일별!$E$4:$E$1436,MATCH($B150,VN_국채일별!$A$4:$A$1436,1))+(INDEX(VN_국채일별!$F$4:$F$1436,MATCH($B150,VN_국채일별!$A$4:$A$1436,1))-INDEX(VN_국채일별!$E$4:$E$1436,MATCH($B150,VN_국채일별!$A$4:$A$1436,1)))*($J150-5)/2,IF($J150&lt;=10,INDEX(VN_국채일별!$F$4:$F$1436,MATCH($B150,VN_국채일별!$A$4:$A$1436,1))+(INDEX(VN_국채일별!$G$4:$G$1436,MATCH($B150,VN_국채일별!$A$4:$A$1436,1))-INDEX(VN_국채일별!$F$4:$F$1436,MATCH($B150,VN_국채일별!$A$4:$A$1436,1)))*($J150-7)/3,INDEX(VN_국채일별!$G$4:$G$1436,MATCH($B150,VN_국채일별!$A$4:$A$1436,1)))))))),""))</f>
        <v>0.01836</v>
      </c>
      <c r="R150" s="58" t="n">
        <f aca="false">IF(OR(L150="",Q150=""),"",(L150-Q150)*10000)</f>
        <v>456.4</v>
      </c>
      <c r="S150" s="30" t="n">
        <f aca="false">IF(AND(K150="고정",N150="N",J150&gt;=2,J150&lt;=4,I150&lt;&gt;""),1,0)</f>
        <v>1</v>
      </c>
      <c r="T150" s="59" t="n">
        <f aca="false">IF(S150=1,I150*L150,0)</f>
        <v>76.8</v>
      </c>
      <c r="U150" s="60" t="n">
        <f aca="false">IF(AND(S150=1,ISNUMBER(R150)),I150*R150,0)</f>
        <v>547680</v>
      </c>
      <c r="V150" s="30" t="n">
        <f aca="false">IF(AND(F150="Big4(국영)",K150="고정",N150="N",I150&lt;&gt;""),1,0)</f>
        <v>0</v>
      </c>
      <c r="W150" s="59" t="n">
        <f aca="false">IF(V150=1,I150*L150,0)</f>
        <v>0</v>
      </c>
      <c r="X150" s="60" t="n">
        <f aca="false">IF(AND(V150=1,ISNUMBER(R150)),I150*R150,0)</f>
        <v>0</v>
      </c>
      <c r="Y150" s="61" t="n">
        <f aca="false">IF(AND(S150=1,ISNUMBER(R150)),I150,0)</f>
        <v>1200</v>
      </c>
      <c r="Z150" s="61" t="n">
        <f aca="false">IF(AND(V150=1,ISNUMBER(R150)),I150,0)</f>
        <v>0</v>
      </c>
    </row>
    <row r="151" customFormat="false" ht="15" hidden="false" customHeight="false" outlineLevel="0" collapsed="false">
      <c r="A151" s="47" t="s">
        <v>426</v>
      </c>
      <c r="B151" s="52" t="n">
        <v>45194</v>
      </c>
      <c r="C151" s="53" t="n">
        <f aca="false">DATE(YEAR(B151),MONTH(B151),1)</f>
        <v>45170</v>
      </c>
      <c r="D151" s="5" t="str">
        <f aca="false">YEAR(B151)&amp;"Q"&amp;ROUNDUP(MONTH(B151)/3,0)</f>
        <v>2023Q3</v>
      </c>
      <c r="E151" s="47" t="s">
        <v>434</v>
      </c>
      <c r="F151" s="54" t="s">
        <v>139</v>
      </c>
      <c r="G151" s="47" t="s">
        <v>435</v>
      </c>
      <c r="H151" s="47" t="s">
        <v>436</v>
      </c>
      <c r="I151" s="55" t="n">
        <v>500</v>
      </c>
      <c r="J151" s="56" t="n">
        <v>2</v>
      </c>
      <c r="K151" s="54" t="s">
        <v>142</v>
      </c>
      <c r="L151" s="57" t="n">
        <v>0.075</v>
      </c>
      <c r="N151" s="47" t="s">
        <v>148</v>
      </c>
      <c r="O151" s="47" t="s">
        <v>404</v>
      </c>
      <c r="P151" s="47"/>
      <c r="Q151" s="48" t="n">
        <f aca="false">IF($J151="","",IFERROR(IF($J151&lt;=1,INDEX(VN_국채일별!$B$4:$B$1436,MATCH($B151,VN_국채일별!$A$4:$A$1436,1)),IF($J151&lt;=2,INDEX(VN_국채일별!$B$4:$B$1436,MATCH($B151,VN_국채일별!$A$4:$A$1436,1))+(INDEX(VN_국채일별!$C$4:$C$1436,MATCH($B151,VN_국채일별!$A$4:$A$1436,1))-INDEX(VN_국채일별!$B$4:$B$1436,MATCH($B151,VN_국채일별!$A$4:$A$1436,1)))*($J151-1),IF($J151&lt;=3,INDEX(VN_국채일별!$C$4:$C$1436,MATCH($B151,VN_국채일별!$A$4:$A$1436,1))+(INDEX(VN_국채일별!$D$4:$D$1436,MATCH($B151,VN_국채일별!$A$4:$A$1436,1))-INDEX(VN_국채일별!$C$4:$C$1436,MATCH($B151,VN_국채일별!$A$4:$A$1436,1)))*($J151-2),IF($J151&lt;=5,INDEX(VN_국채일별!$D$4:$D$1436,MATCH($B151,VN_국채일별!$A$4:$A$1436,1))+(INDEX(VN_국채일별!$E$4:$E$1436,MATCH($B151,VN_국채일별!$A$4:$A$1436,1))-INDEX(VN_국채일별!$D$4:$D$1436,MATCH($B151,VN_국채일별!$A$4:$A$1436,1)))*($J151-3)/2,IF($J151&lt;=7,INDEX(VN_국채일별!$E$4:$E$1436,MATCH($B151,VN_국채일별!$A$4:$A$1436,1))+(INDEX(VN_국채일별!$F$4:$F$1436,MATCH($B151,VN_국채일별!$A$4:$A$1436,1))-INDEX(VN_국채일별!$E$4:$E$1436,MATCH($B151,VN_국채일별!$A$4:$A$1436,1)))*($J151-5)/2,IF($J151&lt;=10,INDEX(VN_국채일별!$F$4:$F$1436,MATCH($B151,VN_국채일별!$A$4:$A$1436,1))+(INDEX(VN_국채일별!$G$4:$G$1436,MATCH($B151,VN_국채일별!$A$4:$A$1436,1))-INDEX(VN_국채일별!$F$4:$F$1436,MATCH($B151,VN_국채일별!$A$4:$A$1436,1)))*($J151-7)/3,INDEX(VN_국채일별!$G$4:$G$1436,MATCH($B151,VN_국채일별!$A$4:$A$1436,1)))))))),""))</f>
        <v>0.01858</v>
      </c>
      <c r="R151" s="58" t="n">
        <f aca="false">IF(OR(L151="",Q151=""),"",(L151-Q151)*10000)</f>
        <v>564.2</v>
      </c>
      <c r="S151" s="30" t="n">
        <f aca="false">IF(AND(K151="고정",N151="N",J151&gt;=2,J151&lt;=4,I151&lt;&gt;""),1,0)</f>
        <v>1</v>
      </c>
      <c r="T151" s="59" t="n">
        <f aca="false">IF(S151=1,I151*L151,0)</f>
        <v>37.5</v>
      </c>
      <c r="U151" s="60" t="n">
        <f aca="false">IF(AND(S151=1,ISNUMBER(R151)),I151*R151,0)</f>
        <v>282100</v>
      </c>
      <c r="V151" s="30" t="n">
        <f aca="false">IF(AND(F151="Big4(국영)",K151="고정",N151="N",I151&lt;&gt;""),1,0)</f>
        <v>0</v>
      </c>
      <c r="W151" s="59" t="n">
        <f aca="false">IF(V151=1,I151*L151,0)</f>
        <v>0</v>
      </c>
      <c r="X151" s="60" t="n">
        <f aca="false">IF(AND(V151=1,ISNUMBER(R151)),I151*R151,0)</f>
        <v>0</v>
      </c>
      <c r="Y151" s="61" t="n">
        <f aca="false">IF(AND(S151=1,ISNUMBER(R151)),I151,0)</f>
        <v>500</v>
      </c>
      <c r="Z151" s="61" t="n">
        <f aca="false">IF(AND(V151=1,ISNUMBER(R151)),I151,0)</f>
        <v>0</v>
      </c>
    </row>
    <row r="152" customFormat="false" ht="15" hidden="false" customHeight="false" outlineLevel="0" collapsed="false">
      <c r="A152" s="47" t="s">
        <v>437</v>
      </c>
      <c r="B152" s="52" t="n">
        <v>45201</v>
      </c>
      <c r="C152" s="53" t="n">
        <f aca="false">DATE(YEAR(B152),MONTH(B152),1)</f>
        <v>45200</v>
      </c>
      <c r="D152" s="5" t="str">
        <f aca="false">YEAR(B152)&amp;"Q"&amp;ROUNDUP(MONTH(B152)/3,0)</f>
        <v>2023Q4</v>
      </c>
      <c r="E152" s="47" t="s">
        <v>254</v>
      </c>
      <c r="F152" s="54" t="s">
        <v>139</v>
      </c>
      <c r="G152" s="47" t="s">
        <v>339</v>
      </c>
      <c r="H152" s="47" t="s">
        <v>438</v>
      </c>
      <c r="I152" s="55" t="n">
        <v>500</v>
      </c>
      <c r="J152" s="56" t="n">
        <v>3</v>
      </c>
      <c r="K152" s="54" t="s">
        <v>142</v>
      </c>
      <c r="L152" s="57" t="n">
        <v>0.063</v>
      </c>
      <c r="N152" s="47" t="s">
        <v>148</v>
      </c>
      <c r="O152" s="47" t="s">
        <v>439</v>
      </c>
      <c r="P152" s="47"/>
      <c r="Q152" s="48" t="n">
        <f aca="false">IF($J152="","",IFERROR(IF($J152&lt;=1,INDEX(VN_국채일별!$B$4:$B$1436,MATCH($B152,VN_국채일별!$A$4:$A$1436,1)),IF($J152&lt;=2,INDEX(VN_국채일별!$B$4:$B$1436,MATCH($B152,VN_국채일별!$A$4:$A$1436,1))+(INDEX(VN_국채일별!$C$4:$C$1436,MATCH($B152,VN_국채일별!$A$4:$A$1436,1))-INDEX(VN_국채일별!$B$4:$B$1436,MATCH($B152,VN_국채일별!$A$4:$A$1436,1)))*($J152-1),IF($J152&lt;=3,INDEX(VN_국채일별!$C$4:$C$1436,MATCH($B152,VN_국채일별!$A$4:$A$1436,1))+(INDEX(VN_국채일별!$D$4:$D$1436,MATCH($B152,VN_국채일별!$A$4:$A$1436,1))-INDEX(VN_국채일별!$C$4:$C$1436,MATCH($B152,VN_국채일별!$A$4:$A$1436,1)))*($J152-2),IF($J152&lt;=5,INDEX(VN_국채일별!$D$4:$D$1436,MATCH($B152,VN_국채일별!$A$4:$A$1436,1))+(INDEX(VN_국채일별!$E$4:$E$1436,MATCH($B152,VN_국채일별!$A$4:$A$1436,1))-INDEX(VN_국채일별!$D$4:$D$1436,MATCH($B152,VN_국채일별!$A$4:$A$1436,1)))*($J152-3)/2,IF($J152&lt;=7,INDEX(VN_국채일별!$E$4:$E$1436,MATCH($B152,VN_국채일별!$A$4:$A$1436,1))+(INDEX(VN_국채일별!$F$4:$F$1436,MATCH($B152,VN_국채일별!$A$4:$A$1436,1))-INDEX(VN_국채일별!$E$4:$E$1436,MATCH($B152,VN_국채일별!$A$4:$A$1436,1)))*($J152-5)/2,IF($J152&lt;=10,INDEX(VN_국채일별!$F$4:$F$1436,MATCH($B152,VN_국채일별!$A$4:$A$1436,1))+(INDEX(VN_국채일별!$G$4:$G$1436,MATCH($B152,VN_국채일별!$A$4:$A$1436,1))-INDEX(VN_국채일별!$F$4:$F$1436,MATCH($B152,VN_국채일별!$A$4:$A$1436,1)))*($J152-7)/3,INDEX(VN_국채일별!$G$4:$G$1436,MATCH($B152,VN_국채일별!$A$4:$A$1436,1)))))))),""))</f>
        <v>0.0189</v>
      </c>
      <c r="R152" s="58" t="n">
        <f aca="false">IF(OR(L152="",Q152=""),"",(L152-Q152)*10000)</f>
        <v>441</v>
      </c>
      <c r="S152" s="30" t="n">
        <f aca="false">IF(AND(K152="고정",N152="N",J152&gt;=2,J152&lt;=4,I152&lt;&gt;""),1,0)</f>
        <v>1</v>
      </c>
      <c r="T152" s="59" t="n">
        <f aca="false">IF(S152=1,I152*L152,0)</f>
        <v>31.5</v>
      </c>
      <c r="U152" s="60" t="n">
        <f aca="false">IF(AND(S152=1,ISNUMBER(R152)),I152*R152,0)</f>
        <v>220500</v>
      </c>
      <c r="V152" s="30" t="n">
        <f aca="false">IF(AND(F152="Big4(국영)",K152="고정",N152="N",I152&lt;&gt;""),1,0)</f>
        <v>0</v>
      </c>
      <c r="W152" s="59" t="n">
        <f aca="false">IF(V152=1,I152*L152,0)</f>
        <v>0</v>
      </c>
      <c r="X152" s="60" t="n">
        <f aca="false">IF(AND(V152=1,ISNUMBER(R152)),I152*R152,0)</f>
        <v>0</v>
      </c>
      <c r="Y152" s="61" t="n">
        <f aca="false">IF(AND(S152=1,ISNUMBER(R152)),I152,0)</f>
        <v>500</v>
      </c>
      <c r="Z152" s="61" t="n">
        <f aca="false">IF(AND(V152=1,ISNUMBER(R152)),I152,0)</f>
        <v>0</v>
      </c>
    </row>
    <row r="153" customFormat="false" ht="15" hidden="false" customHeight="false" outlineLevel="0" collapsed="false">
      <c r="A153" s="47" t="s">
        <v>437</v>
      </c>
      <c r="B153" s="52" t="n">
        <v>45201</v>
      </c>
      <c r="C153" s="53" t="n">
        <f aca="false">DATE(YEAR(B153),MONTH(B153),1)</f>
        <v>45200</v>
      </c>
      <c r="D153" s="5" t="str">
        <f aca="false">YEAR(B153)&amp;"Q"&amp;ROUNDUP(MONTH(B153)/3,0)</f>
        <v>2023Q4</v>
      </c>
      <c r="E153" s="47" t="s">
        <v>166</v>
      </c>
      <c r="F153" s="54" t="s">
        <v>139</v>
      </c>
      <c r="G153" s="47" t="s">
        <v>167</v>
      </c>
      <c r="H153" s="47" t="s">
        <v>440</v>
      </c>
      <c r="I153" s="55" t="n">
        <v>1000</v>
      </c>
      <c r="J153" s="56" t="n">
        <v>2</v>
      </c>
      <c r="K153" s="54" t="s">
        <v>142</v>
      </c>
      <c r="L153" s="57" t="n">
        <v>0.064</v>
      </c>
      <c r="N153" s="47" t="s">
        <v>148</v>
      </c>
      <c r="O153" s="47" t="s">
        <v>424</v>
      </c>
      <c r="P153" s="47"/>
      <c r="Q153" s="48" t="n">
        <f aca="false">IF($J153="","",IFERROR(IF($J153&lt;=1,INDEX(VN_국채일별!$B$4:$B$1436,MATCH($B153,VN_국채일별!$A$4:$A$1436,1)),IF($J153&lt;=2,INDEX(VN_국채일별!$B$4:$B$1436,MATCH($B153,VN_국채일별!$A$4:$A$1436,1))+(INDEX(VN_국채일별!$C$4:$C$1436,MATCH($B153,VN_국채일별!$A$4:$A$1436,1))-INDEX(VN_국채일별!$B$4:$B$1436,MATCH($B153,VN_국채일별!$A$4:$A$1436,1)))*($J153-1),IF($J153&lt;=3,INDEX(VN_국채일별!$C$4:$C$1436,MATCH($B153,VN_국채일별!$A$4:$A$1436,1))+(INDEX(VN_국채일별!$D$4:$D$1436,MATCH($B153,VN_국채일별!$A$4:$A$1436,1))-INDEX(VN_국채일별!$C$4:$C$1436,MATCH($B153,VN_국채일별!$A$4:$A$1436,1)))*($J153-2),IF($J153&lt;=5,INDEX(VN_국채일별!$D$4:$D$1436,MATCH($B153,VN_국채일별!$A$4:$A$1436,1))+(INDEX(VN_국채일별!$E$4:$E$1436,MATCH($B153,VN_국채일별!$A$4:$A$1436,1))-INDEX(VN_국채일별!$D$4:$D$1436,MATCH($B153,VN_국채일별!$A$4:$A$1436,1)))*($J153-3)/2,IF($J153&lt;=7,INDEX(VN_국채일별!$E$4:$E$1436,MATCH($B153,VN_국채일별!$A$4:$A$1436,1))+(INDEX(VN_국채일별!$F$4:$F$1436,MATCH($B153,VN_국채일별!$A$4:$A$1436,1))-INDEX(VN_국채일별!$E$4:$E$1436,MATCH($B153,VN_국채일별!$A$4:$A$1436,1)))*($J153-5)/2,IF($J153&lt;=10,INDEX(VN_국채일별!$F$4:$F$1436,MATCH($B153,VN_국채일별!$A$4:$A$1436,1))+(INDEX(VN_국채일별!$G$4:$G$1436,MATCH($B153,VN_국채일별!$A$4:$A$1436,1))-INDEX(VN_국채일별!$F$4:$F$1436,MATCH($B153,VN_국채일별!$A$4:$A$1436,1)))*($J153-7)/3,INDEX(VN_국채일별!$G$4:$G$1436,MATCH($B153,VN_국채일별!$A$4:$A$1436,1)))))))),""))</f>
        <v>0.0187</v>
      </c>
      <c r="R153" s="58" t="n">
        <f aca="false">IF(OR(L153="",Q153=""),"",(L153-Q153)*10000)</f>
        <v>453</v>
      </c>
      <c r="S153" s="30" t="n">
        <f aca="false">IF(AND(K153="고정",N153="N",J153&gt;=2,J153&lt;=4,I153&lt;&gt;""),1,0)</f>
        <v>1</v>
      </c>
      <c r="T153" s="59" t="n">
        <f aca="false">IF(S153=1,I153*L153,0)</f>
        <v>64</v>
      </c>
      <c r="U153" s="60" t="n">
        <f aca="false">IF(AND(S153=1,ISNUMBER(R153)),I153*R153,0)</f>
        <v>453000</v>
      </c>
      <c r="V153" s="30" t="n">
        <f aca="false">IF(AND(F153="Big4(국영)",K153="고정",N153="N",I153&lt;&gt;""),1,0)</f>
        <v>0</v>
      </c>
      <c r="W153" s="59" t="n">
        <f aca="false">IF(V153=1,I153*L153,0)</f>
        <v>0</v>
      </c>
      <c r="X153" s="60" t="n">
        <f aca="false">IF(AND(V153=1,ISNUMBER(R153)),I153*R153,0)</f>
        <v>0</v>
      </c>
      <c r="Y153" s="61" t="n">
        <f aca="false">IF(AND(S153=1,ISNUMBER(R153)),I153,0)</f>
        <v>1000</v>
      </c>
      <c r="Z153" s="61" t="n">
        <f aca="false">IF(AND(V153=1,ISNUMBER(R153)),I153,0)</f>
        <v>0</v>
      </c>
    </row>
    <row r="154" customFormat="false" ht="15" hidden="false" customHeight="false" outlineLevel="0" collapsed="false">
      <c r="A154" s="47" t="s">
        <v>437</v>
      </c>
      <c r="B154" s="52" t="n">
        <v>45202</v>
      </c>
      <c r="C154" s="53" t="n">
        <f aca="false">DATE(YEAR(B154),MONTH(B154),1)</f>
        <v>45200</v>
      </c>
      <c r="D154" s="5" t="str">
        <f aca="false">YEAR(B154)&amp;"Q"&amp;ROUNDUP(MONTH(B154)/3,0)</f>
        <v>2023Q4</v>
      </c>
      <c r="E154" s="47" t="s">
        <v>160</v>
      </c>
      <c r="F154" s="54" t="s">
        <v>139</v>
      </c>
      <c r="G154" s="47" t="s">
        <v>161</v>
      </c>
      <c r="H154" s="47" t="s">
        <v>441</v>
      </c>
      <c r="I154" s="55" t="n">
        <v>50</v>
      </c>
      <c r="J154" s="56" t="n">
        <v>7</v>
      </c>
      <c r="K154" s="54" t="s">
        <v>153</v>
      </c>
      <c r="N154" s="47" t="s">
        <v>143</v>
      </c>
      <c r="O154" s="47" t="s">
        <v>442</v>
      </c>
      <c r="P154" s="47"/>
      <c r="Q154" s="48" t="n">
        <f aca="false">IF($J154="","",IFERROR(IF($J154&lt;=1,INDEX(VN_국채일별!$B$4:$B$1436,MATCH($B154,VN_국채일별!$A$4:$A$1436,1)),IF($J154&lt;=2,INDEX(VN_국채일별!$B$4:$B$1436,MATCH($B154,VN_국채일별!$A$4:$A$1436,1))+(INDEX(VN_국채일별!$C$4:$C$1436,MATCH($B154,VN_국채일별!$A$4:$A$1436,1))-INDEX(VN_국채일별!$B$4:$B$1436,MATCH($B154,VN_국채일별!$A$4:$A$1436,1)))*($J154-1),IF($J154&lt;=3,INDEX(VN_국채일별!$C$4:$C$1436,MATCH($B154,VN_국채일별!$A$4:$A$1436,1))+(INDEX(VN_국채일별!$D$4:$D$1436,MATCH($B154,VN_국채일별!$A$4:$A$1436,1))-INDEX(VN_국채일별!$C$4:$C$1436,MATCH($B154,VN_국채일별!$A$4:$A$1436,1)))*($J154-2),IF($J154&lt;=5,INDEX(VN_국채일별!$D$4:$D$1436,MATCH($B154,VN_국채일별!$A$4:$A$1436,1))+(INDEX(VN_국채일별!$E$4:$E$1436,MATCH($B154,VN_국채일별!$A$4:$A$1436,1))-INDEX(VN_국채일별!$D$4:$D$1436,MATCH($B154,VN_국채일별!$A$4:$A$1436,1)))*($J154-3)/2,IF($J154&lt;=7,INDEX(VN_국채일별!$E$4:$E$1436,MATCH($B154,VN_국채일별!$A$4:$A$1436,1))+(INDEX(VN_국채일별!$F$4:$F$1436,MATCH($B154,VN_국채일별!$A$4:$A$1436,1))-INDEX(VN_국채일별!$E$4:$E$1436,MATCH($B154,VN_국채일별!$A$4:$A$1436,1)))*($J154-5)/2,IF($J154&lt;=10,INDEX(VN_국채일별!$F$4:$F$1436,MATCH($B154,VN_국채일별!$A$4:$A$1436,1))+(INDEX(VN_국채일별!$G$4:$G$1436,MATCH($B154,VN_국채일별!$A$4:$A$1436,1))-INDEX(VN_국채일별!$F$4:$F$1436,MATCH($B154,VN_국채일별!$A$4:$A$1436,1)))*($J154-7)/3,INDEX(VN_국채일별!$G$4:$G$1436,MATCH($B154,VN_국채일별!$A$4:$A$1436,1)))))))),""))</f>
        <v>0.02603</v>
      </c>
      <c r="R154" s="58" t="str">
        <f aca="false">IF(OR(L154="",Q154=""),"",(L154-Q154)*10000)</f>
        <v/>
      </c>
      <c r="S154" s="30" t="n">
        <f aca="false">IF(AND(K154="고정",N154="N",J154&gt;=2,J154&lt;=4,I154&lt;&gt;""),1,0)</f>
        <v>0</v>
      </c>
      <c r="T154" s="59" t="n">
        <f aca="false">IF(S154=1,I154*L154,0)</f>
        <v>0</v>
      </c>
      <c r="U154" s="60" t="n">
        <f aca="false">IF(AND(S154=1,ISNUMBER(R154)),I154*R154,0)</f>
        <v>0</v>
      </c>
      <c r="V154" s="30" t="n">
        <f aca="false">IF(AND(F154="Big4(국영)",K154="고정",N154="N",I154&lt;&gt;""),1,0)</f>
        <v>0</v>
      </c>
      <c r="W154" s="59" t="n">
        <f aca="false">IF(V154=1,I154*L154,0)</f>
        <v>0</v>
      </c>
      <c r="X154" s="60" t="n">
        <f aca="false">IF(AND(V154=1,ISNUMBER(R154)),I154*R154,0)</f>
        <v>0</v>
      </c>
      <c r="Y154" s="61" t="n">
        <f aca="false">IF(AND(S154=1,ISNUMBER(R154)),I154,0)</f>
        <v>0</v>
      </c>
      <c r="Z154" s="61" t="n">
        <f aca="false">IF(AND(V154=1,ISNUMBER(R154)),I154,0)</f>
        <v>0</v>
      </c>
    </row>
    <row r="155" customFormat="false" ht="15" hidden="false" customHeight="false" outlineLevel="0" collapsed="false">
      <c r="A155" s="47" t="s">
        <v>437</v>
      </c>
      <c r="B155" s="52" t="n">
        <v>45205</v>
      </c>
      <c r="C155" s="53" t="n">
        <f aca="false">DATE(YEAR(B155),MONTH(B155),1)</f>
        <v>45200</v>
      </c>
      <c r="D155" s="5" t="str">
        <f aca="false">YEAR(B155)&amp;"Q"&amp;ROUNDUP(MONTH(B155)/3,0)</f>
        <v>2023Q4</v>
      </c>
      <c r="E155" s="47" t="s">
        <v>323</v>
      </c>
      <c r="F155" s="54" t="s">
        <v>139</v>
      </c>
      <c r="G155" s="47" t="s">
        <v>324</v>
      </c>
      <c r="H155" s="47" t="s">
        <v>443</v>
      </c>
      <c r="I155" s="55" t="n">
        <v>100</v>
      </c>
      <c r="J155" s="56" t="n">
        <v>7</v>
      </c>
      <c r="K155" s="54" t="s">
        <v>153</v>
      </c>
      <c r="N155" s="47" t="s">
        <v>143</v>
      </c>
      <c r="O155" s="47" t="s">
        <v>444</v>
      </c>
      <c r="P155" s="47"/>
      <c r="Q155" s="48" t="n">
        <f aca="false">IF($J155="","",IFERROR(IF($J155&lt;=1,INDEX(VN_국채일별!$B$4:$B$1436,MATCH($B155,VN_국채일별!$A$4:$A$1436,1)),IF($J155&lt;=2,INDEX(VN_국채일별!$B$4:$B$1436,MATCH($B155,VN_국채일별!$A$4:$A$1436,1))+(INDEX(VN_국채일별!$C$4:$C$1436,MATCH($B155,VN_국채일별!$A$4:$A$1436,1))-INDEX(VN_국채일별!$B$4:$B$1436,MATCH($B155,VN_국채일별!$A$4:$A$1436,1)))*($J155-1),IF($J155&lt;=3,INDEX(VN_국채일별!$C$4:$C$1436,MATCH($B155,VN_국채일별!$A$4:$A$1436,1))+(INDEX(VN_국채일별!$D$4:$D$1436,MATCH($B155,VN_국채일별!$A$4:$A$1436,1))-INDEX(VN_국채일별!$C$4:$C$1436,MATCH($B155,VN_국채일별!$A$4:$A$1436,1)))*($J155-2),IF($J155&lt;=5,INDEX(VN_국채일별!$D$4:$D$1436,MATCH($B155,VN_국채일별!$A$4:$A$1436,1))+(INDEX(VN_국채일별!$E$4:$E$1436,MATCH($B155,VN_국채일별!$A$4:$A$1436,1))-INDEX(VN_국채일별!$D$4:$D$1436,MATCH($B155,VN_국채일별!$A$4:$A$1436,1)))*($J155-3)/2,IF($J155&lt;=7,INDEX(VN_국채일별!$E$4:$E$1436,MATCH($B155,VN_국채일별!$A$4:$A$1436,1))+(INDEX(VN_국채일별!$F$4:$F$1436,MATCH($B155,VN_국채일별!$A$4:$A$1436,1))-INDEX(VN_국채일별!$E$4:$E$1436,MATCH($B155,VN_국채일별!$A$4:$A$1436,1)))*($J155-5)/2,IF($J155&lt;=10,INDEX(VN_국채일별!$F$4:$F$1436,MATCH($B155,VN_국채일별!$A$4:$A$1436,1))+(INDEX(VN_국채일별!$G$4:$G$1436,MATCH($B155,VN_국채일별!$A$4:$A$1436,1))-INDEX(VN_국채일별!$F$4:$F$1436,MATCH($B155,VN_국채일별!$A$4:$A$1436,1)))*($J155-7)/3,INDEX(VN_국채일별!$G$4:$G$1436,MATCH($B155,VN_국채일별!$A$4:$A$1436,1)))))))),""))</f>
        <v>0.02677</v>
      </c>
      <c r="R155" s="58" t="str">
        <f aca="false">IF(OR(L155="",Q155=""),"",(L155-Q155)*10000)</f>
        <v/>
      </c>
      <c r="S155" s="30" t="n">
        <f aca="false">IF(AND(K155="고정",N155="N",J155&gt;=2,J155&lt;=4,I155&lt;&gt;""),1,0)</f>
        <v>0</v>
      </c>
      <c r="T155" s="59" t="n">
        <f aca="false">IF(S155=1,I155*L155,0)</f>
        <v>0</v>
      </c>
      <c r="U155" s="60" t="n">
        <f aca="false">IF(AND(S155=1,ISNUMBER(R155)),I155*R155,0)</f>
        <v>0</v>
      </c>
      <c r="V155" s="30" t="n">
        <f aca="false">IF(AND(F155="Big4(국영)",K155="고정",N155="N",I155&lt;&gt;""),1,0)</f>
        <v>0</v>
      </c>
      <c r="W155" s="59" t="n">
        <f aca="false">IF(V155=1,I155*L155,0)</f>
        <v>0</v>
      </c>
      <c r="X155" s="60" t="n">
        <f aca="false">IF(AND(V155=1,ISNUMBER(R155)),I155*R155,0)</f>
        <v>0</v>
      </c>
      <c r="Y155" s="61" t="n">
        <f aca="false">IF(AND(S155=1,ISNUMBER(R155)),I155,0)</f>
        <v>0</v>
      </c>
      <c r="Z155" s="61" t="n">
        <f aca="false">IF(AND(V155=1,ISNUMBER(R155)),I155,0)</f>
        <v>0</v>
      </c>
    </row>
    <row r="156" customFormat="false" ht="15" hidden="false" customHeight="false" outlineLevel="0" collapsed="false">
      <c r="A156" s="47" t="s">
        <v>437</v>
      </c>
      <c r="B156" s="52" t="n">
        <v>45209</v>
      </c>
      <c r="C156" s="53" t="n">
        <f aca="false">DATE(YEAR(B156),MONTH(B156),1)</f>
        <v>45200</v>
      </c>
      <c r="D156" s="5" t="str">
        <f aca="false">YEAR(B156)&amp;"Q"&amp;ROUNDUP(MONTH(B156)/3,0)</f>
        <v>2023Q4</v>
      </c>
      <c r="E156" s="47" t="s">
        <v>254</v>
      </c>
      <c r="F156" s="54" t="s">
        <v>139</v>
      </c>
      <c r="G156" s="47" t="s">
        <v>339</v>
      </c>
      <c r="H156" s="47" t="s">
        <v>445</v>
      </c>
      <c r="I156" s="55" t="n">
        <v>900</v>
      </c>
      <c r="J156" s="56" t="n">
        <v>2</v>
      </c>
      <c r="K156" s="54" t="s">
        <v>142</v>
      </c>
      <c r="L156" s="57" t="n">
        <v>0.065</v>
      </c>
      <c r="N156" s="47" t="s">
        <v>148</v>
      </c>
      <c r="O156" s="47" t="s">
        <v>417</v>
      </c>
      <c r="P156" s="47"/>
      <c r="Q156" s="48" t="n">
        <f aca="false">IF($J156="","",IFERROR(IF($J156&lt;=1,INDEX(VN_국채일별!$B$4:$B$1436,MATCH($B156,VN_국채일별!$A$4:$A$1436,1)),IF($J156&lt;=2,INDEX(VN_국채일별!$B$4:$B$1436,MATCH($B156,VN_국채일별!$A$4:$A$1436,1))+(INDEX(VN_국채일별!$C$4:$C$1436,MATCH($B156,VN_국채일별!$A$4:$A$1436,1))-INDEX(VN_국채일별!$B$4:$B$1436,MATCH($B156,VN_국채일별!$A$4:$A$1436,1)))*($J156-1),IF($J156&lt;=3,INDEX(VN_국채일별!$C$4:$C$1436,MATCH($B156,VN_국채일별!$A$4:$A$1436,1))+(INDEX(VN_국채일별!$D$4:$D$1436,MATCH($B156,VN_국채일별!$A$4:$A$1436,1))-INDEX(VN_국채일별!$C$4:$C$1436,MATCH($B156,VN_국채일별!$A$4:$A$1436,1)))*($J156-2),IF($J156&lt;=5,INDEX(VN_국채일별!$D$4:$D$1436,MATCH($B156,VN_국채일별!$A$4:$A$1436,1))+(INDEX(VN_국채일별!$E$4:$E$1436,MATCH($B156,VN_국채일별!$A$4:$A$1436,1))-INDEX(VN_국채일별!$D$4:$D$1436,MATCH($B156,VN_국채일별!$A$4:$A$1436,1)))*($J156-3)/2,IF($J156&lt;=7,INDEX(VN_국채일별!$E$4:$E$1436,MATCH($B156,VN_국채일별!$A$4:$A$1436,1))+(INDEX(VN_국채일별!$F$4:$F$1436,MATCH($B156,VN_국채일별!$A$4:$A$1436,1))-INDEX(VN_국채일별!$E$4:$E$1436,MATCH($B156,VN_국채일별!$A$4:$A$1436,1)))*($J156-5)/2,IF($J156&lt;=10,INDEX(VN_국채일별!$F$4:$F$1436,MATCH($B156,VN_국채일별!$A$4:$A$1436,1))+(INDEX(VN_국채일별!$G$4:$G$1436,MATCH($B156,VN_국채일별!$A$4:$A$1436,1))-INDEX(VN_국채일별!$F$4:$F$1436,MATCH($B156,VN_국채일별!$A$4:$A$1436,1)))*($J156-7)/3,INDEX(VN_국채일별!$G$4:$G$1436,MATCH($B156,VN_국채일별!$A$4:$A$1436,1)))))))),""))</f>
        <v>0.01946</v>
      </c>
      <c r="R156" s="58" t="n">
        <f aca="false">IF(OR(L156="",Q156=""),"",(L156-Q156)*10000)</f>
        <v>455.4</v>
      </c>
      <c r="S156" s="30" t="n">
        <f aca="false">IF(AND(K156="고정",N156="N",J156&gt;=2,J156&lt;=4,I156&lt;&gt;""),1,0)</f>
        <v>1</v>
      </c>
      <c r="T156" s="59" t="n">
        <f aca="false">IF(S156=1,I156*L156,0)</f>
        <v>58.5</v>
      </c>
      <c r="U156" s="60" t="n">
        <f aca="false">IF(AND(S156=1,ISNUMBER(R156)),I156*R156,0)</f>
        <v>409860</v>
      </c>
      <c r="V156" s="30" t="n">
        <f aca="false">IF(AND(F156="Big4(국영)",K156="고정",N156="N",I156&lt;&gt;""),1,0)</f>
        <v>0</v>
      </c>
      <c r="W156" s="59" t="n">
        <f aca="false">IF(V156=1,I156*L156,0)</f>
        <v>0</v>
      </c>
      <c r="X156" s="60" t="n">
        <f aca="false">IF(AND(V156=1,ISNUMBER(R156)),I156*R156,0)</f>
        <v>0</v>
      </c>
      <c r="Y156" s="61" t="n">
        <f aca="false">IF(AND(S156=1,ISNUMBER(R156)),I156,0)</f>
        <v>900</v>
      </c>
      <c r="Z156" s="61" t="n">
        <f aca="false">IF(AND(V156=1,ISNUMBER(R156)),I156,0)</f>
        <v>0</v>
      </c>
    </row>
    <row r="157" customFormat="false" ht="15" hidden="false" customHeight="false" outlineLevel="0" collapsed="false">
      <c r="A157" s="47" t="s">
        <v>437</v>
      </c>
      <c r="B157" s="52" t="n">
        <v>45212</v>
      </c>
      <c r="C157" s="53" t="n">
        <f aca="false">DATE(YEAR(B157),MONTH(B157),1)</f>
        <v>45200</v>
      </c>
      <c r="D157" s="5" t="str">
        <f aca="false">YEAR(B157)&amp;"Q"&amp;ROUNDUP(MONTH(B157)/3,0)</f>
        <v>2023Q4</v>
      </c>
      <c r="E157" s="47" t="s">
        <v>160</v>
      </c>
      <c r="F157" s="54" t="s">
        <v>139</v>
      </c>
      <c r="G157" s="47" t="s">
        <v>161</v>
      </c>
      <c r="H157" s="47" t="s">
        <v>446</v>
      </c>
      <c r="I157" s="55" t="n">
        <v>500</v>
      </c>
      <c r="J157" s="56" t="n">
        <v>7</v>
      </c>
      <c r="K157" s="54" t="s">
        <v>153</v>
      </c>
      <c r="N157" s="47" t="s">
        <v>143</v>
      </c>
      <c r="O157" s="47" t="s">
        <v>447</v>
      </c>
      <c r="P157" s="47"/>
      <c r="Q157" s="48" t="n">
        <f aca="false">IF($J157="","",IFERROR(IF($J157&lt;=1,INDEX(VN_국채일별!$B$4:$B$1436,MATCH($B157,VN_국채일별!$A$4:$A$1436,1)),IF($J157&lt;=2,INDEX(VN_국채일별!$B$4:$B$1436,MATCH($B157,VN_국채일별!$A$4:$A$1436,1))+(INDEX(VN_국채일별!$C$4:$C$1436,MATCH($B157,VN_국채일별!$A$4:$A$1436,1))-INDEX(VN_국채일별!$B$4:$B$1436,MATCH($B157,VN_국채일별!$A$4:$A$1436,1)))*($J157-1),IF($J157&lt;=3,INDEX(VN_국채일별!$C$4:$C$1436,MATCH($B157,VN_국채일별!$A$4:$A$1436,1))+(INDEX(VN_국채일별!$D$4:$D$1436,MATCH($B157,VN_국채일별!$A$4:$A$1436,1))-INDEX(VN_국채일별!$C$4:$C$1436,MATCH($B157,VN_국채일별!$A$4:$A$1436,1)))*($J157-2),IF($J157&lt;=5,INDEX(VN_국채일별!$D$4:$D$1436,MATCH($B157,VN_국채일별!$A$4:$A$1436,1))+(INDEX(VN_국채일별!$E$4:$E$1436,MATCH($B157,VN_국채일별!$A$4:$A$1436,1))-INDEX(VN_국채일별!$D$4:$D$1436,MATCH($B157,VN_국채일별!$A$4:$A$1436,1)))*($J157-3)/2,IF($J157&lt;=7,INDEX(VN_국채일별!$E$4:$E$1436,MATCH($B157,VN_국채일별!$A$4:$A$1436,1))+(INDEX(VN_국채일별!$F$4:$F$1436,MATCH($B157,VN_국채일별!$A$4:$A$1436,1))-INDEX(VN_국채일별!$E$4:$E$1436,MATCH($B157,VN_국채일별!$A$4:$A$1436,1)))*($J157-5)/2,IF($J157&lt;=10,INDEX(VN_국채일별!$F$4:$F$1436,MATCH($B157,VN_국채일별!$A$4:$A$1436,1))+(INDEX(VN_국채일별!$G$4:$G$1436,MATCH($B157,VN_국채일별!$A$4:$A$1436,1))-INDEX(VN_국채일별!$F$4:$F$1436,MATCH($B157,VN_국채일별!$A$4:$A$1436,1)))*($J157-7)/3,INDEX(VN_국채일별!$G$4:$G$1436,MATCH($B157,VN_국채일별!$A$4:$A$1436,1)))))))),""))</f>
        <v>0.02645</v>
      </c>
      <c r="R157" s="58" t="str">
        <f aca="false">IF(OR(L157="",Q157=""),"",(L157-Q157)*10000)</f>
        <v/>
      </c>
      <c r="S157" s="30" t="n">
        <f aca="false">IF(AND(K157="고정",N157="N",J157&gt;=2,J157&lt;=4,I157&lt;&gt;""),1,0)</f>
        <v>0</v>
      </c>
      <c r="T157" s="59" t="n">
        <f aca="false">IF(S157=1,I157*L157,0)</f>
        <v>0</v>
      </c>
      <c r="U157" s="60" t="n">
        <f aca="false">IF(AND(S157=1,ISNUMBER(R157)),I157*R157,0)</f>
        <v>0</v>
      </c>
      <c r="V157" s="30" t="n">
        <f aca="false">IF(AND(F157="Big4(국영)",K157="고정",N157="N",I157&lt;&gt;""),1,0)</f>
        <v>0</v>
      </c>
      <c r="W157" s="59" t="n">
        <f aca="false">IF(V157=1,I157*L157,0)</f>
        <v>0</v>
      </c>
      <c r="X157" s="60" t="n">
        <f aca="false">IF(AND(V157=1,ISNUMBER(R157)),I157*R157,0)</f>
        <v>0</v>
      </c>
      <c r="Y157" s="61" t="n">
        <f aca="false">IF(AND(S157=1,ISNUMBER(R157)),I157,0)</f>
        <v>0</v>
      </c>
      <c r="Z157" s="61" t="n">
        <f aca="false">IF(AND(V157=1,ISNUMBER(R157)),I157,0)</f>
        <v>0</v>
      </c>
    </row>
    <row r="158" customFormat="false" ht="15" hidden="false" customHeight="false" outlineLevel="0" collapsed="false">
      <c r="A158" s="47" t="s">
        <v>437</v>
      </c>
      <c r="B158" s="52" t="n">
        <v>45215</v>
      </c>
      <c r="C158" s="53" t="n">
        <f aca="false">DATE(YEAR(B158),MONTH(B158),1)</f>
        <v>45200</v>
      </c>
      <c r="D158" s="5" t="str">
        <f aca="false">YEAR(B158)&amp;"Q"&amp;ROUNDUP(MONTH(B158)/3,0)</f>
        <v>2023Q4</v>
      </c>
      <c r="E158" s="47" t="s">
        <v>150</v>
      </c>
      <c r="F158" s="54" t="s">
        <v>139</v>
      </c>
      <c r="G158" s="47" t="s">
        <v>170</v>
      </c>
      <c r="H158" s="47" t="s">
        <v>448</v>
      </c>
      <c r="I158" s="55" t="n">
        <v>2500</v>
      </c>
      <c r="J158" s="56" t="n">
        <v>3</v>
      </c>
      <c r="K158" s="54" t="s">
        <v>142</v>
      </c>
      <c r="L158" s="57" t="n">
        <v>0.06</v>
      </c>
      <c r="N158" s="47" t="s">
        <v>148</v>
      </c>
      <c r="O158" s="47" t="s">
        <v>449</v>
      </c>
      <c r="P158" s="47"/>
      <c r="Q158" s="48" t="n">
        <f aca="false">IF($J158="","",IFERROR(IF($J158&lt;=1,INDEX(VN_국채일별!$B$4:$B$1436,MATCH($B158,VN_국채일별!$A$4:$A$1436,1)),IF($J158&lt;=2,INDEX(VN_국채일별!$B$4:$B$1436,MATCH($B158,VN_국채일별!$A$4:$A$1436,1))+(INDEX(VN_국채일별!$C$4:$C$1436,MATCH($B158,VN_국채일별!$A$4:$A$1436,1))-INDEX(VN_국채일별!$B$4:$B$1436,MATCH($B158,VN_국채일별!$A$4:$A$1436,1)))*($J158-1),IF($J158&lt;=3,INDEX(VN_국채일별!$C$4:$C$1436,MATCH($B158,VN_국채일별!$A$4:$A$1436,1))+(INDEX(VN_국채일별!$D$4:$D$1436,MATCH($B158,VN_국채일별!$A$4:$A$1436,1))-INDEX(VN_국채일별!$C$4:$C$1436,MATCH($B158,VN_국채일별!$A$4:$A$1436,1)))*($J158-2),IF($J158&lt;=5,INDEX(VN_국채일별!$D$4:$D$1436,MATCH($B158,VN_국채일별!$A$4:$A$1436,1))+(INDEX(VN_국채일별!$E$4:$E$1436,MATCH($B158,VN_국채일별!$A$4:$A$1436,1))-INDEX(VN_국채일별!$D$4:$D$1436,MATCH($B158,VN_국채일별!$A$4:$A$1436,1)))*($J158-3)/2,IF($J158&lt;=7,INDEX(VN_국채일별!$E$4:$E$1436,MATCH($B158,VN_국채일별!$A$4:$A$1436,1))+(INDEX(VN_국채일별!$F$4:$F$1436,MATCH($B158,VN_국채일별!$A$4:$A$1436,1))-INDEX(VN_국채일별!$E$4:$E$1436,MATCH($B158,VN_국채일별!$A$4:$A$1436,1)))*($J158-5)/2,IF($J158&lt;=10,INDEX(VN_국채일별!$F$4:$F$1436,MATCH($B158,VN_국채일별!$A$4:$A$1436,1))+(INDEX(VN_국채일별!$G$4:$G$1436,MATCH($B158,VN_국채일별!$A$4:$A$1436,1))-INDEX(VN_국채일별!$F$4:$F$1436,MATCH($B158,VN_국채일별!$A$4:$A$1436,1)))*($J158-7)/3,INDEX(VN_국채일별!$G$4:$G$1436,MATCH($B158,VN_국채일별!$A$4:$A$1436,1)))))))),""))</f>
        <v>0.01945</v>
      </c>
      <c r="R158" s="58" t="n">
        <f aca="false">IF(OR(L158="",Q158=""),"",(L158-Q158)*10000)</f>
        <v>405.5</v>
      </c>
      <c r="S158" s="30" t="n">
        <f aca="false">IF(AND(K158="고정",N158="N",J158&gt;=2,J158&lt;=4,I158&lt;&gt;""),1,0)</f>
        <v>1</v>
      </c>
      <c r="T158" s="59" t="n">
        <f aca="false">IF(S158=1,I158*L158,0)</f>
        <v>150</v>
      </c>
      <c r="U158" s="60" t="n">
        <f aca="false">IF(AND(S158=1,ISNUMBER(R158)),I158*R158,0)</f>
        <v>1013750</v>
      </c>
      <c r="V158" s="30" t="n">
        <f aca="false">IF(AND(F158="Big4(국영)",K158="고정",N158="N",I158&lt;&gt;""),1,0)</f>
        <v>0</v>
      </c>
      <c r="W158" s="59" t="n">
        <f aca="false">IF(V158=1,I158*L158,0)</f>
        <v>0</v>
      </c>
      <c r="X158" s="60" t="n">
        <f aca="false">IF(AND(V158=1,ISNUMBER(R158)),I158*R158,0)</f>
        <v>0</v>
      </c>
      <c r="Y158" s="61" t="n">
        <f aca="false">IF(AND(S158=1,ISNUMBER(R158)),I158,0)</f>
        <v>2500</v>
      </c>
      <c r="Z158" s="61" t="n">
        <f aca="false">IF(AND(V158=1,ISNUMBER(R158)),I158,0)</f>
        <v>0</v>
      </c>
    </row>
    <row r="159" customFormat="false" ht="15" hidden="false" customHeight="false" outlineLevel="0" collapsed="false">
      <c r="A159" s="47" t="s">
        <v>437</v>
      </c>
      <c r="B159" s="52" t="n">
        <v>45216</v>
      </c>
      <c r="C159" s="53" t="n">
        <f aca="false">DATE(YEAR(B159),MONTH(B159),1)</f>
        <v>45200</v>
      </c>
      <c r="D159" s="5" t="str">
        <f aca="false">YEAR(B159)&amp;"Q"&amp;ROUNDUP(MONTH(B159)/3,0)</f>
        <v>2023Q4</v>
      </c>
      <c r="E159" s="47" t="s">
        <v>150</v>
      </c>
      <c r="F159" s="54" t="s">
        <v>139</v>
      </c>
      <c r="G159" s="47" t="s">
        <v>170</v>
      </c>
      <c r="H159" s="47" t="s">
        <v>450</v>
      </c>
      <c r="I159" s="55" t="n">
        <v>2000</v>
      </c>
      <c r="J159" s="56" t="n">
        <v>3</v>
      </c>
      <c r="K159" s="54" t="s">
        <v>142</v>
      </c>
      <c r="L159" s="57" t="n">
        <v>0.058</v>
      </c>
      <c r="N159" s="47" t="s">
        <v>148</v>
      </c>
      <c r="O159" s="47" t="s">
        <v>451</v>
      </c>
      <c r="P159" s="47"/>
      <c r="Q159" s="48" t="n">
        <f aca="false">IF($J159="","",IFERROR(IF($J159&lt;=1,INDEX(VN_국채일별!$B$4:$B$1436,MATCH($B159,VN_국채일별!$A$4:$A$1436,1)),IF($J159&lt;=2,INDEX(VN_국채일별!$B$4:$B$1436,MATCH($B159,VN_국채일별!$A$4:$A$1436,1))+(INDEX(VN_국채일별!$C$4:$C$1436,MATCH($B159,VN_국채일별!$A$4:$A$1436,1))-INDEX(VN_국채일별!$B$4:$B$1436,MATCH($B159,VN_국채일별!$A$4:$A$1436,1)))*($J159-1),IF($J159&lt;=3,INDEX(VN_국채일별!$C$4:$C$1436,MATCH($B159,VN_국채일별!$A$4:$A$1436,1))+(INDEX(VN_국채일별!$D$4:$D$1436,MATCH($B159,VN_국채일별!$A$4:$A$1436,1))-INDEX(VN_국채일별!$C$4:$C$1436,MATCH($B159,VN_국채일별!$A$4:$A$1436,1)))*($J159-2),IF($J159&lt;=5,INDEX(VN_국채일별!$D$4:$D$1436,MATCH($B159,VN_국채일별!$A$4:$A$1436,1))+(INDEX(VN_국채일별!$E$4:$E$1436,MATCH($B159,VN_국채일별!$A$4:$A$1436,1))-INDEX(VN_국채일별!$D$4:$D$1436,MATCH($B159,VN_국채일별!$A$4:$A$1436,1)))*($J159-3)/2,IF($J159&lt;=7,INDEX(VN_국채일별!$E$4:$E$1436,MATCH($B159,VN_국채일별!$A$4:$A$1436,1))+(INDEX(VN_국채일별!$F$4:$F$1436,MATCH($B159,VN_국채일별!$A$4:$A$1436,1))-INDEX(VN_국채일별!$E$4:$E$1436,MATCH($B159,VN_국채일별!$A$4:$A$1436,1)))*($J159-5)/2,IF($J159&lt;=10,INDEX(VN_국채일별!$F$4:$F$1436,MATCH($B159,VN_국채일별!$A$4:$A$1436,1))+(INDEX(VN_국채일별!$G$4:$G$1436,MATCH($B159,VN_국채일별!$A$4:$A$1436,1))-INDEX(VN_국채일별!$F$4:$F$1436,MATCH($B159,VN_국채일별!$A$4:$A$1436,1)))*($J159-7)/3,INDEX(VN_국채일별!$G$4:$G$1436,MATCH($B159,VN_국채일별!$A$4:$A$1436,1)))))))),""))</f>
        <v>0.01944</v>
      </c>
      <c r="R159" s="58" t="n">
        <f aca="false">IF(OR(L159="",Q159=""),"",(L159-Q159)*10000)</f>
        <v>385.6</v>
      </c>
      <c r="S159" s="30" t="n">
        <f aca="false">IF(AND(K159="고정",N159="N",J159&gt;=2,J159&lt;=4,I159&lt;&gt;""),1,0)</f>
        <v>1</v>
      </c>
      <c r="T159" s="59" t="n">
        <f aca="false">IF(S159=1,I159*L159,0)</f>
        <v>116</v>
      </c>
      <c r="U159" s="60" t="n">
        <f aca="false">IF(AND(S159=1,ISNUMBER(R159)),I159*R159,0)</f>
        <v>771200</v>
      </c>
      <c r="V159" s="30" t="n">
        <f aca="false">IF(AND(F159="Big4(국영)",K159="고정",N159="N",I159&lt;&gt;""),1,0)</f>
        <v>0</v>
      </c>
      <c r="W159" s="59" t="n">
        <f aca="false">IF(V159=1,I159*L159,0)</f>
        <v>0</v>
      </c>
      <c r="X159" s="60" t="n">
        <f aca="false">IF(AND(V159=1,ISNUMBER(R159)),I159*R159,0)</f>
        <v>0</v>
      </c>
      <c r="Y159" s="61" t="n">
        <f aca="false">IF(AND(S159=1,ISNUMBER(R159)),I159,0)</f>
        <v>2000</v>
      </c>
      <c r="Z159" s="61" t="n">
        <f aca="false">IF(AND(V159=1,ISNUMBER(R159)),I159,0)</f>
        <v>0</v>
      </c>
    </row>
    <row r="160" customFormat="false" ht="15" hidden="false" customHeight="false" outlineLevel="0" collapsed="false">
      <c r="A160" s="47" t="s">
        <v>437</v>
      </c>
      <c r="B160" s="52" t="n">
        <v>45219</v>
      </c>
      <c r="C160" s="53" t="n">
        <f aca="false">DATE(YEAR(B160),MONTH(B160),1)</f>
        <v>45200</v>
      </c>
      <c r="D160" s="5" t="str">
        <f aca="false">YEAR(B160)&amp;"Q"&amp;ROUNDUP(MONTH(B160)/3,0)</f>
        <v>2023Q4</v>
      </c>
      <c r="E160" s="47" t="s">
        <v>254</v>
      </c>
      <c r="F160" s="54" t="s">
        <v>139</v>
      </c>
      <c r="G160" s="47" t="s">
        <v>339</v>
      </c>
      <c r="H160" s="47" t="s">
        <v>452</v>
      </c>
      <c r="I160" s="55" t="n">
        <v>2500</v>
      </c>
      <c r="J160" s="56" t="n">
        <v>2</v>
      </c>
      <c r="K160" s="54" t="s">
        <v>142</v>
      </c>
      <c r="L160" s="57" t="n">
        <v>0.06</v>
      </c>
      <c r="N160" s="47" t="s">
        <v>148</v>
      </c>
      <c r="O160" s="47" t="s">
        <v>449</v>
      </c>
      <c r="P160" s="47"/>
      <c r="Q160" s="48" t="n">
        <f aca="false">IF($J160="","",IFERROR(IF($J160&lt;=1,INDEX(VN_국채일별!$B$4:$B$1436,MATCH($B160,VN_국채일별!$A$4:$A$1436,1)),IF($J160&lt;=2,INDEX(VN_국채일별!$B$4:$B$1436,MATCH($B160,VN_국채일별!$A$4:$A$1436,1))+(INDEX(VN_국채일별!$C$4:$C$1436,MATCH($B160,VN_국채일별!$A$4:$A$1436,1))-INDEX(VN_국채일별!$B$4:$B$1436,MATCH($B160,VN_국채일별!$A$4:$A$1436,1)))*($J160-1),IF($J160&lt;=3,INDEX(VN_국채일별!$C$4:$C$1436,MATCH($B160,VN_국채일별!$A$4:$A$1436,1))+(INDEX(VN_국채일별!$D$4:$D$1436,MATCH($B160,VN_국채일별!$A$4:$A$1436,1))-INDEX(VN_국채일별!$C$4:$C$1436,MATCH($B160,VN_국채일별!$A$4:$A$1436,1)))*($J160-2),IF($J160&lt;=5,INDEX(VN_국채일별!$D$4:$D$1436,MATCH($B160,VN_국채일별!$A$4:$A$1436,1))+(INDEX(VN_국채일별!$E$4:$E$1436,MATCH($B160,VN_국채일별!$A$4:$A$1436,1))-INDEX(VN_국채일별!$D$4:$D$1436,MATCH($B160,VN_국채일별!$A$4:$A$1436,1)))*($J160-3)/2,IF($J160&lt;=7,INDEX(VN_국채일별!$E$4:$E$1436,MATCH($B160,VN_국채일별!$A$4:$A$1436,1))+(INDEX(VN_국채일별!$F$4:$F$1436,MATCH($B160,VN_국채일별!$A$4:$A$1436,1))-INDEX(VN_국채일별!$E$4:$E$1436,MATCH($B160,VN_국채일별!$A$4:$A$1436,1)))*($J160-5)/2,IF($J160&lt;=10,INDEX(VN_국채일별!$F$4:$F$1436,MATCH($B160,VN_국채일별!$A$4:$A$1436,1))+(INDEX(VN_국채일별!$G$4:$G$1436,MATCH($B160,VN_국채일별!$A$4:$A$1436,1))-INDEX(VN_국채일별!$F$4:$F$1436,MATCH($B160,VN_국채일별!$A$4:$A$1436,1)))*($J160-7)/3,INDEX(VN_국채일별!$G$4:$G$1436,MATCH($B160,VN_국채일별!$A$4:$A$1436,1)))))))),""))</f>
        <v>0.01986</v>
      </c>
      <c r="R160" s="58" t="n">
        <f aca="false">IF(OR(L160="",Q160=""),"",(L160-Q160)*10000)</f>
        <v>401.4</v>
      </c>
      <c r="S160" s="30" t="n">
        <f aca="false">IF(AND(K160="고정",N160="N",J160&gt;=2,J160&lt;=4,I160&lt;&gt;""),1,0)</f>
        <v>1</v>
      </c>
      <c r="T160" s="59" t="n">
        <f aca="false">IF(S160=1,I160*L160,0)</f>
        <v>150</v>
      </c>
      <c r="U160" s="60" t="n">
        <f aca="false">IF(AND(S160=1,ISNUMBER(R160)),I160*R160,0)</f>
        <v>1003500</v>
      </c>
      <c r="V160" s="30" t="n">
        <f aca="false">IF(AND(F160="Big4(국영)",K160="고정",N160="N",I160&lt;&gt;""),1,0)</f>
        <v>0</v>
      </c>
      <c r="W160" s="59" t="n">
        <f aca="false">IF(V160=1,I160*L160,0)</f>
        <v>0</v>
      </c>
      <c r="X160" s="60" t="n">
        <f aca="false">IF(AND(V160=1,ISNUMBER(R160)),I160*R160,0)</f>
        <v>0</v>
      </c>
      <c r="Y160" s="61" t="n">
        <f aca="false">IF(AND(S160=1,ISNUMBER(R160)),I160,0)</f>
        <v>2500</v>
      </c>
      <c r="Z160" s="61" t="n">
        <f aca="false">IF(AND(V160=1,ISNUMBER(R160)),I160,0)</f>
        <v>0</v>
      </c>
    </row>
    <row r="161" customFormat="false" ht="15" hidden="false" customHeight="false" outlineLevel="0" collapsed="false">
      <c r="A161" s="47" t="s">
        <v>453</v>
      </c>
      <c r="B161" s="52" t="n">
        <v>45236</v>
      </c>
      <c r="C161" s="53" t="n">
        <f aca="false">DATE(YEAR(B161),MONTH(B161),1)</f>
        <v>45231</v>
      </c>
      <c r="D161" s="5" t="str">
        <f aca="false">YEAR(B161)&amp;"Q"&amp;ROUNDUP(MONTH(B161)/3,0)</f>
        <v>2023Q4</v>
      </c>
      <c r="E161" s="47" t="s">
        <v>166</v>
      </c>
      <c r="F161" s="54" t="s">
        <v>139</v>
      </c>
      <c r="G161" s="47" t="s">
        <v>167</v>
      </c>
      <c r="H161" s="47" t="s">
        <v>454</v>
      </c>
      <c r="I161" s="55" t="n">
        <v>1000</v>
      </c>
      <c r="J161" s="56" t="n">
        <v>3</v>
      </c>
      <c r="K161" s="54" t="s">
        <v>142</v>
      </c>
      <c r="L161" s="57" t="n">
        <v>0.07</v>
      </c>
      <c r="N161" s="47" t="s">
        <v>148</v>
      </c>
      <c r="O161" s="47" t="s">
        <v>455</v>
      </c>
      <c r="P161" s="47"/>
      <c r="Q161" s="48" t="n">
        <f aca="false">IF($J161="","",IFERROR(IF($J161&lt;=1,INDEX(VN_국채일별!$B$4:$B$1436,MATCH($B161,VN_국채일별!$A$4:$A$1436,1)),IF($J161&lt;=2,INDEX(VN_국채일별!$B$4:$B$1436,MATCH($B161,VN_국채일별!$A$4:$A$1436,1))+(INDEX(VN_국채일별!$C$4:$C$1436,MATCH($B161,VN_국채일별!$A$4:$A$1436,1))-INDEX(VN_국채일별!$B$4:$B$1436,MATCH($B161,VN_국채일별!$A$4:$A$1436,1)))*($J161-1),IF($J161&lt;=3,INDEX(VN_국채일별!$C$4:$C$1436,MATCH($B161,VN_국채일별!$A$4:$A$1436,1))+(INDEX(VN_국채일별!$D$4:$D$1436,MATCH($B161,VN_국채일별!$A$4:$A$1436,1))-INDEX(VN_국채일별!$C$4:$C$1436,MATCH($B161,VN_국채일별!$A$4:$A$1436,1)))*($J161-2),IF($J161&lt;=5,INDEX(VN_국채일별!$D$4:$D$1436,MATCH($B161,VN_국채일별!$A$4:$A$1436,1))+(INDEX(VN_국채일별!$E$4:$E$1436,MATCH($B161,VN_국채일별!$A$4:$A$1436,1))-INDEX(VN_국채일별!$D$4:$D$1436,MATCH($B161,VN_국채일별!$A$4:$A$1436,1)))*($J161-3)/2,IF($J161&lt;=7,INDEX(VN_국채일별!$E$4:$E$1436,MATCH($B161,VN_국채일별!$A$4:$A$1436,1))+(INDEX(VN_국채일별!$F$4:$F$1436,MATCH($B161,VN_국채일별!$A$4:$A$1436,1))-INDEX(VN_국채일별!$E$4:$E$1436,MATCH($B161,VN_국채일별!$A$4:$A$1436,1)))*($J161-5)/2,IF($J161&lt;=10,INDEX(VN_국채일별!$F$4:$F$1436,MATCH($B161,VN_국채일별!$A$4:$A$1436,1))+(INDEX(VN_국채일별!$G$4:$G$1436,MATCH($B161,VN_국채일별!$A$4:$A$1436,1))-INDEX(VN_국채일별!$F$4:$F$1436,MATCH($B161,VN_국채일별!$A$4:$A$1436,1)))*($J161-7)/3,INDEX(VN_국채일별!$G$4:$G$1436,MATCH($B161,VN_국채일별!$A$4:$A$1436,1)))))))),""))</f>
        <v>0.01973</v>
      </c>
      <c r="R161" s="58" t="n">
        <f aca="false">IF(OR(L161="",Q161=""),"",(L161-Q161)*10000)</f>
        <v>502.7</v>
      </c>
      <c r="S161" s="30" t="n">
        <f aca="false">IF(AND(K161="고정",N161="N",J161&gt;=2,J161&lt;=4,I161&lt;&gt;""),1,0)</f>
        <v>1</v>
      </c>
      <c r="T161" s="59" t="n">
        <f aca="false">IF(S161=1,I161*L161,0)</f>
        <v>70</v>
      </c>
      <c r="U161" s="60" t="n">
        <f aca="false">IF(AND(S161=1,ISNUMBER(R161)),I161*R161,0)</f>
        <v>502700</v>
      </c>
      <c r="V161" s="30" t="n">
        <f aca="false">IF(AND(F161="Big4(국영)",K161="고정",N161="N",I161&lt;&gt;""),1,0)</f>
        <v>0</v>
      </c>
      <c r="W161" s="59" t="n">
        <f aca="false">IF(V161=1,I161*L161,0)</f>
        <v>0</v>
      </c>
      <c r="X161" s="60" t="n">
        <f aca="false">IF(AND(V161=1,ISNUMBER(R161)),I161*R161,0)</f>
        <v>0</v>
      </c>
      <c r="Y161" s="61" t="n">
        <f aca="false">IF(AND(S161=1,ISNUMBER(R161)),I161,0)</f>
        <v>1000</v>
      </c>
      <c r="Z161" s="61" t="n">
        <f aca="false">IF(AND(V161=1,ISNUMBER(R161)),I161,0)</f>
        <v>0</v>
      </c>
    </row>
    <row r="162" customFormat="false" ht="15" hidden="false" customHeight="false" outlineLevel="0" collapsed="false">
      <c r="A162" s="47" t="s">
        <v>453</v>
      </c>
      <c r="B162" s="52" t="n">
        <v>45236</v>
      </c>
      <c r="C162" s="53" t="n">
        <f aca="false">DATE(YEAR(B162),MONTH(B162),1)</f>
        <v>45231</v>
      </c>
      <c r="D162" s="5" t="str">
        <f aca="false">YEAR(B162)&amp;"Q"&amp;ROUNDUP(MONTH(B162)/3,0)</f>
        <v>2023Q4</v>
      </c>
      <c r="E162" s="47" t="s">
        <v>248</v>
      </c>
      <c r="F162" s="54" t="s">
        <v>139</v>
      </c>
      <c r="G162" s="47" t="s">
        <v>361</v>
      </c>
      <c r="H162" s="47" t="s">
        <v>456</v>
      </c>
      <c r="I162" s="55" t="n">
        <v>1500</v>
      </c>
      <c r="J162" s="56" t="n">
        <v>8</v>
      </c>
      <c r="K162" s="54" t="s">
        <v>153</v>
      </c>
      <c r="N162" s="47" t="s">
        <v>143</v>
      </c>
      <c r="O162" s="47" t="s">
        <v>411</v>
      </c>
      <c r="P162" s="47"/>
      <c r="Q162" s="48" t="n">
        <f aca="false">IF($J162="","",IFERROR(IF($J162&lt;=1,INDEX(VN_국채일별!$B$4:$B$1436,MATCH($B162,VN_국채일별!$A$4:$A$1436,1)),IF($J162&lt;=2,INDEX(VN_국채일별!$B$4:$B$1436,MATCH($B162,VN_국채일별!$A$4:$A$1436,1))+(INDEX(VN_국채일별!$C$4:$C$1436,MATCH($B162,VN_국채일별!$A$4:$A$1436,1))-INDEX(VN_국채일별!$B$4:$B$1436,MATCH($B162,VN_국채일별!$A$4:$A$1436,1)))*($J162-1),IF($J162&lt;=3,INDEX(VN_국채일별!$C$4:$C$1436,MATCH($B162,VN_국채일별!$A$4:$A$1436,1))+(INDEX(VN_국채일별!$D$4:$D$1436,MATCH($B162,VN_국채일별!$A$4:$A$1436,1))-INDEX(VN_국채일별!$C$4:$C$1436,MATCH($B162,VN_국채일별!$A$4:$A$1436,1)))*($J162-2),IF($J162&lt;=5,INDEX(VN_국채일별!$D$4:$D$1436,MATCH($B162,VN_국채일별!$A$4:$A$1436,1))+(INDEX(VN_국채일별!$E$4:$E$1436,MATCH($B162,VN_국채일별!$A$4:$A$1436,1))-INDEX(VN_국채일별!$D$4:$D$1436,MATCH($B162,VN_국채일별!$A$4:$A$1436,1)))*($J162-3)/2,IF($J162&lt;=7,INDEX(VN_국채일별!$E$4:$E$1436,MATCH($B162,VN_국채일별!$A$4:$A$1436,1))+(INDEX(VN_국채일별!$F$4:$F$1436,MATCH($B162,VN_국채일별!$A$4:$A$1436,1))-INDEX(VN_국채일별!$E$4:$E$1436,MATCH($B162,VN_국채일별!$A$4:$A$1436,1)))*($J162-5)/2,IF($J162&lt;=10,INDEX(VN_국채일별!$F$4:$F$1436,MATCH($B162,VN_국채일별!$A$4:$A$1436,1))+(INDEX(VN_국채일별!$G$4:$G$1436,MATCH($B162,VN_국채일별!$A$4:$A$1436,1))-INDEX(VN_국채일별!$F$4:$F$1436,MATCH($B162,VN_국채일별!$A$4:$A$1436,1)))*($J162-7)/3,INDEX(VN_국채일별!$G$4:$G$1436,MATCH($B162,VN_국채일별!$A$4:$A$1436,1)))))))),""))</f>
        <v>0.0269433333333333</v>
      </c>
      <c r="R162" s="58" t="str">
        <f aca="false">IF(OR(L162="",Q162=""),"",(L162-Q162)*10000)</f>
        <v/>
      </c>
      <c r="S162" s="30" t="n">
        <f aca="false">IF(AND(K162="고정",N162="N",J162&gt;=2,J162&lt;=4,I162&lt;&gt;""),1,0)</f>
        <v>0</v>
      </c>
      <c r="T162" s="59" t="n">
        <f aca="false">IF(S162=1,I162*L162,0)</f>
        <v>0</v>
      </c>
      <c r="U162" s="60" t="n">
        <f aca="false">IF(AND(S162=1,ISNUMBER(R162)),I162*R162,0)</f>
        <v>0</v>
      </c>
      <c r="V162" s="30" t="n">
        <f aca="false">IF(AND(F162="Big4(국영)",K162="고정",N162="N",I162&lt;&gt;""),1,0)</f>
        <v>0</v>
      </c>
      <c r="W162" s="59" t="n">
        <f aca="false">IF(V162=1,I162*L162,0)</f>
        <v>0</v>
      </c>
      <c r="X162" s="60" t="n">
        <f aca="false">IF(AND(V162=1,ISNUMBER(R162)),I162*R162,0)</f>
        <v>0</v>
      </c>
      <c r="Y162" s="61" t="n">
        <f aca="false">IF(AND(S162=1,ISNUMBER(R162)),I162,0)</f>
        <v>0</v>
      </c>
      <c r="Z162" s="61" t="n">
        <f aca="false">IF(AND(V162=1,ISNUMBER(R162)),I162,0)</f>
        <v>0</v>
      </c>
    </row>
    <row r="163" customFormat="false" ht="15" hidden="false" customHeight="false" outlineLevel="0" collapsed="false">
      <c r="A163" s="47" t="s">
        <v>453</v>
      </c>
      <c r="B163" s="52" t="n">
        <v>45240</v>
      </c>
      <c r="C163" s="53" t="n">
        <f aca="false">DATE(YEAR(B163),MONTH(B163),1)</f>
        <v>45231</v>
      </c>
      <c r="D163" s="5" t="str">
        <f aca="false">YEAR(B163)&amp;"Q"&amp;ROUNDUP(MONTH(B163)/3,0)</f>
        <v>2023Q4</v>
      </c>
      <c r="E163" s="62" t="s">
        <v>173</v>
      </c>
      <c r="F163" s="62" t="s">
        <v>156</v>
      </c>
      <c r="G163" s="47" t="s">
        <v>174</v>
      </c>
      <c r="H163" s="47" t="s">
        <v>457</v>
      </c>
      <c r="I163" s="55" t="n">
        <v>450</v>
      </c>
      <c r="J163" s="56" t="n">
        <v>10</v>
      </c>
      <c r="K163" s="54" t="s">
        <v>142</v>
      </c>
      <c r="L163" s="57" t="n">
        <v>0.071</v>
      </c>
      <c r="N163" s="47" t="s">
        <v>143</v>
      </c>
      <c r="O163" s="47" t="s">
        <v>458</v>
      </c>
      <c r="P163" s="47"/>
      <c r="Q163" s="48" t="n">
        <f aca="false">IF($J163="","",IFERROR(IF($J163&lt;=1,INDEX(VN_국채일별!$B$4:$B$1436,MATCH($B163,VN_국채일별!$A$4:$A$1436,1)),IF($J163&lt;=2,INDEX(VN_국채일별!$B$4:$B$1436,MATCH($B163,VN_국채일별!$A$4:$A$1436,1))+(INDEX(VN_국채일별!$C$4:$C$1436,MATCH($B163,VN_국채일별!$A$4:$A$1436,1))-INDEX(VN_국채일별!$B$4:$B$1436,MATCH($B163,VN_국채일별!$A$4:$A$1436,1)))*($J163-1),IF($J163&lt;=3,INDEX(VN_국채일별!$C$4:$C$1436,MATCH($B163,VN_국채일별!$A$4:$A$1436,1))+(INDEX(VN_국채일별!$D$4:$D$1436,MATCH($B163,VN_국채일별!$A$4:$A$1436,1))-INDEX(VN_국채일별!$C$4:$C$1436,MATCH($B163,VN_국채일별!$A$4:$A$1436,1)))*($J163-2),IF($J163&lt;=5,INDEX(VN_국채일별!$D$4:$D$1436,MATCH($B163,VN_국채일별!$A$4:$A$1436,1))+(INDEX(VN_국채일별!$E$4:$E$1436,MATCH($B163,VN_국채일별!$A$4:$A$1436,1))-INDEX(VN_국채일별!$D$4:$D$1436,MATCH($B163,VN_국채일별!$A$4:$A$1436,1)))*($J163-3)/2,IF($J163&lt;=7,INDEX(VN_국채일별!$E$4:$E$1436,MATCH($B163,VN_국채일별!$A$4:$A$1436,1))+(INDEX(VN_국채일별!$F$4:$F$1436,MATCH($B163,VN_국채일별!$A$4:$A$1436,1))-INDEX(VN_국채일별!$E$4:$E$1436,MATCH($B163,VN_국채일별!$A$4:$A$1436,1)))*($J163-5)/2,IF($J163&lt;=10,INDEX(VN_국채일별!$F$4:$F$1436,MATCH($B163,VN_국채일별!$A$4:$A$1436,1))+(INDEX(VN_국채일별!$G$4:$G$1436,MATCH($B163,VN_국채일별!$A$4:$A$1436,1))-INDEX(VN_국채일별!$F$4:$F$1436,MATCH($B163,VN_국채일별!$A$4:$A$1436,1)))*($J163-7)/3,INDEX(VN_국채일별!$G$4:$G$1436,MATCH($B163,VN_국채일별!$A$4:$A$1436,1)))))))),""))</f>
        <v>0.02778</v>
      </c>
      <c r="R163" s="58" t="n">
        <f aca="false">IF(OR(L163="",Q163=""),"",(L163-Q163)*10000)</f>
        <v>432.2</v>
      </c>
      <c r="S163" s="30" t="n">
        <f aca="false">IF(AND(K163="고정",N163="N",J163&gt;=2,J163&lt;=4,I163&lt;&gt;""),1,0)</f>
        <v>0</v>
      </c>
      <c r="T163" s="59" t="n">
        <f aca="false">IF(S163=1,I163*L163,0)</f>
        <v>0</v>
      </c>
      <c r="U163" s="60" t="n">
        <f aca="false">IF(AND(S163=1,ISNUMBER(R163)),I163*R163,0)</f>
        <v>0</v>
      </c>
      <c r="V163" s="30" t="n">
        <f aca="false">IF(AND(F163="Big4(국영)",K163="고정",N163="N",I163&lt;&gt;""),1,0)</f>
        <v>0</v>
      </c>
      <c r="W163" s="59" t="n">
        <f aca="false">IF(V163=1,I163*L163,0)</f>
        <v>0</v>
      </c>
      <c r="X163" s="60" t="n">
        <f aca="false">IF(AND(V163=1,ISNUMBER(R163)),I163*R163,0)</f>
        <v>0</v>
      </c>
      <c r="Y163" s="61" t="n">
        <f aca="false">IF(AND(S163=1,ISNUMBER(R163)),I163,0)</f>
        <v>0</v>
      </c>
      <c r="Z163" s="61" t="n">
        <f aca="false">IF(AND(V163=1,ISNUMBER(R163)),I163,0)</f>
        <v>0</v>
      </c>
    </row>
    <row r="164" customFormat="false" ht="15" hidden="false" customHeight="false" outlineLevel="0" collapsed="false">
      <c r="A164" s="47" t="s">
        <v>453</v>
      </c>
      <c r="B164" s="52" t="n">
        <v>45240</v>
      </c>
      <c r="C164" s="53" t="n">
        <f aca="false">DATE(YEAR(B164),MONTH(B164),1)</f>
        <v>45231</v>
      </c>
      <c r="D164" s="5" t="str">
        <f aca="false">YEAR(B164)&amp;"Q"&amp;ROUNDUP(MONTH(B164)/3,0)</f>
        <v>2023Q4</v>
      </c>
      <c r="E164" s="47" t="s">
        <v>365</v>
      </c>
      <c r="F164" s="54" t="s">
        <v>139</v>
      </c>
      <c r="G164" s="47" t="s">
        <v>366</v>
      </c>
      <c r="H164" s="47" t="s">
        <v>459</v>
      </c>
      <c r="I164" s="55" t="n">
        <v>51.3</v>
      </c>
      <c r="J164" s="56" t="n">
        <v>10</v>
      </c>
      <c r="K164" s="54" t="s">
        <v>153</v>
      </c>
      <c r="N164" s="47" t="s">
        <v>143</v>
      </c>
      <c r="O164" s="47" t="s">
        <v>460</v>
      </c>
      <c r="P164" s="47"/>
      <c r="Q164" s="48" t="n">
        <f aca="false">IF($J164="","",IFERROR(IF($J164&lt;=1,INDEX(VN_국채일별!$B$4:$B$1436,MATCH($B164,VN_국채일별!$A$4:$A$1436,1)),IF($J164&lt;=2,INDEX(VN_국채일별!$B$4:$B$1436,MATCH($B164,VN_국채일별!$A$4:$A$1436,1))+(INDEX(VN_국채일별!$C$4:$C$1436,MATCH($B164,VN_국채일별!$A$4:$A$1436,1))-INDEX(VN_국채일별!$B$4:$B$1436,MATCH($B164,VN_국채일별!$A$4:$A$1436,1)))*($J164-1),IF($J164&lt;=3,INDEX(VN_국채일별!$C$4:$C$1436,MATCH($B164,VN_국채일별!$A$4:$A$1436,1))+(INDEX(VN_국채일별!$D$4:$D$1436,MATCH($B164,VN_국채일별!$A$4:$A$1436,1))-INDEX(VN_국채일별!$C$4:$C$1436,MATCH($B164,VN_국채일별!$A$4:$A$1436,1)))*($J164-2),IF($J164&lt;=5,INDEX(VN_국채일별!$D$4:$D$1436,MATCH($B164,VN_국채일별!$A$4:$A$1436,1))+(INDEX(VN_국채일별!$E$4:$E$1436,MATCH($B164,VN_국채일별!$A$4:$A$1436,1))-INDEX(VN_국채일별!$D$4:$D$1436,MATCH($B164,VN_국채일별!$A$4:$A$1436,1)))*($J164-3)/2,IF($J164&lt;=7,INDEX(VN_국채일별!$E$4:$E$1436,MATCH($B164,VN_국채일별!$A$4:$A$1436,1))+(INDEX(VN_국채일별!$F$4:$F$1436,MATCH($B164,VN_국채일별!$A$4:$A$1436,1))-INDEX(VN_국채일별!$E$4:$E$1436,MATCH($B164,VN_국채일별!$A$4:$A$1436,1)))*($J164-5)/2,IF($J164&lt;=10,INDEX(VN_국채일별!$F$4:$F$1436,MATCH($B164,VN_국채일별!$A$4:$A$1436,1))+(INDEX(VN_국채일별!$G$4:$G$1436,MATCH($B164,VN_국채일별!$A$4:$A$1436,1))-INDEX(VN_국채일별!$F$4:$F$1436,MATCH($B164,VN_국채일별!$A$4:$A$1436,1)))*($J164-7)/3,INDEX(VN_국채일별!$G$4:$G$1436,MATCH($B164,VN_국채일별!$A$4:$A$1436,1)))))))),""))</f>
        <v>0.02778</v>
      </c>
      <c r="R164" s="58" t="str">
        <f aca="false">IF(OR(L164="",Q164=""),"",(L164-Q164)*10000)</f>
        <v/>
      </c>
      <c r="S164" s="30" t="n">
        <f aca="false">IF(AND(K164="고정",N164="N",J164&gt;=2,J164&lt;=4,I164&lt;&gt;""),1,0)</f>
        <v>0</v>
      </c>
      <c r="T164" s="59" t="n">
        <f aca="false">IF(S164=1,I164*L164,0)</f>
        <v>0</v>
      </c>
      <c r="U164" s="60" t="n">
        <f aca="false">IF(AND(S164=1,ISNUMBER(R164)),I164*R164,0)</f>
        <v>0</v>
      </c>
      <c r="V164" s="30" t="n">
        <f aca="false">IF(AND(F164="Big4(국영)",K164="고정",N164="N",I164&lt;&gt;""),1,0)</f>
        <v>0</v>
      </c>
      <c r="W164" s="59" t="n">
        <f aca="false">IF(V164=1,I164*L164,0)</f>
        <v>0</v>
      </c>
      <c r="X164" s="60" t="n">
        <f aca="false">IF(AND(V164=1,ISNUMBER(R164)),I164*R164,0)</f>
        <v>0</v>
      </c>
      <c r="Y164" s="61" t="n">
        <f aca="false">IF(AND(S164=1,ISNUMBER(R164)),I164,0)</f>
        <v>0</v>
      </c>
      <c r="Z164" s="61" t="n">
        <f aca="false">IF(AND(V164=1,ISNUMBER(R164)),I164,0)</f>
        <v>0</v>
      </c>
    </row>
    <row r="165" customFormat="false" ht="15" hidden="false" customHeight="false" outlineLevel="0" collapsed="false">
      <c r="A165" s="47" t="s">
        <v>453</v>
      </c>
      <c r="B165" s="52" t="n">
        <v>45244</v>
      </c>
      <c r="C165" s="53" t="n">
        <f aca="false">DATE(YEAR(B165),MONTH(B165),1)</f>
        <v>45231</v>
      </c>
      <c r="D165" s="5" t="str">
        <f aca="false">YEAR(B165)&amp;"Q"&amp;ROUNDUP(MONTH(B165)/3,0)</f>
        <v>2023Q4</v>
      </c>
      <c r="E165" s="47" t="s">
        <v>365</v>
      </c>
      <c r="F165" s="54" t="s">
        <v>139</v>
      </c>
      <c r="G165" s="47" t="s">
        <v>366</v>
      </c>
      <c r="H165" s="47" t="s">
        <v>461</v>
      </c>
      <c r="I165" s="55" t="n">
        <v>24.4</v>
      </c>
      <c r="J165" s="56" t="n">
        <v>10</v>
      </c>
      <c r="K165" s="54" t="s">
        <v>153</v>
      </c>
      <c r="N165" s="47" t="s">
        <v>143</v>
      </c>
      <c r="O165" s="47" t="s">
        <v>460</v>
      </c>
      <c r="P165" s="47"/>
      <c r="Q165" s="48" t="n">
        <f aca="false">IF($J165="","",IFERROR(IF($J165&lt;=1,INDEX(VN_국채일별!$B$4:$B$1436,MATCH($B165,VN_국채일별!$A$4:$A$1436,1)),IF($J165&lt;=2,INDEX(VN_국채일별!$B$4:$B$1436,MATCH($B165,VN_국채일별!$A$4:$A$1436,1))+(INDEX(VN_국채일별!$C$4:$C$1436,MATCH($B165,VN_국채일별!$A$4:$A$1436,1))-INDEX(VN_국채일별!$B$4:$B$1436,MATCH($B165,VN_국채일별!$A$4:$A$1436,1)))*($J165-1),IF($J165&lt;=3,INDEX(VN_국채일별!$C$4:$C$1436,MATCH($B165,VN_국채일별!$A$4:$A$1436,1))+(INDEX(VN_국채일별!$D$4:$D$1436,MATCH($B165,VN_국채일별!$A$4:$A$1436,1))-INDEX(VN_국채일별!$C$4:$C$1436,MATCH($B165,VN_국채일별!$A$4:$A$1436,1)))*($J165-2),IF($J165&lt;=5,INDEX(VN_국채일별!$D$4:$D$1436,MATCH($B165,VN_국채일별!$A$4:$A$1436,1))+(INDEX(VN_국채일별!$E$4:$E$1436,MATCH($B165,VN_국채일별!$A$4:$A$1436,1))-INDEX(VN_국채일별!$D$4:$D$1436,MATCH($B165,VN_국채일별!$A$4:$A$1436,1)))*($J165-3)/2,IF($J165&lt;=7,INDEX(VN_국채일별!$E$4:$E$1436,MATCH($B165,VN_국채일별!$A$4:$A$1436,1))+(INDEX(VN_국채일별!$F$4:$F$1436,MATCH($B165,VN_국채일별!$A$4:$A$1436,1))-INDEX(VN_국채일별!$E$4:$E$1436,MATCH($B165,VN_국채일별!$A$4:$A$1436,1)))*($J165-5)/2,IF($J165&lt;=10,INDEX(VN_국채일별!$F$4:$F$1436,MATCH($B165,VN_국채일별!$A$4:$A$1436,1))+(INDEX(VN_국채일별!$G$4:$G$1436,MATCH($B165,VN_국채일별!$A$4:$A$1436,1))-INDEX(VN_국채일별!$F$4:$F$1436,MATCH($B165,VN_국채일별!$A$4:$A$1436,1)))*($J165-7)/3,INDEX(VN_국채일별!$G$4:$G$1436,MATCH($B165,VN_국채일별!$A$4:$A$1436,1)))))))),""))</f>
        <v>0.0275</v>
      </c>
      <c r="R165" s="58" t="str">
        <f aca="false">IF(OR(L165="",Q165=""),"",(L165-Q165)*10000)</f>
        <v/>
      </c>
      <c r="S165" s="30" t="n">
        <f aca="false">IF(AND(K165="고정",N165="N",J165&gt;=2,J165&lt;=4,I165&lt;&gt;""),1,0)</f>
        <v>0</v>
      </c>
      <c r="T165" s="59" t="n">
        <f aca="false">IF(S165=1,I165*L165,0)</f>
        <v>0</v>
      </c>
      <c r="U165" s="60" t="n">
        <f aca="false">IF(AND(S165=1,ISNUMBER(R165)),I165*R165,0)</f>
        <v>0</v>
      </c>
      <c r="V165" s="30" t="n">
        <f aca="false">IF(AND(F165="Big4(국영)",K165="고정",N165="N",I165&lt;&gt;""),1,0)</f>
        <v>0</v>
      </c>
      <c r="W165" s="59" t="n">
        <f aca="false">IF(V165=1,I165*L165,0)</f>
        <v>0</v>
      </c>
      <c r="X165" s="60" t="n">
        <f aca="false">IF(AND(V165=1,ISNUMBER(R165)),I165*R165,0)</f>
        <v>0</v>
      </c>
      <c r="Y165" s="61" t="n">
        <f aca="false">IF(AND(S165=1,ISNUMBER(R165)),I165,0)</f>
        <v>0</v>
      </c>
      <c r="Z165" s="61" t="n">
        <f aca="false">IF(AND(V165=1,ISNUMBER(R165)),I165,0)</f>
        <v>0</v>
      </c>
    </row>
    <row r="166" customFormat="false" ht="15" hidden="false" customHeight="false" outlineLevel="0" collapsed="false">
      <c r="A166" s="47" t="s">
        <v>453</v>
      </c>
      <c r="B166" s="52" t="n">
        <v>45245</v>
      </c>
      <c r="C166" s="53" t="n">
        <f aca="false">DATE(YEAR(B166),MONTH(B166),1)</f>
        <v>45231</v>
      </c>
      <c r="D166" s="5" t="str">
        <f aca="false">YEAR(B166)&amp;"Q"&amp;ROUNDUP(MONTH(B166)/3,0)</f>
        <v>2023Q4</v>
      </c>
      <c r="E166" s="47" t="s">
        <v>181</v>
      </c>
      <c r="F166" s="54" t="s">
        <v>139</v>
      </c>
      <c r="G166" s="47" t="s">
        <v>182</v>
      </c>
      <c r="H166" s="47" t="s">
        <v>462</v>
      </c>
      <c r="I166" s="55" t="n">
        <v>1000</v>
      </c>
      <c r="J166" s="56" t="n">
        <v>3</v>
      </c>
      <c r="K166" s="54" t="s">
        <v>142</v>
      </c>
      <c r="L166" s="57" t="n">
        <v>0.06</v>
      </c>
      <c r="N166" s="47" t="s">
        <v>148</v>
      </c>
      <c r="O166" s="47" t="s">
        <v>449</v>
      </c>
      <c r="P166" s="47"/>
      <c r="Q166" s="48" t="n">
        <f aca="false">IF($J166="","",IFERROR(IF($J166&lt;=1,INDEX(VN_국채일별!$B$4:$B$1436,MATCH($B166,VN_국채일별!$A$4:$A$1436,1)),IF($J166&lt;=2,INDEX(VN_국채일별!$B$4:$B$1436,MATCH($B166,VN_국채일별!$A$4:$A$1436,1))+(INDEX(VN_국채일별!$C$4:$C$1436,MATCH($B166,VN_국채일별!$A$4:$A$1436,1))-INDEX(VN_국채일별!$B$4:$B$1436,MATCH($B166,VN_국채일별!$A$4:$A$1436,1)))*($J166-1),IF($J166&lt;=3,INDEX(VN_국채일별!$C$4:$C$1436,MATCH($B166,VN_국채일별!$A$4:$A$1436,1))+(INDEX(VN_국채일별!$D$4:$D$1436,MATCH($B166,VN_국채일별!$A$4:$A$1436,1))-INDEX(VN_국채일별!$C$4:$C$1436,MATCH($B166,VN_국채일별!$A$4:$A$1436,1)))*($J166-2),IF($J166&lt;=5,INDEX(VN_국채일별!$D$4:$D$1436,MATCH($B166,VN_국채일별!$A$4:$A$1436,1))+(INDEX(VN_국채일별!$E$4:$E$1436,MATCH($B166,VN_국채일별!$A$4:$A$1436,1))-INDEX(VN_국채일별!$D$4:$D$1436,MATCH($B166,VN_국채일별!$A$4:$A$1436,1)))*($J166-3)/2,IF($J166&lt;=7,INDEX(VN_국채일별!$E$4:$E$1436,MATCH($B166,VN_국채일별!$A$4:$A$1436,1))+(INDEX(VN_국채일별!$F$4:$F$1436,MATCH($B166,VN_국채일별!$A$4:$A$1436,1))-INDEX(VN_국채일별!$E$4:$E$1436,MATCH($B166,VN_국채일별!$A$4:$A$1436,1)))*($J166-5)/2,IF($J166&lt;=10,INDEX(VN_국채일별!$F$4:$F$1436,MATCH($B166,VN_국채일별!$A$4:$A$1436,1))+(INDEX(VN_국채일별!$G$4:$G$1436,MATCH($B166,VN_국채일별!$A$4:$A$1436,1))-INDEX(VN_국채일별!$F$4:$F$1436,MATCH($B166,VN_국채일별!$A$4:$A$1436,1)))*($J166-7)/3,INDEX(VN_국채일별!$G$4:$G$1436,MATCH($B166,VN_국채일별!$A$4:$A$1436,1)))))))),""))</f>
        <v>0.01923</v>
      </c>
      <c r="R166" s="58" t="n">
        <f aca="false">IF(OR(L166="",Q166=""),"",(L166-Q166)*10000)</f>
        <v>407.7</v>
      </c>
      <c r="S166" s="30" t="n">
        <f aca="false">IF(AND(K166="고정",N166="N",J166&gt;=2,J166&lt;=4,I166&lt;&gt;""),1,0)</f>
        <v>1</v>
      </c>
      <c r="T166" s="59" t="n">
        <f aca="false">IF(S166=1,I166*L166,0)</f>
        <v>60</v>
      </c>
      <c r="U166" s="60" t="n">
        <f aca="false">IF(AND(S166=1,ISNUMBER(R166)),I166*R166,0)</f>
        <v>407700</v>
      </c>
      <c r="V166" s="30" t="n">
        <f aca="false">IF(AND(F166="Big4(국영)",K166="고정",N166="N",I166&lt;&gt;""),1,0)</f>
        <v>0</v>
      </c>
      <c r="W166" s="59" t="n">
        <f aca="false">IF(V166=1,I166*L166,0)</f>
        <v>0</v>
      </c>
      <c r="X166" s="60" t="n">
        <f aca="false">IF(AND(V166=1,ISNUMBER(R166)),I166*R166,0)</f>
        <v>0</v>
      </c>
      <c r="Y166" s="61" t="n">
        <f aca="false">IF(AND(S166=1,ISNUMBER(R166)),I166,0)</f>
        <v>1000</v>
      </c>
      <c r="Z166" s="61" t="n">
        <f aca="false">IF(AND(V166=1,ISNUMBER(R166)),I166,0)</f>
        <v>0</v>
      </c>
    </row>
    <row r="167" customFormat="false" ht="15" hidden="false" customHeight="false" outlineLevel="0" collapsed="false">
      <c r="A167" s="47" t="s">
        <v>453</v>
      </c>
      <c r="B167" s="52" t="n">
        <v>45247</v>
      </c>
      <c r="C167" s="53" t="n">
        <f aca="false">DATE(YEAR(B167),MONTH(B167),1)</f>
        <v>45231</v>
      </c>
      <c r="D167" s="5" t="str">
        <f aca="false">YEAR(B167)&amp;"Q"&amp;ROUNDUP(MONTH(B167)/3,0)</f>
        <v>2023Q4</v>
      </c>
      <c r="E167" s="47" t="s">
        <v>160</v>
      </c>
      <c r="F167" s="54" t="s">
        <v>139</v>
      </c>
      <c r="G167" s="47" t="s">
        <v>161</v>
      </c>
      <c r="H167" s="47" t="s">
        <v>463</v>
      </c>
      <c r="I167" s="55" t="n">
        <v>500</v>
      </c>
      <c r="J167" s="56" t="n">
        <v>7</v>
      </c>
      <c r="K167" s="54" t="s">
        <v>153</v>
      </c>
      <c r="N167" s="47" t="s">
        <v>143</v>
      </c>
      <c r="O167" s="47" t="s">
        <v>464</v>
      </c>
      <c r="P167" s="47"/>
      <c r="Q167" s="48" t="n">
        <f aca="false">IF($J167="","",IFERROR(IF($J167&lt;=1,INDEX(VN_국채일별!$B$4:$B$1436,MATCH($B167,VN_국채일별!$A$4:$A$1436,1)),IF($J167&lt;=2,INDEX(VN_국채일별!$B$4:$B$1436,MATCH($B167,VN_국채일별!$A$4:$A$1436,1))+(INDEX(VN_국채일별!$C$4:$C$1436,MATCH($B167,VN_국채일별!$A$4:$A$1436,1))-INDEX(VN_국채일별!$B$4:$B$1436,MATCH($B167,VN_국채일별!$A$4:$A$1436,1)))*($J167-1),IF($J167&lt;=3,INDEX(VN_국채일별!$C$4:$C$1436,MATCH($B167,VN_국채일별!$A$4:$A$1436,1))+(INDEX(VN_국채일별!$D$4:$D$1436,MATCH($B167,VN_국채일별!$A$4:$A$1436,1))-INDEX(VN_국채일별!$C$4:$C$1436,MATCH($B167,VN_국채일별!$A$4:$A$1436,1)))*($J167-2),IF($J167&lt;=5,INDEX(VN_국채일별!$D$4:$D$1436,MATCH($B167,VN_국채일별!$A$4:$A$1436,1))+(INDEX(VN_국채일별!$E$4:$E$1436,MATCH($B167,VN_국채일별!$A$4:$A$1436,1))-INDEX(VN_국채일별!$D$4:$D$1436,MATCH($B167,VN_국채일별!$A$4:$A$1436,1)))*($J167-3)/2,IF($J167&lt;=7,INDEX(VN_국채일별!$E$4:$E$1436,MATCH($B167,VN_국채일별!$A$4:$A$1436,1))+(INDEX(VN_국채일별!$F$4:$F$1436,MATCH($B167,VN_국채일별!$A$4:$A$1436,1))-INDEX(VN_국채일별!$E$4:$E$1436,MATCH($B167,VN_국채일별!$A$4:$A$1436,1)))*($J167-5)/2,IF($J167&lt;=10,INDEX(VN_국채일별!$F$4:$F$1436,MATCH($B167,VN_국채일별!$A$4:$A$1436,1))+(INDEX(VN_국채일별!$G$4:$G$1436,MATCH($B167,VN_국채일별!$A$4:$A$1436,1))-INDEX(VN_국채일별!$F$4:$F$1436,MATCH($B167,VN_국채일별!$A$4:$A$1436,1)))*($J167-7)/3,INDEX(VN_국채일별!$G$4:$G$1436,MATCH($B167,VN_국채일별!$A$4:$A$1436,1)))))))),""))</f>
        <v>0.02182</v>
      </c>
      <c r="R167" s="58" t="str">
        <f aca="false">IF(OR(L167="",Q167=""),"",(L167-Q167)*10000)</f>
        <v/>
      </c>
      <c r="S167" s="30" t="n">
        <f aca="false">IF(AND(K167="고정",N167="N",J167&gt;=2,J167&lt;=4,I167&lt;&gt;""),1,0)</f>
        <v>0</v>
      </c>
      <c r="T167" s="59" t="n">
        <f aca="false">IF(S167=1,I167*L167,0)</f>
        <v>0</v>
      </c>
      <c r="U167" s="60" t="n">
        <f aca="false">IF(AND(S167=1,ISNUMBER(R167)),I167*R167,0)</f>
        <v>0</v>
      </c>
      <c r="V167" s="30" t="n">
        <f aca="false">IF(AND(F167="Big4(국영)",K167="고정",N167="N",I167&lt;&gt;""),1,0)</f>
        <v>0</v>
      </c>
      <c r="W167" s="59" t="n">
        <f aca="false">IF(V167=1,I167*L167,0)</f>
        <v>0</v>
      </c>
      <c r="X167" s="60" t="n">
        <f aca="false">IF(AND(V167=1,ISNUMBER(R167)),I167*R167,0)</f>
        <v>0</v>
      </c>
      <c r="Y167" s="61" t="n">
        <f aca="false">IF(AND(S167=1,ISNUMBER(R167)),I167,0)</f>
        <v>0</v>
      </c>
      <c r="Z167" s="61" t="n">
        <f aca="false">IF(AND(V167=1,ISNUMBER(R167)),I167,0)</f>
        <v>0</v>
      </c>
    </row>
    <row r="168" customFormat="false" ht="15" hidden="false" customHeight="false" outlineLevel="0" collapsed="false">
      <c r="A168" s="47" t="s">
        <v>453</v>
      </c>
      <c r="B168" s="52" t="n">
        <v>45247</v>
      </c>
      <c r="C168" s="53" t="n">
        <f aca="false">DATE(YEAR(B168),MONTH(B168),1)</f>
        <v>45231</v>
      </c>
      <c r="D168" s="5" t="str">
        <f aca="false">YEAR(B168)&amp;"Q"&amp;ROUNDUP(MONTH(B168)/3,0)</f>
        <v>2023Q4</v>
      </c>
      <c r="E168" s="47" t="s">
        <v>365</v>
      </c>
      <c r="F168" s="54" t="s">
        <v>139</v>
      </c>
      <c r="G168" s="47" t="s">
        <v>366</v>
      </c>
      <c r="H168" s="47" t="s">
        <v>465</v>
      </c>
      <c r="I168" s="55" t="n">
        <v>107.6</v>
      </c>
      <c r="J168" s="56" t="n">
        <v>10</v>
      </c>
      <c r="K168" s="54" t="s">
        <v>153</v>
      </c>
      <c r="N168" s="47" t="s">
        <v>143</v>
      </c>
      <c r="O168" s="47" t="s">
        <v>460</v>
      </c>
      <c r="P168" s="47"/>
      <c r="Q168" s="48" t="n">
        <f aca="false">IF($J168="","",IFERROR(IF($J168&lt;=1,INDEX(VN_국채일별!$B$4:$B$1436,MATCH($B168,VN_국채일별!$A$4:$A$1436,1)),IF($J168&lt;=2,INDEX(VN_국채일별!$B$4:$B$1436,MATCH($B168,VN_국채일별!$A$4:$A$1436,1))+(INDEX(VN_국채일별!$C$4:$C$1436,MATCH($B168,VN_국채일별!$A$4:$A$1436,1))-INDEX(VN_국채일별!$B$4:$B$1436,MATCH($B168,VN_국채일별!$A$4:$A$1436,1)))*($J168-1),IF($J168&lt;=3,INDEX(VN_국채일별!$C$4:$C$1436,MATCH($B168,VN_국채일별!$A$4:$A$1436,1))+(INDEX(VN_국채일별!$D$4:$D$1436,MATCH($B168,VN_국채일별!$A$4:$A$1436,1))-INDEX(VN_국채일별!$C$4:$C$1436,MATCH($B168,VN_국채일별!$A$4:$A$1436,1)))*($J168-2),IF($J168&lt;=5,INDEX(VN_국채일별!$D$4:$D$1436,MATCH($B168,VN_국채일별!$A$4:$A$1436,1))+(INDEX(VN_국채일별!$E$4:$E$1436,MATCH($B168,VN_국채일별!$A$4:$A$1436,1))-INDEX(VN_국채일별!$D$4:$D$1436,MATCH($B168,VN_국채일별!$A$4:$A$1436,1)))*($J168-3)/2,IF($J168&lt;=7,INDEX(VN_국채일별!$E$4:$E$1436,MATCH($B168,VN_국채일별!$A$4:$A$1436,1))+(INDEX(VN_국채일별!$F$4:$F$1436,MATCH($B168,VN_국채일별!$A$4:$A$1436,1))-INDEX(VN_국채일별!$E$4:$E$1436,MATCH($B168,VN_국채일별!$A$4:$A$1436,1)))*($J168-5)/2,IF($J168&lt;=10,INDEX(VN_국채일별!$F$4:$F$1436,MATCH($B168,VN_국채일별!$A$4:$A$1436,1))+(INDEX(VN_국채일별!$G$4:$G$1436,MATCH($B168,VN_국채일별!$A$4:$A$1436,1))-INDEX(VN_국채일별!$F$4:$F$1436,MATCH($B168,VN_국채일별!$A$4:$A$1436,1)))*($J168-7)/3,INDEX(VN_국채일별!$G$4:$G$1436,MATCH($B168,VN_국채일별!$A$4:$A$1436,1)))))))),""))</f>
        <v>0.02657</v>
      </c>
      <c r="R168" s="58" t="str">
        <f aca="false">IF(OR(L168="",Q168=""),"",(L168-Q168)*10000)</f>
        <v/>
      </c>
      <c r="S168" s="30" t="n">
        <f aca="false">IF(AND(K168="고정",N168="N",J168&gt;=2,J168&lt;=4,I168&lt;&gt;""),1,0)</f>
        <v>0</v>
      </c>
      <c r="T168" s="59" t="n">
        <f aca="false">IF(S168=1,I168*L168,0)</f>
        <v>0</v>
      </c>
      <c r="U168" s="60" t="n">
        <f aca="false">IF(AND(S168=1,ISNUMBER(R168)),I168*R168,0)</f>
        <v>0</v>
      </c>
      <c r="V168" s="30" t="n">
        <f aca="false">IF(AND(F168="Big4(국영)",K168="고정",N168="N",I168&lt;&gt;""),1,0)</f>
        <v>0</v>
      </c>
      <c r="W168" s="59" t="n">
        <f aca="false">IF(V168=1,I168*L168,0)</f>
        <v>0</v>
      </c>
      <c r="X168" s="60" t="n">
        <f aca="false">IF(AND(V168=1,ISNUMBER(R168)),I168*R168,0)</f>
        <v>0</v>
      </c>
      <c r="Y168" s="61" t="n">
        <f aca="false">IF(AND(S168=1,ISNUMBER(R168)),I168,0)</f>
        <v>0</v>
      </c>
      <c r="Z168" s="61" t="n">
        <f aca="false">IF(AND(V168=1,ISNUMBER(R168)),I168,0)</f>
        <v>0</v>
      </c>
    </row>
    <row r="169" customFormat="false" ht="15" hidden="false" customHeight="false" outlineLevel="0" collapsed="false">
      <c r="A169" s="47" t="s">
        <v>453</v>
      </c>
      <c r="B169" s="52" t="n">
        <v>45250</v>
      </c>
      <c r="C169" s="53" t="n">
        <f aca="false">DATE(YEAR(B169),MONTH(B169),1)</f>
        <v>45231</v>
      </c>
      <c r="D169" s="5" t="str">
        <f aca="false">YEAR(B169)&amp;"Q"&amp;ROUNDUP(MONTH(B169)/3,0)</f>
        <v>2023Q4</v>
      </c>
      <c r="E169" s="47" t="s">
        <v>181</v>
      </c>
      <c r="F169" s="54" t="s">
        <v>139</v>
      </c>
      <c r="G169" s="47" t="s">
        <v>182</v>
      </c>
      <c r="H169" s="47" t="s">
        <v>466</v>
      </c>
      <c r="I169" s="55" t="n">
        <v>800</v>
      </c>
      <c r="J169" s="56" t="n">
        <v>3</v>
      </c>
      <c r="K169" s="54" t="s">
        <v>142</v>
      </c>
      <c r="L169" s="57" t="n">
        <v>0.061</v>
      </c>
      <c r="N169" s="47" t="s">
        <v>148</v>
      </c>
      <c r="O169" s="47" t="s">
        <v>467</v>
      </c>
      <c r="P169" s="47"/>
      <c r="Q169" s="48" t="n">
        <f aca="false">IF($J169="","",IFERROR(IF($J169&lt;=1,INDEX(VN_국채일별!$B$4:$B$1436,MATCH($B169,VN_국채일별!$A$4:$A$1436,1)),IF($J169&lt;=2,INDEX(VN_국채일별!$B$4:$B$1436,MATCH($B169,VN_국채일별!$A$4:$A$1436,1))+(INDEX(VN_국채일별!$C$4:$C$1436,MATCH($B169,VN_국채일별!$A$4:$A$1436,1))-INDEX(VN_국채일별!$B$4:$B$1436,MATCH($B169,VN_국채일별!$A$4:$A$1436,1)))*($J169-1),IF($J169&lt;=3,INDEX(VN_국채일별!$C$4:$C$1436,MATCH($B169,VN_국채일별!$A$4:$A$1436,1))+(INDEX(VN_국채일별!$D$4:$D$1436,MATCH($B169,VN_국채일별!$A$4:$A$1436,1))-INDEX(VN_국채일별!$C$4:$C$1436,MATCH($B169,VN_국채일별!$A$4:$A$1436,1)))*($J169-2),IF($J169&lt;=5,INDEX(VN_국채일별!$D$4:$D$1436,MATCH($B169,VN_국채일별!$A$4:$A$1436,1))+(INDEX(VN_국채일별!$E$4:$E$1436,MATCH($B169,VN_국채일별!$A$4:$A$1436,1))-INDEX(VN_국채일별!$D$4:$D$1436,MATCH($B169,VN_국채일별!$A$4:$A$1436,1)))*($J169-3)/2,IF($J169&lt;=7,INDEX(VN_국채일별!$E$4:$E$1436,MATCH($B169,VN_국채일별!$A$4:$A$1436,1))+(INDEX(VN_국채일별!$F$4:$F$1436,MATCH($B169,VN_국채일별!$A$4:$A$1436,1))-INDEX(VN_국채일별!$E$4:$E$1436,MATCH($B169,VN_국채일별!$A$4:$A$1436,1)))*($J169-5)/2,IF($J169&lt;=10,INDEX(VN_국채일별!$F$4:$F$1436,MATCH($B169,VN_국채일별!$A$4:$A$1436,1))+(INDEX(VN_국채일별!$G$4:$G$1436,MATCH($B169,VN_국채일별!$A$4:$A$1436,1))-INDEX(VN_국채일별!$F$4:$F$1436,MATCH($B169,VN_국채일별!$A$4:$A$1436,1)))*($J169-7)/3,INDEX(VN_국채일별!$G$4:$G$1436,MATCH($B169,VN_국채일별!$A$4:$A$1436,1)))))))),""))</f>
        <v>0.01899</v>
      </c>
      <c r="R169" s="58" t="n">
        <f aca="false">IF(OR(L169="",Q169=""),"",(L169-Q169)*10000)</f>
        <v>420.1</v>
      </c>
      <c r="S169" s="30" t="n">
        <f aca="false">IF(AND(K169="고정",N169="N",J169&gt;=2,J169&lt;=4,I169&lt;&gt;""),1,0)</f>
        <v>1</v>
      </c>
      <c r="T169" s="59" t="n">
        <f aca="false">IF(S169=1,I169*L169,0)</f>
        <v>48.8</v>
      </c>
      <c r="U169" s="60" t="n">
        <f aca="false">IF(AND(S169=1,ISNUMBER(R169)),I169*R169,0)</f>
        <v>336080</v>
      </c>
      <c r="V169" s="30" t="n">
        <f aca="false">IF(AND(F169="Big4(국영)",K169="고정",N169="N",I169&lt;&gt;""),1,0)</f>
        <v>0</v>
      </c>
      <c r="W169" s="59" t="n">
        <f aca="false">IF(V169=1,I169*L169,0)</f>
        <v>0</v>
      </c>
      <c r="X169" s="60" t="n">
        <f aca="false">IF(AND(V169=1,ISNUMBER(R169)),I169*R169,0)</f>
        <v>0</v>
      </c>
      <c r="Y169" s="61" t="n">
        <f aca="false">IF(AND(S169=1,ISNUMBER(R169)),I169,0)</f>
        <v>800</v>
      </c>
      <c r="Z169" s="61" t="n">
        <f aca="false">IF(AND(V169=1,ISNUMBER(R169)),I169,0)</f>
        <v>0</v>
      </c>
    </row>
    <row r="170" customFormat="false" ht="15" hidden="false" customHeight="false" outlineLevel="0" collapsed="false">
      <c r="A170" s="47" t="s">
        <v>453</v>
      </c>
      <c r="B170" s="52" t="n">
        <v>45250</v>
      </c>
      <c r="C170" s="53" t="n">
        <f aca="false">DATE(YEAR(B170),MONTH(B170),1)</f>
        <v>45231</v>
      </c>
      <c r="D170" s="5" t="str">
        <f aca="false">YEAR(B170)&amp;"Q"&amp;ROUNDUP(MONTH(B170)/3,0)</f>
        <v>2023Q4</v>
      </c>
      <c r="E170" s="47" t="s">
        <v>365</v>
      </c>
      <c r="F170" s="54" t="s">
        <v>139</v>
      </c>
      <c r="G170" s="47" t="s">
        <v>366</v>
      </c>
      <c r="H170" s="47" t="s">
        <v>468</v>
      </c>
      <c r="I170" s="55" t="n">
        <v>280</v>
      </c>
      <c r="J170" s="56" t="n">
        <v>10</v>
      </c>
      <c r="K170" s="54" t="s">
        <v>153</v>
      </c>
      <c r="N170" s="47" t="s">
        <v>143</v>
      </c>
      <c r="O170" s="47" t="s">
        <v>460</v>
      </c>
      <c r="P170" s="47"/>
      <c r="Q170" s="48" t="n">
        <f aca="false">IF($J170="","",IFERROR(IF($J170&lt;=1,INDEX(VN_국채일별!$B$4:$B$1436,MATCH($B170,VN_국채일별!$A$4:$A$1436,1)),IF($J170&lt;=2,INDEX(VN_국채일별!$B$4:$B$1436,MATCH($B170,VN_국채일별!$A$4:$A$1436,1))+(INDEX(VN_국채일별!$C$4:$C$1436,MATCH($B170,VN_국채일별!$A$4:$A$1436,1))-INDEX(VN_국채일별!$B$4:$B$1436,MATCH($B170,VN_국채일별!$A$4:$A$1436,1)))*($J170-1),IF($J170&lt;=3,INDEX(VN_국채일별!$C$4:$C$1436,MATCH($B170,VN_국채일별!$A$4:$A$1436,1))+(INDEX(VN_국채일별!$D$4:$D$1436,MATCH($B170,VN_국채일별!$A$4:$A$1436,1))-INDEX(VN_국채일별!$C$4:$C$1436,MATCH($B170,VN_국채일별!$A$4:$A$1436,1)))*($J170-2),IF($J170&lt;=5,INDEX(VN_국채일별!$D$4:$D$1436,MATCH($B170,VN_국채일별!$A$4:$A$1436,1))+(INDEX(VN_국채일별!$E$4:$E$1436,MATCH($B170,VN_국채일별!$A$4:$A$1436,1))-INDEX(VN_국채일별!$D$4:$D$1436,MATCH($B170,VN_국채일별!$A$4:$A$1436,1)))*($J170-3)/2,IF($J170&lt;=7,INDEX(VN_국채일별!$E$4:$E$1436,MATCH($B170,VN_국채일별!$A$4:$A$1436,1))+(INDEX(VN_국채일별!$F$4:$F$1436,MATCH($B170,VN_국채일별!$A$4:$A$1436,1))-INDEX(VN_국채일별!$E$4:$E$1436,MATCH($B170,VN_국채일별!$A$4:$A$1436,1)))*($J170-5)/2,IF($J170&lt;=10,INDEX(VN_국채일별!$F$4:$F$1436,MATCH($B170,VN_국채일별!$A$4:$A$1436,1))+(INDEX(VN_국채일별!$G$4:$G$1436,MATCH($B170,VN_국채일별!$A$4:$A$1436,1))-INDEX(VN_국채일별!$F$4:$F$1436,MATCH($B170,VN_국채일별!$A$4:$A$1436,1)))*($J170-7)/3,INDEX(VN_국채일별!$G$4:$G$1436,MATCH($B170,VN_국채일별!$A$4:$A$1436,1)))))))),""))</f>
        <v>0.02624</v>
      </c>
      <c r="R170" s="58" t="str">
        <f aca="false">IF(OR(L170="",Q170=""),"",(L170-Q170)*10000)</f>
        <v/>
      </c>
      <c r="S170" s="30" t="n">
        <f aca="false">IF(AND(K170="고정",N170="N",J170&gt;=2,J170&lt;=4,I170&lt;&gt;""),1,0)</f>
        <v>0</v>
      </c>
      <c r="T170" s="59" t="n">
        <f aca="false">IF(S170=1,I170*L170,0)</f>
        <v>0</v>
      </c>
      <c r="U170" s="60" t="n">
        <f aca="false">IF(AND(S170=1,ISNUMBER(R170)),I170*R170,0)</f>
        <v>0</v>
      </c>
      <c r="V170" s="30" t="n">
        <f aca="false">IF(AND(F170="Big4(국영)",K170="고정",N170="N",I170&lt;&gt;""),1,0)</f>
        <v>0</v>
      </c>
      <c r="W170" s="59" t="n">
        <f aca="false">IF(V170=1,I170*L170,0)</f>
        <v>0</v>
      </c>
      <c r="X170" s="60" t="n">
        <f aca="false">IF(AND(V170=1,ISNUMBER(R170)),I170*R170,0)</f>
        <v>0</v>
      </c>
      <c r="Y170" s="61" t="n">
        <f aca="false">IF(AND(S170=1,ISNUMBER(R170)),I170,0)</f>
        <v>0</v>
      </c>
      <c r="Z170" s="61" t="n">
        <f aca="false">IF(AND(V170=1,ISNUMBER(R170)),I170,0)</f>
        <v>0</v>
      </c>
    </row>
    <row r="171" customFormat="false" ht="15" hidden="false" customHeight="false" outlineLevel="0" collapsed="false">
      <c r="A171" s="47" t="s">
        <v>453</v>
      </c>
      <c r="B171" s="52" t="n">
        <v>45251</v>
      </c>
      <c r="C171" s="53" t="n">
        <f aca="false">DATE(YEAR(B171),MONTH(B171),1)</f>
        <v>45231</v>
      </c>
      <c r="D171" s="5" t="str">
        <f aca="false">YEAR(B171)&amp;"Q"&amp;ROUNDUP(MONTH(B171)/3,0)</f>
        <v>2023Q4</v>
      </c>
      <c r="E171" s="47" t="s">
        <v>365</v>
      </c>
      <c r="F171" s="54" t="s">
        <v>139</v>
      </c>
      <c r="G171" s="47" t="s">
        <v>366</v>
      </c>
      <c r="H171" s="47" t="s">
        <v>469</v>
      </c>
      <c r="I171" s="55" t="n">
        <v>369.5</v>
      </c>
      <c r="J171" s="56" t="n">
        <v>10</v>
      </c>
      <c r="K171" s="54" t="s">
        <v>153</v>
      </c>
      <c r="N171" s="47" t="s">
        <v>143</v>
      </c>
      <c r="O171" s="47" t="s">
        <v>460</v>
      </c>
      <c r="P171" s="47"/>
      <c r="Q171" s="48" t="n">
        <f aca="false">IF($J171="","",IFERROR(IF($J171&lt;=1,INDEX(VN_국채일별!$B$4:$B$1436,MATCH($B171,VN_국채일별!$A$4:$A$1436,1)),IF($J171&lt;=2,INDEX(VN_국채일별!$B$4:$B$1436,MATCH($B171,VN_국채일별!$A$4:$A$1436,1))+(INDEX(VN_국채일별!$C$4:$C$1436,MATCH($B171,VN_국채일별!$A$4:$A$1436,1))-INDEX(VN_국채일별!$B$4:$B$1436,MATCH($B171,VN_국채일별!$A$4:$A$1436,1)))*($J171-1),IF($J171&lt;=3,INDEX(VN_국채일별!$C$4:$C$1436,MATCH($B171,VN_국채일별!$A$4:$A$1436,1))+(INDEX(VN_국채일별!$D$4:$D$1436,MATCH($B171,VN_국채일별!$A$4:$A$1436,1))-INDEX(VN_국채일별!$C$4:$C$1436,MATCH($B171,VN_국채일별!$A$4:$A$1436,1)))*($J171-2),IF($J171&lt;=5,INDEX(VN_국채일별!$D$4:$D$1436,MATCH($B171,VN_국채일별!$A$4:$A$1436,1))+(INDEX(VN_국채일별!$E$4:$E$1436,MATCH($B171,VN_국채일별!$A$4:$A$1436,1))-INDEX(VN_국채일별!$D$4:$D$1436,MATCH($B171,VN_국채일별!$A$4:$A$1436,1)))*($J171-3)/2,IF($J171&lt;=7,INDEX(VN_국채일별!$E$4:$E$1436,MATCH($B171,VN_국채일별!$A$4:$A$1436,1))+(INDEX(VN_국채일별!$F$4:$F$1436,MATCH($B171,VN_국채일별!$A$4:$A$1436,1))-INDEX(VN_국채일별!$E$4:$E$1436,MATCH($B171,VN_국채일별!$A$4:$A$1436,1)))*($J171-5)/2,IF($J171&lt;=10,INDEX(VN_국채일별!$F$4:$F$1436,MATCH($B171,VN_국채일별!$A$4:$A$1436,1))+(INDEX(VN_국채일별!$G$4:$G$1436,MATCH($B171,VN_국채일별!$A$4:$A$1436,1))-INDEX(VN_국채일별!$F$4:$F$1436,MATCH($B171,VN_국채일별!$A$4:$A$1436,1)))*($J171-7)/3,INDEX(VN_국채일별!$G$4:$G$1436,MATCH($B171,VN_국채일별!$A$4:$A$1436,1)))))))),""))</f>
        <v>0.02622</v>
      </c>
      <c r="R171" s="58" t="str">
        <f aca="false">IF(OR(L171="",Q171=""),"",(L171-Q171)*10000)</f>
        <v/>
      </c>
      <c r="S171" s="30" t="n">
        <f aca="false">IF(AND(K171="고정",N171="N",J171&gt;=2,J171&lt;=4,I171&lt;&gt;""),1,0)</f>
        <v>0</v>
      </c>
      <c r="T171" s="59" t="n">
        <f aca="false">IF(S171=1,I171*L171,0)</f>
        <v>0</v>
      </c>
      <c r="U171" s="60" t="n">
        <f aca="false">IF(AND(S171=1,ISNUMBER(R171)),I171*R171,0)</f>
        <v>0</v>
      </c>
      <c r="V171" s="30" t="n">
        <f aca="false">IF(AND(F171="Big4(국영)",K171="고정",N171="N",I171&lt;&gt;""),1,0)</f>
        <v>0</v>
      </c>
      <c r="W171" s="59" t="n">
        <f aca="false">IF(V171=1,I171*L171,0)</f>
        <v>0</v>
      </c>
      <c r="X171" s="60" t="n">
        <f aca="false">IF(AND(V171=1,ISNUMBER(R171)),I171*R171,0)</f>
        <v>0</v>
      </c>
      <c r="Y171" s="61" t="n">
        <f aca="false">IF(AND(S171=1,ISNUMBER(R171)),I171,0)</f>
        <v>0</v>
      </c>
      <c r="Z171" s="61" t="n">
        <f aca="false">IF(AND(V171=1,ISNUMBER(R171)),I171,0)</f>
        <v>0</v>
      </c>
    </row>
    <row r="172" customFormat="false" ht="15" hidden="false" customHeight="false" outlineLevel="0" collapsed="false">
      <c r="A172" s="47" t="s">
        <v>453</v>
      </c>
      <c r="B172" s="52" t="n">
        <v>45252</v>
      </c>
      <c r="C172" s="53" t="n">
        <f aca="false">DATE(YEAR(B172),MONTH(B172),1)</f>
        <v>45231</v>
      </c>
      <c r="D172" s="5" t="str">
        <f aca="false">YEAR(B172)&amp;"Q"&amp;ROUNDUP(MONTH(B172)/3,0)</f>
        <v>2023Q4</v>
      </c>
      <c r="E172" s="47" t="s">
        <v>150</v>
      </c>
      <c r="F172" s="54" t="s">
        <v>139</v>
      </c>
      <c r="G172" s="47" t="s">
        <v>170</v>
      </c>
      <c r="H172" s="47" t="s">
        <v>470</v>
      </c>
      <c r="I172" s="55" t="n">
        <v>1210</v>
      </c>
      <c r="J172" s="56" t="n">
        <v>7</v>
      </c>
      <c r="K172" s="54" t="s">
        <v>153</v>
      </c>
      <c r="N172" s="47" t="s">
        <v>143</v>
      </c>
      <c r="O172" s="47" t="s">
        <v>471</v>
      </c>
      <c r="P172" s="47"/>
      <c r="Q172" s="48" t="n">
        <f aca="false">IF($J172="","",IFERROR(IF($J172&lt;=1,INDEX(VN_국채일별!$B$4:$B$1436,MATCH($B172,VN_국채일별!$A$4:$A$1436,1)),IF($J172&lt;=2,INDEX(VN_국채일별!$B$4:$B$1436,MATCH($B172,VN_국채일별!$A$4:$A$1436,1))+(INDEX(VN_국채일별!$C$4:$C$1436,MATCH($B172,VN_국채일별!$A$4:$A$1436,1))-INDEX(VN_국채일별!$B$4:$B$1436,MATCH($B172,VN_국채일별!$A$4:$A$1436,1)))*($J172-1),IF($J172&lt;=3,INDEX(VN_국채일별!$C$4:$C$1436,MATCH($B172,VN_국채일별!$A$4:$A$1436,1))+(INDEX(VN_국채일별!$D$4:$D$1436,MATCH($B172,VN_국채일별!$A$4:$A$1436,1))-INDEX(VN_국채일별!$C$4:$C$1436,MATCH($B172,VN_국채일별!$A$4:$A$1436,1)))*($J172-2),IF($J172&lt;=5,INDEX(VN_국채일별!$D$4:$D$1436,MATCH($B172,VN_국채일별!$A$4:$A$1436,1))+(INDEX(VN_국채일별!$E$4:$E$1436,MATCH($B172,VN_국채일별!$A$4:$A$1436,1))-INDEX(VN_국채일별!$D$4:$D$1436,MATCH($B172,VN_국채일별!$A$4:$A$1436,1)))*($J172-3)/2,IF($J172&lt;=7,INDEX(VN_국채일별!$E$4:$E$1436,MATCH($B172,VN_국채일별!$A$4:$A$1436,1))+(INDEX(VN_국채일별!$F$4:$F$1436,MATCH($B172,VN_국채일별!$A$4:$A$1436,1))-INDEX(VN_국채일별!$E$4:$E$1436,MATCH($B172,VN_국채일별!$A$4:$A$1436,1)))*($J172-5)/2,IF($J172&lt;=10,INDEX(VN_국채일별!$F$4:$F$1436,MATCH($B172,VN_국채일별!$A$4:$A$1436,1))+(INDEX(VN_국채일별!$G$4:$G$1436,MATCH($B172,VN_국채일별!$A$4:$A$1436,1))-INDEX(VN_국채일별!$F$4:$F$1436,MATCH($B172,VN_국채일별!$A$4:$A$1436,1)))*($J172-7)/3,INDEX(VN_국채일별!$G$4:$G$1436,MATCH($B172,VN_국채일별!$A$4:$A$1436,1)))))))),""))</f>
        <v>0.02168</v>
      </c>
      <c r="R172" s="58" t="str">
        <f aca="false">IF(OR(L172="",Q172=""),"",(L172-Q172)*10000)</f>
        <v/>
      </c>
      <c r="S172" s="30" t="n">
        <f aca="false">IF(AND(K172="고정",N172="N",J172&gt;=2,J172&lt;=4,I172&lt;&gt;""),1,0)</f>
        <v>0</v>
      </c>
      <c r="T172" s="59" t="n">
        <f aca="false">IF(S172=1,I172*L172,0)</f>
        <v>0</v>
      </c>
      <c r="U172" s="60" t="n">
        <f aca="false">IF(AND(S172=1,ISNUMBER(R172)),I172*R172,0)</f>
        <v>0</v>
      </c>
      <c r="V172" s="30" t="n">
        <f aca="false">IF(AND(F172="Big4(국영)",K172="고정",N172="N",I172&lt;&gt;""),1,0)</f>
        <v>0</v>
      </c>
      <c r="W172" s="59" t="n">
        <f aca="false">IF(V172=1,I172*L172,0)</f>
        <v>0</v>
      </c>
      <c r="X172" s="60" t="n">
        <f aca="false">IF(AND(V172=1,ISNUMBER(R172)),I172*R172,0)</f>
        <v>0</v>
      </c>
      <c r="Y172" s="61" t="n">
        <f aca="false">IF(AND(S172=1,ISNUMBER(R172)),I172,0)</f>
        <v>0</v>
      </c>
      <c r="Z172" s="61" t="n">
        <f aca="false">IF(AND(V172=1,ISNUMBER(R172)),I172,0)</f>
        <v>0</v>
      </c>
    </row>
    <row r="173" customFormat="false" ht="15" hidden="false" customHeight="false" outlineLevel="0" collapsed="false">
      <c r="A173" s="47" t="s">
        <v>453</v>
      </c>
      <c r="B173" s="52" t="n">
        <v>45252</v>
      </c>
      <c r="C173" s="53" t="n">
        <f aca="false">DATE(YEAR(B173),MONTH(B173),1)</f>
        <v>45231</v>
      </c>
      <c r="D173" s="5" t="str">
        <f aca="false">YEAR(B173)&amp;"Q"&amp;ROUNDUP(MONTH(B173)/3,0)</f>
        <v>2023Q4</v>
      </c>
      <c r="E173" s="47" t="s">
        <v>145</v>
      </c>
      <c r="F173" s="54" t="s">
        <v>139</v>
      </c>
      <c r="G173" s="47" t="s">
        <v>472</v>
      </c>
      <c r="H173" s="47" t="s">
        <v>473</v>
      </c>
      <c r="I173" s="55" t="n">
        <v>1500</v>
      </c>
      <c r="J173" s="56" t="n">
        <v>3</v>
      </c>
      <c r="K173" s="54" t="s">
        <v>142</v>
      </c>
      <c r="L173" s="57" t="n">
        <v>0.058</v>
      </c>
      <c r="N173" s="47" t="s">
        <v>148</v>
      </c>
      <c r="O173" s="47" t="s">
        <v>451</v>
      </c>
      <c r="P173" s="47"/>
      <c r="Q173" s="48" t="n">
        <f aca="false">IF($J173="","",IFERROR(IF($J173&lt;=1,INDEX(VN_국채일별!$B$4:$B$1436,MATCH($B173,VN_국채일별!$A$4:$A$1436,1)),IF($J173&lt;=2,INDEX(VN_국채일별!$B$4:$B$1436,MATCH($B173,VN_국채일별!$A$4:$A$1436,1))+(INDEX(VN_국채일별!$C$4:$C$1436,MATCH($B173,VN_국채일별!$A$4:$A$1436,1))-INDEX(VN_국채일별!$B$4:$B$1436,MATCH($B173,VN_국채일별!$A$4:$A$1436,1)))*($J173-1),IF($J173&lt;=3,INDEX(VN_국채일별!$C$4:$C$1436,MATCH($B173,VN_국채일별!$A$4:$A$1436,1))+(INDEX(VN_국채일별!$D$4:$D$1436,MATCH($B173,VN_국채일별!$A$4:$A$1436,1))-INDEX(VN_국채일별!$C$4:$C$1436,MATCH($B173,VN_국채일별!$A$4:$A$1436,1)))*($J173-2),IF($J173&lt;=5,INDEX(VN_국채일별!$D$4:$D$1436,MATCH($B173,VN_국채일별!$A$4:$A$1436,1))+(INDEX(VN_국채일별!$E$4:$E$1436,MATCH($B173,VN_국채일별!$A$4:$A$1436,1))-INDEX(VN_국채일별!$D$4:$D$1436,MATCH($B173,VN_국채일별!$A$4:$A$1436,1)))*($J173-3)/2,IF($J173&lt;=7,INDEX(VN_국채일별!$E$4:$E$1436,MATCH($B173,VN_국채일별!$A$4:$A$1436,1))+(INDEX(VN_국채일별!$F$4:$F$1436,MATCH($B173,VN_국채일별!$A$4:$A$1436,1))-INDEX(VN_국채일별!$E$4:$E$1436,MATCH($B173,VN_국채일별!$A$4:$A$1436,1)))*($J173-5)/2,IF($J173&lt;=10,INDEX(VN_국채일별!$F$4:$F$1436,MATCH($B173,VN_국채일별!$A$4:$A$1436,1))+(INDEX(VN_국채일별!$G$4:$G$1436,MATCH($B173,VN_국채일별!$A$4:$A$1436,1))-INDEX(VN_국채일별!$F$4:$F$1436,MATCH($B173,VN_국채일별!$A$4:$A$1436,1)))*($J173-7)/3,INDEX(VN_국채일별!$G$4:$G$1436,MATCH($B173,VN_국채일별!$A$4:$A$1436,1)))))))),""))</f>
        <v>0.01876</v>
      </c>
      <c r="R173" s="58" t="n">
        <f aca="false">IF(OR(L173="",Q173=""),"",(L173-Q173)*10000)</f>
        <v>392.4</v>
      </c>
      <c r="S173" s="30" t="n">
        <f aca="false">IF(AND(K173="고정",N173="N",J173&gt;=2,J173&lt;=4,I173&lt;&gt;""),1,0)</f>
        <v>1</v>
      </c>
      <c r="T173" s="59" t="n">
        <f aca="false">IF(S173=1,I173*L173,0)</f>
        <v>87</v>
      </c>
      <c r="U173" s="60" t="n">
        <f aca="false">IF(AND(S173=1,ISNUMBER(R173)),I173*R173,0)</f>
        <v>588600</v>
      </c>
      <c r="V173" s="30" t="n">
        <f aca="false">IF(AND(F173="Big4(국영)",K173="고정",N173="N",I173&lt;&gt;""),1,0)</f>
        <v>0</v>
      </c>
      <c r="W173" s="59" t="n">
        <f aca="false">IF(V173=1,I173*L173,0)</f>
        <v>0</v>
      </c>
      <c r="X173" s="60" t="n">
        <f aca="false">IF(AND(V173=1,ISNUMBER(R173)),I173*R173,0)</f>
        <v>0</v>
      </c>
      <c r="Y173" s="61" t="n">
        <f aca="false">IF(AND(S173=1,ISNUMBER(R173)),I173,0)</f>
        <v>1500</v>
      </c>
      <c r="Z173" s="61" t="n">
        <f aca="false">IF(AND(V173=1,ISNUMBER(R173)),I173,0)</f>
        <v>0</v>
      </c>
    </row>
    <row r="174" customFormat="false" ht="15" hidden="false" customHeight="false" outlineLevel="0" collapsed="false">
      <c r="A174" s="47" t="s">
        <v>453</v>
      </c>
      <c r="B174" s="52" t="n">
        <v>45257</v>
      </c>
      <c r="C174" s="53" t="n">
        <f aca="false">DATE(YEAR(B174),MONTH(B174),1)</f>
        <v>45231</v>
      </c>
      <c r="D174" s="5" t="str">
        <f aca="false">YEAR(B174)&amp;"Q"&amp;ROUNDUP(MONTH(B174)/3,0)</f>
        <v>2023Q4</v>
      </c>
      <c r="E174" s="47" t="s">
        <v>181</v>
      </c>
      <c r="F174" s="54" t="s">
        <v>139</v>
      </c>
      <c r="G174" s="47" t="s">
        <v>182</v>
      </c>
      <c r="H174" s="47" t="s">
        <v>474</v>
      </c>
      <c r="I174" s="55" t="n">
        <v>1000</v>
      </c>
      <c r="J174" s="56" t="n">
        <v>3</v>
      </c>
      <c r="K174" s="54" t="s">
        <v>142</v>
      </c>
      <c r="L174" s="57" t="n">
        <v>0.06</v>
      </c>
      <c r="N174" s="47" t="s">
        <v>148</v>
      </c>
      <c r="O174" s="47" t="s">
        <v>449</v>
      </c>
      <c r="P174" s="47"/>
      <c r="Q174" s="48" t="n">
        <f aca="false">IF($J174="","",IFERROR(IF($J174&lt;=1,INDEX(VN_국채일별!$B$4:$B$1436,MATCH($B174,VN_국채일별!$A$4:$A$1436,1)),IF($J174&lt;=2,INDEX(VN_국채일별!$B$4:$B$1436,MATCH($B174,VN_국채일별!$A$4:$A$1436,1))+(INDEX(VN_국채일별!$C$4:$C$1436,MATCH($B174,VN_국채일별!$A$4:$A$1436,1))-INDEX(VN_국채일별!$B$4:$B$1436,MATCH($B174,VN_국채일별!$A$4:$A$1436,1)))*($J174-1),IF($J174&lt;=3,INDEX(VN_국채일별!$C$4:$C$1436,MATCH($B174,VN_국채일별!$A$4:$A$1436,1))+(INDEX(VN_국채일별!$D$4:$D$1436,MATCH($B174,VN_국채일별!$A$4:$A$1436,1))-INDEX(VN_국채일별!$C$4:$C$1436,MATCH($B174,VN_국채일별!$A$4:$A$1436,1)))*($J174-2),IF($J174&lt;=5,INDEX(VN_국채일별!$D$4:$D$1436,MATCH($B174,VN_국채일별!$A$4:$A$1436,1))+(INDEX(VN_국채일별!$E$4:$E$1436,MATCH($B174,VN_국채일별!$A$4:$A$1436,1))-INDEX(VN_국채일별!$D$4:$D$1436,MATCH($B174,VN_국채일별!$A$4:$A$1436,1)))*($J174-3)/2,IF($J174&lt;=7,INDEX(VN_국채일별!$E$4:$E$1436,MATCH($B174,VN_국채일별!$A$4:$A$1436,1))+(INDEX(VN_국채일별!$F$4:$F$1436,MATCH($B174,VN_국채일별!$A$4:$A$1436,1))-INDEX(VN_국채일별!$E$4:$E$1436,MATCH($B174,VN_국채일별!$A$4:$A$1436,1)))*($J174-5)/2,IF($J174&lt;=10,INDEX(VN_국채일별!$F$4:$F$1436,MATCH($B174,VN_국채일별!$A$4:$A$1436,1))+(INDEX(VN_국채일별!$G$4:$G$1436,MATCH($B174,VN_국채일별!$A$4:$A$1436,1))-INDEX(VN_국채일별!$F$4:$F$1436,MATCH($B174,VN_국채일별!$A$4:$A$1436,1)))*($J174-7)/3,INDEX(VN_국채일별!$G$4:$G$1436,MATCH($B174,VN_국채일별!$A$4:$A$1436,1)))))))),""))</f>
        <v>0.01849</v>
      </c>
      <c r="R174" s="58" t="n">
        <f aca="false">IF(OR(L174="",Q174=""),"",(L174-Q174)*10000)</f>
        <v>415.1</v>
      </c>
      <c r="S174" s="30" t="n">
        <f aca="false">IF(AND(K174="고정",N174="N",J174&gt;=2,J174&lt;=4,I174&lt;&gt;""),1,0)</f>
        <v>1</v>
      </c>
      <c r="T174" s="59" t="n">
        <f aca="false">IF(S174=1,I174*L174,0)</f>
        <v>60</v>
      </c>
      <c r="U174" s="60" t="n">
        <f aca="false">IF(AND(S174=1,ISNUMBER(R174)),I174*R174,0)</f>
        <v>415100</v>
      </c>
      <c r="V174" s="30" t="n">
        <f aca="false">IF(AND(F174="Big4(국영)",K174="고정",N174="N",I174&lt;&gt;""),1,0)</f>
        <v>0</v>
      </c>
      <c r="W174" s="59" t="n">
        <f aca="false">IF(V174=1,I174*L174,0)</f>
        <v>0</v>
      </c>
      <c r="X174" s="60" t="n">
        <f aca="false">IF(AND(V174=1,ISNUMBER(R174)),I174*R174,0)</f>
        <v>0</v>
      </c>
      <c r="Y174" s="61" t="n">
        <f aca="false">IF(AND(S174=1,ISNUMBER(R174)),I174,0)</f>
        <v>1000</v>
      </c>
      <c r="Z174" s="61" t="n">
        <f aca="false">IF(AND(V174=1,ISNUMBER(R174)),I174,0)</f>
        <v>0</v>
      </c>
    </row>
    <row r="175" customFormat="false" ht="15" hidden="false" customHeight="false" outlineLevel="0" collapsed="false">
      <c r="A175" s="47" t="s">
        <v>453</v>
      </c>
      <c r="B175" s="52" t="n">
        <v>45257</v>
      </c>
      <c r="C175" s="53" t="n">
        <f aca="false">DATE(YEAR(B175),MONTH(B175),1)</f>
        <v>45231</v>
      </c>
      <c r="D175" s="5" t="str">
        <f aca="false">YEAR(B175)&amp;"Q"&amp;ROUNDUP(MONTH(B175)/3,0)</f>
        <v>2023Q4</v>
      </c>
      <c r="E175" s="47" t="s">
        <v>166</v>
      </c>
      <c r="F175" s="54" t="s">
        <v>139</v>
      </c>
      <c r="G175" s="47" t="s">
        <v>167</v>
      </c>
      <c r="H175" s="47" t="s">
        <v>475</v>
      </c>
      <c r="I175" s="55" t="n">
        <v>1300</v>
      </c>
      <c r="J175" s="56" t="n">
        <v>2</v>
      </c>
      <c r="K175" s="54" t="s">
        <v>142</v>
      </c>
      <c r="L175" s="57" t="n">
        <v>0.061</v>
      </c>
      <c r="N175" s="47" t="s">
        <v>148</v>
      </c>
      <c r="O175" s="47" t="s">
        <v>467</v>
      </c>
      <c r="P175" s="47"/>
      <c r="Q175" s="48" t="n">
        <f aca="false">IF($J175="","",IFERROR(IF($J175&lt;=1,INDEX(VN_국채일별!$B$4:$B$1436,MATCH($B175,VN_국채일별!$A$4:$A$1436,1)),IF($J175&lt;=2,INDEX(VN_국채일별!$B$4:$B$1436,MATCH($B175,VN_국채일별!$A$4:$A$1436,1))+(INDEX(VN_국채일별!$C$4:$C$1436,MATCH($B175,VN_국채일별!$A$4:$A$1436,1))-INDEX(VN_국채일별!$B$4:$B$1436,MATCH($B175,VN_국채일별!$A$4:$A$1436,1)))*($J175-1),IF($J175&lt;=3,INDEX(VN_국채일별!$C$4:$C$1436,MATCH($B175,VN_국채일별!$A$4:$A$1436,1))+(INDEX(VN_국채일별!$D$4:$D$1436,MATCH($B175,VN_국채일별!$A$4:$A$1436,1))-INDEX(VN_국채일별!$C$4:$C$1436,MATCH($B175,VN_국채일별!$A$4:$A$1436,1)))*($J175-2),IF($J175&lt;=5,INDEX(VN_국채일별!$D$4:$D$1436,MATCH($B175,VN_국채일별!$A$4:$A$1436,1))+(INDEX(VN_국채일별!$E$4:$E$1436,MATCH($B175,VN_국채일별!$A$4:$A$1436,1))-INDEX(VN_국채일별!$D$4:$D$1436,MATCH($B175,VN_국채일별!$A$4:$A$1436,1)))*($J175-3)/2,IF($J175&lt;=7,INDEX(VN_국채일별!$E$4:$E$1436,MATCH($B175,VN_국채일별!$A$4:$A$1436,1))+(INDEX(VN_국채일별!$F$4:$F$1436,MATCH($B175,VN_국채일별!$A$4:$A$1436,1))-INDEX(VN_국채일별!$E$4:$E$1436,MATCH($B175,VN_국채일별!$A$4:$A$1436,1)))*($J175-5)/2,IF($J175&lt;=10,INDEX(VN_국채일별!$F$4:$F$1436,MATCH($B175,VN_국채일별!$A$4:$A$1436,1))+(INDEX(VN_국채일별!$G$4:$G$1436,MATCH($B175,VN_국채일별!$A$4:$A$1436,1))-INDEX(VN_국채일별!$F$4:$F$1436,MATCH($B175,VN_국채일별!$A$4:$A$1436,1)))*($J175-7)/3,INDEX(VN_국채일별!$G$4:$G$1436,MATCH($B175,VN_국채일별!$A$4:$A$1436,1)))))))),""))</f>
        <v>0.01841</v>
      </c>
      <c r="R175" s="58" t="n">
        <f aca="false">IF(OR(L175="",Q175=""),"",(L175-Q175)*10000)</f>
        <v>425.9</v>
      </c>
      <c r="S175" s="30" t="n">
        <f aca="false">IF(AND(K175="고정",N175="N",J175&gt;=2,J175&lt;=4,I175&lt;&gt;""),1,0)</f>
        <v>1</v>
      </c>
      <c r="T175" s="59" t="n">
        <f aca="false">IF(S175=1,I175*L175,0)</f>
        <v>79.3</v>
      </c>
      <c r="U175" s="60" t="n">
        <f aca="false">IF(AND(S175=1,ISNUMBER(R175)),I175*R175,0)</f>
        <v>553670</v>
      </c>
      <c r="V175" s="30" t="n">
        <f aca="false">IF(AND(F175="Big4(국영)",K175="고정",N175="N",I175&lt;&gt;""),1,0)</f>
        <v>0</v>
      </c>
      <c r="W175" s="59" t="n">
        <f aca="false">IF(V175=1,I175*L175,0)</f>
        <v>0</v>
      </c>
      <c r="X175" s="60" t="n">
        <f aca="false">IF(AND(V175=1,ISNUMBER(R175)),I175*R175,0)</f>
        <v>0</v>
      </c>
      <c r="Y175" s="61" t="n">
        <f aca="false">IF(AND(S175=1,ISNUMBER(R175)),I175,0)</f>
        <v>1300</v>
      </c>
      <c r="Z175" s="61" t="n">
        <f aca="false">IF(AND(V175=1,ISNUMBER(R175)),I175,0)</f>
        <v>0</v>
      </c>
    </row>
    <row r="176" customFormat="false" ht="15" hidden="false" customHeight="false" outlineLevel="0" collapsed="false">
      <c r="A176" s="47" t="s">
        <v>476</v>
      </c>
      <c r="B176" s="52" t="n">
        <v>45261</v>
      </c>
      <c r="C176" s="53" t="n">
        <f aca="false">DATE(YEAR(B176),MONTH(B176),1)</f>
        <v>45261</v>
      </c>
      <c r="D176" s="5" t="str">
        <f aca="false">YEAR(B176)&amp;"Q"&amp;ROUNDUP(MONTH(B176)/3,0)</f>
        <v>2023Q4</v>
      </c>
      <c r="E176" s="47" t="s">
        <v>215</v>
      </c>
      <c r="F176" s="54" t="s">
        <v>139</v>
      </c>
      <c r="G176" s="47" t="s">
        <v>391</v>
      </c>
      <c r="H176" s="47" t="s">
        <v>477</v>
      </c>
      <c r="I176" s="55" t="n">
        <v>400</v>
      </c>
      <c r="J176" s="56" t="n">
        <v>7</v>
      </c>
      <c r="K176" s="54" t="s">
        <v>142</v>
      </c>
      <c r="L176" s="57" t="n">
        <v>0.075</v>
      </c>
      <c r="N176" s="47" t="s">
        <v>143</v>
      </c>
      <c r="O176" s="47" t="s">
        <v>404</v>
      </c>
      <c r="P176" s="47"/>
      <c r="Q176" s="48" t="n">
        <f aca="false">IF($J176="","",IFERROR(IF($J176&lt;=1,INDEX(VN_국채일별!$B$4:$B$1436,MATCH($B176,VN_국채일별!$A$4:$A$1436,1)),IF($J176&lt;=2,INDEX(VN_국채일별!$B$4:$B$1436,MATCH($B176,VN_국채일별!$A$4:$A$1436,1))+(INDEX(VN_국채일별!$C$4:$C$1436,MATCH($B176,VN_국채일별!$A$4:$A$1436,1))-INDEX(VN_국채일별!$B$4:$B$1436,MATCH($B176,VN_국채일별!$A$4:$A$1436,1)))*($J176-1),IF($J176&lt;=3,INDEX(VN_국채일별!$C$4:$C$1436,MATCH($B176,VN_국채일별!$A$4:$A$1436,1))+(INDEX(VN_국채일별!$D$4:$D$1436,MATCH($B176,VN_국채일별!$A$4:$A$1436,1))-INDEX(VN_국채일별!$C$4:$C$1436,MATCH($B176,VN_국채일별!$A$4:$A$1436,1)))*($J176-2),IF($J176&lt;=5,INDEX(VN_국채일별!$D$4:$D$1436,MATCH($B176,VN_국채일별!$A$4:$A$1436,1))+(INDEX(VN_국채일별!$E$4:$E$1436,MATCH($B176,VN_국채일별!$A$4:$A$1436,1))-INDEX(VN_국채일별!$D$4:$D$1436,MATCH($B176,VN_국채일별!$A$4:$A$1436,1)))*($J176-3)/2,IF($J176&lt;=7,INDEX(VN_국채일별!$E$4:$E$1436,MATCH($B176,VN_국채일별!$A$4:$A$1436,1))+(INDEX(VN_국채일별!$F$4:$F$1436,MATCH($B176,VN_국채일별!$A$4:$A$1436,1))-INDEX(VN_국채일별!$E$4:$E$1436,MATCH($B176,VN_국채일별!$A$4:$A$1436,1)))*($J176-5)/2,IF($J176&lt;=10,INDEX(VN_국채일별!$F$4:$F$1436,MATCH($B176,VN_국채일별!$A$4:$A$1436,1))+(INDEX(VN_국채일별!$G$4:$G$1436,MATCH($B176,VN_국채일별!$A$4:$A$1436,1))-INDEX(VN_국채일별!$F$4:$F$1436,MATCH($B176,VN_국채일별!$A$4:$A$1436,1)))*($J176-7)/3,INDEX(VN_국채일별!$G$4:$G$1436,MATCH($B176,VN_국채일별!$A$4:$A$1436,1)))))))),""))</f>
        <v>0.02223</v>
      </c>
      <c r="R176" s="58" t="n">
        <f aca="false">IF(OR(L176="",Q176=""),"",(L176-Q176)*10000)</f>
        <v>527.7</v>
      </c>
      <c r="S176" s="30" t="n">
        <f aca="false">IF(AND(K176="고정",N176="N",J176&gt;=2,J176&lt;=4,I176&lt;&gt;""),1,0)</f>
        <v>0</v>
      </c>
      <c r="T176" s="59" t="n">
        <f aca="false">IF(S176=1,I176*L176,0)</f>
        <v>0</v>
      </c>
      <c r="U176" s="60" t="n">
        <f aca="false">IF(AND(S176=1,ISNUMBER(R176)),I176*R176,0)</f>
        <v>0</v>
      </c>
      <c r="V176" s="30" t="n">
        <f aca="false">IF(AND(F176="Big4(국영)",K176="고정",N176="N",I176&lt;&gt;""),1,0)</f>
        <v>0</v>
      </c>
      <c r="W176" s="59" t="n">
        <f aca="false">IF(V176=1,I176*L176,0)</f>
        <v>0</v>
      </c>
      <c r="X176" s="60" t="n">
        <f aca="false">IF(AND(V176=1,ISNUMBER(R176)),I176*R176,0)</f>
        <v>0</v>
      </c>
      <c r="Y176" s="61" t="n">
        <f aca="false">IF(AND(S176=1,ISNUMBER(R176)),I176,0)</f>
        <v>0</v>
      </c>
      <c r="Z176" s="61" t="n">
        <f aca="false">IF(AND(V176=1,ISNUMBER(R176)),I176,0)</f>
        <v>0</v>
      </c>
    </row>
    <row r="177" customFormat="false" ht="15" hidden="false" customHeight="false" outlineLevel="0" collapsed="false">
      <c r="A177" s="47" t="s">
        <v>476</v>
      </c>
      <c r="B177" s="52" t="n">
        <v>45261</v>
      </c>
      <c r="C177" s="53" t="n">
        <f aca="false">DATE(YEAR(B177),MONTH(B177),1)</f>
        <v>45261</v>
      </c>
      <c r="D177" s="5" t="str">
        <f aca="false">YEAR(B177)&amp;"Q"&amp;ROUNDUP(MONTH(B177)/3,0)</f>
        <v>2023Q4</v>
      </c>
      <c r="E177" s="47" t="s">
        <v>145</v>
      </c>
      <c r="F177" s="54" t="s">
        <v>139</v>
      </c>
      <c r="G177" s="47" t="s">
        <v>146</v>
      </c>
      <c r="H177" s="47" t="s">
        <v>478</v>
      </c>
      <c r="I177" s="55" t="n">
        <v>1000</v>
      </c>
      <c r="J177" s="56" t="n">
        <v>3</v>
      </c>
      <c r="K177" s="54" t="s">
        <v>142</v>
      </c>
      <c r="L177" s="57" t="n">
        <v>0.058</v>
      </c>
      <c r="N177" s="47" t="s">
        <v>148</v>
      </c>
      <c r="O177" s="47" t="s">
        <v>451</v>
      </c>
      <c r="P177" s="47"/>
      <c r="Q177" s="48" t="n">
        <f aca="false">IF($J177="","",IFERROR(IF($J177&lt;=1,INDEX(VN_국채일별!$B$4:$B$1436,MATCH($B177,VN_국채일별!$A$4:$A$1436,1)),IF($J177&lt;=2,INDEX(VN_국채일별!$B$4:$B$1436,MATCH($B177,VN_국채일별!$A$4:$A$1436,1))+(INDEX(VN_국채일별!$C$4:$C$1436,MATCH($B177,VN_국채일별!$A$4:$A$1436,1))-INDEX(VN_국채일별!$B$4:$B$1436,MATCH($B177,VN_국채일별!$A$4:$A$1436,1)))*($J177-1),IF($J177&lt;=3,INDEX(VN_국채일별!$C$4:$C$1436,MATCH($B177,VN_국채일별!$A$4:$A$1436,1))+(INDEX(VN_국채일별!$D$4:$D$1436,MATCH($B177,VN_국채일별!$A$4:$A$1436,1))-INDEX(VN_국채일별!$C$4:$C$1436,MATCH($B177,VN_국채일별!$A$4:$A$1436,1)))*($J177-2),IF($J177&lt;=5,INDEX(VN_국채일별!$D$4:$D$1436,MATCH($B177,VN_국채일별!$A$4:$A$1436,1))+(INDEX(VN_국채일별!$E$4:$E$1436,MATCH($B177,VN_국채일별!$A$4:$A$1436,1))-INDEX(VN_국채일별!$D$4:$D$1436,MATCH($B177,VN_국채일별!$A$4:$A$1436,1)))*($J177-3)/2,IF($J177&lt;=7,INDEX(VN_국채일별!$E$4:$E$1436,MATCH($B177,VN_국채일별!$A$4:$A$1436,1))+(INDEX(VN_국채일별!$F$4:$F$1436,MATCH($B177,VN_국채일별!$A$4:$A$1436,1))-INDEX(VN_국채일별!$E$4:$E$1436,MATCH($B177,VN_국채일별!$A$4:$A$1436,1)))*($J177-5)/2,IF($J177&lt;=10,INDEX(VN_국채일별!$F$4:$F$1436,MATCH($B177,VN_국채일별!$A$4:$A$1436,1))+(INDEX(VN_국채일별!$G$4:$G$1436,MATCH($B177,VN_국채일별!$A$4:$A$1436,1))-INDEX(VN_국채일별!$F$4:$F$1436,MATCH($B177,VN_국채일별!$A$4:$A$1436,1)))*($J177-7)/3,INDEX(VN_국채일별!$G$4:$G$1436,MATCH($B177,VN_국채일별!$A$4:$A$1436,1)))))))),""))</f>
        <v>0.01832</v>
      </c>
      <c r="R177" s="58" t="n">
        <f aca="false">IF(OR(L177="",Q177=""),"",(L177-Q177)*10000)</f>
        <v>396.8</v>
      </c>
      <c r="S177" s="30" t="n">
        <f aca="false">IF(AND(K177="고정",N177="N",J177&gt;=2,J177&lt;=4,I177&lt;&gt;""),1,0)</f>
        <v>1</v>
      </c>
      <c r="T177" s="59" t="n">
        <f aca="false">IF(S177=1,I177*L177,0)</f>
        <v>58</v>
      </c>
      <c r="U177" s="60" t="n">
        <f aca="false">IF(AND(S177=1,ISNUMBER(R177)),I177*R177,0)</f>
        <v>396800</v>
      </c>
      <c r="V177" s="30" t="n">
        <f aca="false">IF(AND(F177="Big4(국영)",K177="고정",N177="N",I177&lt;&gt;""),1,0)</f>
        <v>0</v>
      </c>
      <c r="W177" s="59" t="n">
        <f aca="false">IF(V177=1,I177*L177,0)</f>
        <v>0</v>
      </c>
      <c r="X177" s="60" t="n">
        <f aca="false">IF(AND(V177=1,ISNUMBER(R177)),I177*R177,0)</f>
        <v>0</v>
      </c>
      <c r="Y177" s="61" t="n">
        <f aca="false">IF(AND(S177=1,ISNUMBER(R177)),I177,0)</f>
        <v>1000</v>
      </c>
      <c r="Z177" s="61" t="n">
        <f aca="false">IF(AND(V177=1,ISNUMBER(R177)),I177,0)</f>
        <v>0</v>
      </c>
    </row>
    <row r="178" customFormat="false" ht="15" hidden="false" customHeight="false" outlineLevel="0" collapsed="false">
      <c r="A178" s="47" t="s">
        <v>476</v>
      </c>
      <c r="B178" s="52" t="n">
        <v>45261</v>
      </c>
      <c r="C178" s="53" t="n">
        <f aca="false">DATE(YEAR(B178),MONTH(B178),1)</f>
        <v>45261</v>
      </c>
      <c r="D178" s="5" t="str">
        <f aca="false">YEAR(B178)&amp;"Q"&amp;ROUNDUP(MONTH(B178)/3,0)</f>
        <v>2023Q4</v>
      </c>
      <c r="E178" s="47" t="s">
        <v>365</v>
      </c>
      <c r="F178" s="54" t="s">
        <v>139</v>
      </c>
      <c r="G178" s="47" t="s">
        <v>366</v>
      </c>
      <c r="H178" s="47" t="s">
        <v>479</v>
      </c>
      <c r="I178" s="55" t="n">
        <v>450</v>
      </c>
      <c r="J178" s="56" t="n">
        <v>10</v>
      </c>
      <c r="K178" s="54" t="s">
        <v>153</v>
      </c>
      <c r="N178" s="47" t="s">
        <v>143</v>
      </c>
      <c r="O178" s="47" t="s">
        <v>480</v>
      </c>
      <c r="P178" s="47"/>
      <c r="Q178" s="48" t="n">
        <f aca="false">IF($J178="","",IFERROR(IF($J178&lt;=1,INDEX(VN_국채일별!$B$4:$B$1436,MATCH($B178,VN_국채일별!$A$4:$A$1436,1)),IF($J178&lt;=2,INDEX(VN_국채일별!$B$4:$B$1436,MATCH($B178,VN_국채일별!$A$4:$A$1436,1))+(INDEX(VN_국채일별!$C$4:$C$1436,MATCH($B178,VN_국채일별!$A$4:$A$1436,1))-INDEX(VN_국채일별!$B$4:$B$1436,MATCH($B178,VN_국채일별!$A$4:$A$1436,1)))*($J178-1),IF($J178&lt;=3,INDEX(VN_국채일별!$C$4:$C$1436,MATCH($B178,VN_국채일별!$A$4:$A$1436,1))+(INDEX(VN_국채일별!$D$4:$D$1436,MATCH($B178,VN_국채일별!$A$4:$A$1436,1))-INDEX(VN_국채일별!$C$4:$C$1436,MATCH($B178,VN_국채일별!$A$4:$A$1436,1)))*($J178-2),IF($J178&lt;=5,INDEX(VN_국채일별!$D$4:$D$1436,MATCH($B178,VN_국채일별!$A$4:$A$1436,1))+(INDEX(VN_국채일별!$E$4:$E$1436,MATCH($B178,VN_국채일별!$A$4:$A$1436,1))-INDEX(VN_국채일별!$D$4:$D$1436,MATCH($B178,VN_국채일별!$A$4:$A$1436,1)))*($J178-3)/2,IF($J178&lt;=7,INDEX(VN_국채일별!$E$4:$E$1436,MATCH($B178,VN_국채일별!$A$4:$A$1436,1))+(INDEX(VN_국채일별!$F$4:$F$1436,MATCH($B178,VN_국채일별!$A$4:$A$1436,1))-INDEX(VN_국채일별!$E$4:$E$1436,MATCH($B178,VN_국채일별!$A$4:$A$1436,1)))*($J178-5)/2,IF($J178&lt;=10,INDEX(VN_국채일별!$F$4:$F$1436,MATCH($B178,VN_국채일별!$A$4:$A$1436,1))+(INDEX(VN_국채일별!$G$4:$G$1436,MATCH($B178,VN_국채일별!$A$4:$A$1436,1))-INDEX(VN_국채일별!$F$4:$F$1436,MATCH($B178,VN_국채일별!$A$4:$A$1436,1)))*($J178-7)/3,INDEX(VN_국채일별!$G$4:$G$1436,MATCH($B178,VN_국채일별!$A$4:$A$1436,1)))))))),""))</f>
        <v>0.02411</v>
      </c>
      <c r="R178" s="58" t="str">
        <f aca="false">IF(OR(L178="",Q178=""),"",(L178-Q178)*10000)</f>
        <v/>
      </c>
      <c r="S178" s="30" t="n">
        <f aca="false">IF(AND(K178="고정",N178="N",J178&gt;=2,J178&lt;=4,I178&lt;&gt;""),1,0)</f>
        <v>0</v>
      </c>
      <c r="T178" s="59" t="n">
        <f aca="false">IF(S178=1,I178*L178,0)</f>
        <v>0</v>
      </c>
      <c r="U178" s="60" t="n">
        <f aca="false">IF(AND(S178=1,ISNUMBER(R178)),I178*R178,0)</f>
        <v>0</v>
      </c>
      <c r="V178" s="30" t="n">
        <f aca="false">IF(AND(F178="Big4(국영)",K178="고정",N178="N",I178&lt;&gt;""),1,0)</f>
        <v>0</v>
      </c>
      <c r="W178" s="59" t="n">
        <f aca="false">IF(V178=1,I178*L178,0)</f>
        <v>0</v>
      </c>
      <c r="X178" s="60" t="n">
        <f aca="false">IF(AND(V178=1,ISNUMBER(R178)),I178*R178,0)</f>
        <v>0</v>
      </c>
      <c r="Y178" s="61" t="n">
        <f aca="false">IF(AND(S178=1,ISNUMBER(R178)),I178,0)</f>
        <v>0</v>
      </c>
      <c r="Z178" s="61" t="n">
        <f aca="false">IF(AND(V178=1,ISNUMBER(R178)),I178,0)</f>
        <v>0</v>
      </c>
    </row>
    <row r="179" customFormat="false" ht="15" hidden="false" customHeight="false" outlineLevel="0" collapsed="false">
      <c r="A179" s="47" t="s">
        <v>476</v>
      </c>
      <c r="B179" s="52" t="n">
        <v>45264</v>
      </c>
      <c r="C179" s="53" t="n">
        <f aca="false">DATE(YEAR(B179),MONTH(B179),1)</f>
        <v>45261</v>
      </c>
      <c r="D179" s="5" t="str">
        <f aca="false">YEAR(B179)&amp;"Q"&amp;ROUNDUP(MONTH(B179)/3,0)</f>
        <v>2023Q4</v>
      </c>
      <c r="E179" s="47" t="s">
        <v>365</v>
      </c>
      <c r="F179" s="54" t="s">
        <v>139</v>
      </c>
      <c r="G179" s="47" t="s">
        <v>366</v>
      </c>
      <c r="H179" s="47" t="s">
        <v>481</v>
      </c>
      <c r="I179" s="55" t="n">
        <v>1500</v>
      </c>
      <c r="J179" s="56" t="n">
        <v>2</v>
      </c>
      <c r="K179" s="54" t="s">
        <v>153</v>
      </c>
      <c r="M179" s="57" t="n">
        <v>0.058</v>
      </c>
      <c r="N179" s="47" t="s">
        <v>148</v>
      </c>
      <c r="O179" s="47" t="s">
        <v>482</v>
      </c>
      <c r="P179" s="47"/>
      <c r="Q179" s="48" t="n">
        <f aca="false">IF($J179="","",IFERROR(IF($J179&lt;=1,INDEX(VN_국채일별!$B$4:$B$1436,MATCH($B179,VN_국채일별!$A$4:$A$1436,1)),IF($J179&lt;=2,INDEX(VN_국채일별!$B$4:$B$1436,MATCH($B179,VN_국채일별!$A$4:$A$1436,1))+(INDEX(VN_국채일별!$C$4:$C$1436,MATCH($B179,VN_국채일별!$A$4:$A$1436,1))-INDEX(VN_국채일별!$B$4:$B$1436,MATCH($B179,VN_국채일별!$A$4:$A$1436,1)))*($J179-1),IF($J179&lt;=3,INDEX(VN_국채일별!$C$4:$C$1436,MATCH($B179,VN_국채일별!$A$4:$A$1436,1))+(INDEX(VN_국채일별!$D$4:$D$1436,MATCH($B179,VN_국채일별!$A$4:$A$1436,1))-INDEX(VN_국채일별!$C$4:$C$1436,MATCH($B179,VN_국채일별!$A$4:$A$1436,1)))*($J179-2),IF($J179&lt;=5,INDEX(VN_국채일별!$D$4:$D$1436,MATCH($B179,VN_국채일별!$A$4:$A$1436,1))+(INDEX(VN_국채일별!$E$4:$E$1436,MATCH($B179,VN_국채일별!$A$4:$A$1436,1))-INDEX(VN_국채일별!$D$4:$D$1436,MATCH($B179,VN_국채일별!$A$4:$A$1436,1)))*($J179-3)/2,IF($J179&lt;=7,INDEX(VN_국채일별!$E$4:$E$1436,MATCH($B179,VN_국채일별!$A$4:$A$1436,1))+(INDEX(VN_국채일별!$F$4:$F$1436,MATCH($B179,VN_국채일별!$A$4:$A$1436,1))-INDEX(VN_국채일별!$E$4:$E$1436,MATCH($B179,VN_국채일별!$A$4:$A$1436,1)))*($J179-5)/2,IF($J179&lt;=10,INDEX(VN_국채일별!$F$4:$F$1436,MATCH($B179,VN_국채일별!$A$4:$A$1436,1))+(INDEX(VN_국채일별!$G$4:$G$1436,MATCH($B179,VN_국채일별!$A$4:$A$1436,1))-INDEX(VN_국채일별!$F$4:$F$1436,MATCH($B179,VN_국채일별!$A$4:$A$1436,1)))*($J179-7)/3,INDEX(VN_국채일별!$G$4:$G$1436,MATCH($B179,VN_국채일별!$A$4:$A$1436,1)))))))),""))</f>
        <v>0.01773</v>
      </c>
      <c r="R179" s="58" t="str">
        <f aca="false">IF(OR(L179="",Q179=""),"",(L179-Q179)*10000)</f>
        <v/>
      </c>
      <c r="S179" s="30" t="n">
        <f aca="false">IF(AND(K179="고정",N179="N",J179&gt;=2,J179&lt;=4,I179&lt;&gt;""),1,0)</f>
        <v>0</v>
      </c>
      <c r="T179" s="59" t="n">
        <f aca="false">IF(S179=1,I179*L179,0)</f>
        <v>0</v>
      </c>
      <c r="U179" s="60" t="n">
        <f aca="false">IF(AND(S179=1,ISNUMBER(R179)),I179*R179,0)</f>
        <v>0</v>
      </c>
      <c r="V179" s="30" t="n">
        <f aca="false">IF(AND(F179="Big4(국영)",K179="고정",N179="N",I179&lt;&gt;""),1,0)</f>
        <v>0</v>
      </c>
      <c r="W179" s="59" t="n">
        <f aca="false">IF(V179=1,I179*L179,0)</f>
        <v>0</v>
      </c>
      <c r="X179" s="60" t="n">
        <f aca="false">IF(AND(V179=1,ISNUMBER(R179)),I179*R179,0)</f>
        <v>0</v>
      </c>
      <c r="Y179" s="61" t="n">
        <f aca="false">IF(AND(S179=1,ISNUMBER(R179)),I179,0)</f>
        <v>0</v>
      </c>
      <c r="Z179" s="61" t="n">
        <f aca="false">IF(AND(V179=1,ISNUMBER(R179)),I179,0)</f>
        <v>0</v>
      </c>
    </row>
    <row r="180" customFormat="false" ht="15" hidden="false" customHeight="false" outlineLevel="0" collapsed="false">
      <c r="A180" s="47" t="s">
        <v>476</v>
      </c>
      <c r="B180" s="52" t="n">
        <v>45265</v>
      </c>
      <c r="C180" s="53" t="n">
        <f aca="false">DATE(YEAR(B180),MONTH(B180),1)</f>
        <v>45261</v>
      </c>
      <c r="D180" s="5" t="str">
        <f aca="false">YEAR(B180)&amp;"Q"&amp;ROUNDUP(MONTH(B180)/3,0)</f>
        <v>2023Q4</v>
      </c>
      <c r="E180" s="47" t="s">
        <v>365</v>
      </c>
      <c r="F180" s="54" t="s">
        <v>139</v>
      </c>
      <c r="G180" s="47" t="s">
        <v>366</v>
      </c>
      <c r="H180" s="47" t="s">
        <v>483</v>
      </c>
      <c r="I180" s="55" t="n">
        <v>74.3</v>
      </c>
      <c r="J180" s="56" t="n">
        <v>10</v>
      </c>
      <c r="K180" s="54" t="s">
        <v>153</v>
      </c>
      <c r="N180" s="47" t="s">
        <v>143</v>
      </c>
      <c r="O180" s="47" t="s">
        <v>460</v>
      </c>
      <c r="P180" s="47"/>
      <c r="Q180" s="48" t="n">
        <f aca="false">IF($J180="","",IFERROR(IF($J180&lt;=1,INDEX(VN_국채일별!$B$4:$B$1436,MATCH($B180,VN_국채일별!$A$4:$A$1436,1)),IF($J180&lt;=2,INDEX(VN_국채일별!$B$4:$B$1436,MATCH($B180,VN_국채일별!$A$4:$A$1436,1))+(INDEX(VN_국채일별!$C$4:$C$1436,MATCH($B180,VN_국채일별!$A$4:$A$1436,1))-INDEX(VN_국채일별!$B$4:$B$1436,MATCH($B180,VN_국채일별!$A$4:$A$1436,1)))*($J180-1),IF($J180&lt;=3,INDEX(VN_국채일별!$C$4:$C$1436,MATCH($B180,VN_국채일별!$A$4:$A$1436,1))+(INDEX(VN_국채일별!$D$4:$D$1436,MATCH($B180,VN_국채일별!$A$4:$A$1436,1))-INDEX(VN_국채일별!$C$4:$C$1436,MATCH($B180,VN_국채일별!$A$4:$A$1436,1)))*($J180-2),IF($J180&lt;=5,INDEX(VN_국채일별!$D$4:$D$1436,MATCH($B180,VN_국채일별!$A$4:$A$1436,1))+(INDEX(VN_국채일별!$E$4:$E$1436,MATCH($B180,VN_국채일별!$A$4:$A$1436,1))-INDEX(VN_국채일별!$D$4:$D$1436,MATCH($B180,VN_국채일별!$A$4:$A$1436,1)))*($J180-3)/2,IF($J180&lt;=7,INDEX(VN_국채일별!$E$4:$E$1436,MATCH($B180,VN_국채일별!$A$4:$A$1436,1))+(INDEX(VN_국채일별!$F$4:$F$1436,MATCH($B180,VN_국채일별!$A$4:$A$1436,1))-INDEX(VN_국채일별!$E$4:$E$1436,MATCH($B180,VN_국채일별!$A$4:$A$1436,1)))*($J180-5)/2,IF($J180&lt;=10,INDEX(VN_국채일별!$F$4:$F$1436,MATCH($B180,VN_국채일별!$A$4:$A$1436,1))+(INDEX(VN_국채일별!$G$4:$G$1436,MATCH($B180,VN_국채일별!$A$4:$A$1436,1))-INDEX(VN_국채일별!$F$4:$F$1436,MATCH($B180,VN_국채일별!$A$4:$A$1436,1)))*($J180-7)/3,INDEX(VN_국채일별!$G$4:$G$1436,MATCH($B180,VN_국채일별!$A$4:$A$1436,1)))))))),""))</f>
        <v>0.02418</v>
      </c>
      <c r="R180" s="58" t="str">
        <f aca="false">IF(OR(L180="",Q180=""),"",(L180-Q180)*10000)</f>
        <v/>
      </c>
      <c r="S180" s="30" t="n">
        <f aca="false">IF(AND(K180="고정",N180="N",J180&gt;=2,J180&lt;=4,I180&lt;&gt;""),1,0)</f>
        <v>0</v>
      </c>
      <c r="T180" s="59" t="n">
        <f aca="false">IF(S180=1,I180*L180,0)</f>
        <v>0</v>
      </c>
      <c r="U180" s="60" t="n">
        <f aca="false">IF(AND(S180=1,ISNUMBER(R180)),I180*R180,0)</f>
        <v>0</v>
      </c>
      <c r="V180" s="30" t="n">
        <f aca="false">IF(AND(F180="Big4(국영)",K180="고정",N180="N",I180&lt;&gt;""),1,0)</f>
        <v>0</v>
      </c>
      <c r="W180" s="59" t="n">
        <f aca="false">IF(V180=1,I180*L180,0)</f>
        <v>0</v>
      </c>
      <c r="X180" s="60" t="n">
        <f aca="false">IF(AND(V180=1,ISNUMBER(R180)),I180*R180,0)</f>
        <v>0</v>
      </c>
      <c r="Y180" s="61" t="n">
        <f aca="false">IF(AND(S180=1,ISNUMBER(R180)),I180,0)</f>
        <v>0</v>
      </c>
      <c r="Z180" s="61" t="n">
        <f aca="false">IF(AND(V180=1,ISNUMBER(R180)),I180,0)</f>
        <v>0</v>
      </c>
    </row>
    <row r="181" customFormat="false" ht="15" hidden="false" customHeight="false" outlineLevel="0" collapsed="false">
      <c r="A181" s="47" t="s">
        <v>476</v>
      </c>
      <c r="B181" s="52" t="n">
        <v>45266</v>
      </c>
      <c r="C181" s="53" t="n">
        <f aca="false">DATE(YEAR(B181),MONTH(B181),1)</f>
        <v>45261</v>
      </c>
      <c r="D181" s="5" t="str">
        <f aca="false">YEAR(B181)&amp;"Q"&amp;ROUNDUP(MONTH(B181)/3,0)</f>
        <v>2023Q4</v>
      </c>
      <c r="E181" s="47" t="s">
        <v>166</v>
      </c>
      <c r="F181" s="54" t="s">
        <v>139</v>
      </c>
      <c r="G181" s="47" t="s">
        <v>167</v>
      </c>
      <c r="H181" s="47" t="s">
        <v>484</v>
      </c>
      <c r="I181" s="55" t="n">
        <v>1000</v>
      </c>
      <c r="J181" s="56" t="n">
        <v>2</v>
      </c>
      <c r="K181" s="54" t="s">
        <v>142</v>
      </c>
      <c r="L181" s="57" t="n">
        <v>0.062</v>
      </c>
      <c r="N181" s="47" t="s">
        <v>148</v>
      </c>
      <c r="O181" s="47" t="s">
        <v>485</v>
      </c>
      <c r="P181" s="47"/>
      <c r="Q181" s="48" t="n">
        <f aca="false">IF($J181="","",IFERROR(IF($J181&lt;=1,INDEX(VN_국채일별!$B$4:$B$1436,MATCH($B181,VN_국채일별!$A$4:$A$1436,1)),IF($J181&lt;=2,INDEX(VN_국채일별!$B$4:$B$1436,MATCH($B181,VN_국채일별!$A$4:$A$1436,1))+(INDEX(VN_국채일별!$C$4:$C$1436,MATCH($B181,VN_국채일별!$A$4:$A$1436,1))-INDEX(VN_국채일별!$B$4:$B$1436,MATCH($B181,VN_국채일별!$A$4:$A$1436,1)))*($J181-1),IF($J181&lt;=3,INDEX(VN_국채일별!$C$4:$C$1436,MATCH($B181,VN_국채일별!$A$4:$A$1436,1))+(INDEX(VN_국채일별!$D$4:$D$1436,MATCH($B181,VN_국채일별!$A$4:$A$1436,1))-INDEX(VN_국채일별!$C$4:$C$1436,MATCH($B181,VN_국채일별!$A$4:$A$1436,1)))*($J181-2),IF($J181&lt;=5,INDEX(VN_국채일별!$D$4:$D$1436,MATCH($B181,VN_국채일별!$A$4:$A$1436,1))+(INDEX(VN_국채일별!$E$4:$E$1436,MATCH($B181,VN_국채일별!$A$4:$A$1436,1))-INDEX(VN_국채일별!$D$4:$D$1436,MATCH($B181,VN_국채일별!$A$4:$A$1436,1)))*($J181-3)/2,IF($J181&lt;=7,INDEX(VN_국채일별!$E$4:$E$1436,MATCH($B181,VN_국채일별!$A$4:$A$1436,1))+(INDEX(VN_국채일별!$F$4:$F$1436,MATCH($B181,VN_국채일별!$A$4:$A$1436,1))-INDEX(VN_국채일별!$E$4:$E$1436,MATCH($B181,VN_국채일별!$A$4:$A$1436,1)))*($J181-5)/2,IF($J181&lt;=10,INDEX(VN_국채일별!$F$4:$F$1436,MATCH($B181,VN_국채일별!$A$4:$A$1436,1))+(INDEX(VN_국채일별!$G$4:$G$1436,MATCH($B181,VN_국채일별!$A$4:$A$1436,1))-INDEX(VN_국채일별!$F$4:$F$1436,MATCH($B181,VN_국채일별!$A$4:$A$1436,1)))*($J181-7)/3,INDEX(VN_국채일별!$G$4:$G$1436,MATCH($B181,VN_국채일별!$A$4:$A$1436,1)))))))),""))</f>
        <v>0.01774</v>
      </c>
      <c r="R181" s="58" t="n">
        <f aca="false">IF(OR(L181="",Q181=""),"",(L181-Q181)*10000)</f>
        <v>442.6</v>
      </c>
      <c r="S181" s="30" t="n">
        <f aca="false">IF(AND(K181="고정",N181="N",J181&gt;=2,J181&lt;=4,I181&lt;&gt;""),1,0)</f>
        <v>1</v>
      </c>
      <c r="T181" s="59" t="n">
        <f aca="false">IF(S181=1,I181*L181,0)</f>
        <v>62</v>
      </c>
      <c r="U181" s="60" t="n">
        <f aca="false">IF(AND(S181=1,ISNUMBER(R181)),I181*R181,0)</f>
        <v>442600</v>
      </c>
      <c r="V181" s="30" t="n">
        <f aca="false">IF(AND(F181="Big4(국영)",K181="고정",N181="N",I181&lt;&gt;""),1,0)</f>
        <v>0</v>
      </c>
      <c r="W181" s="59" t="n">
        <f aca="false">IF(V181=1,I181*L181,0)</f>
        <v>0</v>
      </c>
      <c r="X181" s="60" t="n">
        <f aca="false">IF(AND(V181=1,ISNUMBER(R181)),I181*R181,0)</f>
        <v>0</v>
      </c>
      <c r="Y181" s="61" t="n">
        <f aca="false">IF(AND(S181=1,ISNUMBER(R181)),I181,0)</f>
        <v>1000</v>
      </c>
      <c r="Z181" s="61" t="n">
        <f aca="false">IF(AND(V181=1,ISNUMBER(R181)),I181,0)</f>
        <v>0</v>
      </c>
    </row>
    <row r="182" customFormat="false" ht="15" hidden="false" customHeight="false" outlineLevel="0" collapsed="false">
      <c r="A182" s="47" t="s">
        <v>476</v>
      </c>
      <c r="B182" s="52" t="n">
        <v>45266</v>
      </c>
      <c r="C182" s="53" t="n">
        <f aca="false">DATE(YEAR(B182),MONTH(B182),1)</f>
        <v>45261</v>
      </c>
      <c r="D182" s="5" t="str">
        <f aca="false">YEAR(B182)&amp;"Q"&amp;ROUNDUP(MONTH(B182)/3,0)</f>
        <v>2023Q4</v>
      </c>
      <c r="E182" s="62" t="s">
        <v>173</v>
      </c>
      <c r="F182" s="62" t="s">
        <v>156</v>
      </c>
      <c r="G182" s="47" t="s">
        <v>174</v>
      </c>
      <c r="H182" s="47" t="s">
        <v>486</v>
      </c>
      <c r="I182" s="55" t="n">
        <v>400</v>
      </c>
      <c r="J182" s="56" t="n">
        <v>8</v>
      </c>
      <c r="K182" s="54" t="s">
        <v>153</v>
      </c>
      <c r="N182" s="47" t="s">
        <v>143</v>
      </c>
      <c r="O182" s="47" t="s">
        <v>487</v>
      </c>
      <c r="P182" s="47"/>
      <c r="Q182" s="48" t="n">
        <f aca="false">IF($J182="","",IFERROR(IF($J182&lt;=1,INDEX(VN_국채일별!$B$4:$B$1436,MATCH($B182,VN_국채일별!$A$4:$A$1436,1)),IF($J182&lt;=2,INDEX(VN_국채일별!$B$4:$B$1436,MATCH($B182,VN_국채일별!$A$4:$A$1436,1))+(INDEX(VN_국채일별!$C$4:$C$1436,MATCH($B182,VN_국채일별!$A$4:$A$1436,1))-INDEX(VN_국채일별!$B$4:$B$1436,MATCH($B182,VN_국채일별!$A$4:$A$1436,1)))*($J182-1),IF($J182&lt;=3,INDEX(VN_국채일별!$C$4:$C$1436,MATCH($B182,VN_국채일별!$A$4:$A$1436,1))+(INDEX(VN_국채일별!$D$4:$D$1436,MATCH($B182,VN_국채일별!$A$4:$A$1436,1))-INDEX(VN_국채일별!$C$4:$C$1436,MATCH($B182,VN_국채일별!$A$4:$A$1436,1)))*($J182-2),IF($J182&lt;=5,INDEX(VN_국채일별!$D$4:$D$1436,MATCH($B182,VN_국채일별!$A$4:$A$1436,1))+(INDEX(VN_국채일별!$E$4:$E$1436,MATCH($B182,VN_국채일별!$A$4:$A$1436,1))-INDEX(VN_국채일별!$D$4:$D$1436,MATCH($B182,VN_국채일별!$A$4:$A$1436,1)))*($J182-3)/2,IF($J182&lt;=7,INDEX(VN_국채일별!$E$4:$E$1436,MATCH($B182,VN_국채일별!$A$4:$A$1436,1))+(INDEX(VN_국채일별!$F$4:$F$1436,MATCH($B182,VN_국채일별!$A$4:$A$1436,1))-INDEX(VN_국채일별!$E$4:$E$1436,MATCH($B182,VN_국채일별!$A$4:$A$1436,1)))*($J182-5)/2,IF($J182&lt;=10,INDEX(VN_국채일별!$F$4:$F$1436,MATCH($B182,VN_국채일별!$A$4:$A$1436,1))+(INDEX(VN_국채일별!$G$4:$G$1436,MATCH($B182,VN_국채일별!$A$4:$A$1436,1))-INDEX(VN_국채일별!$F$4:$F$1436,MATCH($B182,VN_국채일별!$A$4:$A$1436,1)))*($J182-7)/3,INDEX(VN_국채일별!$G$4:$G$1436,MATCH($B182,VN_국채일별!$A$4:$A$1436,1)))))))),""))</f>
        <v>0.0226933333333333</v>
      </c>
      <c r="R182" s="58" t="str">
        <f aca="false">IF(OR(L182="",Q182=""),"",(L182-Q182)*10000)</f>
        <v/>
      </c>
      <c r="S182" s="30" t="n">
        <f aca="false">IF(AND(K182="고정",N182="N",J182&gt;=2,J182&lt;=4,I182&lt;&gt;""),1,0)</f>
        <v>0</v>
      </c>
      <c r="T182" s="59" t="n">
        <f aca="false">IF(S182=1,I182*L182,0)</f>
        <v>0</v>
      </c>
      <c r="U182" s="60" t="n">
        <f aca="false">IF(AND(S182=1,ISNUMBER(R182)),I182*R182,0)</f>
        <v>0</v>
      </c>
      <c r="V182" s="30" t="n">
        <f aca="false">IF(AND(F182="Big4(국영)",K182="고정",N182="N",I182&lt;&gt;""),1,0)</f>
        <v>0</v>
      </c>
      <c r="W182" s="59" t="n">
        <f aca="false">IF(V182=1,I182*L182,0)</f>
        <v>0</v>
      </c>
      <c r="X182" s="60" t="n">
        <f aca="false">IF(AND(V182=1,ISNUMBER(R182)),I182*R182,0)</f>
        <v>0</v>
      </c>
      <c r="Y182" s="61" t="n">
        <f aca="false">IF(AND(S182=1,ISNUMBER(R182)),I182,0)</f>
        <v>0</v>
      </c>
      <c r="Z182" s="61" t="n">
        <f aca="false">IF(AND(V182=1,ISNUMBER(R182)),I182,0)</f>
        <v>0</v>
      </c>
    </row>
    <row r="183" customFormat="false" ht="15" hidden="false" customHeight="false" outlineLevel="0" collapsed="false">
      <c r="A183" s="47" t="s">
        <v>476</v>
      </c>
      <c r="B183" s="52" t="n">
        <v>45266</v>
      </c>
      <c r="C183" s="53" t="n">
        <f aca="false">DATE(YEAR(B183),MONTH(B183),1)</f>
        <v>45261</v>
      </c>
      <c r="D183" s="5" t="str">
        <f aca="false">YEAR(B183)&amp;"Q"&amp;ROUNDUP(MONTH(B183)/3,0)</f>
        <v>2023Q4</v>
      </c>
      <c r="E183" s="47" t="s">
        <v>365</v>
      </c>
      <c r="F183" s="54" t="s">
        <v>139</v>
      </c>
      <c r="G183" s="47" t="s">
        <v>366</v>
      </c>
      <c r="H183" s="47" t="s">
        <v>488</v>
      </c>
      <c r="I183" s="55" t="n">
        <v>450</v>
      </c>
      <c r="J183" s="56" t="n">
        <v>10</v>
      </c>
      <c r="K183" s="54" t="s">
        <v>153</v>
      </c>
      <c r="N183" s="47" t="s">
        <v>143</v>
      </c>
      <c r="O183" s="47" t="s">
        <v>460</v>
      </c>
      <c r="P183" s="47"/>
      <c r="Q183" s="48" t="n">
        <f aca="false">IF($J183="","",IFERROR(IF($J183&lt;=1,INDEX(VN_국채일별!$B$4:$B$1436,MATCH($B183,VN_국채일별!$A$4:$A$1436,1)),IF($J183&lt;=2,INDEX(VN_국채일별!$B$4:$B$1436,MATCH($B183,VN_국채일별!$A$4:$A$1436,1))+(INDEX(VN_국채일별!$C$4:$C$1436,MATCH($B183,VN_국채일별!$A$4:$A$1436,1))-INDEX(VN_국채일별!$B$4:$B$1436,MATCH($B183,VN_국채일별!$A$4:$A$1436,1)))*($J183-1),IF($J183&lt;=3,INDEX(VN_국채일별!$C$4:$C$1436,MATCH($B183,VN_국채일별!$A$4:$A$1436,1))+(INDEX(VN_국채일별!$D$4:$D$1436,MATCH($B183,VN_국채일별!$A$4:$A$1436,1))-INDEX(VN_국채일별!$C$4:$C$1436,MATCH($B183,VN_국채일별!$A$4:$A$1436,1)))*($J183-2),IF($J183&lt;=5,INDEX(VN_국채일별!$D$4:$D$1436,MATCH($B183,VN_국채일별!$A$4:$A$1436,1))+(INDEX(VN_국채일별!$E$4:$E$1436,MATCH($B183,VN_국채일별!$A$4:$A$1436,1))-INDEX(VN_국채일별!$D$4:$D$1436,MATCH($B183,VN_국채일별!$A$4:$A$1436,1)))*($J183-3)/2,IF($J183&lt;=7,INDEX(VN_국채일별!$E$4:$E$1436,MATCH($B183,VN_국채일별!$A$4:$A$1436,1))+(INDEX(VN_국채일별!$F$4:$F$1436,MATCH($B183,VN_국채일별!$A$4:$A$1436,1))-INDEX(VN_국채일별!$E$4:$E$1436,MATCH($B183,VN_국채일별!$A$4:$A$1436,1)))*($J183-5)/2,IF($J183&lt;=10,INDEX(VN_국채일별!$F$4:$F$1436,MATCH($B183,VN_국채일별!$A$4:$A$1436,1))+(INDEX(VN_국채일별!$G$4:$G$1436,MATCH($B183,VN_국채일별!$A$4:$A$1436,1))-INDEX(VN_국채일별!$F$4:$F$1436,MATCH($B183,VN_국채일별!$A$4:$A$1436,1)))*($J183-7)/3,INDEX(VN_국채일별!$G$4:$G$1436,MATCH($B183,VN_국채일별!$A$4:$A$1436,1)))))))),""))</f>
        <v>0.02408</v>
      </c>
      <c r="R183" s="58" t="str">
        <f aca="false">IF(OR(L183="",Q183=""),"",(L183-Q183)*10000)</f>
        <v/>
      </c>
      <c r="S183" s="30" t="n">
        <f aca="false">IF(AND(K183="고정",N183="N",J183&gt;=2,J183&lt;=4,I183&lt;&gt;""),1,0)</f>
        <v>0</v>
      </c>
      <c r="T183" s="59" t="n">
        <f aca="false">IF(S183=1,I183*L183,0)</f>
        <v>0</v>
      </c>
      <c r="U183" s="60" t="n">
        <f aca="false">IF(AND(S183=1,ISNUMBER(R183)),I183*R183,0)</f>
        <v>0</v>
      </c>
      <c r="V183" s="30" t="n">
        <f aca="false">IF(AND(F183="Big4(국영)",K183="고정",N183="N",I183&lt;&gt;""),1,0)</f>
        <v>0</v>
      </c>
      <c r="W183" s="59" t="n">
        <f aca="false">IF(V183=1,I183*L183,0)</f>
        <v>0</v>
      </c>
      <c r="X183" s="60" t="n">
        <f aca="false">IF(AND(V183=1,ISNUMBER(R183)),I183*R183,0)</f>
        <v>0</v>
      </c>
      <c r="Y183" s="61" t="n">
        <f aca="false">IF(AND(S183=1,ISNUMBER(R183)),I183,0)</f>
        <v>0</v>
      </c>
      <c r="Z183" s="61" t="n">
        <f aca="false">IF(AND(V183=1,ISNUMBER(R183)),I183,0)</f>
        <v>0</v>
      </c>
    </row>
    <row r="184" customFormat="false" ht="15" hidden="false" customHeight="false" outlineLevel="0" collapsed="false">
      <c r="A184" s="47" t="s">
        <v>476</v>
      </c>
      <c r="B184" s="52" t="n">
        <v>45267</v>
      </c>
      <c r="C184" s="53" t="n">
        <f aca="false">DATE(YEAR(B184),MONTH(B184),1)</f>
        <v>45261</v>
      </c>
      <c r="D184" s="5" t="str">
        <f aca="false">YEAR(B184)&amp;"Q"&amp;ROUNDUP(MONTH(B184)/3,0)</f>
        <v>2023Q4</v>
      </c>
      <c r="E184" s="47" t="s">
        <v>160</v>
      </c>
      <c r="F184" s="54" t="s">
        <v>139</v>
      </c>
      <c r="G184" s="47" t="s">
        <v>161</v>
      </c>
      <c r="H184" s="47" t="s">
        <v>489</v>
      </c>
      <c r="I184" s="55" t="n">
        <v>400</v>
      </c>
      <c r="J184" s="56" t="n">
        <v>7</v>
      </c>
      <c r="K184" s="54" t="s">
        <v>153</v>
      </c>
      <c r="N184" s="47" t="s">
        <v>143</v>
      </c>
      <c r="O184" s="47" t="s">
        <v>490</v>
      </c>
      <c r="P184" s="47"/>
      <c r="Q184" s="48" t="n">
        <f aca="false">IF($J184="","",IFERROR(IF($J184&lt;=1,INDEX(VN_국채일별!$B$4:$B$1436,MATCH($B184,VN_국채일별!$A$4:$A$1436,1)),IF($J184&lt;=2,INDEX(VN_국채일별!$B$4:$B$1436,MATCH($B184,VN_국채일별!$A$4:$A$1436,1))+(INDEX(VN_국채일별!$C$4:$C$1436,MATCH($B184,VN_국채일별!$A$4:$A$1436,1))-INDEX(VN_국채일별!$B$4:$B$1436,MATCH($B184,VN_국채일별!$A$4:$A$1436,1)))*($J184-1),IF($J184&lt;=3,INDEX(VN_국채일별!$C$4:$C$1436,MATCH($B184,VN_국채일별!$A$4:$A$1436,1))+(INDEX(VN_국채일별!$D$4:$D$1436,MATCH($B184,VN_국채일별!$A$4:$A$1436,1))-INDEX(VN_국채일별!$C$4:$C$1436,MATCH($B184,VN_국채일별!$A$4:$A$1436,1)))*($J184-2),IF($J184&lt;=5,INDEX(VN_국채일별!$D$4:$D$1436,MATCH($B184,VN_국채일별!$A$4:$A$1436,1))+(INDEX(VN_국채일별!$E$4:$E$1436,MATCH($B184,VN_국채일별!$A$4:$A$1436,1))-INDEX(VN_국채일별!$D$4:$D$1436,MATCH($B184,VN_국채일별!$A$4:$A$1436,1)))*($J184-3)/2,IF($J184&lt;=7,INDEX(VN_국채일별!$E$4:$E$1436,MATCH($B184,VN_국채일별!$A$4:$A$1436,1))+(INDEX(VN_국채일별!$F$4:$F$1436,MATCH($B184,VN_국채일별!$A$4:$A$1436,1))-INDEX(VN_국채일별!$E$4:$E$1436,MATCH($B184,VN_국채일별!$A$4:$A$1436,1)))*($J184-5)/2,IF($J184&lt;=10,INDEX(VN_국채일별!$F$4:$F$1436,MATCH($B184,VN_국채일별!$A$4:$A$1436,1))+(INDEX(VN_국채일별!$G$4:$G$1436,MATCH($B184,VN_국채일별!$A$4:$A$1436,1))-INDEX(VN_국채일별!$F$4:$F$1436,MATCH($B184,VN_국채일별!$A$4:$A$1436,1)))*($J184-7)/3,INDEX(VN_국채일별!$G$4:$G$1436,MATCH($B184,VN_국채일별!$A$4:$A$1436,1)))))))),""))</f>
        <v>0.02207</v>
      </c>
      <c r="R184" s="58" t="str">
        <f aca="false">IF(OR(L184="",Q184=""),"",(L184-Q184)*10000)</f>
        <v/>
      </c>
      <c r="S184" s="30" t="n">
        <f aca="false">IF(AND(K184="고정",N184="N",J184&gt;=2,J184&lt;=4,I184&lt;&gt;""),1,0)</f>
        <v>0</v>
      </c>
      <c r="T184" s="59" t="n">
        <f aca="false">IF(S184=1,I184*L184,0)</f>
        <v>0</v>
      </c>
      <c r="U184" s="60" t="n">
        <f aca="false">IF(AND(S184=1,ISNUMBER(R184)),I184*R184,0)</f>
        <v>0</v>
      </c>
      <c r="V184" s="30" t="n">
        <f aca="false">IF(AND(F184="Big4(국영)",K184="고정",N184="N",I184&lt;&gt;""),1,0)</f>
        <v>0</v>
      </c>
      <c r="W184" s="59" t="n">
        <f aca="false">IF(V184=1,I184*L184,0)</f>
        <v>0</v>
      </c>
      <c r="X184" s="60" t="n">
        <f aca="false">IF(AND(V184=1,ISNUMBER(R184)),I184*R184,0)</f>
        <v>0</v>
      </c>
      <c r="Y184" s="61" t="n">
        <f aca="false">IF(AND(S184=1,ISNUMBER(R184)),I184,0)</f>
        <v>0</v>
      </c>
      <c r="Z184" s="61" t="n">
        <f aca="false">IF(AND(V184=1,ISNUMBER(R184)),I184,0)</f>
        <v>0</v>
      </c>
    </row>
    <row r="185" customFormat="false" ht="15" hidden="false" customHeight="false" outlineLevel="0" collapsed="false">
      <c r="A185" s="47" t="s">
        <v>476</v>
      </c>
      <c r="B185" s="52" t="n">
        <v>45268</v>
      </c>
      <c r="C185" s="53" t="n">
        <f aca="false">DATE(YEAR(B185),MONTH(B185),1)</f>
        <v>45261</v>
      </c>
      <c r="D185" s="5" t="str">
        <f aca="false">YEAR(B185)&amp;"Q"&amp;ROUNDUP(MONTH(B185)/3,0)</f>
        <v>2023Q4</v>
      </c>
      <c r="E185" s="47" t="s">
        <v>365</v>
      </c>
      <c r="F185" s="54" t="s">
        <v>139</v>
      </c>
      <c r="G185" s="47" t="s">
        <v>366</v>
      </c>
      <c r="H185" s="47" t="s">
        <v>491</v>
      </c>
      <c r="I185" s="55" t="n">
        <v>212.2</v>
      </c>
      <c r="J185" s="56" t="n">
        <v>10</v>
      </c>
      <c r="K185" s="54" t="s">
        <v>153</v>
      </c>
      <c r="N185" s="47" t="s">
        <v>143</v>
      </c>
      <c r="O185" s="47" t="s">
        <v>460</v>
      </c>
      <c r="P185" s="47"/>
      <c r="Q185" s="48" t="n">
        <f aca="false">IF($J185="","",IFERROR(IF($J185&lt;=1,INDEX(VN_국채일별!$B$4:$B$1436,MATCH($B185,VN_국채일별!$A$4:$A$1436,1)),IF($J185&lt;=2,INDEX(VN_국채일별!$B$4:$B$1436,MATCH($B185,VN_국채일별!$A$4:$A$1436,1))+(INDEX(VN_국채일별!$C$4:$C$1436,MATCH($B185,VN_국채일별!$A$4:$A$1436,1))-INDEX(VN_국채일별!$B$4:$B$1436,MATCH($B185,VN_국채일별!$A$4:$A$1436,1)))*($J185-1),IF($J185&lt;=3,INDEX(VN_국채일별!$C$4:$C$1436,MATCH($B185,VN_국채일별!$A$4:$A$1436,1))+(INDEX(VN_국채일별!$D$4:$D$1436,MATCH($B185,VN_국채일별!$A$4:$A$1436,1))-INDEX(VN_국채일별!$C$4:$C$1436,MATCH($B185,VN_국채일별!$A$4:$A$1436,1)))*($J185-2),IF($J185&lt;=5,INDEX(VN_국채일별!$D$4:$D$1436,MATCH($B185,VN_국채일별!$A$4:$A$1436,1))+(INDEX(VN_국채일별!$E$4:$E$1436,MATCH($B185,VN_국채일별!$A$4:$A$1436,1))-INDEX(VN_국채일별!$D$4:$D$1436,MATCH($B185,VN_국채일별!$A$4:$A$1436,1)))*($J185-3)/2,IF($J185&lt;=7,INDEX(VN_국채일별!$E$4:$E$1436,MATCH($B185,VN_국채일별!$A$4:$A$1436,1))+(INDEX(VN_국채일별!$F$4:$F$1436,MATCH($B185,VN_국채일별!$A$4:$A$1436,1))-INDEX(VN_국채일별!$E$4:$E$1436,MATCH($B185,VN_국채일별!$A$4:$A$1436,1)))*($J185-5)/2,IF($J185&lt;=10,INDEX(VN_국채일별!$F$4:$F$1436,MATCH($B185,VN_국채일별!$A$4:$A$1436,1))+(INDEX(VN_국채일별!$G$4:$G$1436,MATCH($B185,VN_국채일별!$A$4:$A$1436,1))-INDEX(VN_국채일별!$F$4:$F$1436,MATCH($B185,VN_국채일별!$A$4:$A$1436,1)))*($J185-7)/3,INDEX(VN_국채일별!$G$4:$G$1436,MATCH($B185,VN_국채일별!$A$4:$A$1436,1)))))))),""))</f>
        <v>0.02417</v>
      </c>
      <c r="R185" s="58" t="str">
        <f aca="false">IF(OR(L185="",Q185=""),"",(L185-Q185)*10000)</f>
        <v/>
      </c>
      <c r="S185" s="30" t="n">
        <f aca="false">IF(AND(K185="고정",N185="N",J185&gt;=2,J185&lt;=4,I185&lt;&gt;""),1,0)</f>
        <v>0</v>
      </c>
      <c r="T185" s="59" t="n">
        <f aca="false">IF(S185=1,I185*L185,0)</f>
        <v>0</v>
      </c>
      <c r="U185" s="60" t="n">
        <f aca="false">IF(AND(S185=1,ISNUMBER(R185)),I185*R185,0)</f>
        <v>0</v>
      </c>
      <c r="V185" s="30" t="n">
        <f aca="false">IF(AND(F185="Big4(국영)",K185="고정",N185="N",I185&lt;&gt;""),1,0)</f>
        <v>0</v>
      </c>
      <c r="W185" s="59" t="n">
        <f aca="false">IF(V185=1,I185*L185,0)</f>
        <v>0</v>
      </c>
      <c r="X185" s="60" t="n">
        <f aca="false">IF(AND(V185=1,ISNUMBER(R185)),I185*R185,0)</f>
        <v>0</v>
      </c>
      <c r="Y185" s="61" t="n">
        <f aca="false">IF(AND(S185=1,ISNUMBER(R185)),I185,0)</f>
        <v>0</v>
      </c>
      <c r="Z185" s="61" t="n">
        <f aca="false">IF(AND(V185=1,ISNUMBER(R185)),I185,0)</f>
        <v>0</v>
      </c>
    </row>
    <row r="186" customFormat="false" ht="15" hidden="false" customHeight="false" outlineLevel="0" collapsed="false">
      <c r="A186" s="47" t="s">
        <v>476</v>
      </c>
      <c r="B186" s="52" t="n">
        <v>45268</v>
      </c>
      <c r="C186" s="53" t="n">
        <f aca="false">DATE(YEAR(B186),MONTH(B186),1)</f>
        <v>45261</v>
      </c>
      <c r="D186" s="5" t="str">
        <f aca="false">YEAR(B186)&amp;"Q"&amp;ROUNDUP(MONTH(B186)/3,0)</f>
        <v>2023Q4</v>
      </c>
      <c r="E186" s="47" t="s">
        <v>365</v>
      </c>
      <c r="F186" s="54" t="s">
        <v>139</v>
      </c>
      <c r="G186" s="47" t="s">
        <v>366</v>
      </c>
      <c r="H186" s="47" t="s">
        <v>492</v>
      </c>
      <c r="I186" s="55" t="n">
        <v>661</v>
      </c>
      <c r="J186" s="56" t="n">
        <v>10</v>
      </c>
      <c r="K186" s="54" t="s">
        <v>153</v>
      </c>
      <c r="N186" s="47" t="s">
        <v>143</v>
      </c>
      <c r="O186" s="47" t="s">
        <v>460</v>
      </c>
      <c r="P186" s="47"/>
      <c r="Q186" s="48" t="n">
        <f aca="false">IF($J186="","",IFERROR(IF($J186&lt;=1,INDEX(VN_국채일별!$B$4:$B$1436,MATCH($B186,VN_국채일별!$A$4:$A$1436,1)),IF($J186&lt;=2,INDEX(VN_국채일별!$B$4:$B$1436,MATCH($B186,VN_국채일별!$A$4:$A$1436,1))+(INDEX(VN_국채일별!$C$4:$C$1436,MATCH($B186,VN_국채일별!$A$4:$A$1436,1))-INDEX(VN_국채일별!$B$4:$B$1436,MATCH($B186,VN_국채일별!$A$4:$A$1436,1)))*($J186-1),IF($J186&lt;=3,INDEX(VN_국채일별!$C$4:$C$1436,MATCH($B186,VN_국채일별!$A$4:$A$1436,1))+(INDEX(VN_국채일별!$D$4:$D$1436,MATCH($B186,VN_국채일별!$A$4:$A$1436,1))-INDEX(VN_국채일별!$C$4:$C$1436,MATCH($B186,VN_국채일별!$A$4:$A$1436,1)))*($J186-2),IF($J186&lt;=5,INDEX(VN_국채일별!$D$4:$D$1436,MATCH($B186,VN_국채일별!$A$4:$A$1436,1))+(INDEX(VN_국채일별!$E$4:$E$1436,MATCH($B186,VN_국채일별!$A$4:$A$1436,1))-INDEX(VN_국채일별!$D$4:$D$1436,MATCH($B186,VN_국채일별!$A$4:$A$1436,1)))*($J186-3)/2,IF($J186&lt;=7,INDEX(VN_국채일별!$E$4:$E$1436,MATCH($B186,VN_국채일별!$A$4:$A$1436,1))+(INDEX(VN_국채일별!$F$4:$F$1436,MATCH($B186,VN_국채일별!$A$4:$A$1436,1))-INDEX(VN_국채일별!$E$4:$E$1436,MATCH($B186,VN_국채일별!$A$4:$A$1436,1)))*($J186-5)/2,IF($J186&lt;=10,INDEX(VN_국채일별!$F$4:$F$1436,MATCH($B186,VN_국채일별!$A$4:$A$1436,1))+(INDEX(VN_국채일별!$G$4:$G$1436,MATCH($B186,VN_국채일별!$A$4:$A$1436,1))-INDEX(VN_국채일별!$F$4:$F$1436,MATCH($B186,VN_국채일별!$A$4:$A$1436,1)))*($J186-7)/3,INDEX(VN_국채일별!$G$4:$G$1436,MATCH($B186,VN_국채일별!$A$4:$A$1436,1)))))))),""))</f>
        <v>0.02417</v>
      </c>
      <c r="R186" s="58" t="str">
        <f aca="false">IF(OR(L186="",Q186=""),"",(L186-Q186)*10000)</f>
        <v/>
      </c>
      <c r="S186" s="30" t="n">
        <f aca="false">IF(AND(K186="고정",N186="N",J186&gt;=2,J186&lt;=4,I186&lt;&gt;""),1,0)</f>
        <v>0</v>
      </c>
      <c r="T186" s="59" t="n">
        <f aca="false">IF(S186=1,I186*L186,0)</f>
        <v>0</v>
      </c>
      <c r="U186" s="60" t="n">
        <f aca="false">IF(AND(S186=1,ISNUMBER(R186)),I186*R186,0)</f>
        <v>0</v>
      </c>
      <c r="V186" s="30" t="n">
        <f aca="false">IF(AND(F186="Big4(국영)",K186="고정",N186="N",I186&lt;&gt;""),1,0)</f>
        <v>0</v>
      </c>
      <c r="W186" s="59" t="n">
        <f aca="false">IF(V186=1,I186*L186,0)</f>
        <v>0</v>
      </c>
      <c r="X186" s="60" t="n">
        <f aca="false">IF(AND(V186=1,ISNUMBER(R186)),I186*R186,0)</f>
        <v>0</v>
      </c>
      <c r="Y186" s="61" t="n">
        <f aca="false">IF(AND(S186=1,ISNUMBER(R186)),I186,0)</f>
        <v>0</v>
      </c>
      <c r="Z186" s="61" t="n">
        <f aca="false">IF(AND(V186=1,ISNUMBER(R186)),I186,0)</f>
        <v>0</v>
      </c>
    </row>
    <row r="187" customFormat="false" ht="15" hidden="false" customHeight="false" outlineLevel="0" collapsed="false">
      <c r="A187" s="47" t="s">
        <v>476</v>
      </c>
      <c r="B187" s="52" t="n">
        <v>45268</v>
      </c>
      <c r="C187" s="53" t="n">
        <f aca="false">DATE(YEAR(B187),MONTH(B187),1)</f>
        <v>45261</v>
      </c>
      <c r="D187" s="5" t="str">
        <f aca="false">YEAR(B187)&amp;"Q"&amp;ROUNDUP(MONTH(B187)/3,0)</f>
        <v>2023Q4</v>
      </c>
      <c r="E187" s="47" t="s">
        <v>248</v>
      </c>
      <c r="F187" s="54" t="s">
        <v>139</v>
      </c>
      <c r="G187" s="47" t="s">
        <v>361</v>
      </c>
      <c r="H187" s="47" t="s">
        <v>493</v>
      </c>
      <c r="I187" s="55" t="n">
        <v>848.6</v>
      </c>
      <c r="J187" s="56" t="n">
        <v>8</v>
      </c>
      <c r="K187" s="54" t="s">
        <v>153</v>
      </c>
      <c r="N187" s="47" t="s">
        <v>143</v>
      </c>
      <c r="O187" s="47" t="s">
        <v>494</v>
      </c>
      <c r="P187" s="47"/>
      <c r="Q187" s="48" t="n">
        <f aca="false">IF($J187="","",IFERROR(IF($J187&lt;=1,INDEX(VN_국채일별!$B$4:$B$1436,MATCH($B187,VN_국채일별!$A$4:$A$1436,1)),IF($J187&lt;=2,INDEX(VN_국채일별!$B$4:$B$1436,MATCH($B187,VN_국채일별!$A$4:$A$1436,1))+(INDEX(VN_국채일별!$C$4:$C$1436,MATCH($B187,VN_국채일별!$A$4:$A$1436,1))-INDEX(VN_국채일별!$B$4:$B$1436,MATCH($B187,VN_국채일별!$A$4:$A$1436,1)))*($J187-1),IF($J187&lt;=3,INDEX(VN_국채일별!$C$4:$C$1436,MATCH($B187,VN_국채일별!$A$4:$A$1436,1))+(INDEX(VN_국채일별!$D$4:$D$1436,MATCH($B187,VN_국채일별!$A$4:$A$1436,1))-INDEX(VN_국채일별!$C$4:$C$1436,MATCH($B187,VN_국채일별!$A$4:$A$1436,1)))*($J187-2),IF($J187&lt;=5,INDEX(VN_국채일별!$D$4:$D$1436,MATCH($B187,VN_국채일별!$A$4:$A$1436,1))+(INDEX(VN_국채일별!$E$4:$E$1436,MATCH($B187,VN_국채일별!$A$4:$A$1436,1))-INDEX(VN_국채일별!$D$4:$D$1436,MATCH($B187,VN_국채일별!$A$4:$A$1436,1)))*($J187-3)/2,IF($J187&lt;=7,INDEX(VN_국채일별!$E$4:$E$1436,MATCH($B187,VN_국채일별!$A$4:$A$1436,1))+(INDEX(VN_국채일별!$F$4:$F$1436,MATCH($B187,VN_국채일별!$A$4:$A$1436,1))-INDEX(VN_국채일별!$E$4:$E$1436,MATCH($B187,VN_국채일별!$A$4:$A$1436,1)))*($J187-5)/2,IF($J187&lt;=10,INDEX(VN_국채일별!$F$4:$F$1436,MATCH($B187,VN_국채일별!$A$4:$A$1436,1))+(INDEX(VN_국채일별!$G$4:$G$1436,MATCH($B187,VN_국채일별!$A$4:$A$1436,1))-INDEX(VN_국채일별!$F$4:$F$1436,MATCH($B187,VN_국채일별!$A$4:$A$1436,1)))*($J187-7)/3,INDEX(VN_국채일별!$G$4:$G$1436,MATCH($B187,VN_국채일별!$A$4:$A$1436,1)))))))),""))</f>
        <v>0.02271</v>
      </c>
      <c r="R187" s="58" t="str">
        <f aca="false">IF(OR(L187="",Q187=""),"",(L187-Q187)*10000)</f>
        <v/>
      </c>
      <c r="S187" s="30" t="n">
        <f aca="false">IF(AND(K187="고정",N187="N",J187&gt;=2,J187&lt;=4,I187&lt;&gt;""),1,0)</f>
        <v>0</v>
      </c>
      <c r="T187" s="59" t="n">
        <f aca="false">IF(S187=1,I187*L187,0)</f>
        <v>0</v>
      </c>
      <c r="U187" s="60" t="n">
        <f aca="false">IF(AND(S187=1,ISNUMBER(R187)),I187*R187,0)</f>
        <v>0</v>
      </c>
      <c r="V187" s="30" t="n">
        <f aca="false">IF(AND(F187="Big4(국영)",K187="고정",N187="N",I187&lt;&gt;""),1,0)</f>
        <v>0</v>
      </c>
      <c r="W187" s="59" t="n">
        <f aca="false">IF(V187=1,I187*L187,0)</f>
        <v>0</v>
      </c>
      <c r="X187" s="60" t="n">
        <f aca="false">IF(AND(V187=1,ISNUMBER(R187)),I187*R187,0)</f>
        <v>0</v>
      </c>
      <c r="Y187" s="61" t="n">
        <f aca="false">IF(AND(S187=1,ISNUMBER(R187)),I187,0)</f>
        <v>0</v>
      </c>
      <c r="Z187" s="61" t="n">
        <f aca="false">IF(AND(V187=1,ISNUMBER(R187)),I187,0)</f>
        <v>0</v>
      </c>
    </row>
    <row r="188" customFormat="false" ht="15" hidden="false" customHeight="false" outlineLevel="0" collapsed="false">
      <c r="A188" s="47" t="s">
        <v>476</v>
      </c>
      <c r="B188" s="52" t="n">
        <v>45271</v>
      </c>
      <c r="C188" s="53" t="n">
        <f aca="false">DATE(YEAR(B188),MONTH(B188),1)</f>
        <v>45261</v>
      </c>
      <c r="D188" s="5" t="str">
        <f aca="false">YEAR(B188)&amp;"Q"&amp;ROUNDUP(MONTH(B188)/3,0)</f>
        <v>2023Q4</v>
      </c>
      <c r="E188" s="47" t="s">
        <v>365</v>
      </c>
      <c r="F188" s="54" t="s">
        <v>139</v>
      </c>
      <c r="G188" s="47" t="s">
        <v>366</v>
      </c>
      <c r="H188" s="47" t="s">
        <v>495</v>
      </c>
      <c r="I188" s="55" t="n">
        <v>1500</v>
      </c>
      <c r="J188" s="56" t="n">
        <v>2</v>
      </c>
      <c r="K188" s="54" t="s">
        <v>153</v>
      </c>
      <c r="M188" s="57" t="n">
        <v>0.058</v>
      </c>
      <c r="N188" s="47" t="s">
        <v>148</v>
      </c>
      <c r="O188" s="47" t="s">
        <v>482</v>
      </c>
      <c r="P188" s="47"/>
      <c r="Q188" s="48" t="n">
        <f aca="false">IF($J188="","",IFERROR(IF($J188&lt;=1,INDEX(VN_국채일별!$B$4:$B$1436,MATCH($B188,VN_국채일별!$A$4:$A$1436,1)),IF($J188&lt;=2,INDEX(VN_국채일별!$B$4:$B$1436,MATCH($B188,VN_국채일별!$A$4:$A$1436,1))+(INDEX(VN_국채일별!$C$4:$C$1436,MATCH($B188,VN_국채일별!$A$4:$A$1436,1))-INDEX(VN_국채일별!$B$4:$B$1436,MATCH($B188,VN_국채일별!$A$4:$A$1436,1)))*($J188-1),IF($J188&lt;=3,INDEX(VN_국채일별!$C$4:$C$1436,MATCH($B188,VN_국채일별!$A$4:$A$1436,1))+(INDEX(VN_국채일별!$D$4:$D$1436,MATCH($B188,VN_국채일별!$A$4:$A$1436,1))-INDEX(VN_국채일별!$C$4:$C$1436,MATCH($B188,VN_국채일별!$A$4:$A$1436,1)))*($J188-2),IF($J188&lt;=5,INDEX(VN_국채일별!$D$4:$D$1436,MATCH($B188,VN_국채일별!$A$4:$A$1436,1))+(INDEX(VN_국채일별!$E$4:$E$1436,MATCH($B188,VN_국채일별!$A$4:$A$1436,1))-INDEX(VN_국채일별!$D$4:$D$1436,MATCH($B188,VN_국채일별!$A$4:$A$1436,1)))*($J188-3)/2,IF($J188&lt;=7,INDEX(VN_국채일별!$E$4:$E$1436,MATCH($B188,VN_국채일별!$A$4:$A$1436,1))+(INDEX(VN_국채일별!$F$4:$F$1436,MATCH($B188,VN_국채일별!$A$4:$A$1436,1))-INDEX(VN_국채일별!$E$4:$E$1436,MATCH($B188,VN_국채일별!$A$4:$A$1436,1)))*($J188-5)/2,IF($J188&lt;=10,INDEX(VN_국채일별!$F$4:$F$1436,MATCH($B188,VN_국채일별!$A$4:$A$1436,1))+(INDEX(VN_국채일별!$G$4:$G$1436,MATCH($B188,VN_국채일별!$A$4:$A$1436,1))-INDEX(VN_국채일별!$F$4:$F$1436,MATCH($B188,VN_국채일별!$A$4:$A$1436,1)))*($J188-7)/3,INDEX(VN_국채일별!$G$4:$G$1436,MATCH($B188,VN_국채일별!$A$4:$A$1436,1)))))))),""))</f>
        <v>0.0176</v>
      </c>
      <c r="R188" s="58" t="str">
        <f aca="false">IF(OR(L188="",Q188=""),"",(L188-Q188)*10000)</f>
        <v/>
      </c>
      <c r="S188" s="30" t="n">
        <f aca="false">IF(AND(K188="고정",N188="N",J188&gt;=2,J188&lt;=4,I188&lt;&gt;""),1,0)</f>
        <v>0</v>
      </c>
      <c r="T188" s="59" t="n">
        <f aca="false">IF(S188=1,I188*L188,0)</f>
        <v>0</v>
      </c>
      <c r="U188" s="60" t="n">
        <f aca="false">IF(AND(S188=1,ISNUMBER(R188)),I188*R188,0)</f>
        <v>0</v>
      </c>
      <c r="V188" s="30" t="n">
        <f aca="false">IF(AND(F188="Big4(국영)",K188="고정",N188="N",I188&lt;&gt;""),1,0)</f>
        <v>0</v>
      </c>
      <c r="W188" s="59" t="n">
        <f aca="false">IF(V188=1,I188*L188,0)</f>
        <v>0</v>
      </c>
      <c r="X188" s="60" t="n">
        <f aca="false">IF(AND(V188=1,ISNUMBER(R188)),I188*R188,0)</f>
        <v>0</v>
      </c>
      <c r="Y188" s="61" t="n">
        <f aca="false">IF(AND(S188=1,ISNUMBER(R188)),I188,0)</f>
        <v>0</v>
      </c>
      <c r="Z188" s="61" t="n">
        <f aca="false">IF(AND(V188=1,ISNUMBER(R188)),I188,0)</f>
        <v>0</v>
      </c>
    </row>
    <row r="189" customFormat="false" ht="15" hidden="false" customHeight="false" outlineLevel="0" collapsed="false">
      <c r="A189" s="47" t="s">
        <v>476</v>
      </c>
      <c r="B189" s="52" t="n">
        <v>45272</v>
      </c>
      <c r="C189" s="53" t="n">
        <f aca="false">DATE(YEAR(B189),MONTH(B189),1)</f>
        <v>45261</v>
      </c>
      <c r="D189" s="5" t="str">
        <f aca="false">YEAR(B189)&amp;"Q"&amp;ROUNDUP(MONTH(B189)/3,0)</f>
        <v>2023Q4</v>
      </c>
      <c r="E189" s="62" t="s">
        <v>155</v>
      </c>
      <c r="F189" s="62" t="s">
        <v>156</v>
      </c>
      <c r="G189" s="47" t="s">
        <v>157</v>
      </c>
      <c r="H189" s="47" t="s">
        <v>496</v>
      </c>
      <c r="I189" s="55" t="n">
        <v>257</v>
      </c>
      <c r="J189" s="56" t="n">
        <v>8</v>
      </c>
      <c r="K189" s="54" t="s">
        <v>153</v>
      </c>
      <c r="N189" s="47" t="s">
        <v>143</v>
      </c>
      <c r="O189" s="47" t="s">
        <v>497</v>
      </c>
      <c r="P189" s="47"/>
      <c r="Q189" s="48" t="n">
        <f aca="false">IF($J189="","",IFERROR(IF($J189&lt;=1,INDEX(VN_국채일별!$B$4:$B$1436,MATCH($B189,VN_국채일별!$A$4:$A$1436,1)),IF($J189&lt;=2,INDEX(VN_국채일별!$B$4:$B$1436,MATCH($B189,VN_국채일별!$A$4:$A$1436,1))+(INDEX(VN_국채일별!$C$4:$C$1436,MATCH($B189,VN_국채일별!$A$4:$A$1436,1))-INDEX(VN_국채일별!$B$4:$B$1436,MATCH($B189,VN_국채일별!$A$4:$A$1436,1)))*($J189-1),IF($J189&lt;=3,INDEX(VN_국채일별!$C$4:$C$1436,MATCH($B189,VN_국채일별!$A$4:$A$1436,1))+(INDEX(VN_국채일별!$D$4:$D$1436,MATCH($B189,VN_국채일별!$A$4:$A$1436,1))-INDEX(VN_국채일별!$C$4:$C$1436,MATCH($B189,VN_국채일별!$A$4:$A$1436,1)))*($J189-2),IF($J189&lt;=5,INDEX(VN_국채일별!$D$4:$D$1436,MATCH($B189,VN_국채일별!$A$4:$A$1436,1))+(INDEX(VN_국채일별!$E$4:$E$1436,MATCH($B189,VN_국채일별!$A$4:$A$1436,1))-INDEX(VN_국채일별!$D$4:$D$1436,MATCH($B189,VN_국채일별!$A$4:$A$1436,1)))*($J189-3)/2,IF($J189&lt;=7,INDEX(VN_국채일별!$E$4:$E$1436,MATCH($B189,VN_국채일별!$A$4:$A$1436,1))+(INDEX(VN_국채일별!$F$4:$F$1436,MATCH($B189,VN_국채일별!$A$4:$A$1436,1))-INDEX(VN_국채일별!$E$4:$E$1436,MATCH($B189,VN_국채일별!$A$4:$A$1436,1)))*($J189-5)/2,IF($J189&lt;=10,INDEX(VN_국채일별!$F$4:$F$1436,MATCH($B189,VN_국채일별!$A$4:$A$1436,1))+(INDEX(VN_국채일별!$G$4:$G$1436,MATCH($B189,VN_국채일별!$A$4:$A$1436,1))-INDEX(VN_국채일별!$F$4:$F$1436,MATCH($B189,VN_국채일별!$A$4:$A$1436,1)))*($J189-7)/3,INDEX(VN_국채일별!$G$4:$G$1436,MATCH($B189,VN_국채일별!$A$4:$A$1436,1)))))))),""))</f>
        <v>0.0227066666666667</v>
      </c>
      <c r="R189" s="58" t="str">
        <f aca="false">IF(OR(L189="",Q189=""),"",(L189-Q189)*10000)</f>
        <v/>
      </c>
      <c r="S189" s="30" t="n">
        <f aca="false">IF(AND(K189="고정",N189="N",J189&gt;=2,J189&lt;=4,I189&lt;&gt;""),1,0)</f>
        <v>0</v>
      </c>
      <c r="T189" s="59" t="n">
        <f aca="false">IF(S189=1,I189*L189,0)</f>
        <v>0</v>
      </c>
      <c r="U189" s="60" t="n">
        <f aca="false">IF(AND(S189=1,ISNUMBER(R189)),I189*R189,0)</f>
        <v>0</v>
      </c>
      <c r="V189" s="30" t="n">
        <f aca="false">IF(AND(F189="Big4(국영)",K189="고정",N189="N",I189&lt;&gt;""),1,0)</f>
        <v>0</v>
      </c>
      <c r="W189" s="59" t="n">
        <f aca="false">IF(V189=1,I189*L189,0)</f>
        <v>0</v>
      </c>
      <c r="X189" s="60" t="n">
        <f aca="false">IF(AND(V189=1,ISNUMBER(R189)),I189*R189,0)</f>
        <v>0</v>
      </c>
      <c r="Y189" s="61" t="n">
        <f aca="false">IF(AND(S189=1,ISNUMBER(R189)),I189,0)</f>
        <v>0</v>
      </c>
      <c r="Z189" s="61" t="n">
        <f aca="false">IF(AND(V189=1,ISNUMBER(R189)),I189,0)</f>
        <v>0</v>
      </c>
    </row>
    <row r="190" customFormat="false" ht="15" hidden="false" customHeight="false" outlineLevel="0" collapsed="false">
      <c r="A190" s="47" t="s">
        <v>476</v>
      </c>
      <c r="B190" s="52" t="n">
        <v>45272</v>
      </c>
      <c r="C190" s="53" t="n">
        <f aca="false">DATE(YEAR(B190),MONTH(B190),1)</f>
        <v>45261</v>
      </c>
      <c r="D190" s="5" t="str">
        <f aca="false">YEAR(B190)&amp;"Q"&amp;ROUNDUP(MONTH(B190)/3,0)</f>
        <v>2023Q4</v>
      </c>
      <c r="E190" s="62" t="s">
        <v>155</v>
      </c>
      <c r="F190" s="62" t="s">
        <v>156</v>
      </c>
      <c r="G190" s="47" t="s">
        <v>157</v>
      </c>
      <c r="H190" s="47" t="s">
        <v>498</v>
      </c>
      <c r="I190" s="55" t="n">
        <v>186</v>
      </c>
      <c r="J190" s="56" t="n">
        <v>7</v>
      </c>
      <c r="K190" s="54" t="s">
        <v>153</v>
      </c>
      <c r="N190" s="47" t="s">
        <v>143</v>
      </c>
      <c r="O190" s="47" t="s">
        <v>499</v>
      </c>
      <c r="P190" s="47"/>
      <c r="Q190" s="48" t="n">
        <f aca="false">IF($J190="","",IFERROR(IF($J190&lt;=1,INDEX(VN_국채일별!$B$4:$B$1436,MATCH($B190,VN_국채일별!$A$4:$A$1436,1)),IF($J190&lt;=2,INDEX(VN_국채일별!$B$4:$B$1436,MATCH($B190,VN_국채일별!$A$4:$A$1436,1))+(INDEX(VN_국채일별!$C$4:$C$1436,MATCH($B190,VN_국채일별!$A$4:$A$1436,1))-INDEX(VN_국채일별!$B$4:$B$1436,MATCH($B190,VN_국채일별!$A$4:$A$1436,1)))*($J190-1),IF($J190&lt;=3,INDEX(VN_국채일별!$C$4:$C$1436,MATCH($B190,VN_국채일별!$A$4:$A$1436,1))+(INDEX(VN_국채일별!$D$4:$D$1436,MATCH($B190,VN_국채일별!$A$4:$A$1436,1))-INDEX(VN_국채일별!$C$4:$C$1436,MATCH($B190,VN_국채일별!$A$4:$A$1436,1)))*($J190-2),IF($J190&lt;=5,INDEX(VN_국채일별!$D$4:$D$1436,MATCH($B190,VN_국채일별!$A$4:$A$1436,1))+(INDEX(VN_국채일별!$E$4:$E$1436,MATCH($B190,VN_국채일별!$A$4:$A$1436,1))-INDEX(VN_국채일별!$D$4:$D$1436,MATCH($B190,VN_국채일별!$A$4:$A$1436,1)))*($J190-3)/2,IF($J190&lt;=7,INDEX(VN_국채일별!$E$4:$E$1436,MATCH($B190,VN_국채일별!$A$4:$A$1436,1))+(INDEX(VN_국채일별!$F$4:$F$1436,MATCH($B190,VN_국채일별!$A$4:$A$1436,1))-INDEX(VN_국채일별!$E$4:$E$1436,MATCH($B190,VN_국채일별!$A$4:$A$1436,1)))*($J190-5)/2,IF($J190&lt;=10,INDEX(VN_국채일별!$F$4:$F$1436,MATCH($B190,VN_국채일별!$A$4:$A$1436,1))+(INDEX(VN_국채일별!$G$4:$G$1436,MATCH($B190,VN_국채일별!$A$4:$A$1436,1))-INDEX(VN_국채일별!$F$4:$F$1436,MATCH($B190,VN_국채일별!$A$4:$A$1436,1)))*($J190-7)/3,INDEX(VN_국채일별!$G$4:$G$1436,MATCH($B190,VN_국채일별!$A$4:$A$1436,1)))))))),""))</f>
        <v>0.02198</v>
      </c>
      <c r="R190" s="58" t="str">
        <f aca="false">IF(OR(L190="",Q190=""),"",(L190-Q190)*10000)</f>
        <v/>
      </c>
      <c r="S190" s="30" t="n">
        <f aca="false">IF(AND(K190="고정",N190="N",J190&gt;=2,J190&lt;=4,I190&lt;&gt;""),1,0)</f>
        <v>0</v>
      </c>
      <c r="T190" s="59" t="n">
        <f aca="false">IF(S190=1,I190*L190,0)</f>
        <v>0</v>
      </c>
      <c r="U190" s="60" t="n">
        <f aca="false">IF(AND(S190=1,ISNUMBER(R190)),I190*R190,0)</f>
        <v>0</v>
      </c>
      <c r="V190" s="30" t="n">
        <f aca="false">IF(AND(F190="Big4(국영)",K190="고정",N190="N",I190&lt;&gt;""),1,0)</f>
        <v>0</v>
      </c>
      <c r="W190" s="59" t="n">
        <f aca="false">IF(V190=1,I190*L190,0)</f>
        <v>0</v>
      </c>
      <c r="X190" s="60" t="n">
        <f aca="false">IF(AND(V190=1,ISNUMBER(R190)),I190*R190,0)</f>
        <v>0</v>
      </c>
      <c r="Y190" s="61" t="n">
        <f aca="false">IF(AND(S190=1,ISNUMBER(R190)),I190,0)</f>
        <v>0</v>
      </c>
      <c r="Z190" s="61" t="n">
        <f aca="false">IF(AND(V190=1,ISNUMBER(R190)),I190,0)</f>
        <v>0</v>
      </c>
    </row>
    <row r="191" customFormat="false" ht="15" hidden="false" customHeight="false" outlineLevel="0" collapsed="false">
      <c r="A191" s="47" t="s">
        <v>476</v>
      </c>
      <c r="B191" s="52" t="n">
        <v>45272</v>
      </c>
      <c r="C191" s="53" t="n">
        <f aca="false">DATE(YEAR(B191),MONTH(B191),1)</f>
        <v>45261</v>
      </c>
      <c r="D191" s="5" t="str">
        <f aca="false">YEAR(B191)&amp;"Q"&amp;ROUNDUP(MONTH(B191)/3,0)</f>
        <v>2023Q4</v>
      </c>
      <c r="E191" s="47" t="s">
        <v>160</v>
      </c>
      <c r="F191" s="54" t="s">
        <v>139</v>
      </c>
      <c r="G191" s="47" t="s">
        <v>161</v>
      </c>
      <c r="H191" s="47" t="s">
        <v>500</v>
      </c>
      <c r="I191" s="55" t="n">
        <v>50</v>
      </c>
      <c r="J191" s="56" t="n">
        <v>5</v>
      </c>
      <c r="K191" s="54" t="s">
        <v>153</v>
      </c>
      <c r="N191" s="47" t="s">
        <v>148</v>
      </c>
      <c r="O191" s="47" t="s">
        <v>501</v>
      </c>
      <c r="P191" s="47"/>
      <c r="Q191" s="48" t="n">
        <f aca="false">IF($J191="","",IFERROR(IF($J191&lt;=1,INDEX(VN_국채일별!$B$4:$B$1436,MATCH($B191,VN_국채일별!$A$4:$A$1436,1)),IF($J191&lt;=2,INDEX(VN_국채일별!$B$4:$B$1436,MATCH($B191,VN_국채일별!$A$4:$A$1436,1))+(INDEX(VN_국채일별!$C$4:$C$1436,MATCH($B191,VN_국채일별!$A$4:$A$1436,1))-INDEX(VN_국채일별!$B$4:$B$1436,MATCH($B191,VN_국채일별!$A$4:$A$1436,1)))*($J191-1),IF($J191&lt;=3,INDEX(VN_국채일별!$C$4:$C$1436,MATCH($B191,VN_국채일별!$A$4:$A$1436,1))+(INDEX(VN_국채일별!$D$4:$D$1436,MATCH($B191,VN_국채일별!$A$4:$A$1436,1))-INDEX(VN_국채일별!$C$4:$C$1436,MATCH($B191,VN_국채일별!$A$4:$A$1436,1)))*($J191-2),IF($J191&lt;=5,INDEX(VN_국채일별!$D$4:$D$1436,MATCH($B191,VN_국채일별!$A$4:$A$1436,1))+(INDEX(VN_국채일별!$E$4:$E$1436,MATCH($B191,VN_국채일별!$A$4:$A$1436,1))-INDEX(VN_국채일별!$D$4:$D$1436,MATCH($B191,VN_국채일별!$A$4:$A$1436,1)))*($J191-3)/2,IF($J191&lt;=7,INDEX(VN_국채일별!$E$4:$E$1436,MATCH($B191,VN_국채일별!$A$4:$A$1436,1))+(INDEX(VN_국채일별!$F$4:$F$1436,MATCH($B191,VN_국채일별!$A$4:$A$1436,1))-INDEX(VN_국채일별!$E$4:$E$1436,MATCH($B191,VN_국채일별!$A$4:$A$1436,1)))*($J191-5)/2,IF($J191&lt;=10,INDEX(VN_국채일별!$F$4:$F$1436,MATCH($B191,VN_국채일별!$A$4:$A$1436,1))+(INDEX(VN_국채일별!$G$4:$G$1436,MATCH($B191,VN_국채일별!$A$4:$A$1436,1))-INDEX(VN_국채일별!$F$4:$F$1436,MATCH($B191,VN_국채일별!$A$4:$A$1436,1)))*($J191-7)/3,INDEX(VN_국채일별!$G$4:$G$1436,MATCH($B191,VN_국채일별!$A$4:$A$1436,1)))))))),""))</f>
        <v>0.01665</v>
      </c>
      <c r="R191" s="58" t="str">
        <f aca="false">IF(OR(L191="",Q191=""),"",(L191-Q191)*10000)</f>
        <v/>
      </c>
      <c r="S191" s="30" t="n">
        <f aca="false">IF(AND(K191="고정",N191="N",J191&gt;=2,J191&lt;=4,I191&lt;&gt;""),1,0)</f>
        <v>0</v>
      </c>
      <c r="T191" s="59" t="n">
        <f aca="false">IF(S191=1,I191*L191,0)</f>
        <v>0</v>
      </c>
      <c r="U191" s="60" t="n">
        <f aca="false">IF(AND(S191=1,ISNUMBER(R191)),I191*R191,0)</f>
        <v>0</v>
      </c>
      <c r="V191" s="30" t="n">
        <f aca="false">IF(AND(F191="Big4(국영)",K191="고정",N191="N",I191&lt;&gt;""),1,0)</f>
        <v>0</v>
      </c>
      <c r="W191" s="59" t="n">
        <f aca="false">IF(V191=1,I191*L191,0)</f>
        <v>0</v>
      </c>
      <c r="X191" s="60" t="n">
        <f aca="false">IF(AND(V191=1,ISNUMBER(R191)),I191*R191,0)</f>
        <v>0</v>
      </c>
      <c r="Y191" s="61" t="n">
        <f aca="false">IF(AND(S191=1,ISNUMBER(R191)),I191,0)</f>
        <v>0</v>
      </c>
      <c r="Z191" s="61" t="n">
        <f aca="false">IF(AND(V191=1,ISNUMBER(R191)),I191,0)</f>
        <v>0</v>
      </c>
    </row>
    <row r="192" customFormat="false" ht="15" hidden="false" customHeight="false" outlineLevel="0" collapsed="false">
      <c r="A192" s="47" t="s">
        <v>476</v>
      </c>
      <c r="B192" s="52" t="n">
        <v>45272</v>
      </c>
      <c r="C192" s="53" t="n">
        <f aca="false">DATE(YEAR(B192),MONTH(B192),1)</f>
        <v>45261</v>
      </c>
      <c r="D192" s="5" t="str">
        <f aca="false">YEAR(B192)&amp;"Q"&amp;ROUNDUP(MONTH(B192)/3,0)</f>
        <v>2023Q4</v>
      </c>
      <c r="E192" s="47" t="s">
        <v>365</v>
      </c>
      <c r="F192" s="54" t="s">
        <v>139</v>
      </c>
      <c r="G192" s="47" t="s">
        <v>366</v>
      </c>
      <c r="H192" s="47" t="s">
        <v>502</v>
      </c>
      <c r="I192" s="55" t="n">
        <v>661</v>
      </c>
      <c r="J192" s="56" t="n">
        <v>10</v>
      </c>
      <c r="K192" s="54" t="s">
        <v>153</v>
      </c>
      <c r="N192" s="47" t="s">
        <v>143</v>
      </c>
      <c r="O192" s="47" t="s">
        <v>460</v>
      </c>
      <c r="P192" s="47"/>
      <c r="Q192" s="48" t="n">
        <f aca="false">IF($J192="","",IFERROR(IF($J192&lt;=1,INDEX(VN_국채일별!$B$4:$B$1436,MATCH($B192,VN_국채일별!$A$4:$A$1436,1)),IF($J192&lt;=2,INDEX(VN_국채일별!$B$4:$B$1436,MATCH($B192,VN_국채일별!$A$4:$A$1436,1))+(INDEX(VN_국채일별!$C$4:$C$1436,MATCH($B192,VN_국채일별!$A$4:$A$1436,1))-INDEX(VN_국채일별!$B$4:$B$1436,MATCH($B192,VN_국채일별!$A$4:$A$1436,1)))*($J192-1),IF($J192&lt;=3,INDEX(VN_국채일별!$C$4:$C$1436,MATCH($B192,VN_국채일별!$A$4:$A$1436,1))+(INDEX(VN_국채일별!$D$4:$D$1436,MATCH($B192,VN_국채일별!$A$4:$A$1436,1))-INDEX(VN_국채일별!$C$4:$C$1436,MATCH($B192,VN_국채일별!$A$4:$A$1436,1)))*($J192-2),IF($J192&lt;=5,INDEX(VN_국채일별!$D$4:$D$1436,MATCH($B192,VN_국채일별!$A$4:$A$1436,1))+(INDEX(VN_국채일별!$E$4:$E$1436,MATCH($B192,VN_국채일별!$A$4:$A$1436,1))-INDEX(VN_국채일별!$D$4:$D$1436,MATCH($B192,VN_국채일별!$A$4:$A$1436,1)))*($J192-3)/2,IF($J192&lt;=7,INDEX(VN_국채일별!$E$4:$E$1436,MATCH($B192,VN_국채일별!$A$4:$A$1436,1))+(INDEX(VN_국채일별!$F$4:$F$1436,MATCH($B192,VN_국채일별!$A$4:$A$1436,1))-INDEX(VN_국채일별!$E$4:$E$1436,MATCH($B192,VN_국채일별!$A$4:$A$1436,1)))*($J192-5)/2,IF($J192&lt;=10,INDEX(VN_국채일별!$F$4:$F$1436,MATCH($B192,VN_국채일별!$A$4:$A$1436,1))+(INDEX(VN_국채일별!$G$4:$G$1436,MATCH($B192,VN_국채일별!$A$4:$A$1436,1))-INDEX(VN_국채일별!$F$4:$F$1436,MATCH($B192,VN_국채일별!$A$4:$A$1436,1)))*($J192-7)/3,INDEX(VN_국채일별!$G$4:$G$1436,MATCH($B192,VN_국채일별!$A$4:$A$1436,1)))))))),""))</f>
        <v>0.02416</v>
      </c>
      <c r="R192" s="58" t="str">
        <f aca="false">IF(OR(L192="",Q192=""),"",(L192-Q192)*10000)</f>
        <v/>
      </c>
      <c r="S192" s="30" t="n">
        <f aca="false">IF(AND(K192="고정",N192="N",J192&gt;=2,J192&lt;=4,I192&lt;&gt;""),1,0)</f>
        <v>0</v>
      </c>
      <c r="T192" s="59" t="n">
        <f aca="false">IF(S192=1,I192*L192,0)</f>
        <v>0</v>
      </c>
      <c r="U192" s="60" t="n">
        <f aca="false">IF(AND(S192=1,ISNUMBER(R192)),I192*R192,0)</f>
        <v>0</v>
      </c>
      <c r="V192" s="30" t="n">
        <f aca="false">IF(AND(F192="Big4(국영)",K192="고정",N192="N",I192&lt;&gt;""),1,0)</f>
        <v>0</v>
      </c>
      <c r="W192" s="59" t="n">
        <f aca="false">IF(V192=1,I192*L192,0)</f>
        <v>0</v>
      </c>
      <c r="X192" s="60" t="n">
        <f aca="false">IF(AND(V192=1,ISNUMBER(R192)),I192*R192,0)</f>
        <v>0</v>
      </c>
      <c r="Y192" s="61" t="n">
        <f aca="false">IF(AND(S192=1,ISNUMBER(R192)),I192,0)</f>
        <v>0</v>
      </c>
      <c r="Z192" s="61" t="n">
        <f aca="false">IF(AND(V192=1,ISNUMBER(R192)),I192,0)</f>
        <v>0</v>
      </c>
    </row>
    <row r="193" customFormat="false" ht="15" hidden="false" customHeight="false" outlineLevel="0" collapsed="false">
      <c r="A193" s="47" t="s">
        <v>476</v>
      </c>
      <c r="B193" s="52" t="n">
        <v>45272</v>
      </c>
      <c r="C193" s="53" t="n">
        <f aca="false">DATE(YEAR(B193),MONTH(B193),1)</f>
        <v>45261</v>
      </c>
      <c r="D193" s="5" t="str">
        <f aca="false">YEAR(B193)&amp;"Q"&amp;ROUNDUP(MONTH(B193)/3,0)</f>
        <v>2023Q4</v>
      </c>
      <c r="E193" s="47" t="s">
        <v>150</v>
      </c>
      <c r="F193" s="54" t="s">
        <v>139</v>
      </c>
      <c r="G193" s="47" t="s">
        <v>170</v>
      </c>
      <c r="H193" s="47" t="s">
        <v>503</v>
      </c>
      <c r="I193" s="55" t="n">
        <v>790</v>
      </c>
      <c r="J193" s="56" t="n">
        <v>7</v>
      </c>
      <c r="K193" s="54" t="s">
        <v>153</v>
      </c>
      <c r="N193" s="47" t="s">
        <v>143</v>
      </c>
      <c r="O193" s="47" t="s">
        <v>504</v>
      </c>
      <c r="P193" s="47"/>
      <c r="Q193" s="48" t="n">
        <f aca="false">IF($J193="","",IFERROR(IF($J193&lt;=1,INDEX(VN_국채일별!$B$4:$B$1436,MATCH($B193,VN_국채일별!$A$4:$A$1436,1)),IF($J193&lt;=2,INDEX(VN_국채일별!$B$4:$B$1436,MATCH($B193,VN_국채일별!$A$4:$A$1436,1))+(INDEX(VN_국채일별!$C$4:$C$1436,MATCH($B193,VN_국채일별!$A$4:$A$1436,1))-INDEX(VN_국채일별!$B$4:$B$1436,MATCH($B193,VN_국채일별!$A$4:$A$1436,1)))*($J193-1),IF($J193&lt;=3,INDEX(VN_국채일별!$C$4:$C$1436,MATCH($B193,VN_국채일별!$A$4:$A$1436,1))+(INDEX(VN_국채일별!$D$4:$D$1436,MATCH($B193,VN_국채일별!$A$4:$A$1436,1))-INDEX(VN_국채일별!$C$4:$C$1436,MATCH($B193,VN_국채일별!$A$4:$A$1436,1)))*($J193-2),IF($J193&lt;=5,INDEX(VN_국채일별!$D$4:$D$1436,MATCH($B193,VN_국채일별!$A$4:$A$1436,1))+(INDEX(VN_국채일별!$E$4:$E$1436,MATCH($B193,VN_국채일별!$A$4:$A$1436,1))-INDEX(VN_국채일별!$D$4:$D$1436,MATCH($B193,VN_국채일별!$A$4:$A$1436,1)))*($J193-3)/2,IF($J193&lt;=7,INDEX(VN_국채일별!$E$4:$E$1436,MATCH($B193,VN_국채일별!$A$4:$A$1436,1))+(INDEX(VN_국채일별!$F$4:$F$1436,MATCH($B193,VN_국채일별!$A$4:$A$1436,1))-INDEX(VN_국채일별!$E$4:$E$1436,MATCH($B193,VN_국채일별!$A$4:$A$1436,1)))*($J193-5)/2,IF($J193&lt;=10,INDEX(VN_국채일별!$F$4:$F$1436,MATCH($B193,VN_국채일별!$A$4:$A$1436,1))+(INDEX(VN_국채일별!$G$4:$G$1436,MATCH($B193,VN_국채일별!$A$4:$A$1436,1))-INDEX(VN_국채일별!$F$4:$F$1436,MATCH($B193,VN_국채일별!$A$4:$A$1436,1)))*($J193-7)/3,INDEX(VN_국채일별!$G$4:$G$1436,MATCH($B193,VN_국채일별!$A$4:$A$1436,1)))))))),""))</f>
        <v>0.02198</v>
      </c>
      <c r="R193" s="58" t="str">
        <f aca="false">IF(OR(L193="",Q193=""),"",(L193-Q193)*10000)</f>
        <v/>
      </c>
      <c r="S193" s="30" t="n">
        <f aca="false">IF(AND(K193="고정",N193="N",J193&gt;=2,J193&lt;=4,I193&lt;&gt;""),1,0)</f>
        <v>0</v>
      </c>
      <c r="T193" s="59" t="n">
        <f aca="false">IF(S193=1,I193*L193,0)</f>
        <v>0</v>
      </c>
      <c r="U193" s="60" t="n">
        <f aca="false">IF(AND(S193=1,ISNUMBER(R193)),I193*R193,0)</f>
        <v>0</v>
      </c>
      <c r="V193" s="30" t="n">
        <f aca="false">IF(AND(F193="Big4(국영)",K193="고정",N193="N",I193&lt;&gt;""),1,0)</f>
        <v>0</v>
      </c>
      <c r="W193" s="59" t="n">
        <f aca="false">IF(V193=1,I193*L193,0)</f>
        <v>0</v>
      </c>
      <c r="X193" s="60" t="n">
        <f aca="false">IF(AND(V193=1,ISNUMBER(R193)),I193*R193,0)</f>
        <v>0</v>
      </c>
      <c r="Y193" s="61" t="n">
        <f aca="false">IF(AND(S193=1,ISNUMBER(R193)),I193,0)</f>
        <v>0</v>
      </c>
      <c r="Z193" s="61" t="n">
        <f aca="false">IF(AND(V193=1,ISNUMBER(R193)),I193,0)</f>
        <v>0</v>
      </c>
    </row>
    <row r="194" customFormat="false" ht="15" hidden="false" customHeight="false" outlineLevel="0" collapsed="false">
      <c r="A194" s="47" t="s">
        <v>476</v>
      </c>
      <c r="B194" s="52" t="n">
        <v>45273</v>
      </c>
      <c r="C194" s="53" t="n">
        <f aca="false">DATE(YEAR(B194),MONTH(B194),1)</f>
        <v>45261</v>
      </c>
      <c r="D194" s="5" t="str">
        <f aca="false">YEAR(B194)&amp;"Q"&amp;ROUNDUP(MONTH(B194)/3,0)</f>
        <v>2023Q4</v>
      </c>
      <c r="E194" s="47" t="s">
        <v>166</v>
      </c>
      <c r="F194" s="54" t="s">
        <v>139</v>
      </c>
      <c r="G194" s="47" t="s">
        <v>167</v>
      </c>
      <c r="H194" s="47" t="s">
        <v>505</v>
      </c>
      <c r="I194" s="55" t="n">
        <v>500</v>
      </c>
      <c r="J194" s="56" t="n">
        <v>2</v>
      </c>
      <c r="K194" s="54" t="s">
        <v>142</v>
      </c>
      <c r="L194" s="57" t="n">
        <v>0.06</v>
      </c>
      <c r="N194" s="47" t="s">
        <v>148</v>
      </c>
      <c r="O194" s="47" t="s">
        <v>449</v>
      </c>
      <c r="P194" s="47"/>
      <c r="Q194" s="48" t="n">
        <f aca="false">IF($J194="","",IFERROR(IF($J194&lt;=1,INDEX(VN_국채일별!$B$4:$B$1436,MATCH($B194,VN_국채일별!$A$4:$A$1436,1)),IF($J194&lt;=2,INDEX(VN_국채일별!$B$4:$B$1436,MATCH($B194,VN_국채일별!$A$4:$A$1436,1))+(INDEX(VN_국채일별!$C$4:$C$1436,MATCH($B194,VN_국채일별!$A$4:$A$1436,1))-INDEX(VN_국채일별!$B$4:$B$1436,MATCH($B194,VN_국채일별!$A$4:$A$1436,1)))*($J194-1),IF($J194&lt;=3,INDEX(VN_국채일별!$C$4:$C$1436,MATCH($B194,VN_국채일별!$A$4:$A$1436,1))+(INDEX(VN_국채일별!$D$4:$D$1436,MATCH($B194,VN_국채일별!$A$4:$A$1436,1))-INDEX(VN_국채일별!$C$4:$C$1436,MATCH($B194,VN_국채일별!$A$4:$A$1436,1)))*($J194-2),IF($J194&lt;=5,INDEX(VN_국채일별!$D$4:$D$1436,MATCH($B194,VN_국채일별!$A$4:$A$1436,1))+(INDEX(VN_국채일별!$E$4:$E$1436,MATCH($B194,VN_국채일별!$A$4:$A$1436,1))-INDEX(VN_국채일별!$D$4:$D$1436,MATCH($B194,VN_국채일별!$A$4:$A$1436,1)))*($J194-3)/2,IF($J194&lt;=7,INDEX(VN_국채일별!$E$4:$E$1436,MATCH($B194,VN_국채일별!$A$4:$A$1436,1))+(INDEX(VN_국채일별!$F$4:$F$1436,MATCH($B194,VN_국채일별!$A$4:$A$1436,1))-INDEX(VN_국채일별!$E$4:$E$1436,MATCH($B194,VN_국채일별!$A$4:$A$1436,1)))*($J194-5)/2,IF($J194&lt;=10,INDEX(VN_국채일별!$F$4:$F$1436,MATCH($B194,VN_국채일별!$A$4:$A$1436,1))+(INDEX(VN_국채일별!$G$4:$G$1436,MATCH($B194,VN_국채일별!$A$4:$A$1436,1))-INDEX(VN_국채일별!$F$4:$F$1436,MATCH($B194,VN_국채일별!$A$4:$A$1436,1)))*($J194-7)/3,INDEX(VN_국채일별!$G$4:$G$1436,MATCH($B194,VN_국채일별!$A$4:$A$1436,1)))))))),""))</f>
        <v>0.01759</v>
      </c>
      <c r="R194" s="58" t="n">
        <f aca="false">IF(OR(L194="",Q194=""),"",(L194-Q194)*10000)</f>
        <v>424.1</v>
      </c>
      <c r="S194" s="30" t="n">
        <f aca="false">IF(AND(K194="고정",N194="N",J194&gt;=2,J194&lt;=4,I194&lt;&gt;""),1,0)</f>
        <v>1</v>
      </c>
      <c r="T194" s="59" t="n">
        <f aca="false">IF(S194=1,I194*L194,0)</f>
        <v>30</v>
      </c>
      <c r="U194" s="60" t="n">
        <f aca="false">IF(AND(S194=1,ISNUMBER(R194)),I194*R194,0)</f>
        <v>212050</v>
      </c>
      <c r="V194" s="30" t="n">
        <f aca="false">IF(AND(F194="Big4(국영)",K194="고정",N194="N",I194&lt;&gt;""),1,0)</f>
        <v>0</v>
      </c>
      <c r="W194" s="59" t="n">
        <f aca="false">IF(V194=1,I194*L194,0)</f>
        <v>0</v>
      </c>
      <c r="X194" s="60" t="n">
        <f aca="false">IF(AND(V194=1,ISNUMBER(R194)),I194*R194,0)</f>
        <v>0</v>
      </c>
      <c r="Y194" s="61" t="n">
        <f aca="false">IF(AND(S194=1,ISNUMBER(R194)),I194,0)</f>
        <v>500</v>
      </c>
      <c r="Z194" s="61" t="n">
        <f aca="false">IF(AND(V194=1,ISNUMBER(R194)),I194,0)</f>
        <v>0</v>
      </c>
    </row>
    <row r="195" customFormat="false" ht="15" hidden="false" customHeight="false" outlineLevel="0" collapsed="false">
      <c r="A195" s="47" t="s">
        <v>476</v>
      </c>
      <c r="B195" s="52" t="n">
        <v>45273</v>
      </c>
      <c r="C195" s="53" t="n">
        <f aca="false">DATE(YEAR(B195),MONTH(B195),1)</f>
        <v>45261</v>
      </c>
      <c r="D195" s="5" t="str">
        <f aca="false">YEAR(B195)&amp;"Q"&amp;ROUNDUP(MONTH(B195)/3,0)</f>
        <v>2023Q4</v>
      </c>
      <c r="E195" s="62" t="s">
        <v>155</v>
      </c>
      <c r="F195" s="62" t="s">
        <v>156</v>
      </c>
      <c r="G195" s="47" t="s">
        <v>157</v>
      </c>
      <c r="H195" s="47" t="s">
        <v>506</v>
      </c>
      <c r="I195" s="55" t="n">
        <v>100</v>
      </c>
      <c r="J195" s="56" t="n">
        <v>5</v>
      </c>
      <c r="K195" s="54" t="s">
        <v>153</v>
      </c>
      <c r="N195" s="47" t="s">
        <v>143</v>
      </c>
      <c r="O195" s="47" t="s">
        <v>507</v>
      </c>
      <c r="P195" s="47"/>
      <c r="Q195" s="48" t="n">
        <f aca="false">IF($J195="","",IFERROR(IF($J195&lt;=1,INDEX(VN_국채일별!$B$4:$B$1436,MATCH($B195,VN_국채일별!$A$4:$A$1436,1)),IF($J195&lt;=2,INDEX(VN_국채일별!$B$4:$B$1436,MATCH($B195,VN_국채일별!$A$4:$A$1436,1))+(INDEX(VN_국채일별!$C$4:$C$1436,MATCH($B195,VN_국채일별!$A$4:$A$1436,1))-INDEX(VN_국채일별!$B$4:$B$1436,MATCH($B195,VN_국채일별!$A$4:$A$1436,1)))*($J195-1),IF($J195&lt;=3,INDEX(VN_국채일별!$C$4:$C$1436,MATCH($B195,VN_국채일별!$A$4:$A$1436,1))+(INDEX(VN_국채일별!$D$4:$D$1436,MATCH($B195,VN_국채일별!$A$4:$A$1436,1))-INDEX(VN_국채일별!$C$4:$C$1436,MATCH($B195,VN_국채일별!$A$4:$A$1436,1)))*($J195-2),IF($J195&lt;=5,INDEX(VN_국채일별!$D$4:$D$1436,MATCH($B195,VN_국채일별!$A$4:$A$1436,1))+(INDEX(VN_국채일별!$E$4:$E$1436,MATCH($B195,VN_국채일별!$A$4:$A$1436,1))-INDEX(VN_국채일별!$D$4:$D$1436,MATCH($B195,VN_국채일별!$A$4:$A$1436,1)))*($J195-3)/2,IF($J195&lt;=7,INDEX(VN_국채일별!$E$4:$E$1436,MATCH($B195,VN_국채일별!$A$4:$A$1436,1))+(INDEX(VN_국채일별!$F$4:$F$1436,MATCH($B195,VN_국채일별!$A$4:$A$1436,1))-INDEX(VN_국채일별!$E$4:$E$1436,MATCH($B195,VN_국채일별!$A$4:$A$1436,1)))*($J195-5)/2,IF($J195&lt;=10,INDEX(VN_국채일별!$F$4:$F$1436,MATCH($B195,VN_국채일별!$A$4:$A$1436,1))+(INDEX(VN_국채일별!$G$4:$G$1436,MATCH($B195,VN_국채일별!$A$4:$A$1436,1))-INDEX(VN_국채일별!$F$4:$F$1436,MATCH($B195,VN_국채일별!$A$4:$A$1436,1)))*($J195-7)/3,INDEX(VN_국채일별!$G$4:$G$1436,MATCH($B195,VN_국채일별!$A$4:$A$1436,1)))))))),""))</f>
        <v>0.01761</v>
      </c>
      <c r="R195" s="58" t="str">
        <f aca="false">IF(OR(L195="",Q195=""),"",(L195-Q195)*10000)</f>
        <v/>
      </c>
      <c r="S195" s="30" t="n">
        <f aca="false">IF(AND(K195="고정",N195="N",J195&gt;=2,J195&lt;=4,I195&lt;&gt;""),1,0)</f>
        <v>0</v>
      </c>
      <c r="T195" s="59" t="n">
        <f aca="false">IF(S195=1,I195*L195,0)</f>
        <v>0</v>
      </c>
      <c r="U195" s="60" t="n">
        <f aca="false">IF(AND(S195=1,ISNUMBER(R195)),I195*R195,0)</f>
        <v>0</v>
      </c>
      <c r="V195" s="30" t="n">
        <f aca="false">IF(AND(F195="Big4(국영)",K195="고정",N195="N",I195&lt;&gt;""),1,0)</f>
        <v>0</v>
      </c>
      <c r="W195" s="59" t="n">
        <f aca="false">IF(V195=1,I195*L195,0)</f>
        <v>0</v>
      </c>
      <c r="X195" s="60" t="n">
        <f aca="false">IF(AND(V195=1,ISNUMBER(R195)),I195*R195,0)</f>
        <v>0</v>
      </c>
      <c r="Y195" s="61" t="n">
        <f aca="false">IF(AND(S195=1,ISNUMBER(R195)),I195,0)</f>
        <v>0</v>
      </c>
      <c r="Z195" s="61" t="n">
        <f aca="false">IF(AND(V195=1,ISNUMBER(R195)),I195,0)</f>
        <v>0</v>
      </c>
    </row>
    <row r="196" customFormat="false" ht="15" hidden="false" customHeight="false" outlineLevel="0" collapsed="false">
      <c r="A196" s="47" t="s">
        <v>476</v>
      </c>
      <c r="B196" s="52" t="n">
        <v>45274</v>
      </c>
      <c r="C196" s="53" t="n">
        <f aca="false">DATE(YEAR(B196),MONTH(B196),1)</f>
        <v>45261</v>
      </c>
      <c r="D196" s="5" t="str">
        <f aca="false">YEAR(B196)&amp;"Q"&amp;ROUNDUP(MONTH(B196)/3,0)</f>
        <v>2023Q4</v>
      </c>
      <c r="E196" s="47" t="s">
        <v>365</v>
      </c>
      <c r="F196" s="54" t="s">
        <v>139</v>
      </c>
      <c r="G196" s="47" t="s">
        <v>366</v>
      </c>
      <c r="H196" s="47" t="s">
        <v>508</v>
      </c>
      <c r="I196" s="55" t="n">
        <v>661</v>
      </c>
      <c r="J196" s="56" t="n">
        <v>10</v>
      </c>
      <c r="K196" s="54" t="s">
        <v>153</v>
      </c>
      <c r="N196" s="47" t="s">
        <v>143</v>
      </c>
      <c r="O196" s="47" t="s">
        <v>460</v>
      </c>
      <c r="P196" s="47"/>
      <c r="Q196" s="48" t="n">
        <f aca="false">IF($J196="","",IFERROR(IF($J196&lt;=1,INDEX(VN_국채일별!$B$4:$B$1436,MATCH($B196,VN_국채일별!$A$4:$A$1436,1)),IF($J196&lt;=2,INDEX(VN_국채일별!$B$4:$B$1436,MATCH($B196,VN_국채일별!$A$4:$A$1436,1))+(INDEX(VN_국채일별!$C$4:$C$1436,MATCH($B196,VN_국채일별!$A$4:$A$1436,1))-INDEX(VN_국채일별!$B$4:$B$1436,MATCH($B196,VN_국채일별!$A$4:$A$1436,1)))*($J196-1),IF($J196&lt;=3,INDEX(VN_국채일별!$C$4:$C$1436,MATCH($B196,VN_국채일별!$A$4:$A$1436,1))+(INDEX(VN_국채일별!$D$4:$D$1436,MATCH($B196,VN_국채일별!$A$4:$A$1436,1))-INDEX(VN_국채일별!$C$4:$C$1436,MATCH($B196,VN_국채일별!$A$4:$A$1436,1)))*($J196-2),IF($J196&lt;=5,INDEX(VN_국채일별!$D$4:$D$1436,MATCH($B196,VN_국채일별!$A$4:$A$1436,1))+(INDEX(VN_국채일별!$E$4:$E$1436,MATCH($B196,VN_국채일별!$A$4:$A$1436,1))-INDEX(VN_국채일별!$D$4:$D$1436,MATCH($B196,VN_국채일별!$A$4:$A$1436,1)))*($J196-3)/2,IF($J196&lt;=7,INDEX(VN_국채일별!$E$4:$E$1436,MATCH($B196,VN_국채일별!$A$4:$A$1436,1))+(INDEX(VN_국채일별!$F$4:$F$1436,MATCH($B196,VN_국채일별!$A$4:$A$1436,1))-INDEX(VN_국채일별!$E$4:$E$1436,MATCH($B196,VN_국채일별!$A$4:$A$1436,1)))*($J196-5)/2,IF($J196&lt;=10,INDEX(VN_국채일별!$F$4:$F$1436,MATCH($B196,VN_국채일별!$A$4:$A$1436,1))+(INDEX(VN_국채일별!$G$4:$G$1436,MATCH($B196,VN_국채일별!$A$4:$A$1436,1))-INDEX(VN_국채일별!$F$4:$F$1436,MATCH($B196,VN_국채일별!$A$4:$A$1436,1)))*($J196-7)/3,INDEX(VN_국채일별!$G$4:$G$1436,MATCH($B196,VN_국채일별!$A$4:$A$1436,1)))))))),""))</f>
        <v>0.02324</v>
      </c>
      <c r="R196" s="58" t="str">
        <f aca="false">IF(OR(L196="",Q196=""),"",(L196-Q196)*10000)</f>
        <v/>
      </c>
      <c r="S196" s="30" t="n">
        <f aca="false">IF(AND(K196="고정",N196="N",J196&gt;=2,J196&lt;=4,I196&lt;&gt;""),1,0)</f>
        <v>0</v>
      </c>
      <c r="T196" s="59" t="n">
        <f aca="false">IF(S196=1,I196*L196,0)</f>
        <v>0</v>
      </c>
      <c r="U196" s="60" t="n">
        <f aca="false">IF(AND(S196=1,ISNUMBER(R196)),I196*R196,0)</f>
        <v>0</v>
      </c>
      <c r="V196" s="30" t="n">
        <f aca="false">IF(AND(F196="Big4(국영)",K196="고정",N196="N",I196&lt;&gt;""),1,0)</f>
        <v>0</v>
      </c>
      <c r="W196" s="59" t="n">
        <f aca="false">IF(V196=1,I196*L196,0)</f>
        <v>0</v>
      </c>
      <c r="X196" s="60" t="n">
        <f aca="false">IF(AND(V196=1,ISNUMBER(R196)),I196*R196,0)</f>
        <v>0</v>
      </c>
      <c r="Y196" s="61" t="n">
        <f aca="false">IF(AND(S196=1,ISNUMBER(R196)),I196,0)</f>
        <v>0</v>
      </c>
      <c r="Z196" s="61" t="n">
        <f aca="false">IF(AND(V196=1,ISNUMBER(R196)),I196,0)</f>
        <v>0</v>
      </c>
    </row>
    <row r="197" customFormat="false" ht="15" hidden="false" customHeight="false" outlineLevel="0" collapsed="false">
      <c r="A197" s="47" t="s">
        <v>476</v>
      </c>
      <c r="B197" s="52" t="n">
        <v>45274</v>
      </c>
      <c r="C197" s="53" t="n">
        <f aca="false">DATE(YEAR(B197),MONTH(B197),1)</f>
        <v>45261</v>
      </c>
      <c r="D197" s="5" t="str">
        <f aca="false">YEAR(B197)&amp;"Q"&amp;ROUNDUP(MONTH(B197)/3,0)</f>
        <v>2023Q4</v>
      </c>
      <c r="E197" s="47" t="s">
        <v>181</v>
      </c>
      <c r="F197" s="54" t="s">
        <v>139</v>
      </c>
      <c r="G197" s="47" t="s">
        <v>182</v>
      </c>
      <c r="H197" s="47" t="s">
        <v>509</v>
      </c>
      <c r="I197" s="55" t="n">
        <v>2000</v>
      </c>
      <c r="J197" s="56" t="n">
        <v>3</v>
      </c>
      <c r="K197" s="54" t="s">
        <v>142</v>
      </c>
      <c r="L197" s="57" t="n">
        <v>0.051</v>
      </c>
      <c r="N197" s="47" t="s">
        <v>148</v>
      </c>
      <c r="O197" s="47" t="s">
        <v>510</v>
      </c>
      <c r="P197" s="47"/>
      <c r="Q197" s="48" t="n">
        <f aca="false">IF($J197="","",IFERROR(IF($J197&lt;=1,INDEX(VN_국채일별!$B$4:$B$1436,MATCH($B197,VN_국채일별!$A$4:$A$1436,1)),IF($J197&lt;=2,INDEX(VN_국채일별!$B$4:$B$1436,MATCH($B197,VN_국채일별!$A$4:$A$1436,1))+(INDEX(VN_국채일별!$C$4:$C$1436,MATCH($B197,VN_국채일별!$A$4:$A$1436,1))-INDEX(VN_국채일별!$B$4:$B$1436,MATCH($B197,VN_국채일별!$A$4:$A$1436,1)))*($J197-1),IF($J197&lt;=3,INDEX(VN_국채일별!$C$4:$C$1436,MATCH($B197,VN_국채일별!$A$4:$A$1436,1))+(INDEX(VN_국채일별!$D$4:$D$1436,MATCH($B197,VN_국채일별!$A$4:$A$1436,1))-INDEX(VN_국채일별!$C$4:$C$1436,MATCH($B197,VN_국채일별!$A$4:$A$1436,1)))*($J197-2),IF($J197&lt;=5,INDEX(VN_국채일별!$D$4:$D$1436,MATCH($B197,VN_국채일별!$A$4:$A$1436,1))+(INDEX(VN_국채일별!$E$4:$E$1436,MATCH($B197,VN_국채일별!$A$4:$A$1436,1))-INDEX(VN_국채일별!$D$4:$D$1436,MATCH($B197,VN_국채일별!$A$4:$A$1436,1)))*($J197-3)/2,IF($J197&lt;=7,INDEX(VN_국채일별!$E$4:$E$1436,MATCH($B197,VN_국채일별!$A$4:$A$1436,1))+(INDEX(VN_국채일별!$F$4:$F$1436,MATCH($B197,VN_국채일별!$A$4:$A$1436,1))-INDEX(VN_국채일별!$E$4:$E$1436,MATCH($B197,VN_국채일별!$A$4:$A$1436,1)))*($J197-5)/2,IF($J197&lt;=10,INDEX(VN_국채일별!$F$4:$F$1436,MATCH($B197,VN_국채일별!$A$4:$A$1436,1))+(INDEX(VN_국채일별!$G$4:$G$1436,MATCH($B197,VN_국채일별!$A$4:$A$1436,1))-INDEX(VN_국채일별!$F$4:$F$1436,MATCH($B197,VN_국채일별!$A$4:$A$1436,1)))*($J197-7)/3,INDEX(VN_국채일별!$G$4:$G$1436,MATCH($B197,VN_국채일별!$A$4:$A$1436,1)))))))),""))</f>
        <v>0.01778</v>
      </c>
      <c r="R197" s="58" t="n">
        <f aca="false">IF(OR(L197="",Q197=""),"",(L197-Q197)*10000)</f>
        <v>332.2</v>
      </c>
      <c r="S197" s="30" t="n">
        <f aca="false">IF(AND(K197="고정",N197="N",J197&gt;=2,J197&lt;=4,I197&lt;&gt;""),1,0)</f>
        <v>1</v>
      </c>
      <c r="T197" s="59" t="n">
        <f aca="false">IF(S197=1,I197*L197,0)</f>
        <v>102</v>
      </c>
      <c r="U197" s="60" t="n">
        <f aca="false">IF(AND(S197=1,ISNUMBER(R197)),I197*R197,0)</f>
        <v>664400</v>
      </c>
      <c r="V197" s="30" t="n">
        <f aca="false">IF(AND(F197="Big4(국영)",K197="고정",N197="N",I197&lt;&gt;""),1,0)</f>
        <v>0</v>
      </c>
      <c r="W197" s="59" t="n">
        <f aca="false">IF(V197=1,I197*L197,0)</f>
        <v>0</v>
      </c>
      <c r="X197" s="60" t="n">
        <f aca="false">IF(AND(V197=1,ISNUMBER(R197)),I197*R197,0)</f>
        <v>0</v>
      </c>
      <c r="Y197" s="61" t="n">
        <f aca="false">IF(AND(S197=1,ISNUMBER(R197)),I197,0)</f>
        <v>2000</v>
      </c>
      <c r="Z197" s="61" t="n">
        <f aca="false">IF(AND(V197=1,ISNUMBER(R197)),I197,0)</f>
        <v>0</v>
      </c>
    </row>
    <row r="198" customFormat="false" ht="15" hidden="false" customHeight="false" outlineLevel="0" collapsed="false">
      <c r="A198" s="47" t="s">
        <v>476</v>
      </c>
      <c r="B198" s="52" t="n">
        <v>45275</v>
      </c>
      <c r="C198" s="53" t="n">
        <f aca="false">DATE(YEAR(B198),MONTH(B198),1)</f>
        <v>45261</v>
      </c>
      <c r="D198" s="5" t="str">
        <f aca="false">YEAR(B198)&amp;"Q"&amp;ROUNDUP(MONTH(B198)/3,0)</f>
        <v>2023Q4</v>
      </c>
      <c r="E198" s="47" t="s">
        <v>365</v>
      </c>
      <c r="F198" s="54" t="s">
        <v>139</v>
      </c>
      <c r="G198" s="47" t="s">
        <v>366</v>
      </c>
      <c r="H198" s="47" t="s">
        <v>511</v>
      </c>
      <c r="I198" s="55" t="n">
        <v>128.6</v>
      </c>
      <c r="J198" s="56" t="n">
        <v>10</v>
      </c>
      <c r="K198" s="54" t="s">
        <v>153</v>
      </c>
      <c r="N198" s="47" t="s">
        <v>143</v>
      </c>
      <c r="O198" s="47" t="s">
        <v>460</v>
      </c>
      <c r="P198" s="47"/>
      <c r="Q198" s="48" t="n">
        <f aca="false">IF($J198="","",IFERROR(IF($J198&lt;=1,INDEX(VN_국채일별!$B$4:$B$1436,MATCH($B198,VN_국채일별!$A$4:$A$1436,1)),IF($J198&lt;=2,INDEX(VN_국채일별!$B$4:$B$1436,MATCH($B198,VN_국채일별!$A$4:$A$1436,1))+(INDEX(VN_국채일별!$C$4:$C$1436,MATCH($B198,VN_국채일별!$A$4:$A$1436,1))-INDEX(VN_국채일별!$B$4:$B$1436,MATCH($B198,VN_국채일별!$A$4:$A$1436,1)))*($J198-1),IF($J198&lt;=3,INDEX(VN_국채일별!$C$4:$C$1436,MATCH($B198,VN_국채일별!$A$4:$A$1436,1))+(INDEX(VN_국채일별!$D$4:$D$1436,MATCH($B198,VN_국채일별!$A$4:$A$1436,1))-INDEX(VN_국채일별!$C$4:$C$1436,MATCH($B198,VN_국채일별!$A$4:$A$1436,1)))*($J198-2),IF($J198&lt;=5,INDEX(VN_국채일별!$D$4:$D$1436,MATCH($B198,VN_국채일별!$A$4:$A$1436,1))+(INDEX(VN_국채일별!$E$4:$E$1436,MATCH($B198,VN_국채일별!$A$4:$A$1436,1))-INDEX(VN_국채일별!$D$4:$D$1436,MATCH($B198,VN_국채일별!$A$4:$A$1436,1)))*($J198-3)/2,IF($J198&lt;=7,INDEX(VN_국채일별!$E$4:$E$1436,MATCH($B198,VN_국채일별!$A$4:$A$1436,1))+(INDEX(VN_국채일별!$F$4:$F$1436,MATCH($B198,VN_국채일별!$A$4:$A$1436,1))-INDEX(VN_국채일별!$E$4:$E$1436,MATCH($B198,VN_국채일별!$A$4:$A$1436,1)))*($J198-5)/2,IF($J198&lt;=10,INDEX(VN_국채일별!$F$4:$F$1436,MATCH($B198,VN_국채일별!$A$4:$A$1436,1))+(INDEX(VN_국채일별!$G$4:$G$1436,MATCH($B198,VN_국채일별!$A$4:$A$1436,1))-INDEX(VN_국채일별!$F$4:$F$1436,MATCH($B198,VN_국채일별!$A$4:$A$1436,1)))*($J198-7)/3,INDEX(VN_국채일별!$G$4:$G$1436,MATCH($B198,VN_국채일별!$A$4:$A$1436,1)))))))),""))</f>
        <v>0.02286</v>
      </c>
      <c r="R198" s="58" t="str">
        <f aca="false">IF(OR(L198="",Q198=""),"",(L198-Q198)*10000)</f>
        <v/>
      </c>
      <c r="S198" s="30" t="n">
        <f aca="false">IF(AND(K198="고정",N198="N",J198&gt;=2,J198&lt;=4,I198&lt;&gt;""),1,0)</f>
        <v>0</v>
      </c>
      <c r="T198" s="59" t="n">
        <f aca="false">IF(S198=1,I198*L198,0)</f>
        <v>0</v>
      </c>
      <c r="U198" s="60" t="n">
        <f aca="false">IF(AND(S198=1,ISNUMBER(R198)),I198*R198,0)</f>
        <v>0</v>
      </c>
      <c r="V198" s="30" t="n">
        <f aca="false">IF(AND(F198="Big4(국영)",K198="고정",N198="N",I198&lt;&gt;""),1,0)</f>
        <v>0</v>
      </c>
      <c r="W198" s="59" t="n">
        <f aca="false">IF(V198=1,I198*L198,0)</f>
        <v>0</v>
      </c>
      <c r="X198" s="60" t="n">
        <f aca="false">IF(AND(V198=1,ISNUMBER(R198)),I198*R198,0)</f>
        <v>0</v>
      </c>
      <c r="Y198" s="61" t="n">
        <f aca="false">IF(AND(S198=1,ISNUMBER(R198)),I198,0)</f>
        <v>0</v>
      </c>
      <c r="Z198" s="61" t="n">
        <f aca="false">IF(AND(V198=1,ISNUMBER(R198)),I198,0)</f>
        <v>0</v>
      </c>
    </row>
    <row r="199" customFormat="false" ht="15" hidden="false" customHeight="false" outlineLevel="0" collapsed="false">
      <c r="A199" s="47" t="s">
        <v>476</v>
      </c>
      <c r="B199" s="52" t="n">
        <v>45275</v>
      </c>
      <c r="C199" s="53" t="n">
        <f aca="false">DATE(YEAR(B199),MONTH(B199),1)</f>
        <v>45261</v>
      </c>
      <c r="D199" s="5" t="str">
        <f aca="false">YEAR(B199)&amp;"Q"&amp;ROUNDUP(MONTH(B199)/3,0)</f>
        <v>2023Q4</v>
      </c>
      <c r="E199" s="47" t="s">
        <v>215</v>
      </c>
      <c r="F199" s="54" t="s">
        <v>139</v>
      </c>
      <c r="G199" s="47" t="s">
        <v>391</v>
      </c>
      <c r="H199" s="47" t="s">
        <v>512</v>
      </c>
      <c r="I199" s="55" t="n">
        <v>400</v>
      </c>
      <c r="J199" s="56" t="n">
        <v>7</v>
      </c>
      <c r="K199" s="54" t="s">
        <v>142</v>
      </c>
      <c r="L199" s="57" t="n">
        <v>0.075</v>
      </c>
      <c r="N199" s="47" t="s">
        <v>143</v>
      </c>
      <c r="O199" s="47" t="s">
        <v>404</v>
      </c>
      <c r="P199" s="47"/>
      <c r="Q199" s="48" t="n">
        <f aca="false">IF($J199="","",IFERROR(IF($J199&lt;=1,INDEX(VN_국채일별!$B$4:$B$1436,MATCH($B199,VN_국채일별!$A$4:$A$1436,1)),IF($J199&lt;=2,INDEX(VN_국채일별!$B$4:$B$1436,MATCH($B199,VN_국채일별!$A$4:$A$1436,1))+(INDEX(VN_국채일별!$C$4:$C$1436,MATCH($B199,VN_국채일별!$A$4:$A$1436,1))-INDEX(VN_국채일별!$B$4:$B$1436,MATCH($B199,VN_국채일별!$A$4:$A$1436,1)))*($J199-1),IF($J199&lt;=3,INDEX(VN_국채일별!$C$4:$C$1436,MATCH($B199,VN_국채일별!$A$4:$A$1436,1))+(INDEX(VN_국채일별!$D$4:$D$1436,MATCH($B199,VN_국채일별!$A$4:$A$1436,1))-INDEX(VN_국채일별!$C$4:$C$1436,MATCH($B199,VN_국채일별!$A$4:$A$1436,1)))*($J199-2),IF($J199&lt;=5,INDEX(VN_국채일별!$D$4:$D$1436,MATCH($B199,VN_국채일별!$A$4:$A$1436,1))+(INDEX(VN_국채일별!$E$4:$E$1436,MATCH($B199,VN_국채일별!$A$4:$A$1436,1))-INDEX(VN_국채일별!$D$4:$D$1436,MATCH($B199,VN_국채일별!$A$4:$A$1436,1)))*($J199-3)/2,IF($J199&lt;=7,INDEX(VN_국채일별!$E$4:$E$1436,MATCH($B199,VN_국채일별!$A$4:$A$1436,1))+(INDEX(VN_국채일별!$F$4:$F$1436,MATCH($B199,VN_국채일별!$A$4:$A$1436,1))-INDEX(VN_국채일별!$E$4:$E$1436,MATCH($B199,VN_국채일별!$A$4:$A$1436,1)))*($J199-5)/2,IF($J199&lt;=10,INDEX(VN_국채일별!$F$4:$F$1436,MATCH($B199,VN_국채일별!$A$4:$A$1436,1))+(INDEX(VN_국채일별!$G$4:$G$1436,MATCH($B199,VN_국채일별!$A$4:$A$1436,1))-INDEX(VN_국채일별!$F$4:$F$1436,MATCH($B199,VN_국채일별!$A$4:$A$1436,1)))*($J199-7)/3,INDEX(VN_국채일별!$G$4:$G$1436,MATCH($B199,VN_국채일별!$A$4:$A$1436,1)))))))),""))</f>
        <v>0.01976</v>
      </c>
      <c r="R199" s="58" t="n">
        <f aca="false">IF(OR(L199="",Q199=""),"",(L199-Q199)*10000)</f>
        <v>552.4</v>
      </c>
      <c r="S199" s="30" t="n">
        <f aca="false">IF(AND(K199="고정",N199="N",J199&gt;=2,J199&lt;=4,I199&lt;&gt;""),1,0)</f>
        <v>0</v>
      </c>
      <c r="T199" s="59" t="n">
        <f aca="false">IF(S199=1,I199*L199,0)</f>
        <v>0</v>
      </c>
      <c r="U199" s="60" t="n">
        <f aca="false">IF(AND(S199=1,ISNUMBER(R199)),I199*R199,0)</f>
        <v>0</v>
      </c>
      <c r="V199" s="30" t="n">
        <f aca="false">IF(AND(F199="Big4(국영)",K199="고정",N199="N",I199&lt;&gt;""),1,0)</f>
        <v>0</v>
      </c>
      <c r="W199" s="59" t="n">
        <f aca="false">IF(V199=1,I199*L199,0)</f>
        <v>0</v>
      </c>
      <c r="X199" s="60" t="n">
        <f aca="false">IF(AND(V199=1,ISNUMBER(R199)),I199*R199,0)</f>
        <v>0</v>
      </c>
      <c r="Y199" s="61" t="n">
        <f aca="false">IF(AND(S199=1,ISNUMBER(R199)),I199,0)</f>
        <v>0</v>
      </c>
      <c r="Z199" s="61" t="n">
        <f aca="false">IF(AND(V199=1,ISNUMBER(R199)),I199,0)</f>
        <v>0</v>
      </c>
    </row>
    <row r="200" customFormat="false" ht="15" hidden="false" customHeight="false" outlineLevel="0" collapsed="false">
      <c r="A200" s="47" t="s">
        <v>476</v>
      </c>
      <c r="B200" s="52" t="n">
        <v>45275</v>
      </c>
      <c r="C200" s="53" t="n">
        <f aca="false">DATE(YEAR(B200),MONTH(B200),1)</f>
        <v>45261</v>
      </c>
      <c r="D200" s="5" t="str">
        <f aca="false">YEAR(B200)&amp;"Q"&amp;ROUNDUP(MONTH(B200)/3,0)</f>
        <v>2023Q4</v>
      </c>
      <c r="E200" s="62" t="s">
        <v>155</v>
      </c>
      <c r="F200" s="62" t="s">
        <v>156</v>
      </c>
      <c r="G200" s="47" t="s">
        <v>157</v>
      </c>
      <c r="H200" s="47" t="s">
        <v>513</v>
      </c>
      <c r="I200" s="55" t="n">
        <v>250</v>
      </c>
      <c r="J200" s="56" t="n">
        <v>6</v>
      </c>
      <c r="K200" s="54" t="s">
        <v>153</v>
      </c>
      <c r="N200" s="47" t="s">
        <v>143</v>
      </c>
      <c r="O200" s="47" t="s">
        <v>514</v>
      </c>
      <c r="P200" s="47"/>
      <c r="Q200" s="48" t="n">
        <f aca="false">IF($J200="","",IFERROR(IF($J200&lt;=1,INDEX(VN_국채일별!$B$4:$B$1436,MATCH($B200,VN_국채일별!$A$4:$A$1436,1)),IF($J200&lt;=2,INDEX(VN_국채일별!$B$4:$B$1436,MATCH($B200,VN_국채일별!$A$4:$A$1436,1))+(INDEX(VN_국채일별!$C$4:$C$1436,MATCH($B200,VN_국채일별!$A$4:$A$1436,1))-INDEX(VN_국채일별!$B$4:$B$1436,MATCH($B200,VN_국채일별!$A$4:$A$1436,1)))*($J200-1),IF($J200&lt;=3,INDEX(VN_국채일별!$C$4:$C$1436,MATCH($B200,VN_국채일별!$A$4:$A$1436,1))+(INDEX(VN_국채일별!$D$4:$D$1436,MATCH($B200,VN_국채일별!$A$4:$A$1436,1))-INDEX(VN_국채일별!$C$4:$C$1436,MATCH($B200,VN_국채일별!$A$4:$A$1436,1)))*($J200-2),IF($J200&lt;=5,INDEX(VN_국채일별!$D$4:$D$1436,MATCH($B200,VN_국채일별!$A$4:$A$1436,1))+(INDEX(VN_국채일별!$E$4:$E$1436,MATCH($B200,VN_국채일별!$A$4:$A$1436,1))-INDEX(VN_국채일별!$D$4:$D$1436,MATCH($B200,VN_국채일별!$A$4:$A$1436,1)))*($J200-3)/2,IF($J200&lt;=7,INDEX(VN_국채일별!$E$4:$E$1436,MATCH($B200,VN_국채일별!$A$4:$A$1436,1))+(INDEX(VN_국채일별!$F$4:$F$1436,MATCH($B200,VN_국채일별!$A$4:$A$1436,1))-INDEX(VN_국채일별!$E$4:$E$1436,MATCH($B200,VN_국채일별!$A$4:$A$1436,1)))*($J200-5)/2,IF($J200&lt;=10,INDEX(VN_국채일별!$F$4:$F$1436,MATCH($B200,VN_국채일별!$A$4:$A$1436,1))+(INDEX(VN_국채일별!$G$4:$G$1436,MATCH($B200,VN_국채일별!$A$4:$A$1436,1))-INDEX(VN_국채일별!$F$4:$F$1436,MATCH($B200,VN_국채일별!$A$4:$A$1436,1)))*($J200-7)/3,INDEX(VN_국채일별!$G$4:$G$1436,MATCH($B200,VN_국채일별!$A$4:$A$1436,1)))))))),""))</f>
        <v>0.018325</v>
      </c>
      <c r="R200" s="58" t="str">
        <f aca="false">IF(OR(L200="",Q200=""),"",(L200-Q200)*10000)</f>
        <v/>
      </c>
      <c r="S200" s="30" t="n">
        <f aca="false">IF(AND(K200="고정",N200="N",J200&gt;=2,J200&lt;=4,I200&lt;&gt;""),1,0)</f>
        <v>0</v>
      </c>
      <c r="T200" s="59" t="n">
        <f aca="false">IF(S200=1,I200*L200,0)</f>
        <v>0</v>
      </c>
      <c r="U200" s="60" t="n">
        <f aca="false">IF(AND(S200=1,ISNUMBER(R200)),I200*R200,0)</f>
        <v>0</v>
      </c>
      <c r="V200" s="30" t="n">
        <f aca="false">IF(AND(F200="Big4(국영)",K200="고정",N200="N",I200&lt;&gt;""),1,0)</f>
        <v>0</v>
      </c>
      <c r="W200" s="59" t="n">
        <f aca="false">IF(V200=1,I200*L200,0)</f>
        <v>0</v>
      </c>
      <c r="X200" s="60" t="n">
        <f aca="false">IF(AND(V200=1,ISNUMBER(R200)),I200*R200,0)</f>
        <v>0</v>
      </c>
      <c r="Y200" s="61" t="n">
        <f aca="false">IF(AND(S200=1,ISNUMBER(R200)),I200,0)</f>
        <v>0</v>
      </c>
      <c r="Z200" s="61" t="n">
        <f aca="false">IF(AND(V200=1,ISNUMBER(R200)),I200,0)</f>
        <v>0</v>
      </c>
    </row>
    <row r="201" customFormat="false" ht="15" hidden="false" customHeight="false" outlineLevel="0" collapsed="false">
      <c r="A201" s="47" t="s">
        <v>476</v>
      </c>
      <c r="B201" s="52" t="n">
        <v>45278</v>
      </c>
      <c r="C201" s="53" t="n">
        <f aca="false">DATE(YEAR(B201),MONTH(B201),1)</f>
        <v>45261</v>
      </c>
      <c r="D201" s="5" t="str">
        <f aca="false">YEAR(B201)&amp;"Q"&amp;ROUNDUP(MONTH(B201)/3,0)</f>
        <v>2023Q4</v>
      </c>
      <c r="E201" s="47" t="s">
        <v>248</v>
      </c>
      <c r="F201" s="54" t="s">
        <v>139</v>
      </c>
      <c r="G201" s="47" t="s">
        <v>361</v>
      </c>
      <c r="H201" s="47" t="s">
        <v>515</v>
      </c>
      <c r="I201" s="55" t="n">
        <v>2534</v>
      </c>
      <c r="J201" s="56" t="n">
        <v>8</v>
      </c>
      <c r="K201" s="54" t="s">
        <v>153</v>
      </c>
      <c r="N201" s="47" t="s">
        <v>143</v>
      </c>
      <c r="O201" s="47" t="s">
        <v>494</v>
      </c>
      <c r="P201" s="47"/>
      <c r="Q201" s="48" t="n">
        <f aca="false">IF($J201="","",IFERROR(IF($J201&lt;=1,INDEX(VN_국채일별!$B$4:$B$1436,MATCH($B201,VN_국채일별!$A$4:$A$1436,1)),IF($J201&lt;=2,INDEX(VN_국채일별!$B$4:$B$1436,MATCH($B201,VN_국채일별!$A$4:$A$1436,1))+(INDEX(VN_국채일별!$C$4:$C$1436,MATCH($B201,VN_국채일별!$A$4:$A$1436,1))-INDEX(VN_국채일별!$B$4:$B$1436,MATCH($B201,VN_국채일별!$A$4:$A$1436,1)))*($J201-1),IF($J201&lt;=3,INDEX(VN_국채일별!$C$4:$C$1436,MATCH($B201,VN_국채일별!$A$4:$A$1436,1))+(INDEX(VN_국채일별!$D$4:$D$1436,MATCH($B201,VN_국채일별!$A$4:$A$1436,1))-INDEX(VN_국채일별!$C$4:$C$1436,MATCH($B201,VN_국채일별!$A$4:$A$1436,1)))*($J201-2),IF($J201&lt;=5,INDEX(VN_국채일별!$D$4:$D$1436,MATCH($B201,VN_국채일별!$A$4:$A$1436,1))+(INDEX(VN_국채일별!$E$4:$E$1436,MATCH($B201,VN_국채일별!$A$4:$A$1436,1))-INDEX(VN_국채일별!$D$4:$D$1436,MATCH($B201,VN_국채일별!$A$4:$A$1436,1)))*($J201-3)/2,IF($J201&lt;=7,INDEX(VN_국채일별!$E$4:$E$1436,MATCH($B201,VN_국채일별!$A$4:$A$1436,1))+(INDEX(VN_국채일별!$F$4:$F$1436,MATCH($B201,VN_국채일별!$A$4:$A$1436,1))-INDEX(VN_국채일별!$E$4:$E$1436,MATCH($B201,VN_국채일별!$A$4:$A$1436,1)))*($J201-5)/2,IF($J201&lt;=10,INDEX(VN_국채일별!$F$4:$F$1436,MATCH($B201,VN_국채일별!$A$4:$A$1436,1))+(INDEX(VN_국채일별!$G$4:$G$1436,MATCH($B201,VN_국채일별!$A$4:$A$1436,1))-INDEX(VN_국채일별!$F$4:$F$1436,MATCH($B201,VN_국채일별!$A$4:$A$1436,1)))*($J201-7)/3,INDEX(VN_국채일별!$G$4:$G$1436,MATCH($B201,VN_국채일별!$A$4:$A$1436,1)))))))),""))</f>
        <v>0.0208733333333333</v>
      </c>
      <c r="R201" s="58" t="str">
        <f aca="false">IF(OR(L201="",Q201=""),"",(L201-Q201)*10000)</f>
        <v/>
      </c>
      <c r="S201" s="30" t="n">
        <f aca="false">IF(AND(K201="고정",N201="N",J201&gt;=2,J201&lt;=4,I201&lt;&gt;""),1,0)</f>
        <v>0</v>
      </c>
      <c r="T201" s="59" t="n">
        <f aca="false">IF(S201=1,I201*L201,0)</f>
        <v>0</v>
      </c>
      <c r="U201" s="60" t="n">
        <f aca="false">IF(AND(S201=1,ISNUMBER(R201)),I201*R201,0)</f>
        <v>0</v>
      </c>
      <c r="V201" s="30" t="n">
        <f aca="false">IF(AND(F201="Big4(국영)",K201="고정",N201="N",I201&lt;&gt;""),1,0)</f>
        <v>0</v>
      </c>
      <c r="W201" s="59" t="n">
        <f aca="false">IF(V201=1,I201*L201,0)</f>
        <v>0</v>
      </c>
      <c r="X201" s="60" t="n">
        <f aca="false">IF(AND(V201=1,ISNUMBER(R201)),I201*R201,0)</f>
        <v>0</v>
      </c>
      <c r="Y201" s="61" t="n">
        <f aca="false">IF(AND(S201=1,ISNUMBER(R201)),I201,0)</f>
        <v>0</v>
      </c>
      <c r="Z201" s="61" t="n">
        <f aca="false">IF(AND(V201=1,ISNUMBER(R201)),I201,0)</f>
        <v>0</v>
      </c>
    </row>
    <row r="202" customFormat="false" ht="15" hidden="false" customHeight="false" outlineLevel="0" collapsed="false">
      <c r="A202" s="47" t="s">
        <v>476</v>
      </c>
      <c r="B202" s="52" t="n">
        <v>45278</v>
      </c>
      <c r="C202" s="53" t="n">
        <f aca="false">DATE(YEAR(B202),MONTH(B202),1)</f>
        <v>45261</v>
      </c>
      <c r="D202" s="5" t="str">
        <f aca="false">YEAR(B202)&amp;"Q"&amp;ROUNDUP(MONTH(B202)/3,0)</f>
        <v>2023Q4</v>
      </c>
      <c r="E202" s="47" t="s">
        <v>365</v>
      </c>
      <c r="F202" s="54" t="s">
        <v>139</v>
      </c>
      <c r="G202" s="47" t="s">
        <v>366</v>
      </c>
      <c r="H202" s="47" t="s">
        <v>516</v>
      </c>
      <c r="I202" s="55" t="n">
        <v>437</v>
      </c>
      <c r="J202" s="56" t="n">
        <v>10</v>
      </c>
      <c r="K202" s="54" t="s">
        <v>153</v>
      </c>
      <c r="N202" s="47" t="s">
        <v>143</v>
      </c>
      <c r="O202" s="47" t="s">
        <v>460</v>
      </c>
      <c r="P202" s="47"/>
      <c r="Q202" s="48" t="n">
        <f aca="false">IF($J202="","",IFERROR(IF($J202&lt;=1,INDEX(VN_국채일별!$B$4:$B$1436,MATCH($B202,VN_국채일별!$A$4:$A$1436,1)),IF($J202&lt;=2,INDEX(VN_국채일별!$B$4:$B$1436,MATCH($B202,VN_국채일별!$A$4:$A$1436,1))+(INDEX(VN_국채일별!$C$4:$C$1436,MATCH($B202,VN_국채일별!$A$4:$A$1436,1))-INDEX(VN_국채일별!$B$4:$B$1436,MATCH($B202,VN_국채일별!$A$4:$A$1436,1)))*($J202-1),IF($J202&lt;=3,INDEX(VN_국채일별!$C$4:$C$1436,MATCH($B202,VN_국채일별!$A$4:$A$1436,1))+(INDEX(VN_국채일별!$D$4:$D$1436,MATCH($B202,VN_국채일별!$A$4:$A$1436,1))-INDEX(VN_국채일별!$C$4:$C$1436,MATCH($B202,VN_국채일별!$A$4:$A$1436,1)))*($J202-2),IF($J202&lt;=5,INDEX(VN_국채일별!$D$4:$D$1436,MATCH($B202,VN_국채일별!$A$4:$A$1436,1))+(INDEX(VN_국채일별!$E$4:$E$1436,MATCH($B202,VN_국채일별!$A$4:$A$1436,1))-INDEX(VN_국채일별!$D$4:$D$1436,MATCH($B202,VN_국채일별!$A$4:$A$1436,1)))*($J202-3)/2,IF($J202&lt;=7,INDEX(VN_국채일별!$E$4:$E$1436,MATCH($B202,VN_국채일별!$A$4:$A$1436,1))+(INDEX(VN_국채일별!$F$4:$F$1436,MATCH($B202,VN_국채일별!$A$4:$A$1436,1))-INDEX(VN_국채일별!$E$4:$E$1436,MATCH($B202,VN_국채일별!$A$4:$A$1436,1)))*($J202-5)/2,IF($J202&lt;=10,INDEX(VN_국채일별!$F$4:$F$1436,MATCH($B202,VN_국채일별!$A$4:$A$1436,1))+(INDEX(VN_국채일별!$G$4:$G$1436,MATCH($B202,VN_국채일별!$A$4:$A$1436,1))-INDEX(VN_국채일별!$F$4:$F$1436,MATCH($B202,VN_국채일별!$A$4:$A$1436,1)))*($J202-7)/3,INDEX(VN_국채일별!$G$4:$G$1436,MATCH($B202,VN_국채일별!$A$4:$A$1436,1)))))))),""))</f>
        <v>0.0231</v>
      </c>
      <c r="R202" s="58" t="str">
        <f aca="false">IF(OR(L202="",Q202=""),"",(L202-Q202)*10000)</f>
        <v/>
      </c>
      <c r="S202" s="30" t="n">
        <f aca="false">IF(AND(K202="고정",N202="N",J202&gt;=2,J202&lt;=4,I202&lt;&gt;""),1,0)</f>
        <v>0</v>
      </c>
      <c r="T202" s="59" t="n">
        <f aca="false">IF(S202=1,I202*L202,0)</f>
        <v>0</v>
      </c>
      <c r="U202" s="60" t="n">
        <f aca="false">IF(AND(S202=1,ISNUMBER(R202)),I202*R202,0)</f>
        <v>0</v>
      </c>
      <c r="V202" s="30" t="n">
        <f aca="false">IF(AND(F202="Big4(국영)",K202="고정",N202="N",I202&lt;&gt;""),1,0)</f>
        <v>0</v>
      </c>
      <c r="W202" s="59" t="n">
        <f aca="false">IF(V202=1,I202*L202,0)</f>
        <v>0</v>
      </c>
      <c r="X202" s="60" t="n">
        <f aca="false">IF(AND(V202=1,ISNUMBER(R202)),I202*R202,0)</f>
        <v>0</v>
      </c>
      <c r="Y202" s="61" t="n">
        <f aca="false">IF(AND(S202=1,ISNUMBER(R202)),I202,0)</f>
        <v>0</v>
      </c>
      <c r="Z202" s="61" t="n">
        <f aca="false">IF(AND(V202=1,ISNUMBER(R202)),I202,0)</f>
        <v>0</v>
      </c>
    </row>
    <row r="203" customFormat="false" ht="15" hidden="false" customHeight="false" outlineLevel="0" collapsed="false">
      <c r="A203" s="47" t="s">
        <v>476</v>
      </c>
      <c r="B203" s="52" t="n">
        <v>45278</v>
      </c>
      <c r="C203" s="53" t="n">
        <f aca="false">DATE(YEAR(B203),MONTH(B203),1)</f>
        <v>45261</v>
      </c>
      <c r="D203" s="5" t="str">
        <f aca="false">YEAR(B203)&amp;"Q"&amp;ROUNDUP(MONTH(B203)/3,0)</f>
        <v>2023Q4</v>
      </c>
      <c r="E203" s="47" t="s">
        <v>365</v>
      </c>
      <c r="F203" s="54" t="s">
        <v>139</v>
      </c>
      <c r="G203" s="47" t="s">
        <v>366</v>
      </c>
      <c r="H203" s="47" t="s">
        <v>517</v>
      </c>
      <c r="I203" s="55" t="n">
        <v>400</v>
      </c>
      <c r="J203" s="56" t="n">
        <v>3</v>
      </c>
      <c r="K203" s="54" t="s">
        <v>153</v>
      </c>
      <c r="M203" s="57" t="n">
        <v>0.057</v>
      </c>
      <c r="N203" s="47" t="s">
        <v>148</v>
      </c>
      <c r="O203" s="47" t="s">
        <v>518</v>
      </c>
      <c r="P203" s="47"/>
      <c r="Q203" s="48" t="n">
        <f aca="false">IF($J203="","",IFERROR(IF($J203&lt;=1,INDEX(VN_국채일별!$B$4:$B$1436,MATCH($B203,VN_국채일별!$A$4:$A$1436,1)),IF($J203&lt;=2,INDEX(VN_국채일별!$B$4:$B$1436,MATCH($B203,VN_국채일별!$A$4:$A$1436,1))+(INDEX(VN_국채일별!$C$4:$C$1436,MATCH($B203,VN_국채일별!$A$4:$A$1436,1))-INDEX(VN_국채일별!$B$4:$B$1436,MATCH($B203,VN_국채일별!$A$4:$A$1436,1)))*($J203-1),IF($J203&lt;=3,INDEX(VN_국채일별!$C$4:$C$1436,MATCH($B203,VN_국채일별!$A$4:$A$1436,1))+(INDEX(VN_국채일별!$D$4:$D$1436,MATCH($B203,VN_국채일별!$A$4:$A$1436,1))-INDEX(VN_국채일별!$C$4:$C$1436,MATCH($B203,VN_국채일별!$A$4:$A$1436,1)))*($J203-2),IF($J203&lt;=5,INDEX(VN_국채일별!$D$4:$D$1436,MATCH($B203,VN_국채일별!$A$4:$A$1436,1))+(INDEX(VN_국채일별!$E$4:$E$1436,MATCH($B203,VN_국채일별!$A$4:$A$1436,1))-INDEX(VN_국채일별!$D$4:$D$1436,MATCH($B203,VN_국채일별!$A$4:$A$1436,1)))*($J203-3)/2,IF($J203&lt;=7,INDEX(VN_국채일별!$E$4:$E$1436,MATCH($B203,VN_국채일별!$A$4:$A$1436,1))+(INDEX(VN_국채일별!$F$4:$F$1436,MATCH($B203,VN_국채일별!$A$4:$A$1436,1))-INDEX(VN_국채일별!$E$4:$E$1436,MATCH($B203,VN_국채일별!$A$4:$A$1436,1)))*($J203-5)/2,IF($J203&lt;=10,INDEX(VN_국채일별!$F$4:$F$1436,MATCH($B203,VN_국채일별!$A$4:$A$1436,1))+(INDEX(VN_국채일별!$G$4:$G$1436,MATCH($B203,VN_국채일별!$A$4:$A$1436,1))-INDEX(VN_국채일별!$F$4:$F$1436,MATCH($B203,VN_국채일별!$A$4:$A$1436,1)))*($J203-7)/3,INDEX(VN_국채일별!$G$4:$G$1436,MATCH($B203,VN_국채일별!$A$4:$A$1436,1)))))))),""))</f>
        <v>0.01769</v>
      </c>
      <c r="R203" s="58" t="str">
        <f aca="false">IF(OR(L203="",Q203=""),"",(L203-Q203)*10000)</f>
        <v/>
      </c>
      <c r="S203" s="30" t="n">
        <f aca="false">IF(AND(K203="고정",N203="N",J203&gt;=2,J203&lt;=4,I203&lt;&gt;""),1,0)</f>
        <v>0</v>
      </c>
      <c r="T203" s="59" t="n">
        <f aca="false">IF(S203=1,I203*L203,0)</f>
        <v>0</v>
      </c>
      <c r="U203" s="60" t="n">
        <f aca="false">IF(AND(S203=1,ISNUMBER(R203)),I203*R203,0)</f>
        <v>0</v>
      </c>
      <c r="V203" s="30" t="n">
        <f aca="false">IF(AND(F203="Big4(국영)",K203="고정",N203="N",I203&lt;&gt;""),1,0)</f>
        <v>0</v>
      </c>
      <c r="W203" s="59" t="n">
        <f aca="false">IF(V203=1,I203*L203,0)</f>
        <v>0</v>
      </c>
      <c r="X203" s="60" t="n">
        <f aca="false">IF(AND(V203=1,ISNUMBER(R203)),I203*R203,0)</f>
        <v>0</v>
      </c>
      <c r="Y203" s="61" t="n">
        <f aca="false">IF(AND(S203=1,ISNUMBER(R203)),I203,0)</f>
        <v>0</v>
      </c>
      <c r="Z203" s="61" t="n">
        <f aca="false">IF(AND(V203=1,ISNUMBER(R203)),I203,0)</f>
        <v>0</v>
      </c>
    </row>
    <row r="204" customFormat="false" ht="15" hidden="false" customHeight="false" outlineLevel="0" collapsed="false">
      <c r="A204" s="47" t="s">
        <v>476</v>
      </c>
      <c r="B204" s="52" t="n">
        <v>45278</v>
      </c>
      <c r="C204" s="53" t="n">
        <f aca="false">DATE(YEAR(B204),MONTH(B204),1)</f>
        <v>45261</v>
      </c>
      <c r="D204" s="5" t="str">
        <f aca="false">YEAR(B204)&amp;"Q"&amp;ROUNDUP(MONTH(B204)/3,0)</f>
        <v>2023Q4</v>
      </c>
      <c r="E204" s="47" t="s">
        <v>160</v>
      </c>
      <c r="F204" s="54" t="s">
        <v>139</v>
      </c>
      <c r="G204" s="47" t="s">
        <v>161</v>
      </c>
      <c r="H204" s="47" t="s">
        <v>519</v>
      </c>
      <c r="I204" s="55" t="n">
        <v>200</v>
      </c>
      <c r="J204" s="56" t="n">
        <v>7</v>
      </c>
      <c r="K204" s="54" t="s">
        <v>153</v>
      </c>
      <c r="N204" s="47" t="s">
        <v>143</v>
      </c>
      <c r="O204" s="47" t="s">
        <v>520</v>
      </c>
      <c r="P204" s="47"/>
      <c r="Q204" s="48" t="n">
        <f aca="false">IF($J204="","",IFERROR(IF($J204&lt;=1,INDEX(VN_국채일별!$B$4:$B$1436,MATCH($B204,VN_국채일별!$A$4:$A$1436,1)),IF($J204&lt;=2,INDEX(VN_국채일별!$B$4:$B$1436,MATCH($B204,VN_국채일별!$A$4:$A$1436,1))+(INDEX(VN_국채일별!$C$4:$C$1436,MATCH($B204,VN_국채일별!$A$4:$A$1436,1))-INDEX(VN_국채일별!$B$4:$B$1436,MATCH($B204,VN_국채일별!$A$4:$A$1436,1)))*($J204-1),IF($J204&lt;=3,INDEX(VN_국채일별!$C$4:$C$1436,MATCH($B204,VN_국채일별!$A$4:$A$1436,1))+(INDEX(VN_국채일별!$D$4:$D$1436,MATCH($B204,VN_국채일별!$A$4:$A$1436,1))-INDEX(VN_국채일별!$C$4:$C$1436,MATCH($B204,VN_국채일별!$A$4:$A$1436,1)))*($J204-2),IF($J204&lt;=5,INDEX(VN_국채일별!$D$4:$D$1436,MATCH($B204,VN_국채일별!$A$4:$A$1436,1))+(INDEX(VN_국채일별!$E$4:$E$1436,MATCH($B204,VN_국채일별!$A$4:$A$1436,1))-INDEX(VN_국채일별!$D$4:$D$1436,MATCH($B204,VN_국채일별!$A$4:$A$1436,1)))*($J204-3)/2,IF($J204&lt;=7,INDEX(VN_국채일별!$E$4:$E$1436,MATCH($B204,VN_국채일별!$A$4:$A$1436,1))+(INDEX(VN_국채일별!$F$4:$F$1436,MATCH($B204,VN_국채일별!$A$4:$A$1436,1))-INDEX(VN_국채일별!$E$4:$E$1436,MATCH($B204,VN_국채일별!$A$4:$A$1436,1)))*($J204-5)/2,IF($J204&lt;=10,INDEX(VN_국채일별!$F$4:$F$1436,MATCH($B204,VN_국채일별!$A$4:$A$1436,1))+(INDEX(VN_국채일별!$G$4:$G$1436,MATCH($B204,VN_국채일별!$A$4:$A$1436,1))-INDEX(VN_국채일별!$F$4:$F$1436,MATCH($B204,VN_국채일별!$A$4:$A$1436,1)))*($J204-7)/3,INDEX(VN_국채일별!$G$4:$G$1436,MATCH($B204,VN_국채일별!$A$4:$A$1436,1)))))))),""))</f>
        <v>0.01976</v>
      </c>
      <c r="R204" s="58" t="str">
        <f aca="false">IF(OR(L204="",Q204=""),"",(L204-Q204)*10000)</f>
        <v/>
      </c>
      <c r="S204" s="30" t="n">
        <f aca="false">IF(AND(K204="고정",N204="N",J204&gt;=2,J204&lt;=4,I204&lt;&gt;""),1,0)</f>
        <v>0</v>
      </c>
      <c r="T204" s="59" t="n">
        <f aca="false">IF(S204=1,I204*L204,0)</f>
        <v>0</v>
      </c>
      <c r="U204" s="60" t="n">
        <f aca="false">IF(AND(S204=1,ISNUMBER(R204)),I204*R204,0)</f>
        <v>0</v>
      </c>
      <c r="V204" s="30" t="n">
        <f aca="false">IF(AND(F204="Big4(국영)",K204="고정",N204="N",I204&lt;&gt;""),1,0)</f>
        <v>0</v>
      </c>
      <c r="W204" s="59" t="n">
        <f aca="false">IF(V204=1,I204*L204,0)</f>
        <v>0</v>
      </c>
      <c r="X204" s="60" t="n">
        <f aca="false">IF(AND(V204=1,ISNUMBER(R204)),I204*R204,0)</f>
        <v>0</v>
      </c>
      <c r="Y204" s="61" t="n">
        <f aca="false">IF(AND(S204=1,ISNUMBER(R204)),I204,0)</f>
        <v>0</v>
      </c>
      <c r="Z204" s="61" t="n">
        <f aca="false">IF(AND(V204=1,ISNUMBER(R204)),I204,0)</f>
        <v>0</v>
      </c>
    </row>
    <row r="205" customFormat="false" ht="15" hidden="false" customHeight="false" outlineLevel="0" collapsed="false">
      <c r="A205" s="47" t="s">
        <v>476</v>
      </c>
      <c r="B205" s="52" t="n">
        <v>45278</v>
      </c>
      <c r="C205" s="53" t="n">
        <f aca="false">DATE(YEAR(B205),MONTH(B205),1)</f>
        <v>45261</v>
      </c>
      <c r="D205" s="5" t="str">
        <f aca="false">YEAR(B205)&amp;"Q"&amp;ROUNDUP(MONTH(B205)/3,0)</f>
        <v>2023Q4</v>
      </c>
      <c r="E205" s="47" t="s">
        <v>307</v>
      </c>
      <c r="F205" s="54" t="s">
        <v>139</v>
      </c>
      <c r="G205" s="47" t="s">
        <v>308</v>
      </c>
      <c r="H205" s="47" t="s">
        <v>521</v>
      </c>
      <c r="I205" s="55" t="n">
        <v>2000</v>
      </c>
      <c r="J205" s="56" t="n">
        <v>2</v>
      </c>
      <c r="K205" s="54" t="s">
        <v>142</v>
      </c>
      <c r="L205" s="57" t="n">
        <v>0.047</v>
      </c>
      <c r="N205" s="47" t="s">
        <v>148</v>
      </c>
      <c r="O205" s="47" t="s">
        <v>326</v>
      </c>
      <c r="P205" s="47"/>
      <c r="Q205" s="48" t="n">
        <f aca="false">IF($J205="","",IFERROR(IF($J205&lt;=1,INDEX(VN_국채일별!$B$4:$B$1436,MATCH($B205,VN_국채일별!$A$4:$A$1436,1)),IF($J205&lt;=2,INDEX(VN_국채일별!$B$4:$B$1436,MATCH($B205,VN_국채일별!$A$4:$A$1436,1))+(INDEX(VN_국채일별!$C$4:$C$1436,MATCH($B205,VN_국채일별!$A$4:$A$1436,1))-INDEX(VN_국채일별!$B$4:$B$1436,MATCH($B205,VN_국채일별!$A$4:$A$1436,1)))*($J205-1),IF($J205&lt;=3,INDEX(VN_국채일별!$C$4:$C$1436,MATCH($B205,VN_국채일별!$A$4:$A$1436,1))+(INDEX(VN_국채일별!$D$4:$D$1436,MATCH($B205,VN_국채일별!$A$4:$A$1436,1))-INDEX(VN_국채일별!$C$4:$C$1436,MATCH($B205,VN_국채일별!$A$4:$A$1436,1)))*($J205-2),IF($J205&lt;=5,INDEX(VN_국채일별!$D$4:$D$1436,MATCH($B205,VN_국채일별!$A$4:$A$1436,1))+(INDEX(VN_국채일별!$E$4:$E$1436,MATCH($B205,VN_국채일별!$A$4:$A$1436,1))-INDEX(VN_국채일별!$D$4:$D$1436,MATCH($B205,VN_국채일별!$A$4:$A$1436,1)))*($J205-3)/2,IF($J205&lt;=7,INDEX(VN_국채일별!$E$4:$E$1436,MATCH($B205,VN_국채일별!$A$4:$A$1436,1))+(INDEX(VN_국채일별!$F$4:$F$1436,MATCH($B205,VN_국채일별!$A$4:$A$1436,1))-INDEX(VN_국채일별!$E$4:$E$1436,MATCH($B205,VN_국채일별!$A$4:$A$1436,1)))*($J205-5)/2,IF($J205&lt;=10,INDEX(VN_국채일별!$F$4:$F$1436,MATCH($B205,VN_국채일별!$A$4:$A$1436,1))+(INDEX(VN_국채일별!$G$4:$G$1436,MATCH($B205,VN_국채일별!$A$4:$A$1436,1))-INDEX(VN_국채일별!$F$4:$F$1436,MATCH($B205,VN_국채일별!$A$4:$A$1436,1)))*($J205-7)/3,INDEX(VN_국채일별!$G$4:$G$1436,MATCH($B205,VN_국채일별!$A$4:$A$1436,1)))))))),""))</f>
        <v>0.01707</v>
      </c>
      <c r="R205" s="58" t="n">
        <f aca="false">IF(OR(L205="",Q205=""),"",(L205-Q205)*10000)</f>
        <v>299.3</v>
      </c>
      <c r="S205" s="30" t="n">
        <f aca="false">IF(AND(K205="고정",N205="N",J205&gt;=2,J205&lt;=4,I205&lt;&gt;""),1,0)</f>
        <v>1</v>
      </c>
      <c r="T205" s="59" t="n">
        <f aca="false">IF(S205=1,I205*L205,0)</f>
        <v>94</v>
      </c>
      <c r="U205" s="60" t="n">
        <f aca="false">IF(AND(S205=1,ISNUMBER(R205)),I205*R205,0)</f>
        <v>598600</v>
      </c>
      <c r="V205" s="30" t="n">
        <f aca="false">IF(AND(F205="Big4(국영)",K205="고정",N205="N",I205&lt;&gt;""),1,0)</f>
        <v>0</v>
      </c>
      <c r="W205" s="59" t="n">
        <f aca="false">IF(V205=1,I205*L205,0)</f>
        <v>0</v>
      </c>
      <c r="X205" s="60" t="n">
        <f aca="false">IF(AND(V205=1,ISNUMBER(R205)),I205*R205,0)</f>
        <v>0</v>
      </c>
      <c r="Y205" s="61" t="n">
        <f aca="false">IF(AND(S205=1,ISNUMBER(R205)),I205,0)</f>
        <v>2000</v>
      </c>
      <c r="Z205" s="61" t="n">
        <f aca="false">IF(AND(V205=1,ISNUMBER(R205)),I205,0)</f>
        <v>0</v>
      </c>
    </row>
    <row r="206" customFormat="false" ht="15" hidden="false" customHeight="false" outlineLevel="0" collapsed="false">
      <c r="A206" s="47" t="s">
        <v>476</v>
      </c>
      <c r="B206" s="52" t="n">
        <v>45279</v>
      </c>
      <c r="C206" s="53" t="n">
        <f aca="false">DATE(YEAR(B206),MONTH(B206),1)</f>
        <v>45261</v>
      </c>
      <c r="D206" s="5" t="str">
        <f aca="false">YEAR(B206)&amp;"Q"&amp;ROUNDUP(MONTH(B206)/3,0)</f>
        <v>2023Q4</v>
      </c>
      <c r="E206" s="47" t="s">
        <v>307</v>
      </c>
      <c r="F206" s="54" t="s">
        <v>139</v>
      </c>
      <c r="G206" s="47" t="s">
        <v>308</v>
      </c>
      <c r="H206" s="47" t="s">
        <v>522</v>
      </c>
      <c r="I206" s="55" t="n">
        <v>2000</v>
      </c>
      <c r="J206" s="56" t="n">
        <v>2</v>
      </c>
      <c r="K206" s="54" t="s">
        <v>142</v>
      </c>
      <c r="L206" s="57" t="n">
        <v>0.047</v>
      </c>
      <c r="N206" s="47" t="s">
        <v>148</v>
      </c>
      <c r="O206" s="47" t="s">
        <v>326</v>
      </c>
      <c r="P206" s="47"/>
      <c r="Q206" s="48" t="n">
        <f aca="false">IF($J206="","",IFERROR(IF($J206&lt;=1,INDEX(VN_국채일별!$B$4:$B$1436,MATCH($B206,VN_국채일별!$A$4:$A$1436,1)),IF($J206&lt;=2,INDEX(VN_국채일별!$B$4:$B$1436,MATCH($B206,VN_국채일별!$A$4:$A$1436,1))+(INDEX(VN_국채일별!$C$4:$C$1436,MATCH($B206,VN_국채일별!$A$4:$A$1436,1))-INDEX(VN_국채일별!$B$4:$B$1436,MATCH($B206,VN_국채일별!$A$4:$A$1436,1)))*($J206-1),IF($J206&lt;=3,INDEX(VN_국채일별!$C$4:$C$1436,MATCH($B206,VN_국채일별!$A$4:$A$1436,1))+(INDEX(VN_국채일별!$D$4:$D$1436,MATCH($B206,VN_국채일별!$A$4:$A$1436,1))-INDEX(VN_국채일별!$C$4:$C$1436,MATCH($B206,VN_국채일별!$A$4:$A$1436,1)))*($J206-2),IF($J206&lt;=5,INDEX(VN_국채일별!$D$4:$D$1436,MATCH($B206,VN_국채일별!$A$4:$A$1436,1))+(INDEX(VN_국채일별!$E$4:$E$1436,MATCH($B206,VN_국채일별!$A$4:$A$1436,1))-INDEX(VN_국채일별!$D$4:$D$1436,MATCH($B206,VN_국채일별!$A$4:$A$1436,1)))*($J206-3)/2,IF($J206&lt;=7,INDEX(VN_국채일별!$E$4:$E$1436,MATCH($B206,VN_국채일별!$A$4:$A$1436,1))+(INDEX(VN_국채일별!$F$4:$F$1436,MATCH($B206,VN_국채일별!$A$4:$A$1436,1))-INDEX(VN_국채일별!$E$4:$E$1436,MATCH($B206,VN_국채일별!$A$4:$A$1436,1)))*($J206-5)/2,IF($J206&lt;=10,INDEX(VN_국채일별!$F$4:$F$1436,MATCH($B206,VN_국채일별!$A$4:$A$1436,1))+(INDEX(VN_국채일별!$G$4:$G$1436,MATCH($B206,VN_국채일별!$A$4:$A$1436,1))-INDEX(VN_국채일별!$F$4:$F$1436,MATCH($B206,VN_국채일별!$A$4:$A$1436,1)))*($J206-7)/3,INDEX(VN_국채일별!$G$4:$G$1436,MATCH($B206,VN_국채일별!$A$4:$A$1436,1)))))))),""))</f>
        <v>0.01696</v>
      </c>
      <c r="R206" s="58" t="n">
        <f aca="false">IF(OR(L206="",Q206=""),"",(L206-Q206)*10000)</f>
        <v>300.4</v>
      </c>
      <c r="S206" s="30" t="n">
        <f aca="false">IF(AND(K206="고정",N206="N",J206&gt;=2,J206&lt;=4,I206&lt;&gt;""),1,0)</f>
        <v>1</v>
      </c>
      <c r="T206" s="59" t="n">
        <f aca="false">IF(S206=1,I206*L206,0)</f>
        <v>94</v>
      </c>
      <c r="U206" s="60" t="n">
        <f aca="false">IF(AND(S206=1,ISNUMBER(R206)),I206*R206,0)</f>
        <v>600800</v>
      </c>
      <c r="V206" s="30" t="n">
        <f aca="false">IF(AND(F206="Big4(국영)",K206="고정",N206="N",I206&lt;&gt;""),1,0)</f>
        <v>0</v>
      </c>
      <c r="W206" s="59" t="n">
        <f aca="false">IF(V206=1,I206*L206,0)</f>
        <v>0</v>
      </c>
      <c r="X206" s="60" t="n">
        <f aca="false">IF(AND(V206=1,ISNUMBER(R206)),I206*R206,0)</f>
        <v>0</v>
      </c>
      <c r="Y206" s="61" t="n">
        <f aca="false">IF(AND(S206=1,ISNUMBER(R206)),I206,0)</f>
        <v>2000</v>
      </c>
      <c r="Z206" s="61" t="n">
        <f aca="false">IF(AND(V206=1,ISNUMBER(R206)),I206,0)</f>
        <v>0</v>
      </c>
    </row>
    <row r="207" customFormat="false" ht="15" hidden="false" customHeight="false" outlineLevel="0" collapsed="false">
      <c r="A207" s="47" t="s">
        <v>476</v>
      </c>
      <c r="B207" s="52" t="n">
        <v>45280</v>
      </c>
      <c r="C207" s="53" t="n">
        <f aca="false">DATE(YEAR(B207),MONTH(B207),1)</f>
        <v>45261</v>
      </c>
      <c r="D207" s="5" t="str">
        <f aca="false">YEAR(B207)&amp;"Q"&amp;ROUNDUP(MONTH(B207)/3,0)</f>
        <v>2023Q4</v>
      </c>
      <c r="E207" s="62" t="s">
        <v>155</v>
      </c>
      <c r="F207" s="62" t="s">
        <v>156</v>
      </c>
      <c r="G207" s="47" t="s">
        <v>157</v>
      </c>
      <c r="H207" s="47" t="s">
        <v>523</v>
      </c>
      <c r="I207" s="55" t="n">
        <v>100</v>
      </c>
      <c r="J207" s="56" t="n">
        <v>7</v>
      </c>
      <c r="K207" s="54" t="s">
        <v>153</v>
      </c>
      <c r="N207" s="47" t="s">
        <v>143</v>
      </c>
      <c r="O207" s="47" t="s">
        <v>524</v>
      </c>
      <c r="P207" s="47"/>
      <c r="Q207" s="48" t="n">
        <f aca="false">IF($J207="","",IFERROR(IF($J207&lt;=1,INDEX(VN_국채일별!$B$4:$B$1436,MATCH($B207,VN_국채일별!$A$4:$A$1436,1)),IF($J207&lt;=2,INDEX(VN_국채일별!$B$4:$B$1436,MATCH($B207,VN_국채일별!$A$4:$A$1436,1))+(INDEX(VN_국채일별!$C$4:$C$1436,MATCH($B207,VN_국채일별!$A$4:$A$1436,1))-INDEX(VN_국채일별!$B$4:$B$1436,MATCH($B207,VN_국채일별!$A$4:$A$1436,1)))*($J207-1),IF($J207&lt;=3,INDEX(VN_국채일별!$C$4:$C$1436,MATCH($B207,VN_국채일별!$A$4:$A$1436,1))+(INDEX(VN_국채일별!$D$4:$D$1436,MATCH($B207,VN_국채일별!$A$4:$A$1436,1))-INDEX(VN_국채일별!$C$4:$C$1436,MATCH($B207,VN_국채일별!$A$4:$A$1436,1)))*($J207-2),IF($J207&lt;=5,INDEX(VN_국채일별!$D$4:$D$1436,MATCH($B207,VN_국채일별!$A$4:$A$1436,1))+(INDEX(VN_국채일별!$E$4:$E$1436,MATCH($B207,VN_국채일별!$A$4:$A$1436,1))-INDEX(VN_국채일별!$D$4:$D$1436,MATCH($B207,VN_국채일별!$A$4:$A$1436,1)))*($J207-3)/2,IF($J207&lt;=7,INDEX(VN_국채일별!$E$4:$E$1436,MATCH($B207,VN_국채일별!$A$4:$A$1436,1))+(INDEX(VN_국채일별!$F$4:$F$1436,MATCH($B207,VN_국채일별!$A$4:$A$1436,1))-INDEX(VN_국채일별!$E$4:$E$1436,MATCH($B207,VN_국채일별!$A$4:$A$1436,1)))*($J207-5)/2,IF($J207&lt;=10,INDEX(VN_국채일별!$F$4:$F$1436,MATCH($B207,VN_국채일별!$A$4:$A$1436,1))+(INDEX(VN_국채일별!$G$4:$G$1436,MATCH($B207,VN_국채일별!$A$4:$A$1436,1))-INDEX(VN_국채일별!$F$4:$F$1436,MATCH($B207,VN_국채일별!$A$4:$A$1436,1)))*($J207-7)/3,INDEX(VN_국채일별!$G$4:$G$1436,MATCH($B207,VN_국채일별!$A$4:$A$1436,1)))))))),""))</f>
        <v>0.01952</v>
      </c>
      <c r="R207" s="58" t="str">
        <f aca="false">IF(OR(L207="",Q207=""),"",(L207-Q207)*10000)</f>
        <v/>
      </c>
      <c r="S207" s="30" t="n">
        <f aca="false">IF(AND(K207="고정",N207="N",J207&gt;=2,J207&lt;=4,I207&lt;&gt;""),1,0)</f>
        <v>0</v>
      </c>
      <c r="T207" s="59" t="n">
        <f aca="false">IF(S207=1,I207*L207,0)</f>
        <v>0</v>
      </c>
      <c r="U207" s="60" t="n">
        <f aca="false">IF(AND(S207=1,ISNUMBER(R207)),I207*R207,0)</f>
        <v>0</v>
      </c>
      <c r="V207" s="30" t="n">
        <f aca="false">IF(AND(F207="Big4(국영)",K207="고정",N207="N",I207&lt;&gt;""),1,0)</f>
        <v>0</v>
      </c>
      <c r="W207" s="59" t="n">
        <f aca="false">IF(V207=1,I207*L207,0)</f>
        <v>0</v>
      </c>
      <c r="X207" s="60" t="n">
        <f aca="false">IF(AND(V207=1,ISNUMBER(R207)),I207*R207,0)</f>
        <v>0</v>
      </c>
      <c r="Y207" s="61" t="n">
        <f aca="false">IF(AND(S207=1,ISNUMBER(R207)),I207,0)</f>
        <v>0</v>
      </c>
      <c r="Z207" s="61" t="n">
        <f aca="false">IF(AND(V207=1,ISNUMBER(R207)),I207,0)</f>
        <v>0</v>
      </c>
    </row>
    <row r="208" customFormat="false" ht="15" hidden="false" customHeight="false" outlineLevel="0" collapsed="false">
      <c r="A208" s="47" t="s">
        <v>476</v>
      </c>
      <c r="B208" s="52" t="n">
        <v>45280</v>
      </c>
      <c r="C208" s="53" t="n">
        <f aca="false">DATE(YEAR(B208),MONTH(B208),1)</f>
        <v>45261</v>
      </c>
      <c r="D208" s="5" t="str">
        <f aca="false">YEAR(B208)&amp;"Q"&amp;ROUNDUP(MONTH(B208)/3,0)</f>
        <v>2023Q4</v>
      </c>
      <c r="E208" s="62" t="s">
        <v>155</v>
      </c>
      <c r="F208" s="62" t="s">
        <v>156</v>
      </c>
      <c r="G208" s="47" t="s">
        <v>157</v>
      </c>
      <c r="H208" s="47" t="s">
        <v>525</v>
      </c>
      <c r="I208" s="55" t="n">
        <v>1000</v>
      </c>
      <c r="J208" s="56" t="n">
        <v>10</v>
      </c>
      <c r="K208" s="54" t="s">
        <v>153</v>
      </c>
      <c r="N208" s="47" t="s">
        <v>143</v>
      </c>
      <c r="O208" s="47" t="s">
        <v>526</v>
      </c>
      <c r="P208" s="47"/>
      <c r="Q208" s="48" t="n">
        <f aca="false">IF($J208="","",IFERROR(IF($J208&lt;=1,INDEX(VN_국채일별!$B$4:$B$1436,MATCH($B208,VN_국채일별!$A$4:$A$1436,1)),IF($J208&lt;=2,INDEX(VN_국채일별!$B$4:$B$1436,MATCH($B208,VN_국채일별!$A$4:$A$1436,1))+(INDEX(VN_국채일별!$C$4:$C$1436,MATCH($B208,VN_국채일별!$A$4:$A$1436,1))-INDEX(VN_국채일별!$B$4:$B$1436,MATCH($B208,VN_국채일별!$A$4:$A$1436,1)))*($J208-1),IF($J208&lt;=3,INDEX(VN_국채일별!$C$4:$C$1436,MATCH($B208,VN_국채일별!$A$4:$A$1436,1))+(INDEX(VN_국채일별!$D$4:$D$1436,MATCH($B208,VN_국채일별!$A$4:$A$1436,1))-INDEX(VN_국채일별!$C$4:$C$1436,MATCH($B208,VN_국채일별!$A$4:$A$1436,1)))*($J208-2),IF($J208&lt;=5,INDEX(VN_국채일별!$D$4:$D$1436,MATCH($B208,VN_국채일별!$A$4:$A$1436,1))+(INDEX(VN_국채일별!$E$4:$E$1436,MATCH($B208,VN_국채일별!$A$4:$A$1436,1))-INDEX(VN_국채일별!$D$4:$D$1436,MATCH($B208,VN_국채일별!$A$4:$A$1436,1)))*($J208-3)/2,IF($J208&lt;=7,INDEX(VN_국채일별!$E$4:$E$1436,MATCH($B208,VN_국채일별!$A$4:$A$1436,1))+(INDEX(VN_국채일별!$F$4:$F$1436,MATCH($B208,VN_국채일별!$A$4:$A$1436,1))-INDEX(VN_국채일별!$E$4:$E$1436,MATCH($B208,VN_국채일별!$A$4:$A$1436,1)))*($J208-5)/2,IF($J208&lt;=10,INDEX(VN_국채일별!$F$4:$F$1436,MATCH($B208,VN_국채일별!$A$4:$A$1436,1))+(INDEX(VN_국채일별!$G$4:$G$1436,MATCH($B208,VN_국채일별!$A$4:$A$1436,1))-INDEX(VN_국채일별!$F$4:$F$1436,MATCH($B208,VN_국채일별!$A$4:$A$1436,1)))*($J208-7)/3,INDEX(VN_국채일별!$G$4:$G$1436,MATCH($B208,VN_국채일별!$A$4:$A$1436,1)))))))),""))</f>
        <v>0.02281</v>
      </c>
      <c r="R208" s="58" t="str">
        <f aca="false">IF(OR(L208="",Q208=""),"",(L208-Q208)*10000)</f>
        <v/>
      </c>
      <c r="S208" s="30" t="n">
        <f aca="false">IF(AND(K208="고정",N208="N",J208&gt;=2,J208&lt;=4,I208&lt;&gt;""),1,0)</f>
        <v>0</v>
      </c>
      <c r="T208" s="59" t="n">
        <f aca="false">IF(S208=1,I208*L208,0)</f>
        <v>0</v>
      </c>
      <c r="U208" s="60" t="n">
        <f aca="false">IF(AND(S208=1,ISNUMBER(R208)),I208*R208,0)</f>
        <v>0</v>
      </c>
      <c r="V208" s="30" t="n">
        <f aca="false">IF(AND(F208="Big4(국영)",K208="고정",N208="N",I208&lt;&gt;""),1,0)</f>
        <v>0</v>
      </c>
      <c r="W208" s="59" t="n">
        <f aca="false">IF(V208=1,I208*L208,0)</f>
        <v>0</v>
      </c>
      <c r="X208" s="60" t="n">
        <f aca="false">IF(AND(V208=1,ISNUMBER(R208)),I208*R208,0)</f>
        <v>0</v>
      </c>
      <c r="Y208" s="61" t="n">
        <f aca="false">IF(AND(S208=1,ISNUMBER(R208)),I208,0)</f>
        <v>0</v>
      </c>
      <c r="Z208" s="61" t="n">
        <f aca="false">IF(AND(V208=1,ISNUMBER(R208)),I208,0)</f>
        <v>0</v>
      </c>
    </row>
    <row r="209" customFormat="false" ht="15" hidden="false" customHeight="false" outlineLevel="0" collapsed="false">
      <c r="A209" s="47" t="s">
        <v>476</v>
      </c>
      <c r="B209" s="52" t="n">
        <v>45280</v>
      </c>
      <c r="C209" s="53" t="n">
        <f aca="false">DATE(YEAR(B209),MONTH(B209),1)</f>
        <v>45261</v>
      </c>
      <c r="D209" s="5" t="str">
        <f aca="false">YEAR(B209)&amp;"Q"&amp;ROUNDUP(MONTH(B209)/3,0)</f>
        <v>2023Q4</v>
      </c>
      <c r="E209" s="47" t="s">
        <v>166</v>
      </c>
      <c r="F209" s="54" t="s">
        <v>139</v>
      </c>
      <c r="G209" s="47" t="s">
        <v>167</v>
      </c>
      <c r="H209" s="47" t="s">
        <v>527</v>
      </c>
      <c r="I209" s="55" t="n">
        <v>1000</v>
      </c>
      <c r="J209" s="56" t="n">
        <v>2</v>
      </c>
      <c r="K209" s="54" t="s">
        <v>142</v>
      </c>
      <c r="L209" s="57" t="n">
        <v>0.06</v>
      </c>
      <c r="N209" s="47" t="s">
        <v>148</v>
      </c>
      <c r="O209" s="47" t="s">
        <v>449</v>
      </c>
      <c r="P209" s="47"/>
      <c r="Q209" s="48" t="n">
        <f aca="false">IF($J209="","",IFERROR(IF($J209&lt;=1,INDEX(VN_국채일별!$B$4:$B$1436,MATCH($B209,VN_국채일별!$A$4:$A$1436,1)),IF($J209&lt;=2,INDEX(VN_국채일별!$B$4:$B$1436,MATCH($B209,VN_국채일별!$A$4:$A$1436,1))+(INDEX(VN_국채일별!$C$4:$C$1436,MATCH($B209,VN_국채일별!$A$4:$A$1436,1))-INDEX(VN_국채일별!$B$4:$B$1436,MATCH($B209,VN_국채일별!$A$4:$A$1436,1)))*($J209-1),IF($J209&lt;=3,INDEX(VN_국채일별!$C$4:$C$1436,MATCH($B209,VN_국채일별!$A$4:$A$1436,1))+(INDEX(VN_국채일별!$D$4:$D$1436,MATCH($B209,VN_국채일별!$A$4:$A$1436,1))-INDEX(VN_국채일별!$C$4:$C$1436,MATCH($B209,VN_국채일별!$A$4:$A$1436,1)))*($J209-2),IF($J209&lt;=5,INDEX(VN_국채일별!$D$4:$D$1436,MATCH($B209,VN_국채일별!$A$4:$A$1436,1))+(INDEX(VN_국채일별!$E$4:$E$1436,MATCH($B209,VN_국채일별!$A$4:$A$1436,1))-INDEX(VN_국채일별!$D$4:$D$1436,MATCH($B209,VN_국채일별!$A$4:$A$1436,1)))*($J209-3)/2,IF($J209&lt;=7,INDEX(VN_국채일별!$E$4:$E$1436,MATCH($B209,VN_국채일별!$A$4:$A$1436,1))+(INDEX(VN_국채일별!$F$4:$F$1436,MATCH($B209,VN_국채일별!$A$4:$A$1436,1))-INDEX(VN_국채일별!$E$4:$E$1436,MATCH($B209,VN_국채일별!$A$4:$A$1436,1)))*($J209-5)/2,IF($J209&lt;=10,INDEX(VN_국채일별!$F$4:$F$1436,MATCH($B209,VN_국채일별!$A$4:$A$1436,1))+(INDEX(VN_국채일별!$G$4:$G$1436,MATCH($B209,VN_국채일별!$A$4:$A$1436,1))-INDEX(VN_국채일별!$F$4:$F$1436,MATCH($B209,VN_국채일별!$A$4:$A$1436,1)))*($J209-7)/3,INDEX(VN_국채일별!$G$4:$G$1436,MATCH($B209,VN_국채일별!$A$4:$A$1436,1)))))))),""))</f>
        <v>0.01692</v>
      </c>
      <c r="R209" s="58" t="n">
        <f aca="false">IF(OR(L209="",Q209=""),"",(L209-Q209)*10000)</f>
        <v>430.8</v>
      </c>
      <c r="S209" s="30" t="n">
        <f aca="false">IF(AND(K209="고정",N209="N",J209&gt;=2,J209&lt;=4,I209&lt;&gt;""),1,0)</f>
        <v>1</v>
      </c>
      <c r="T209" s="59" t="n">
        <f aca="false">IF(S209=1,I209*L209,0)</f>
        <v>60</v>
      </c>
      <c r="U209" s="60" t="n">
        <f aca="false">IF(AND(S209=1,ISNUMBER(R209)),I209*R209,0)</f>
        <v>430800</v>
      </c>
      <c r="V209" s="30" t="n">
        <f aca="false">IF(AND(F209="Big4(국영)",K209="고정",N209="N",I209&lt;&gt;""),1,0)</f>
        <v>0</v>
      </c>
      <c r="W209" s="59" t="n">
        <f aca="false">IF(V209=1,I209*L209,0)</f>
        <v>0</v>
      </c>
      <c r="X209" s="60" t="n">
        <f aca="false">IF(AND(V209=1,ISNUMBER(R209)),I209*R209,0)</f>
        <v>0</v>
      </c>
      <c r="Y209" s="61" t="n">
        <f aca="false">IF(AND(S209=1,ISNUMBER(R209)),I209,0)</f>
        <v>1000</v>
      </c>
      <c r="Z209" s="61" t="n">
        <f aca="false">IF(AND(V209=1,ISNUMBER(R209)),I209,0)</f>
        <v>0</v>
      </c>
    </row>
    <row r="210" customFormat="false" ht="15" hidden="false" customHeight="false" outlineLevel="0" collapsed="false">
      <c r="A210" s="47" t="s">
        <v>476</v>
      </c>
      <c r="B210" s="52" t="n">
        <v>45281</v>
      </c>
      <c r="C210" s="53" t="n">
        <f aca="false">DATE(YEAR(B210),MONTH(B210),1)</f>
        <v>45261</v>
      </c>
      <c r="D210" s="5" t="str">
        <f aca="false">YEAR(B210)&amp;"Q"&amp;ROUNDUP(MONTH(B210)/3,0)</f>
        <v>2023Q4</v>
      </c>
      <c r="E210" s="62" t="s">
        <v>155</v>
      </c>
      <c r="F210" s="62" t="s">
        <v>156</v>
      </c>
      <c r="G210" s="47" t="s">
        <v>157</v>
      </c>
      <c r="H210" s="47" t="s">
        <v>528</v>
      </c>
      <c r="I210" s="55" t="n">
        <v>250</v>
      </c>
      <c r="J210" s="56" t="n">
        <v>6</v>
      </c>
      <c r="K210" s="54" t="s">
        <v>153</v>
      </c>
      <c r="N210" s="47" t="s">
        <v>143</v>
      </c>
      <c r="O210" s="47" t="s">
        <v>514</v>
      </c>
      <c r="P210" s="47"/>
      <c r="Q210" s="48" t="n">
        <f aca="false">IF($J210="","",IFERROR(IF($J210&lt;=1,INDEX(VN_국채일별!$B$4:$B$1436,MATCH($B210,VN_국채일별!$A$4:$A$1436,1)),IF($J210&lt;=2,INDEX(VN_국채일별!$B$4:$B$1436,MATCH($B210,VN_국채일별!$A$4:$A$1436,1))+(INDEX(VN_국채일별!$C$4:$C$1436,MATCH($B210,VN_국채일별!$A$4:$A$1436,1))-INDEX(VN_국채일별!$B$4:$B$1436,MATCH($B210,VN_국채일별!$A$4:$A$1436,1)))*($J210-1),IF($J210&lt;=3,INDEX(VN_국채일별!$C$4:$C$1436,MATCH($B210,VN_국채일별!$A$4:$A$1436,1))+(INDEX(VN_국채일별!$D$4:$D$1436,MATCH($B210,VN_국채일별!$A$4:$A$1436,1))-INDEX(VN_국채일별!$C$4:$C$1436,MATCH($B210,VN_국채일별!$A$4:$A$1436,1)))*($J210-2),IF($J210&lt;=5,INDEX(VN_국채일별!$D$4:$D$1436,MATCH($B210,VN_국채일별!$A$4:$A$1436,1))+(INDEX(VN_국채일별!$E$4:$E$1436,MATCH($B210,VN_국채일별!$A$4:$A$1436,1))-INDEX(VN_국채일별!$D$4:$D$1436,MATCH($B210,VN_국채일별!$A$4:$A$1436,1)))*($J210-3)/2,IF($J210&lt;=7,INDEX(VN_국채일별!$E$4:$E$1436,MATCH($B210,VN_국채일별!$A$4:$A$1436,1))+(INDEX(VN_국채일별!$F$4:$F$1436,MATCH($B210,VN_국채일별!$A$4:$A$1436,1))-INDEX(VN_국채일별!$E$4:$E$1436,MATCH($B210,VN_국채일별!$A$4:$A$1436,1)))*($J210-5)/2,IF($J210&lt;=10,INDEX(VN_국채일별!$F$4:$F$1436,MATCH($B210,VN_국채일별!$A$4:$A$1436,1))+(INDEX(VN_국채일별!$G$4:$G$1436,MATCH($B210,VN_국채일별!$A$4:$A$1436,1))-INDEX(VN_국채일별!$F$4:$F$1436,MATCH($B210,VN_국채일별!$A$4:$A$1436,1)))*($J210-7)/3,INDEX(VN_국채일별!$G$4:$G$1436,MATCH($B210,VN_국채일별!$A$4:$A$1436,1)))))))),""))</f>
        <v>0.018275</v>
      </c>
      <c r="R210" s="58" t="str">
        <f aca="false">IF(OR(L210="",Q210=""),"",(L210-Q210)*10000)</f>
        <v/>
      </c>
      <c r="S210" s="30" t="n">
        <f aca="false">IF(AND(K210="고정",N210="N",J210&gt;=2,J210&lt;=4,I210&lt;&gt;""),1,0)</f>
        <v>0</v>
      </c>
      <c r="T210" s="59" t="n">
        <f aca="false">IF(S210=1,I210*L210,0)</f>
        <v>0</v>
      </c>
      <c r="U210" s="60" t="n">
        <f aca="false">IF(AND(S210=1,ISNUMBER(R210)),I210*R210,0)</f>
        <v>0</v>
      </c>
      <c r="V210" s="30" t="n">
        <f aca="false">IF(AND(F210="Big4(국영)",K210="고정",N210="N",I210&lt;&gt;""),1,0)</f>
        <v>0</v>
      </c>
      <c r="W210" s="59" t="n">
        <f aca="false">IF(V210=1,I210*L210,0)</f>
        <v>0</v>
      </c>
      <c r="X210" s="60" t="n">
        <f aca="false">IF(AND(V210=1,ISNUMBER(R210)),I210*R210,0)</f>
        <v>0</v>
      </c>
      <c r="Y210" s="61" t="n">
        <f aca="false">IF(AND(S210=1,ISNUMBER(R210)),I210,0)</f>
        <v>0</v>
      </c>
      <c r="Z210" s="61" t="n">
        <f aca="false">IF(AND(V210=1,ISNUMBER(R210)),I210,0)</f>
        <v>0</v>
      </c>
    </row>
    <row r="211" customFormat="false" ht="15" hidden="false" customHeight="false" outlineLevel="0" collapsed="false">
      <c r="A211" s="47" t="s">
        <v>476</v>
      </c>
      <c r="B211" s="52" t="n">
        <v>45282</v>
      </c>
      <c r="C211" s="53" t="n">
        <f aca="false">DATE(YEAR(B211),MONTH(B211),1)</f>
        <v>45261</v>
      </c>
      <c r="D211" s="5" t="str">
        <f aca="false">YEAR(B211)&amp;"Q"&amp;ROUNDUP(MONTH(B211)/3,0)</f>
        <v>2023Q4</v>
      </c>
      <c r="E211" s="47" t="s">
        <v>181</v>
      </c>
      <c r="F211" s="54" t="s">
        <v>139</v>
      </c>
      <c r="G211" s="47" t="s">
        <v>182</v>
      </c>
      <c r="H211" s="47" t="s">
        <v>529</v>
      </c>
      <c r="I211" s="55" t="n">
        <v>500</v>
      </c>
      <c r="J211" s="56" t="n">
        <v>3</v>
      </c>
      <c r="K211" s="54" t="s">
        <v>142</v>
      </c>
      <c r="L211" s="57" t="n">
        <v>0.05</v>
      </c>
      <c r="N211" s="47" t="s">
        <v>148</v>
      </c>
      <c r="O211" s="47" t="s">
        <v>530</v>
      </c>
      <c r="P211" s="47"/>
      <c r="Q211" s="48" t="n">
        <f aca="false">IF($J211="","",IFERROR(IF($J211&lt;=1,INDEX(VN_국채일별!$B$4:$B$1436,MATCH($B211,VN_국채일별!$A$4:$A$1436,1)),IF($J211&lt;=2,INDEX(VN_국채일별!$B$4:$B$1436,MATCH($B211,VN_국채일별!$A$4:$A$1436,1))+(INDEX(VN_국채일별!$C$4:$C$1436,MATCH($B211,VN_국채일별!$A$4:$A$1436,1))-INDEX(VN_국채일별!$B$4:$B$1436,MATCH($B211,VN_국채일별!$A$4:$A$1436,1)))*($J211-1),IF($J211&lt;=3,INDEX(VN_국채일별!$C$4:$C$1436,MATCH($B211,VN_국채일별!$A$4:$A$1436,1))+(INDEX(VN_국채일별!$D$4:$D$1436,MATCH($B211,VN_국채일별!$A$4:$A$1436,1))-INDEX(VN_국채일별!$C$4:$C$1436,MATCH($B211,VN_국채일별!$A$4:$A$1436,1)))*($J211-2),IF($J211&lt;=5,INDEX(VN_국채일별!$D$4:$D$1436,MATCH($B211,VN_국채일별!$A$4:$A$1436,1))+(INDEX(VN_국채일별!$E$4:$E$1436,MATCH($B211,VN_국채일별!$A$4:$A$1436,1))-INDEX(VN_국채일별!$D$4:$D$1436,MATCH($B211,VN_국채일별!$A$4:$A$1436,1)))*($J211-3)/2,IF($J211&lt;=7,INDEX(VN_국채일별!$E$4:$E$1436,MATCH($B211,VN_국채일별!$A$4:$A$1436,1))+(INDEX(VN_국채일별!$F$4:$F$1436,MATCH($B211,VN_국채일별!$A$4:$A$1436,1))-INDEX(VN_국채일별!$E$4:$E$1436,MATCH($B211,VN_국채일별!$A$4:$A$1436,1)))*($J211-5)/2,IF($J211&lt;=10,INDEX(VN_국채일별!$F$4:$F$1436,MATCH($B211,VN_국채일별!$A$4:$A$1436,1))+(INDEX(VN_국채일별!$G$4:$G$1436,MATCH($B211,VN_국채일별!$A$4:$A$1436,1))-INDEX(VN_국채일별!$F$4:$F$1436,MATCH($B211,VN_국채일별!$A$4:$A$1436,1)))*($J211-7)/3,INDEX(VN_국채일별!$G$4:$G$1436,MATCH($B211,VN_국채일별!$A$4:$A$1436,1)))))))),""))</f>
        <v>0.01752</v>
      </c>
      <c r="R211" s="58" t="n">
        <f aca="false">IF(OR(L211="",Q211=""),"",(L211-Q211)*10000)</f>
        <v>324.8</v>
      </c>
      <c r="S211" s="30" t="n">
        <f aca="false">IF(AND(K211="고정",N211="N",J211&gt;=2,J211&lt;=4,I211&lt;&gt;""),1,0)</f>
        <v>1</v>
      </c>
      <c r="T211" s="59" t="n">
        <f aca="false">IF(S211=1,I211*L211,0)</f>
        <v>25</v>
      </c>
      <c r="U211" s="60" t="n">
        <f aca="false">IF(AND(S211=1,ISNUMBER(R211)),I211*R211,0)</f>
        <v>162400</v>
      </c>
      <c r="V211" s="30" t="n">
        <f aca="false">IF(AND(F211="Big4(국영)",K211="고정",N211="N",I211&lt;&gt;""),1,0)</f>
        <v>0</v>
      </c>
      <c r="W211" s="59" t="n">
        <f aca="false">IF(V211=1,I211*L211,0)</f>
        <v>0</v>
      </c>
      <c r="X211" s="60" t="n">
        <f aca="false">IF(AND(V211=1,ISNUMBER(R211)),I211*R211,0)</f>
        <v>0</v>
      </c>
      <c r="Y211" s="61" t="n">
        <f aca="false">IF(AND(S211=1,ISNUMBER(R211)),I211,0)</f>
        <v>500</v>
      </c>
      <c r="Z211" s="61" t="n">
        <f aca="false">IF(AND(V211=1,ISNUMBER(R211)),I211,0)</f>
        <v>0</v>
      </c>
    </row>
    <row r="212" customFormat="false" ht="15" hidden="false" customHeight="false" outlineLevel="0" collapsed="false">
      <c r="A212" s="47" t="s">
        <v>476</v>
      </c>
      <c r="B212" s="52" t="n">
        <v>45282</v>
      </c>
      <c r="C212" s="53" t="n">
        <f aca="false">DATE(YEAR(B212),MONTH(B212),1)</f>
        <v>45261</v>
      </c>
      <c r="D212" s="5" t="str">
        <f aca="false">YEAR(B212)&amp;"Q"&amp;ROUNDUP(MONTH(B212)/3,0)</f>
        <v>2023Q4</v>
      </c>
      <c r="E212" s="47" t="s">
        <v>365</v>
      </c>
      <c r="F212" s="54" t="s">
        <v>139</v>
      </c>
      <c r="G212" s="47" t="s">
        <v>366</v>
      </c>
      <c r="H212" s="47" t="s">
        <v>531</v>
      </c>
      <c r="I212" s="55" t="n">
        <v>479.9</v>
      </c>
      <c r="J212" s="56" t="n">
        <v>10</v>
      </c>
      <c r="K212" s="54" t="s">
        <v>153</v>
      </c>
      <c r="N212" s="47" t="s">
        <v>143</v>
      </c>
      <c r="O212" s="47" t="s">
        <v>460</v>
      </c>
      <c r="P212" s="47"/>
      <c r="Q212" s="48" t="n">
        <f aca="false">IF($J212="","",IFERROR(IF($J212&lt;=1,INDEX(VN_국채일별!$B$4:$B$1436,MATCH($B212,VN_국채일별!$A$4:$A$1436,1)),IF($J212&lt;=2,INDEX(VN_국채일별!$B$4:$B$1436,MATCH($B212,VN_국채일별!$A$4:$A$1436,1))+(INDEX(VN_국채일별!$C$4:$C$1436,MATCH($B212,VN_국채일별!$A$4:$A$1436,1))-INDEX(VN_국채일별!$B$4:$B$1436,MATCH($B212,VN_국채일별!$A$4:$A$1436,1)))*($J212-1),IF($J212&lt;=3,INDEX(VN_국채일별!$C$4:$C$1436,MATCH($B212,VN_국채일별!$A$4:$A$1436,1))+(INDEX(VN_국채일별!$D$4:$D$1436,MATCH($B212,VN_국채일별!$A$4:$A$1436,1))-INDEX(VN_국채일별!$C$4:$C$1436,MATCH($B212,VN_국채일별!$A$4:$A$1436,1)))*($J212-2),IF($J212&lt;=5,INDEX(VN_국채일별!$D$4:$D$1436,MATCH($B212,VN_국채일별!$A$4:$A$1436,1))+(INDEX(VN_국채일별!$E$4:$E$1436,MATCH($B212,VN_국채일별!$A$4:$A$1436,1))-INDEX(VN_국채일별!$D$4:$D$1436,MATCH($B212,VN_국채일별!$A$4:$A$1436,1)))*($J212-3)/2,IF($J212&lt;=7,INDEX(VN_국채일별!$E$4:$E$1436,MATCH($B212,VN_국채일별!$A$4:$A$1436,1))+(INDEX(VN_국채일별!$F$4:$F$1436,MATCH($B212,VN_국채일별!$A$4:$A$1436,1))-INDEX(VN_국채일별!$E$4:$E$1436,MATCH($B212,VN_국채일별!$A$4:$A$1436,1)))*($J212-5)/2,IF($J212&lt;=10,INDEX(VN_국채일별!$F$4:$F$1436,MATCH($B212,VN_국채일별!$A$4:$A$1436,1))+(INDEX(VN_국채일별!$G$4:$G$1436,MATCH($B212,VN_국채일별!$A$4:$A$1436,1))-INDEX(VN_국채일별!$F$4:$F$1436,MATCH($B212,VN_국채일별!$A$4:$A$1436,1)))*($J212-7)/3,INDEX(VN_국채일별!$G$4:$G$1436,MATCH($B212,VN_국채일별!$A$4:$A$1436,1)))))))),""))</f>
        <v>0.02284</v>
      </c>
      <c r="R212" s="58" t="str">
        <f aca="false">IF(OR(L212="",Q212=""),"",(L212-Q212)*10000)</f>
        <v/>
      </c>
      <c r="S212" s="30" t="n">
        <f aca="false">IF(AND(K212="고정",N212="N",J212&gt;=2,J212&lt;=4,I212&lt;&gt;""),1,0)</f>
        <v>0</v>
      </c>
      <c r="T212" s="59" t="n">
        <f aca="false">IF(S212=1,I212*L212,0)</f>
        <v>0</v>
      </c>
      <c r="U212" s="60" t="n">
        <f aca="false">IF(AND(S212=1,ISNUMBER(R212)),I212*R212,0)</f>
        <v>0</v>
      </c>
      <c r="V212" s="30" t="n">
        <f aca="false">IF(AND(F212="Big4(국영)",K212="고정",N212="N",I212&lt;&gt;""),1,0)</f>
        <v>0</v>
      </c>
      <c r="W212" s="59" t="n">
        <f aca="false">IF(V212=1,I212*L212,0)</f>
        <v>0</v>
      </c>
      <c r="X212" s="60" t="n">
        <f aca="false">IF(AND(V212=1,ISNUMBER(R212)),I212*R212,0)</f>
        <v>0</v>
      </c>
      <c r="Y212" s="61" t="n">
        <f aca="false">IF(AND(S212=1,ISNUMBER(R212)),I212,0)</f>
        <v>0</v>
      </c>
      <c r="Z212" s="61" t="n">
        <f aca="false">IF(AND(V212=1,ISNUMBER(R212)),I212,0)</f>
        <v>0</v>
      </c>
    </row>
    <row r="213" customFormat="false" ht="15" hidden="false" customHeight="false" outlineLevel="0" collapsed="false">
      <c r="A213" s="47" t="s">
        <v>476</v>
      </c>
      <c r="B213" s="52" t="n">
        <v>45282</v>
      </c>
      <c r="C213" s="53" t="n">
        <f aca="false">DATE(YEAR(B213),MONTH(B213),1)</f>
        <v>45261</v>
      </c>
      <c r="D213" s="5" t="str">
        <f aca="false">YEAR(B213)&amp;"Q"&amp;ROUNDUP(MONTH(B213)/3,0)</f>
        <v>2023Q4</v>
      </c>
      <c r="E213" s="47" t="s">
        <v>248</v>
      </c>
      <c r="F213" s="54" t="s">
        <v>139</v>
      </c>
      <c r="G213" s="47" t="s">
        <v>361</v>
      </c>
      <c r="H213" s="47" t="s">
        <v>532</v>
      </c>
      <c r="I213" s="55" t="n">
        <v>375</v>
      </c>
      <c r="J213" s="56" t="n">
        <v>8</v>
      </c>
      <c r="K213" s="54" t="s">
        <v>153</v>
      </c>
      <c r="N213" s="47" t="s">
        <v>143</v>
      </c>
      <c r="O213" s="47" t="s">
        <v>494</v>
      </c>
      <c r="P213" s="47"/>
      <c r="Q213" s="48" t="n">
        <f aca="false">IF($J213="","",IFERROR(IF($J213&lt;=1,INDEX(VN_국채일별!$B$4:$B$1436,MATCH($B213,VN_국채일별!$A$4:$A$1436,1)),IF($J213&lt;=2,INDEX(VN_국채일별!$B$4:$B$1436,MATCH($B213,VN_국채일별!$A$4:$A$1436,1))+(INDEX(VN_국채일별!$C$4:$C$1436,MATCH($B213,VN_국채일별!$A$4:$A$1436,1))-INDEX(VN_국채일별!$B$4:$B$1436,MATCH($B213,VN_국채일별!$A$4:$A$1436,1)))*($J213-1),IF($J213&lt;=3,INDEX(VN_국채일별!$C$4:$C$1436,MATCH($B213,VN_국채일별!$A$4:$A$1436,1))+(INDEX(VN_국채일별!$D$4:$D$1436,MATCH($B213,VN_국채일별!$A$4:$A$1436,1))-INDEX(VN_국채일별!$C$4:$C$1436,MATCH($B213,VN_국채일별!$A$4:$A$1436,1)))*($J213-2),IF($J213&lt;=5,INDEX(VN_국채일별!$D$4:$D$1436,MATCH($B213,VN_국채일별!$A$4:$A$1436,1))+(INDEX(VN_국채일별!$E$4:$E$1436,MATCH($B213,VN_국채일별!$A$4:$A$1436,1))-INDEX(VN_국채일별!$D$4:$D$1436,MATCH($B213,VN_국채일별!$A$4:$A$1436,1)))*($J213-3)/2,IF($J213&lt;=7,INDEX(VN_국채일별!$E$4:$E$1436,MATCH($B213,VN_국채일별!$A$4:$A$1436,1))+(INDEX(VN_국채일별!$F$4:$F$1436,MATCH($B213,VN_국채일별!$A$4:$A$1436,1))-INDEX(VN_국채일별!$E$4:$E$1436,MATCH($B213,VN_국채일별!$A$4:$A$1436,1)))*($J213-5)/2,IF($J213&lt;=10,INDEX(VN_국채일별!$F$4:$F$1436,MATCH($B213,VN_국채일별!$A$4:$A$1436,1))+(INDEX(VN_국채일별!$G$4:$G$1436,MATCH($B213,VN_국채일별!$A$4:$A$1436,1))-INDEX(VN_국채일별!$F$4:$F$1436,MATCH($B213,VN_국채일별!$A$4:$A$1436,1)))*($J213-7)/3,INDEX(VN_국채일별!$G$4:$G$1436,MATCH($B213,VN_국채일별!$A$4:$A$1436,1)))))))),""))</f>
        <v>0.02068</v>
      </c>
      <c r="R213" s="58" t="str">
        <f aca="false">IF(OR(L213="",Q213=""),"",(L213-Q213)*10000)</f>
        <v/>
      </c>
      <c r="S213" s="30" t="n">
        <f aca="false">IF(AND(K213="고정",N213="N",J213&gt;=2,J213&lt;=4,I213&lt;&gt;""),1,0)</f>
        <v>0</v>
      </c>
      <c r="T213" s="59" t="n">
        <f aca="false">IF(S213=1,I213*L213,0)</f>
        <v>0</v>
      </c>
      <c r="U213" s="60" t="n">
        <f aca="false">IF(AND(S213=1,ISNUMBER(R213)),I213*R213,0)</f>
        <v>0</v>
      </c>
      <c r="V213" s="30" t="n">
        <f aca="false">IF(AND(F213="Big4(국영)",K213="고정",N213="N",I213&lt;&gt;""),1,0)</f>
        <v>0</v>
      </c>
      <c r="W213" s="59" t="n">
        <f aca="false">IF(V213=1,I213*L213,0)</f>
        <v>0</v>
      </c>
      <c r="X213" s="60" t="n">
        <f aca="false">IF(AND(V213=1,ISNUMBER(R213)),I213*R213,0)</f>
        <v>0</v>
      </c>
      <c r="Y213" s="61" t="n">
        <f aca="false">IF(AND(S213=1,ISNUMBER(R213)),I213,0)</f>
        <v>0</v>
      </c>
      <c r="Z213" s="61" t="n">
        <f aca="false">IF(AND(V213=1,ISNUMBER(R213)),I213,0)</f>
        <v>0</v>
      </c>
    </row>
    <row r="214" customFormat="false" ht="15" hidden="false" customHeight="false" outlineLevel="0" collapsed="false">
      <c r="A214" s="47" t="s">
        <v>476</v>
      </c>
      <c r="B214" s="52" t="n">
        <v>45282</v>
      </c>
      <c r="C214" s="53" t="n">
        <f aca="false">DATE(YEAR(B214),MONTH(B214),1)</f>
        <v>45261</v>
      </c>
      <c r="D214" s="5" t="str">
        <f aca="false">YEAR(B214)&amp;"Q"&amp;ROUNDUP(MONTH(B214)/3,0)</f>
        <v>2023Q4</v>
      </c>
      <c r="E214" s="62" t="s">
        <v>230</v>
      </c>
      <c r="F214" s="62" t="s">
        <v>156</v>
      </c>
      <c r="G214" s="47" t="s">
        <v>345</v>
      </c>
      <c r="H214" s="47" t="s">
        <v>533</v>
      </c>
      <c r="I214" s="55" t="n">
        <v>2000</v>
      </c>
      <c r="J214" s="56" t="n">
        <v>6</v>
      </c>
      <c r="K214" s="54" t="s">
        <v>153</v>
      </c>
      <c r="N214" s="47" t="s">
        <v>148</v>
      </c>
      <c r="O214" s="47" t="s">
        <v>534</v>
      </c>
      <c r="P214" s="47"/>
      <c r="Q214" s="48" t="n">
        <f aca="false">IF($J214="","",IFERROR(IF($J214&lt;=1,INDEX(VN_국채일별!$B$4:$B$1436,MATCH($B214,VN_국채일별!$A$4:$A$1436,1)),IF($J214&lt;=2,INDEX(VN_국채일별!$B$4:$B$1436,MATCH($B214,VN_국채일별!$A$4:$A$1436,1))+(INDEX(VN_국채일별!$C$4:$C$1436,MATCH($B214,VN_국채일별!$A$4:$A$1436,1))-INDEX(VN_국채일별!$B$4:$B$1436,MATCH($B214,VN_국채일별!$A$4:$A$1436,1)))*($J214-1),IF($J214&lt;=3,INDEX(VN_국채일별!$C$4:$C$1436,MATCH($B214,VN_국채일별!$A$4:$A$1436,1))+(INDEX(VN_국채일별!$D$4:$D$1436,MATCH($B214,VN_국채일별!$A$4:$A$1436,1))-INDEX(VN_국채일별!$C$4:$C$1436,MATCH($B214,VN_국채일별!$A$4:$A$1436,1)))*($J214-2),IF($J214&lt;=5,INDEX(VN_국채일별!$D$4:$D$1436,MATCH($B214,VN_국채일별!$A$4:$A$1436,1))+(INDEX(VN_국채일별!$E$4:$E$1436,MATCH($B214,VN_국채일별!$A$4:$A$1436,1))-INDEX(VN_국채일별!$D$4:$D$1436,MATCH($B214,VN_국채일별!$A$4:$A$1436,1)))*($J214-3)/2,IF($J214&lt;=7,INDEX(VN_국채일별!$E$4:$E$1436,MATCH($B214,VN_국채일별!$A$4:$A$1436,1))+(INDEX(VN_국채일별!$F$4:$F$1436,MATCH($B214,VN_국채일별!$A$4:$A$1436,1))-INDEX(VN_국채일별!$E$4:$E$1436,MATCH($B214,VN_국채일별!$A$4:$A$1436,1)))*($J214-5)/2,IF($J214&lt;=10,INDEX(VN_국채일별!$F$4:$F$1436,MATCH($B214,VN_국채일별!$A$4:$A$1436,1))+(INDEX(VN_국채일별!$G$4:$G$1436,MATCH($B214,VN_국채일별!$A$4:$A$1436,1))-INDEX(VN_국채일별!$F$4:$F$1436,MATCH($B214,VN_국채일별!$A$4:$A$1436,1)))*($J214-7)/3,INDEX(VN_국채일별!$G$4:$G$1436,MATCH($B214,VN_국채일별!$A$4:$A$1436,1)))))))),""))</f>
        <v>0.01815</v>
      </c>
      <c r="R214" s="58" t="str">
        <f aca="false">IF(OR(L214="",Q214=""),"",(L214-Q214)*10000)</f>
        <v/>
      </c>
      <c r="S214" s="30" t="n">
        <f aca="false">IF(AND(K214="고정",N214="N",J214&gt;=2,J214&lt;=4,I214&lt;&gt;""),1,0)</f>
        <v>0</v>
      </c>
      <c r="T214" s="59" t="n">
        <f aca="false">IF(S214=1,I214*L214,0)</f>
        <v>0</v>
      </c>
      <c r="U214" s="60" t="n">
        <f aca="false">IF(AND(S214=1,ISNUMBER(R214)),I214*R214,0)</f>
        <v>0</v>
      </c>
      <c r="V214" s="30" t="n">
        <f aca="false">IF(AND(F214="Big4(국영)",K214="고정",N214="N",I214&lt;&gt;""),1,0)</f>
        <v>0</v>
      </c>
      <c r="W214" s="59" t="n">
        <f aca="false">IF(V214=1,I214*L214,0)</f>
        <v>0</v>
      </c>
      <c r="X214" s="60" t="n">
        <f aca="false">IF(AND(V214=1,ISNUMBER(R214)),I214*R214,0)</f>
        <v>0</v>
      </c>
      <c r="Y214" s="61" t="n">
        <f aca="false">IF(AND(S214=1,ISNUMBER(R214)),I214,0)</f>
        <v>0</v>
      </c>
      <c r="Z214" s="61" t="n">
        <f aca="false">IF(AND(V214=1,ISNUMBER(R214)),I214,0)</f>
        <v>0</v>
      </c>
    </row>
    <row r="215" customFormat="false" ht="15" hidden="false" customHeight="false" outlineLevel="0" collapsed="false">
      <c r="A215" s="47" t="s">
        <v>476</v>
      </c>
      <c r="B215" s="52" t="n">
        <v>45282</v>
      </c>
      <c r="C215" s="53" t="n">
        <f aca="false">DATE(YEAR(B215),MONTH(B215),1)</f>
        <v>45261</v>
      </c>
      <c r="D215" s="5" t="str">
        <f aca="false">YEAR(B215)&amp;"Q"&amp;ROUNDUP(MONTH(B215)/3,0)</f>
        <v>2023Q4</v>
      </c>
      <c r="E215" s="62" t="s">
        <v>230</v>
      </c>
      <c r="F215" s="62" t="s">
        <v>156</v>
      </c>
      <c r="G215" s="47" t="s">
        <v>345</v>
      </c>
      <c r="H215" s="47" t="s">
        <v>535</v>
      </c>
      <c r="I215" s="55" t="n">
        <v>1000</v>
      </c>
      <c r="J215" s="56" t="n">
        <v>5.5</v>
      </c>
      <c r="K215" s="54" t="s">
        <v>153</v>
      </c>
      <c r="M215" s="57" t="n">
        <v>0.0065</v>
      </c>
      <c r="N215" s="47" t="s">
        <v>148</v>
      </c>
      <c r="O215" s="47" t="s">
        <v>536</v>
      </c>
      <c r="P215" s="47"/>
      <c r="Q215" s="48" t="n">
        <f aca="false">IF($J215="","",IFERROR(IF($J215&lt;=1,INDEX(VN_국채일별!$B$4:$B$1436,MATCH($B215,VN_국채일별!$A$4:$A$1436,1)),IF($J215&lt;=2,INDEX(VN_국채일별!$B$4:$B$1436,MATCH($B215,VN_국채일별!$A$4:$A$1436,1))+(INDEX(VN_국채일별!$C$4:$C$1436,MATCH($B215,VN_국채일별!$A$4:$A$1436,1))-INDEX(VN_국채일별!$B$4:$B$1436,MATCH($B215,VN_국채일별!$A$4:$A$1436,1)))*($J215-1),IF($J215&lt;=3,INDEX(VN_국채일별!$C$4:$C$1436,MATCH($B215,VN_국채일별!$A$4:$A$1436,1))+(INDEX(VN_국채일별!$D$4:$D$1436,MATCH($B215,VN_국채일별!$A$4:$A$1436,1))-INDEX(VN_국채일별!$C$4:$C$1436,MATCH($B215,VN_국채일별!$A$4:$A$1436,1)))*($J215-2),IF($J215&lt;=5,INDEX(VN_국채일별!$D$4:$D$1436,MATCH($B215,VN_국채일별!$A$4:$A$1436,1))+(INDEX(VN_국채일별!$E$4:$E$1436,MATCH($B215,VN_국채일별!$A$4:$A$1436,1))-INDEX(VN_국채일별!$D$4:$D$1436,MATCH($B215,VN_국채일별!$A$4:$A$1436,1)))*($J215-3)/2,IF($J215&lt;=7,INDEX(VN_국채일별!$E$4:$E$1436,MATCH($B215,VN_국채일별!$A$4:$A$1436,1))+(INDEX(VN_국채일별!$F$4:$F$1436,MATCH($B215,VN_국채일별!$A$4:$A$1436,1))-INDEX(VN_국채일별!$E$4:$E$1436,MATCH($B215,VN_국채일별!$A$4:$A$1436,1)))*($J215-5)/2,IF($J215&lt;=10,INDEX(VN_국채일별!$F$4:$F$1436,MATCH($B215,VN_국채일별!$A$4:$A$1436,1))+(INDEX(VN_국채일별!$G$4:$G$1436,MATCH($B215,VN_국채일별!$A$4:$A$1436,1))-INDEX(VN_국채일별!$F$4:$F$1436,MATCH($B215,VN_국채일별!$A$4:$A$1436,1)))*($J215-7)/3,INDEX(VN_국채일별!$G$4:$G$1436,MATCH($B215,VN_국채일별!$A$4:$A$1436,1)))))))),""))</f>
        <v>0.017425</v>
      </c>
      <c r="R215" s="58" t="str">
        <f aca="false">IF(OR(L215="",Q215=""),"",(L215-Q215)*10000)</f>
        <v/>
      </c>
      <c r="S215" s="30" t="n">
        <f aca="false">IF(AND(K215="고정",N215="N",J215&gt;=2,J215&lt;=4,I215&lt;&gt;""),1,0)</f>
        <v>0</v>
      </c>
      <c r="T215" s="59" t="n">
        <f aca="false">IF(S215=1,I215*L215,0)</f>
        <v>0</v>
      </c>
      <c r="U215" s="60" t="n">
        <f aca="false">IF(AND(S215=1,ISNUMBER(R215)),I215*R215,0)</f>
        <v>0</v>
      </c>
      <c r="V215" s="30" t="n">
        <f aca="false">IF(AND(F215="Big4(국영)",K215="고정",N215="N",I215&lt;&gt;""),1,0)</f>
        <v>0</v>
      </c>
      <c r="W215" s="59" t="n">
        <f aca="false">IF(V215=1,I215*L215,0)</f>
        <v>0</v>
      </c>
      <c r="X215" s="60" t="n">
        <f aca="false">IF(AND(V215=1,ISNUMBER(R215)),I215*R215,0)</f>
        <v>0</v>
      </c>
      <c r="Y215" s="61" t="n">
        <f aca="false">IF(AND(S215=1,ISNUMBER(R215)),I215,0)</f>
        <v>0</v>
      </c>
      <c r="Z215" s="61" t="n">
        <f aca="false">IF(AND(V215=1,ISNUMBER(R215)),I215,0)</f>
        <v>0</v>
      </c>
    </row>
    <row r="216" customFormat="false" ht="15" hidden="false" customHeight="false" outlineLevel="0" collapsed="false">
      <c r="A216" s="47" t="s">
        <v>476</v>
      </c>
      <c r="B216" s="52" t="n">
        <v>45282</v>
      </c>
      <c r="C216" s="53" t="n">
        <f aca="false">DATE(YEAR(B216),MONTH(B216),1)</f>
        <v>45261</v>
      </c>
      <c r="D216" s="5" t="str">
        <f aca="false">YEAR(B216)&amp;"Q"&amp;ROUNDUP(MONTH(B216)/3,0)</f>
        <v>2023Q4</v>
      </c>
      <c r="E216" s="47" t="s">
        <v>307</v>
      </c>
      <c r="F216" s="54" t="s">
        <v>139</v>
      </c>
      <c r="G216" s="47" t="s">
        <v>308</v>
      </c>
      <c r="H216" s="47" t="s">
        <v>537</v>
      </c>
      <c r="I216" s="55" t="n">
        <v>2000</v>
      </c>
      <c r="J216" s="56" t="n">
        <v>3</v>
      </c>
      <c r="K216" s="54" t="s">
        <v>142</v>
      </c>
      <c r="L216" s="57" t="n">
        <v>0.052</v>
      </c>
      <c r="N216" s="47" t="s">
        <v>148</v>
      </c>
      <c r="O216" s="47" t="s">
        <v>538</v>
      </c>
      <c r="P216" s="47"/>
      <c r="Q216" s="48" t="n">
        <f aca="false">IF($J216="","",IFERROR(IF($J216&lt;=1,INDEX(VN_국채일별!$B$4:$B$1436,MATCH($B216,VN_국채일별!$A$4:$A$1436,1)),IF($J216&lt;=2,INDEX(VN_국채일별!$B$4:$B$1436,MATCH($B216,VN_국채일별!$A$4:$A$1436,1))+(INDEX(VN_국채일별!$C$4:$C$1436,MATCH($B216,VN_국채일별!$A$4:$A$1436,1))-INDEX(VN_국채일별!$B$4:$B$1436,MATCH($B216,VN_국채일별!$A$4:$A$1436,1)))*($J216-1),IF($J216&lt;=3,INDEX(VN_국채일별!$C$4:$C$1436,MATCH($B216,VN_국채일별!$A$4:$A$1436,1))+(INDEX(VN_국채일별!$D$4:$D$1436,MATCH($B216,VN_국채일별!$A$4:$A$1436,1))-INDEX(VN_국채일별!$C$4:$C$1436,MATCH($B216,VN_국채일별!$A$4:$A$1436,1)))*($J216-2),IF($J216&lt;=5,INDEX(VN_국채일별!$D$4:$D$1436,MATCH($B216,VN_국채일별!$A$4:$A$1436,1))+(INDEX(VN_국채일별!$E$4:$E$1436,MATCH($B216,VN_국채일별!$A$4:$A$1436,1))-INDEX(VN_국채일별!$D$4:$D$1436,MATCH($B216,VN_국채일별!$A$4:$A$1436,1)))*($J216-3)/2,IF($J216&lt;=7,INDEX(VN_국채일별!$E$4:$E$1436,MATCH($B216,VN_국채일별!$A$4:$A$1436,1))+(INDEX(VN_국채일별!$F$4:$F$1436,MATCH($B216,VN_국채일별!$A$4:$A$1436,1))-INDEX(VN_국채일별!$E$4:$E$1436,MATCH($B216,VN_국채일별!$A$4:$A$1436,1)))*($J216-5)/2,IF($J216&lt;=10,INDEX(VN_국채일별!$F$4:$F$1436,MATCH($B216,VN_국채일별!$A$4:$A$1436,1))+(INDEX(VN_국채일별!$G$4:$G$1436,MATCH($B216,VN_국채일별!$A$4:$A$1436,1))-INDEX(VN_국채일별!$F$4:$F$1436,MATCH($B216,VN_국채일별!$A$4:$A$1436,1)))*($J216-7)/3,INDEX(VN_국채일별!$G$4:$G$1436,MATCH($B216,VN_국채일별!$A$4:$A$1436,1)))))))),""))</f>
        <v>0.01752</v>
      </c>
      <c r="R216" s="58" t="n">
        <f aca="false">IF(OR(L216="",Q216=""),"",(L216-Q216)*10000)</f>
        <v>344.8</v>
      </c>
      <c r="S216" s="30" t="n">
        <f aca="false">IF(AND(K216="고정",N216="N",J216&gt;=2,J216&lt;=4,I216&lt;&gt;""),1,0)</f>
        <v>1</v>
      </c>
      <c r="T216" s="59" t="n">
        <f aca="false">IF(S216=1,I216*L216,0)</f>
        <v>104</v>
      </c>
      <c r="U216" s="60" t="n">
        <f aca="false">IF(AND(S216=1,ISNUMBER(R216)),I216*R216,0)</f>
        <v>689600</v>
      </c>
      <c r="V216" s="30" t="n">
        <f aca="false">IF(AND(F216="Big4(국영)",K216="고정",N216="N",I216&lt;&gt;""),1,0)</f>
        <v>0</v>
      </c>
      <c r="W216" s="59" t="n">
        <f aca="false">IF(V216=1,I216*L216,0)</f>
        <v>0</v>
      </c>
      <c r="X216" s="60" t="n">
        <f aca="false">IF(AND(V216=1,ISNUMBER(R216)),I216*R216,0)</f>
        <v>0</v>
      </c>
      <c r="Y216" s="61" t="n">
        <f aca="false">IF(AND(S216=1,ISNUMBER(R216)),I216,0)</f>
        <v>2000</v>
      </c>
      <c r="Z216" s="61" t="n">
        <f aca="false">IF(AND(V216=1,ISNUMBER(R216)),I216,0)</f>
        <v>0</v>
      </c>
    </row>
    <row r="217" customFormat="false" ht="15" hidden="false" customHeight="false" outlineLevel="0" collapsed="false">
      <c r="A217" s="47" t="s">
        <v>476</v>
      </c>
      <c r="B217" s="52" t="n">
        <v>45285</v>
      </c>
      <c r="C217" s="53" t="n">
        <f aca="false">DATE(YEAR(B217),MONTH(B217),1)</f>
        <v>45261</v>
      </c>
      <c r="D217" s="5" t="str">
        <f aca="false">YEAR(B217)&amp;"Q"&amp;ROUNDUP(MONTH(B217)/3,0)</f>
        <v>2023Q4</v>
      </c>
      <c r="E217" s="47" t="s">
        <v>307</v>
      </c>
      <c r="F217" s="54" t="s">
        <v>139</v>
      </c>
      <c r="G217" s="47" t="s">
        <v>308</v>
      </c>
      <c r="H217" s="47" t="s">
        <v>539</v>
      </c>
      <c r="I217" s="55" t="n">
        <v>2000</v>
      </c>
      <c r="J217" s="56" t="n">
        <v>2</v>
      </c>
      <c r="K217" s="54" t="s">
        <v>142</v>
      </c>
      <c r="L217" s="57" t="n">
        <v>0.047</v>
      </c>
      <c r="N217" s="47" t="s">
        <v>148</v>
      </c>
      <c r="O217" s="47" t="s">
        <v>326</v>
      </c>
      <c r="P217" s="47"/>
      <c r="Q217" s="48" t="n">
        <f aca="false">IF($J217="","",IFERROR(IF($J217&lt;=1,INDEX(VN_국채일별!$B$4:$B$1436,MATCH($B217,VN_국채일별!$A$4:$A$1436,1)),IF($J217&lt;=2,INDEX(VN_국채일별!$B$4:$B$1436,MATCH($B217,VN_국채일별!$A$4:$A$1436,1))+(INDEX(VN_국채일별!$C$4:$C$1436,MATCH($B217,VN_국채일별!$A$4:$A$1436,1))-INDEX(VN_국채일별!$B$4:$B$1436,MATCH($B217,VN_국채일별!$A$4:$A$1436,1)))*($J217-1),IF($J217&lt;=3,INDEX(VN_국채일별!$C$4:$C$1436,MATCH($B217,VN_국채일별!$A$4:$A$1436,1))+(INDEX(VN_국채일별!$D$4:$D$1436,MATCH($B217,VN_국채일별!$A$4:$A$1436,1))-INDEX(VN_국채일별!$C$4:$C$1436,MATCH($B217,VN_국채일별!$A$4:$A$1436,1)))*($J217-2),IF($J217&lt;=5,INDEX(VN_국채일별!$D$4:$D$1436,MATCH($B217,VN_국채일별!$A$4:$A$1436,1))+(INDEX(VN_국채일별!$E$4:$E$1436,MATCH($B217,VN_국채일별!$A$4:$A$1436,1))-INDEX(VN_국채일별!$D$4:$D$1436,MATCH($B217,VN_국채일별!$A$4:$A$1436,1)))*($J217-3)/2,IF($J217&lt;=7,INDEX(VN_국채일별!$E$4:$E$1436,MATCH($B217,VN_국채일별!$A$4:$A$1436,1))+(INDEX(VN_국채일별!$F$4:$F$1436,MATCH($B217,VN_국채일별!$A$4:$A$1436,1))-INDEX(VN_국채일별!$E$4:$E$1436,MATCH($B217,VN_국채일별!$A$4:$A$1436,1)))*($J217-5)/2,IF($J217&lt;=10,INDEX(VN_국채일별!$F$4:$F$1436,MATCH($B217,VN_국채일별!$A$4:$A$1436,1))+(INDEX(VN_국채일별!$G$4:$G$1436,MATCH($B217,VN_국채일별!$A$4:$A$1436,1))-INDEX(VN_국채일별!$F$4:$F$1436,MATCH($B217,VN_국채일별!$A$4:$A$1436,1)))*($J217-7)/3,INDEX(VN_국채일별!$G$4:$G$1436,MATCH($B217,VN_국채일별!$A$4:$A$1436,1)))))))),""))</f>
        <v>0.01687</v>
      </c>
      <c r="R217" s="58" t="n">
        <f aca="false">IF(OR(L217="",Q217=""),"",(L217-Q217)*10000)</f>
        <v>301.3</v>
      </c>
      <c r="S217" s="30" t="n">
        <f aca="false">IF(AND(K217="고정",N217="N",J217&gt;=2,J217&lt;=4,I217&lt;&gt;""),1,0)</f>
        <v>1</v>
      </c>
      <c r="T217" s="59" t="n">
        <f aca="false">IF(S217=1,I217*L217,0)</f>
        <v>94</v>
      </c>
      <c r="U217" s="60" t="n">
        <f aca="false">IF(AND(S217=1,ISNUMBER(R217)),I217*R217,0)</f>
        <v>602600</v>
      </c>
      <c r="V217" s="30" t="n">
        <f aca="false">IF(AND(F217="Big4(국영)",K217="고정",N217="N",I217&lt;&gt;""),1,0)</f>
        <v>0</v>
      </c>
      <c r="W217" s="59" t="n">
        <f aca="false">IF(V217=1,I217*L217,0)</f>
        <v>0</v>
      </c>
      <c r="X217" s="60" t="n">
        <f aca="false">IF(AND(V217=1,ISNUMBER(R217)),I217*R217,0)</f>
        <v>0</v>
      </c>
      <c r="Y217" s="61" t="n">
        <f aca="false">IF(AND(S217=1,ISNUMBER(R217)),I217,0)</f>
        <v>2000</v>
      </c>
      <c r="Z217" s="61" t="n">
        <f aca="false">IF(AND(V217=1,ISNUMBER(R217)),I217,0)</f>
        <v>0</v>
      </c>
    </row>
    <row r="218" customFormat="false" ht="15" hidden="false" customHeight="false" outlineLevel="0" collapsed="false">
      <c r="A218" s="47" t="s">
        <v>476</v>
      </c>
      <c r="B218" s="52" t="n">
        <v>45285</v>
      </c>
      <c r="C218" s="53" t="n">
        <f aca="false">DATE(YEAR(B218),MONTH(B218),1)</f>
        <v>45261</v>
      </c>
      <c r="D218" s="5" t="str">
        <f aca="false">YEAR(B218)&amp;"Q"&amp;ROUNDUP(MONTH(B218)/3,0)</f>
        <v>2023Q4</v>
      </c>
      <c r="E218" s="47" t="s">
        <v>181</v>
      </c>
      <c r="F218" s="54" t="s">
        <v>139</v>
      </c>
      <c r="G218" s="47" t="s">
        <v>182</v>
      </c>
      <c r="H218" s="47" t="s">
        <v>540</v>
      </c>
      <c r="I218" s="55" t="n">
        <v>3000</v>
      </c>
      <c r="J218" s="56" t="n">
        <v>2</v>
      </c>
      <c r="K218" s="54" t="s">
        <v>142</v>
      </c>
      <c r="L218" s="57" t="n">
        <v>0.05</v>
      </c>
      <c r="N218" s="47" t="s">
        <v>148</v>
      </c>
      <c r="O218" s="47" t="s">
        <v>530</v>
      </c>
      <c r="P218" s="47"/>
      <c r="Q218" s="48" t="n">
        <f aca="false">IF($J218="","",IFERROR(IF($J218&lt;=1,INDEX(VN_국채일별!$B$4:$B$1436,MATCH($B218,VN_국채일별!$A$4:$A$1436,1)),IF($J218&lt;=2,INDEX(VN_국채일별!$B$4:$B$1436,MATCH($B218,VN_국채일별!$A$4:$A$1436,1))+(INDEX(VN_국채일별!$C$4:$C$1436,MATCH($B218,VN_국채일별!$A$4:$A$1436,1))-INDEX(VN_국채일별!$B$4:$B$1436,MATCH($B218,VN_국채일별!$A$4:$A$1436,1)))*($J218-1),IF($J218&lt;=3,INDEX(VN_국채일별!$C$4:$C$1436,MATCH($B218,VN_국채일별!$A$4:$A$1436,1))+(INDEX(VN_국채일별!$D$4:$D$1436,MATCH($B218,VN_국채일별!$A$4:$A$1436,1))-INDEX(VN_국채일별!$C$4:$C$1436,MATCH($B218,VN_국채일별!$A$4:$A$1436,1)))*($J218-2),IF($J218&lt;=5,INDEX(VN_국채일별!$D$4:$D$1436,MATCH($B218,VN_국채일별!$A$4:$A$1436,1))+(INDEX(VN_국채일별!$E$4:$E$1436,MATCH($B218,VN_국채일별!$A$4:$A$1436,1))-INDEX(VN_국채일별!$D$4:$D$1436,MATCH($B218,VN_국채일별!$A$4:$A$1436,1)))*($J218-3)/2,IF($J218&lt;=7,INDEX(VN_국채일별!$E$4:$E$1436,MATCH($B218,VN_국채일별!$A$4:$A$1436,1))+(INDEX(VN_국채일별!$F$4:$F$1436,MATCH($B218,VN_국채일별!$A$4:$A$1436,1))-INDEX(VN_국채일별!$E$4:$E$1436,MATCH($B218,VN_국채일별!$A$4:$A$1436,1)))*($J218-5)/2,IF($J218&lt;=10,INDEX(VN_국채일별!$F$4:$F$1436,MATCH($B218,VN_국채일별!$A$4:$A$1436,1))+(INDEX(VN_국채일별!$G$4:$G$1436,MATCH($B218,VN_국채일별!$A$4:$A$1436,1))-INDEX(VN_국채일별!$F$4:$F$1436,MATCH($B218,VN_국채일별!$A$4:$A$1436,1)))*($J218-7)/3,INDEX(VN_국채일별!$G$4:$G$1436,MATCH($B218,VN_국채일별!$A$4:$A$1436,1)))))))),""))</f>
        <v>0.01687</v>
      </c>
      <c r="R218" s="58" t="n">
        <f aca="false">IF(OR(L218="",Q218=""),"",(L218-Q218)*10000)</f>
        <v>331.3</v>
      </c>
      <c r="S218" s="30" t="n">
        <f aca="false">IF(AND(K218="고정",N218="N",J218&gt;=2,J218&lt;=4,I218&lt;&gt;""),1,0)</f>
        <v>1</v>
      </c>
      <c r="T218" s="59" t="n">
        <f aca="false">IF(S218=1,I218*L218,0)</f>
        <v>150</v>
      </c>
      <c r="U218" s="60" t="n">
        <f aca="false">IF(AND(S218=1,ISNUMBER(R218)),I218*R218,0)</f>
        <v>993900</v>
      </c>
      <c r="V218" s="30" t="n">
        <f aca="false">IF(AND(F218="Big4(국영)",K218="고정",N218="N",I218&lt;&gt;""),1,0)</f>
        <v>0</v>
      </c>
      <c r="W218" s="59" t="n">
        <f aca="false">IF(V218=1,I218*L218,0)</f>
        <v>0</v>
      </c>
      <c r="X218" s="60" t="n">
        <f aca="false">IF(AND(V218=1,ISNUMBER(R218)),I218*R218,0)</f>
        <v>0</v>
      </c>
      <c r="Y218" s="61" t="n">
        <f aca="false">IF(AND(S218=1,ISNUMBER(R218)),I218,0)</f>
        <v>3000</v>
      </c>
      <c r="Z218" s="61" t="n">
        <f aca="false">IF(AND(V218=1,ISNUMBER(R218)),I218,0)</f>
        <v>0</v>
      </c>
    </row>
    <row r="219" customFormat="false" ht="15" hidden="false" customHeight="false" outlineLevel="0" collapsed="false">
      <c r="A219" s="47" t="s">
        <v>476</v>
      </c>
      <c r="B219" s="52" t="n">
        <v>45286</v>
      </c>
      <c r="C219" s="53" t="n">
        <f aca="false">DATE(YEAR(B219),MONTH(B219),1)</f>
        <v>45261</v>
      </c>
      <c r="D219" s="5" t="str">
        <f aca="false">YEAR(B219)&amp;"Q"&amp;ROUNDUP(MONTH(B219)/3,0)</f>
        <v>2023Q4</v>
      </c>
      <c r="E219" s="47" t="s">
        <v>181</v>
      </c>
      <c r="F219" s="54" t="s">
        <v>139</v>
      </c>
      <c r="G219" s="47" t="s">
        <v>182</v>
      </c>
      <c r="H219" s="47" t="s">
        <v>541</v>
      </c>
      <c r="I219" s="55" t="n">
        <v>1000</v>
      </c>
      <c r="J219" s="56" t="n">
        <v>3</v>
      </c>
      <c r="K219" s="54" t="s">
        <v>142</v>
      </c>
      <c r="L219" s="57" t="n">
        <v>0.051</v>
      </c>
      <c r="N219" s="47" t="s">
        <v>148</v>
      </c>
      <c r="O219" s="47" t="s">
        <v>510</v>
      </c>
      <c r="P219" s="47"/>
      <c r="Q219" s="48" t="n">
        <f aca="false">IF($J219="","",IFERROR(IF($J219&lt;=1,INDEX(VN_국채일별!$B$4:$B$1436,MATCH($B219,VN_국채일별!$A$4:$A$1436,1)),IF($J219&lt;=2,INDEX(VN_국채일별!$B$4:$B$1436,MATCH($B219,VN_국채일별!$A$4:$A$1436,1))+(INDEX(VN_국채일별!$C$4:$C$1436,MATCH($B219,VN_국채일별!$A$4:$A$1436,1))-INDEX(VN_국채일별!$B$4:$B$1436,MATCH($B219,VN_국채일별!$A$4:$A$1436,1)))*($J219-1),IF($J219&lt;=3,INDEX(VN_국채일별!$C$4:$C$1436,MATCH($B219,VN_국채일별!$A$4:$A$1436,1))+(INDEX(VN_국채일별!$D$4:$D$1436,MATCH($B219,VN_국채일별!$A$4:$A$1436,1))-INDEX(VN_국채일별!$C$4:$C$1436,MATCH($B219,VN_국채일별!$A$4:$A$1436,1)))*($J219-2),IF($J219&lt;=5,INDEX(VN_국채일별!$D$4:$D$1436,MATCH($B219,VN_국채일별!$A$4:$A$1436,1))+(INDEX(VN_국채일별!$E$4:$E$1436,MATCH($B219,VN_국채일별!$A$4:$A$1436,1))-INDEX(VN_국채일별!$D$4:$D$1436,MATCH($B219,VN_국채일별!$A$4:$A$1436,1)))*($J219-3)/2,IF($J219&lt;=7,INDEX(VN_국채일별!$E$4:$E$1436,MATCH($B219,VN_국채일별!$A$4:$A$1436,1))+(INDEX(VN_국채일별!$F$4:$F$1436,MATCH($B219,VN_국채일별!$A$4:$A$1436,1))-INDEX(VN_국채일별!$E$4:$E$1436,MATCH($B219,VN_국채일별!$A$4:$A$1436,1)))*($J219-5)/2,IF($J219&lt;=10,INDEX(VN_국채일별!$F$4:$F$1436,MATCH($B219,VN_국채일별!$A$4:$A$1436,1))+(INDEX(VN_국채일별!$G$4:$G$1436,MATCH($B219,VN_국채일별!$A$4:$A$1436,1))-INDEX(VN_국채일별!$F$4:$F$1436,MATCH($B219,VN_국채일별!$A$4:$A$1436,1)))*($J219-7)/3,INDEX(VN_국채일별!$G$4:$G$1436,MATCH($B219,VN_국채일별!$A$4:$A$1436,1)))))))),""))</f>
        <v>0.01747</v>
      </c>
      <c r="R219" s="58" t="n">
        <f aca="false">IF(OR(L219="",Q219=""),"",(L219-Q219)*10000)</f>
        <v>335.3</v>
      </c>
      <c r="S219" s="30" t="n">
        <f aca="false">IF(AND(K219="고정",N219="N",J219&gt;=2,J219&lt;=4,I219&lt;&gt;""),1,0)</f>
        <v>1</v>
      </c>
      <c r="T219" s="59" t="n">
        <f aca="false">IF(S219=1,I219*L219,0)</f>
        <v>51</v>
      </c>
      <c r="U219" s="60" t="n">
        <f aca="false">IF(AND(S219=1,ISNUMBER(R219)),I219*R219,0)</f>
        <v>335300</v>
      </c>
      <c r="V219" s="30" t="n">
        <f aca="false">IF(AND(F219="Big4(국영)",K219="고정",N219="N",I219&lt;&gt;""),1,0)</f>
        <v>0</v>
      </c>
      <c r="W219" s="59" t="n">
        <f aca="false">IF(V219=1,I219*L219,0)</f>
        <v>0</v>
      </c>
      <c r="X219" s="60" t="n">
        <f aca="false">IF(AND(V219=1,ISNUMBER(R219)),I219*R219,0)</f>
        <v>0</v>
      </c>
      <c r="Y219" s="61" t="n">
        <f aca="false">IF(AND(S219=1,ISNUMBER(R219)),I219,0)</f>
        <v>1000</v>
      </c>
      <c r="Z219" s="61" t="n">
        <f aca="false">IF(AND(V219=1,ISNUMBER(R219)),I219,0)</f>
        <v>0</v>
      </c>
    </row>
    <row r="220" customFormat="false" ht="15" hidden="false" customHeight="false" outlineLevel="0" collapsed="false">
      <c r="A220" s="47" t="s">
        <v>542</v>
      </c>
      <c r="B220" s="52" t="n">
        <v>45386</v>
      </c>
      <c r="C220" s="53" t="n">
        <f aca="false">DATE(YEAR(B220),MONTH(B220),1)</f>
        <v>45383</v>
      </c>
      <c r="D220" s="5" t="str">
        <f aca="false">YEAR(B220)&amp;"Q"&amp;ROUNDUP(MONTH(B220)/3,0)</f>
        <v>2024Q2</v>
      </c>
      <c r="E220" s="47" t="s">
        <v>160</v>
      </c>
      <c r="F220" s="54" t="s">
        <v>139</v>
      </c>
      <c r="G220" s="47" t="s">
        <v>161</v>
      </c>
      <c r="H220" s="47" t="s">
        <v>543</v>
      </c>
      <c r="I220" s="55" t="n">
        <v>200</v>
      </c>
      <c r="J220" s="56" t="n">
        <v>8</v>
      </c>
      <c r="K220" s="54" t="s">
        <v>153</v>
      </c>
      <c r="N220" s="47" t="s">
        <v>143</v>
      </c>
      <c r="O220" s="47" t="s">
        <v>544</v>
      </c>
      <c r="P220" s="47"/>
      <c r="Q220" s="48" t="n">
        <f aca="false">IF($J220="","",IFERROR(IF($J220&lt;=1,INDEX(VN_국채일별!$B$4:$B$1436,MATCH($B220,VN_국채일별!$A$4:$A$1436,1)),IF($J220&lt;=2,INDEX(VN_국채일별!$B$4:$B$1436,MATCH($B220,VN_국채일별!$A$4:$A$1436,1))+(INDEX(VN_국채일별!$C$4:$C$1436,MATCH($B220,VN_국채일별!$A$4:$A$1436,1))-INDEX(VN_국채일별!$B$4:$B$1436,MATCH($B220,VN_국채일별!$A$4:$A$1436,1)))*($J220-1),IF($J220&lt;=3,INDEX(VN_국채일별!$C$4:$C$1436,MATCH($B220,VN_국채일별!$A$4:$A$1436,1))+(INDEX(VN_국채일별!$D$4:$D$1436,MATCH($B220,VN_국채일별!$A$4:$A$1436,1))-INDEX(VN_국채일별!$C$4:$C$1436,MATCH($B220,VN_국채일별!$A$4:$A$1436,1)))*($J220-2),IF($J220&lt;=5,INDEX(VN_국채일별!$D$4:$D$1436,MATCH($B220,VN_국채일별!$A$4:$A$1436,1))+(INDEX(VN_국채일별!$E$4:$E$1436,MATCH($B220,VN_국채일별!$A$4:$A$1436,1))-INDEX(VN_국채일별!$D$4:$D$1436,MATCH($B220,VN_국채일별!$A$4:$A$1436,1)))*($J220-3)/2,IF($J220&lt;=7,INDEX(VN_국채일별!$E$4:$E$1436,MATCH($B220,VN_국채일별!$A$4:$A$1436,1))+(INDEX(VN_국채일별!$F$4:$F$1436,MATCH($B220,VN_국채일별!$A$4:$A$1436,1))-INDEX(VN_국채일별!$E$4:$E$1436,MATCH($B220,VN_국채일별!$A$4:$A$1436,1)))*($J220-5)/2,IF($J220&lt;=10,INDEX(VN_국채일별!$F$4:$F$1436,MATCH($B220,VN_국채일별!$A$4:$A$1436,1))+(INDEX(VN_국채일별!$G$4:$G$1436,MATCH($B220,VN_국채일별!$A$4:$A$1436,1))-INDEX(VN_국채일별!$F$4:$F$1436,MATCH($B220,VN_국채일별!$A$4:$A$1436,1)))*($J220-7)/3,INDEX(VN_국채일별!$G$4:$G$1436,MATCH($B220,VN_국채일별!$A$4:$A$1436,1)))))))),""))</f>
        <v>0.0261666666666667</v>
      </c>
      <c r="R220" s="58" t="str">
        <f aca="false">IF(OR(L220="",Q220=""),"",(L220-Q220)*10000)</f>
        <v/>
      </c>
      <c r="S220" s="30" t="n">
        <f aca="false">IF(AND(K220="고정",N220="N",J220&gt;=2,J220&lt;=4,I220&lt;&gt;""),1,0)</f>
        <v>0</v>
      </c>
      <c r="T220" s="59" t="n">
        <f aca="false">IF(S220=1,I220*L220,0)</f>
        <v>0</v>
      </c>
      <c r="U220" s="60" t="n">
        <f aca="false">IF(AND(S220=1,ISNUMBER(R220)),I220*R220,0)</f>
        <v>0</v>
      </c>
      <c r="V220" s="30" t="n">
        <f aca="false">IF(AND(F220="Big4(국영)",K220="고정",N220="N",I220&lt;&gt;""),1,0)</f>
        <v>0</v>
      </c>
      <c r="W220" s="59" t="n">
        <f aca="false">IF(V220=1,I220*L220,0)</f>
        <v>0</v>
      </c>
      <c r="X220" s="60" t="n">
        <f aca="false">IF(AND(V220=1,ISNUMBER(R220)),I220*R220,0)</f>
        <v>0</v>
      </c>
      <c r="Y220" s="61" t="n">
        <f aca="false">IF(AND(S220=1,ISNUMBER(R220)),I220,0)</f>
        <v>0</v>
      </c>
      <c r="Z220" s="61" t="n">
        <f aca="false">IF(AND(V220=1,ISNUMBER(R220)),I220,0)</f>
        <v>0</v>
      </c>
    </row>
    <row r="221" customFormat="false" ht="15" hidden="false" customHeight="false" outlineLevel="0" collapsed="false">
      <c r="A221" s="47" t="s">
        <v>542</v>
      </c>
      <c r="B221" s="52" t="n">
        <v>45390</v>
      </c>
      <c r="C221" s="53" t="n">
        <f aca="false">DATE(YEAR(B221),MONTH(B221),1)</f>
        <v>45383</v>
      </c>
      <c r="D221" s="5" t="str">
        <f aca="false">YEAR(B221)&amp;"Q"&amp;ROUNDUP(MONTH(B221)/3,0)</f>
        <v>2024Q2</v>
      </c>
      <c r="E221" s="47" t="s">
        <v>160</v>
      </c>
      <c r="F221" s="54" t="s">
        <v>139</v>
      </c>
      <c r="G221" s="47" t="s">
        <v>161</v>
      </c>
      <c r="H221" s="47" t="s">
        <v>545</v>
      </c>
      <c r="I221" s="55" t="n">
        <v>100</v>
      </c>
      <c r="J221" s="56" t="n">
        <v>7</v>
      </c>
      <c r="K221" s="54" t="s">
        <v>153</v>
      </c>
      <c r="N221" s="47" t="s">
        <v>143</v>
      </c>
      <c r="O221" s="47" t="s">
        <v>546</v>
      </c>
      <c r="P221" s="47"/>
      <c r="Q221" s="48" t="n">
        <f aca="false">IF($J221="","",IFERROR(IF($J221&lt;=1,INDEX(VN_국채일별!$B$4:$B$1436,MATCH($B221,VN_국채일별!$A$4:$A$1436,1)),IF($J221&lt;=2,INDEX(VN_국채일별!$B$4:$B$1436,MATCH($B221,VN_국채일별!$A$4:$A$1436,1))+(INDEX(VN_국채일별!$C$4:$C$1436,MATCH($B221,VN_국채일별!$A$4:$A$1436,1))-INDEX(VN_국채일별!$B$4:$B$1436,MATCH($B221,VN_국채일별!$A$4:$A$1436,1)))*($J221-1),IF($J221&lt;=3,INDEX(VN_국채일별!$C$4:$C$1436,MATCH($B221,VN_국채일별!$A$4:$A$1436,1))+(INDEX(VN_국채일별!$D$4:$D$1436,MATCH($B221,VN_국채일별!$A$4:$A$1436,1))-INDEX(VN_국채일별!$C$4:$C$1436,MATCH($B221,VN_국채일별!$A$4:$A$1436,1)))*($J221-2),IF($J221&lt;=5,INDEX(VN_국채일별!$D$4:$D$1436,MATCH($B221,VN_국채일별!$A$4:$A$1436,1))+(INDEX(VN_국채일별!$E$4:$E$1436,MATCH($B221,VN_국채일별!$A$4:$A$1436,1))-INDEX(VN_국채일별!$D$4:$D$1436,MATCH($B221,VN_국채일별!$A$4:$A$1436,1)))*($J221-3)/2,IF($J221&lt;=7,INDEX(VN_국채일별!$E$4:$E$1436,MATCH($B221,VN_국채일별!$A$4:$A$1436,1))+(INDEX(VN_국채일별!$F$4:$F$1436,MATCH($B221,VN_국채일별!$A$4:$A$1436,1))-INDEX(VN_국채일별!$E$4:$E$1436,MATCH($B221,VN_국채일별!$A$4:$A$1436,1)))*($J221-5)/2,IF($J221&lt;=10,INDEX(VN_국채일별!$F$4:$F$1436,MATCH($B221,VN_국채일별!$A$4:$A$1436,1))+(INDEX(VN_국채일별!$G$4:$G$1436,MATCH($B221,VN_국채일별!$A$4:$A$1436,1))-INDEX(VN_국채일별!$F$4:$F$1436,MATCH($B221,VN_국채일별!$A$4:$A$1436,1)))*($J221-7)/3,INDEX(VN_국채일별!$G$4:$G$1436,MATCH($B221,VN_국채일별!$A$4:$A$1436,1)))))))),""))</f>
        <v>0.02356</v>
      </c>
      <c r="R221" s="58" t="str">
        <f aca="false">IF(OR(L221="",Q221=""),"",(L221-Q221)*10000)</f>
        <v/>
      </c>
      <c r="S221" s="30" t="n">
        <f aca="false">IF(AND(K221="고정",N221="N",J221&gt;=2,J221&lt;=4,I221&lt;&gt;""),1,0)</f>
        <v>0</v>
      </c>
      <c r="T221" s="59" t="n">
        <f aca="false">IF(S221=1,I221*L221,0)</f>
        <v>0</v>
      </c>
      <c r="U221" s="60" t="n">
        <f aca="false">IF(AND(S221=1,ISNUMBER(R221)),I221*R221,0)</f>
        <v>0</v>
      </c>
      <c r="V221" s="30" t="n">
        <f aca="false">IF(AND(F221="Big4(국영)",K221="고정",N221="N",I221&lt;&gt;""),1,0)</f>
        <v>0</v>
      </c>
      <c r="W221" s="59" t="n">
        <f aca="false">IF(V221=1,I221*L221,0)</f>
        <v>0</v>
      </c>
      <c r="X221" s="60" t="n">
        <f aca="false">IF(AND(V221=1,ISNUMBER(R221)),I221*R221,0)</f>
        <v>0</v>
      </c>
      <c r="Y221" s="61" t="n">
        <f aca="false">IF(AND(S221=1,ISNUMBER(R221)),I221,0)</f>
        <v>0</v>
      </c>
      <c r="Z221" s="61" t="n">
        <f aca="false">IF(AND(V221=1,ISNUMBER(R221)),I221,0)</f>
        <v>0</v>
      </c>
    </row>
    <row r="222" customFormat="false" ht="15" hidden="false" customHeight="false" outlineLevel="0" collapsed="false">
      <c r="A222" s="47" t="s">
        <v>542</v>
      </c>
      <c r="B222" s="52" t="n">
        <v>45390</v>
      </c>
      <c r="C222" s="53" t="n">
        <f aca="false">DATE(YEAR(B222),MONTH(B222),1)</f>
        <v>45383</v>
      </c>
      <c r="D222" s="5" t="str">
        <f aca="false">YEAR(B222)&amp;"Q"&amp;ROUNDUP(MONTH(B222)/3,0)</f>
        <v>2024Q2</v>
      </c>
      <c r="E222" s="47" t="s">
        <v>160</v>
      </c>
      <c r="F222" s="54" t="s">
        <v>139</v>
      </c>
      <c r="G222" s="47" t="s">
        <v>161</v>
      </c>
      <c r="H222" s="47" t="s">
        <v>547</v>
      </c>
      <c r="I222" s="55" t="n">
        <v>1000</v>
      </c>
      <c r="J222" s="56" t="n">
        <v>7</v>
      </c>
      <c r="K222" s="54" t="s">
        <v>153</v>
      </c>
      <c r="N222" s="47" t="s">
        <v>143</v>
      </c>
      <c r="O222" s="47" t="s">
        <v>546</v>
      </c>
      <c r="P222" s="47"/>
      <c r="Q222" s="48" t="n">
        <f aca="false">IF($J222="","",IFERROR(IF($J222&lt;=1,INDEX(VN_국채일별!$B$4:$B$1436,MATCH($B222,VN_국채일별!$A$4:$A$1436,1)),IF($J222&lt;=2,INDEX(VN_국채일별!$B$4:$B$1436,MATCH($B222,VN_국채일별!$A$4:$A$1436,1))+(INDEX(VN_국채일별!$C$4:$C$1436,MATCH($B222,VN_국채일별!$A$4:$A$1436,1))-INDEX(VN_국채일별!$B$4:$B$1436,MATCH($B222,VN_국채일별!$A$4:$A$1436,1)))*($J222-1),IF($J222&lt;=3,INDEX(VN_국채일별!$C$4:$C$1436,MATCH($B222,VN_국채일별!$A$4:$A$1436,1))+(INDEX(VN_국채일별!$D$4:$D$1436,MATCH($B222,VN_국채일별!$A$4:$A$1436,1))-INDEX(VN_국채일별!$C$4:$C$1436,MATCH($B222,VN_국채일별!$A$4:$A$1436,1)))*($J222-2),IF($J222&lt;=5,INDEX(VN_국채일별!$D$4:$D$1436,MATCH($B222,VN_국채일별!$A$4:$A$1436,1))+(INDEX(VN_국채일별!$E$4:$E$1436,MATCH($B222,VN_국채일별!$A$4:$A$1436,1))-INDEX(VN_국채일별!$D$4:$D$1436,MATCH($B222,VN_국채일별!$A$4:$A$1436,1)))*($J222-3)/2,IF($J222&lt;=7,INDEX(VN_국채일별!$E$4:$E$1436,MATCH($B222,VN_국채일별!$A$4:$A$1436,1))+(INDEX(VN_국채일별!$F$4:$F$1436,MATCH($B222,VN_국채일별!$A$4:$A$1436,1))-INDEX(VN_국채일별!$E$4:$E$1436,MATCH($B222,VN_국채일별!$A$4:$A$1436,1)))*($J222-5)/2,IF($J222&lt;=10,INDEX(VN_국채일별!$F$4:$F$1436,MATCH($B222,VN_국채일별!$A$4:$A$1436,1))+(INDEX(VN_국채일별!$G$4:$G$1436,MATCH($B222,VN_국채일별!$A$4:$A$1436,1))-INDEX(VN_국채일별!$F$4:$F$1436,MATCH($B222,VN_국채일별!$A$4:$A$1436,1)))*($J222-7)/3,INDEX(VN_국채일별!$G$4:$G$1436,MATCH($B222,VN_국채일별!$A$4:$A$1436,1)))))))),""))</f>
        <v>0.02356</v>
      </c>
      <c r="R222" s="58" t="str">
        <f aca="false">IF(OR(L222="",Q222=""),"",(L222-Q222)*10000)</f>
        <v/>
      </c>
      <c r="S222" s="30" t="n">
        <f aca="false">IF(AND(K222="고정",N222="N",J222&gt;=2,J222&lt;=4,I222&lt;&gt;""),1,0)</f>
        <v>0</v>
      </c>
      <c r="T222" s="59" t="n">
        <f aca="false">IF(S222=1,I222*L222,0)</f>
        <v>0</v>
      </c>
      <c r="U222" s="60" t="n">
        <f aca="false">IF(AND(S222=1,ISNUMBER(R222)),I222*R222,0)</f>
        <v>0</v>
      </c>
      <c r="V222" s="30" t="n">
        <f aca="false">IF(AND(F222="Big4(국영)",K222="고정",N222="N",I222&lt;&gt;""),1,0)</f>
        <v>0</v>
      </c>
      <c r="W222" s="59" t="n">
        <f aca="false">IF(V222=1,I222*L222,0)</f>
        <v>0</v>
      </c>
      <c r="X222" s="60" t="n">
        <f aca="false">IF(AND(V222=1,ISNUMBER(R222)),I222*R222,0)</f>
        <v>0</v>
      </c>
      <c r="Y222" s="61" t="n">
        <f aca="false">IF(AND(S222=1,ISNUMBER(R222)),I222,0)</f>
        <v>0</v>
      </c>
      <c r="Z222" s="61" t="n">
        <f aca="false">IF(AND(V222=1,ISNUMBER(R222)),I222,0)</f>
        <v>0</v>
      </c>
    </row>
    <row r="223" customFormat="false" ht="15" hidden="false" customHeight="false" outlineLevel="0" collapsed="false">
      <c r="A223" s="47" t="s">
        <v>542</v>
      </c>
      <c r="B223" s="52" t="n">
        <v>45391</v>
      </c>
      <c r="C223" s="53" t="n">
        <f aca="false">DATE(YEAR(B223),MONTH(B223),1)</f>
        <v>45383</v>
      </c>
      <c r="D223" s="5" t="str">
        <f aca="false">YEAR(B223)&amp;"Q"&amp;ROUNDUP(MONTH(B223)/3,0)</f>
        <v>2024Q2</v>
      </c>
      <c r="E223" s="47" t="s">
        <v>160</v>
      </c>
      <c r="F223" s="54" t="s">
        <v>139</v>
      </c>
      <c r="G223" s="47" t="s">
        <v>161</v>
      </c>
      <c r="H223" s="47" t="s">
        <v>548</v>
      </c>
      <c r="I223" s="55" t="n">
        <v>100</v>
      </c>
      <c r="J223" s="56" t="n">
        <v>7</v>
      </c>
      <c r="K223" s="54" t="s">
        <v>153</v>
      </c>
      <c r="N223" s="47" t="s">
        <v>143</v>
      </c>
      <c r="O223" s="47" t="s">
        <v>546</v>
      </c>
      <c r="P223" s="47"/>
      <c r="Q223" s="48" t="n">
        <f aca="false">IF($J223="","",IFERROR(IF($J223&lt;=1,INDEX(VN_국채일별!$B$4:$B$1436,MATCH($B223,VN_국채일별!$A$4:$A$1436,1)),IF($J223&lt;=2,INDEX(VN_국채일별!$B$4:$B$1436,MATCH($B223,VN_국채일별!$A$4:$A$1436,1))+(INDEX(VN_국채일별!$C$4:$C$1436,MATCH($B223,VN_국채일별!$A$4:$A$1436,1))-INDEX(VN_국채일별!$B$4:$B$1436,MATCH($B223,VN_국채일별!$A$4:$A$1436,1)))*($J223-1),IF($J223&lt;=3,INDEX(VN_국채일별!$C$4:$C$1436,MATCH($B223,VN_국채일별!$A$4:$A$1436,1))+(INDEX(VN_국채일별!$D$4:$D$1436,MATCH($B223,VN_국채일별!$A$4:$A$1436,1))-INDEX(VN_국채일별!$C$4:$C$1436,MATCH($B223,VN_국채일별!$A$4:$A$1436,1)))*($J223-2),IF($J223&lt;=5,INDEX(VN_국채일별!$D$4:$D$1436,MATCH($B223,VN_국채일별!$A$4:$A$1436,1))+(INDEX(VN_국채일별!$E$4:$E$1436,MATCH($B223,VN_국채일별!$A$4:$A$1436,1))-INDEX(VN_국채일별!$D$4:$D$1436,MATCH($B223,VN_국채일별!$A$4:$A$1436,1)))*($J223-3)/2,IF($J223&lt;=7,INDEX(VN_국채일별!$E$4:$E$1436,MATCH($B223,VN_국채일별!$A$4:$A$1436,1))+(INDEX(VN_국채일별!$F$4:$F$1436,MATCH($B223,VN_국채일별!$A$4:$A$1436,1))-INDEX(VN_국채일별!$E$4:$E$1436,MATCH($B223,VN_국채일별!$A$4:$A$1436,1)))*($J223-5)/2,IF($J223&lt;=10,INDEX(VN_국채일별!$F$4:$F$1436,MATCH($B223,VN_국채일별!$A$4:$A$1436,1))+(INDEX(VN_국채일별!$G$4:$G$1436,MATCH($B223,VN_국채일별!$A$4:$A$1436,1))-INDEX(VN_국채일별!$F$4:$F$1436,MATCH($B223,VN_국채일별!$A$4:$A$1436,1)))*($J223-7)/3,INDEX(VN_국채일별!$G$4:$G$1436,MATCH($B223,VN_국채일별!$A$4:$A$1436,1)))))))),""))</f>
        <v>0.02322</v>
      </c>
      <c r="R223" s="58" t="str">
        <f aca="false">IF(OR(L223="",Q223=""),"",(L223-Q223)*10000)</f>
        <v/>
      </c>
      <c r="S223" s="30" t="n">
        <f aca="false">IF(AND(K223="고정",N223="N",J223&gt;=2,J223&lt;=4,I223&lt;&gt;""),1,0)</f>
        <v>0</v>
      </c>
      <c r="T223" s="59" t="n">
        <f aca="false">IF(S223=1,I223*L223,0)</f>
        <v>0</v>
      </c>
      <c r="U223" s="60" t="n">
        <f aca="false">IF(AND(S223=1,ISNUMBER(R223)),I223*R223,0)</f>
        <v>0</v>
      </c>
      <c r="V223" s="30" t="n">
        <f aca="false">IF(AND(F223="Big4(국영)",K223="고정",N223="N",I223&lt;&gt;""),1,0)</f>
        <v>0</v>
      </c>
      <c r="W223" s="59" t="n">
        <f aca="false">IF(V223=1,I223*L223,0)</f>
        <v>0</v>
      </c>
      <c r="X223" s="60" t="n">
        <f aca="false">IF(AND(V223=1,ISNUMBER(R223)),I223*R223,0)</f>
        <v>0</v>
      </c>
      <c r="Y223" s="61" t="n">
        <f aca="false">IF(AND(S223=1,ISNUMBER(R223)),I223,0)</f>
        <v>0</v>
      </c>
      <c r="Z223" s="61" t="n">
        <f aca="false">IF(AND(V223=1,ISNUMBER(R223)),I223,0)</f>
        <v>0</v>
      </c>
    </row>
    <row r="224" customFormat="false" ht="15" hidden="false" customHeight="false" outlineLevel="0" collapsed="false">
      <c r="A224" s="47" t="s">
        <v>542</v>
      </c>
      <c r="B224" s="52" t="n">
        <v>45392</v>
      </c>
      <c r="C224" s="53" t="n">
        <f aca="false">DATE(YEAR(B224),MONTH(B224),1)</f>
        <v>45383</v>
      </c>
      <c r="D224" s="5" t="str">
        <f aca="false">YEAR(B224)&amp;"Q"&amp;ROUNDUP(MONTH(B224)/3,0)</f>
        <v>2024Q2</v>
      </c>
      <c r="E224" s="47" t="s">
        <v>307</v>
      </c>
      <c r="F224" s="54" t="s">
        <v>139</v>
      </c>
      <c r="G224" s="47" t="s">
        <v>308</v>
      </c>
      <c r="H224" s="47" t="s">
        <v>549</v>
      </c>
      <c r="I224" s="55" t="n">
        <v>3000</v>
      </c>
      <c r="J224" s="56" t="n">
        <v>3</v>
      </c>
      <c r="K224" s="54" t="s">
        <v>142</v>
      </c>
      <c r="L224" s="57" t="n">
        <v>0.037</v>
      </c>
      <c r="N224" s="47" t="s">
        <v>148</v>
      </c>
      <c r="O224" s="47" t="s">
        <v>218</v>
      </c>
      <c r="P224" s="47"/>
      <c r="Q224" s="48" t="n">
        <f aca="false">IF($J224="","",IFERROR(IF($J224&lt;=1,INDEX(VN_국채일별!$B$4:$B$1436,MATCH($B224,VN_국채일별!$A$4:$A$1436,1)),IF($J224&lt;=2,INDEX(VN_국채일별!$B$4:$B$1436,MATCH($B224,VN_국채일별!$A$4:$A$1436,1))+(INDEX(VN_국채일별!$C$4:$C$1436,MATCH($B224,VN_국채일별!$A$4:$A$1436,1))-INDEX(VN_국채일별!$B$4:$B$1436,MATCH($B224,VN_국채일별!$A$4:$A$1436,1)))*($J224-1),IF($J224&lt;=3,INDEX(VN_국채일별!$C$4:$C$1436,MATCH($B224,VN_국채일별!$A$4:$A$1436,1))+(INDEX(VN_국채일별!$D$4:$D$1436,MATCH($B224,VN_국채일별!$A$4:$A$1436,1))-INDEX(VN_국채일별!$C$4:$C$1436,MATCH($B224,VN_국채일별!$A$4:$A$1436,1)))*($J224-2),IF($J224&lt;=5,INDEX(VN_국채일별!$D$4:$D$1436,MATCH($B224,VN_국채일별!$A$4:$A$1436,1))+(INDEX(VN_국채일별!$E$4:$E$1436,MATCH($B224,VN_국채일별!$A$4:$A$1436,1))-INDEX(VN_국채일별!$D$4:$D$1436,MATCH($B224,VN_국채일별!$A$4:$A$1436,1)))*($J224-3)/2,IF($J224&lt;=7,INDEX(VN_국채일별!$E$4:$E$1436,MATCH($B224,VN_국채일별!$A$4:$A$1436,1))+(INDEX(VN_국채일별!$F$4:$F$1436,MATCH($B224,VN_국채일별!$A$4:$A$1436,1))-INDEX(VN_국채일별!$E$4:$E$1436,MATCH($B224,VN_국채일별!$A$4:$A$1436,1)))*($J224-5)/2,IF($J224&lt;=10,INDEX(VN_국채일별!$F$4:$F$1436,MATCH($B224,VN_국채일별!$A$4:$A$1436,1))+(INDEX(VN_국채일별!$G$4:$G$1436,MATCH($B224,VN_국채일별!$A$4:$A$1436,1))-INDEX(VN_국채일별!$F$4:$F$1436,MATCH($B224,VN_국채일별!$A$4:$A$1436,1)))*($J224-7)/3,INDEX(VN_국채일별!$G$4:$G$1436,MATCH($B224,VN_국채일별!$A$4:$A$1436,1)))))))),""))</f>
        <v>0.01921</v>
      </c>
      <c r="R224" s="58" t="n">
        <f aca="false">IF(OR(L224="",Q224=""),"",(L224-Q224)*10000)</f>
        <v>177.9</v>
      </c>
      <c r="S224" s="30" t="n">
        <f aca="false">IF(AND(K224="고정",N224="N",J224&gt;=2,J224&lt;=4,I224&lt;&gt;""),1,0)</f>
        <v>1</v>
      </c>
      <c r="T224" s="59" t="n">
        <f aca="false">IF(S224=1,I224*L224,0)</f>
        <v>111</v>
      </c>
      <c r="U224" s="60" t="n">
        <f aca="false">IF(AND(S224=1,ISNUMBER(R224)),I224*R224,0)</f>
        <v>533700</v>
      </c>
      <c r="V224" s="30" t="n">
        <f aca="false">IF(AND(F224="Big4(국영)",K224="고정",N224="N",I224&lt;&gt;""),1,0)</f>
        <v>0</v>
      </c>
      <c r="W224" s="59" t="n">
        <f aca="false">IF(V224=1,I224*L224,0)</f>
        <v>0</v>
      </c>
      <c r="X224" s="60" t="n">
        <f aca="false">IF(AND(V224=1,ISNUMBER(R224)),I224*R224,0)</f>
        <v>0</v>
      </c>
      <c r="Y224" s="61" t="n">
        <f aca="false">IF(AND(S224=1,ISNUMBER(R224)),I224,0)</f>
        <v>3000</v>
      </c>
      <c r="Z224" s="61" t="n">
        <f aca="false">IF(AND(V224=1,ISNUMBER(R224)),I224,0)</f>
        <v>0</v>
      </c>
    </row>
    <row r="225" customFormat="false" ht="15" hidden="false" customHeight="false" outlineLevel="0" collapsed="false">
      <c r="A225" s="47" t="s">
        <v>542</v>
      </c>
      <c r="B225" s="52" t="n">
        <v>45398</v>
      </c>
      <c r="C225" s="53" t="n">
        <f aca="false">DATE(YEAR(B225),MONTH(B225),1)</f>
        <v>45383</v>
      </c>
      <c r="D225" s="5" t="str">
        <f aca="false">YEAR(B225)&amp;"Q"&amp;ROUNDUP(MONTH(B225)/3,0)</f>
        <v>2024Q2</v>
      </c>
      <c r="E225" s="47" t="s">
        <v>145</v>
      </c>
      <c r="F225" s="54" t="s">
        <v>139</v>
      </c>
      <c r="G225" s="47" t="s">
        <v>146</v>
      </c>
      <c r="H225" s="47" t="s">
        <v>550</v>
      </c>
      <c r="I225" s="55" t="n">
        <v>800</v>
      </c>
      <c r="J225" s="56" t="n">
        <v>3</v>
      </c>
      <c r="K225" s="54" t="s">
        <v>142</v>
      </c>
      <c r="L225" s="57" t="n">
        <v>0.039</v>
      </c>
      <c r="N225" s="47" t="s">
        <v>148</v>
      </c>
      <c r="O225" s="47" t="s">
        <v>203</v>
      </c>
      <c r="P225" s="47"/>
      <c r="Q225" s="48" t="n">
        <f aca="false">IF($J225="","",IFERROR(IF($J225&lt;=1,INDEX(VN_국채일별!$B$4:$B$1436,MATCH($B225,VN_국채일별!$A$4:$A$1436,1)),IF($J225&lt;=2,INDEX(VN_국채일별!$B$4:$B$1436,MATCH($B225,VN_국채일별!$A$4:$A$1436,1))+(INDEX(VN_국채일별!$C$4:$C$1436,MATCH($B225,VN_국채일별!$A$4:$A$1436,1))-INDEX(VN_국채일별!$B$4:$B$1436,MATCH($B225,VN_국채일별!$A$4:$A$1436,1)))*($J225-1),IF($J225&lt;=3,INDEX(VN_국채일별!$C$4:$C$1436,MATCH($B225,VN_국채일별!$A$4:$A$1436,1))+(INDEX(VN_국채일별!$D$4:$D$1436,MATCH($B225,VN_국채일별!$A$4:$A$1436,1))-INDEX(VN_국채일별!$C$4:$C$1436,MATCH($B225,VN_국채일별!$A$4:$A$1436,1)))*($J225-2),IF($J225&lt;=5,INDEX(VN_국채일별!$D$4:$D$1436,MATCH($B225,VN_국채일별!$A$4:$A$1436,1))+(INDEX(VN_국채일별!$E$4:$E$1436,MATCH($B225,VN_국채일별!$A$4:$A$1436,1))-INDEX(VN_국채일별!$D$4:$D$1436,MATCH($B225,VN_국채일별!$A$4:$A$1436,1)))*($J225-3)/2,IF($J225&lt;=7,INDEX(VN_국채일별!$E$4:$E$1436,MATCH($B225,VN_국채일별!$A$4:$A$1436,1))+(INDEX(VN_국채일별!$F$4:$F$1436,MATCH($B225,VN_국채일별!$A$4:$A$1436,1))-INDEX(VN_국채일별!$E$4:$E$1436,MATCH($B225,VN_국채일별!$A$4:$A$1436,1)))*($J225-5)/2,IF($J225&lt;=10,INDEX(VN_국채일별!$F$4:$F$1436,MATCH($B225,VN_국채일별!$A$4:$A$1436,1))+(INDEX(VN_국채일별!$G$4:$G$1436,MATCH($B225,VN_국채일별!$A$4:$A$1436,1))-INDEX(VN_국채일별!$F$4:$F$1436,MATCH($B225,VN_국채일별!$A$4:$A$1436,1)))*($J225-7)/3,INDEX(VN_국채일별!$G$4:$G$1436,MATCH($B225,VN_국채일별!$A$4:$A$1436,1)))))))),""))</f>
        <v>0.01973</v>
      </c>
      <c r="R225" s="58" t="n">
        <f aca="false">IF(OR(L225="",Q225=""),"",(L225-Q225)*10000)</f>
        <v>192.7</v>
      </c>
      <c r="S225" s="30" t="n">
        <f aca="false">IF(AND(K225="고정",N225="N",J225&gt;=2,J225&lt;=4,I225&lt;&gt;""),1,0)</f>
        <v>1</v>
      </c>
      <c r="T225" s="59" t="n">
        <f aca="false">IF(S225=1,I225*L225,0)</f>
        <v>31.2</v>
      </c>
      <c r="U225" s="60" t="n">
        <f aca="false">IF(AND(S225=1,ISNUMBER(R225)),I225*R225,0)</f>
        <v>154160</v>
      </c>
      <c r="V225" s="30" t="n">
        <f aca="false">IF(AND(F225="Big4(국영)",K225="고정",N225="N",I225&lt;&gt;""),1,0)</f>
        <v>0</v>
      </c>
      <c r="W225" s="59" t="n">
        <f aca="false">IF(V225=1,I225*L225,0)</f>
        <v>0</v>
      </c>
      <c r="X225" s="60" t="n">
        <f aca="false">IF(AND(V225=1,ISNUMBER(R225)),I225*R225,0)</f>
        <v>0</v>
      </c>
      <c r="Y225" s="61" t="n">
        <f aca="false">IF(AND(S225=1,ISNUMBER(R225)),I225,0)</f>
        <v>800</v>
      </c>
      <c r="Z225" s="61" t="n">
        <f aca="false">IF(AND(V225=1,ISNUMBER(R225)),I225,0)</f>
        <v>0</v>
      </c>
    </row>
    <row r="226" customFormat="false" ht="15" hidden="false" customHeight="false" outlineLevel="0" collapsed="false">
      <c r="A226" s="47" t="s">
        <v>542</v>
      </c>
      <c r="B226" s="52" t="n">
        <v>45399</v>
      </c>
      <c r="C226" s="53" t="n">
        <f aca="false">DATE(YEAR(B226),MONTH(B226),1)</f>
        <v>45383</v>
      </c>
      <c r="D226" s="5" t="str">
        <f aca="false">YEAR(B226)&amp;"Q"&amp;ROUNDUP(MONTH(B226)/3,0)</f>
        <v>2024Q2</v>
      </c>
      <c r="E226" s="47" t="s">
        <v>160</v>
      </c>
      <c r="F226" s="54" t="s">
        <v>139</v>
      </c>
      <c r="G226" s="47" t="s">
        <v>161</v>
      </c>
      <c r="H226" s="47" t="s">
        <v>551</v>
      </c>
      <c r="I226" s="55" t="n">
        <v>200</v>
      </c>
      <c r="J226" s="56" t="n">
        <v>10</v>
      </c>
      <c r="K226" s="54" t="s">
        <v>153</v>
      </c>
      <c r="M226" s="57" t="n">
        <v>0.018</v>
      </c>
      <c r="N226" s="47" t="s">
        <v>143</v>
      </c>
      <c r="O226" s="47" t="s">
        <v>552</v>
      </c>
      <c r="P226" s="47"/>
      <c r="Q226" s="48" t="n">
        <f aca="false">IF($J226="","",IFERROR(IF($J226&lt;=1,INDEX(VN_국채일별!$B$4:$B$1436,MATCH($B226,VN_국채일별!$A$4:$A$1436,1)),IF($J226&lt;=2,INDEX(VN_국채일별!$B$4:$B$1436,MATCH($B226,VN_국채일별!$A$4:$A$1436,1))+(INDEX(VN_국채일별!$C$4:$C$1436,MATCH($B226,VN_국채일별!$A$4:$A$1436,1))-INDEX(VN_국채일별!$B$4:$B$1436,MATCH($B226,VN_국채일별!$A$4:$A$1436,1)))*($J226-1),IF($J226&lt;=3,INDEX(VN_국채일별!$C$4:$C$1436,MATCH($B226,VN_국채일별!$A$4:$A$1436,1))+(INDEX(VN_국채일별!$D$4:$D$1436,MATCH($B226,VN_국채일별!$A$4:$A$1436,1))-INDEX(VN_국채일별!$C$4:$C$1436,MATCH($B226,VN_국채일별!$A$4:$A$1436,1)))*($J226-2),IF($J226&lt;=5,INDEX(VN_국채일별!$D$4:$D$1436,MATCH($B226,VN_국채일별!$A$4:$A$1436,1))+(INDEX(VN_국채일별!$E$4:$E$1436,MATCH($B226,VN_국채일별!$A$4:$A$1436,1))-INDEX(VN_국채일별!$D$4:$D$1436,MATCH($B226,VN_국채일별!$A$4:$A$1436,1)))*($J226-3)/2,IF($J226&lt;=7,INDEX(VN_국채일별!$E$4:$E$1436,MATCH($B226,VN_국채일별!$A$4:$A$1436,1))+(INDEX(VN_국채일별!$F$4:$F$1436,MATCH($B226,VN_국채일별!$A$4:$A$1436,1))-INDEX(VN_국채일별!$E$4:$E$1436,MATCH($B226,VN_국채일별!$A$4:$A$1436,1)))*($J226-5)/2,IF($J226&lt;=10,INDEX(VN_국채일별!$F$4:$F$1436,MATCH($B226,VN_국채일별!$A$4:$A$1436,1))+(INDEX(VN_국채일별!$G$4:$G$1436,MATCH($B226,VN_국채일별!$A$4:$A$1436,1))-INDEX(VN_국채일별!$F$4:$F$1436,MATCH($B226,VN_국채일별!$A$4:$A$1436,1)))*($J226-7)/3,INDEX(VN_국채일별!$G$4:$G$1436,MATCH($B226,VN_국채일별!$A$4:$A$1436,1)))))))),""))</f>
        <v>0.02873</v>
      </c>
      <c r="R226" s="58" t="str">
        <f aca="false">IF(OR(L226="",Q226=""),"",(L226-Q226)*10000)</f>
        <v/>
      </c>
      <c r="S226" s="30" t="n">
        <f aca="false">IF(AND(K226="고정",N226="N",J226&gt;=2,J226&lt;=4,I226&lt;&gt;""),1,0)</f>
        <v>0</v>
      </c>
      <c r="T226" s="59" t="n">
        <f aca="false">IF(S226=1,I226*L226,0)</f>
        <v>0</v>
      </c>
      <c r="U226" s="60" t="n">
        <f aca="false">IF(AND(S226=1,ISNUMBER(R226)),I226*R226,0)</f>
        <v>0</v>
      </c>
      <c r="V226" s="30" t="n">
        <f aca="false">IF(AND(F226="Big4(국영)",K226="고정",N226="N",I226&lt;&gt;""),1,0)</f>
        <v>0</v>
      </c>
      <c r="W226" s="59" t="n">
        <f aca="false">IF(V226=1,I226*L226,0)</f>
        <v>0</v>
      </c>
      <c r="X226" s="60" t="n">
        <f aca="false">IF(AND(V226=1,ISNUMBER(R226)),I226*R226,0)</f>
        <v>0</v>
      </c>
      <c r="Y226" s="61" t="n">
        <f aca="false">IF(AND(S226=1,ISNUMBER(R226)),I226,0)</f>
        <v>0</v>
      </c>
      <c r="Z226" s="61" t="n">
        <f aca="false">IF(AND(V226=1,ISNUMBER(R226)),I226,0)</f>
        <v>0</v>
      </c>
    </row>
    <row r="227" customFormat="false" ht="15" hidden="false" customHeight="false" outlineLevel="0" collapsed="false">
      <c r="A227" s="47" t="s">
        <v>542</v>
      </c>
      <c r="B227" s="52" t="n">
        <v>45404</v>
      </c>
      <c r="C227" s="53" t="n">
        <f aca="false">DATE(YEAR(B227),MONTH(B227),1)</f>
        <v>45383</v>
      </c>
      <c r="D227" s="5" t="str">
        <f aca="false">YEAR(B227)&amp;"Q"&amp;ROUNDUP(MONTH(B227)/3,0)</f>
        <v>2024Q2</v>
      </c>
      <c r="E227" s="47" t="s">
        <v>145</v>
      </c>
      <c r="F227" s="54" t="s">
        <v>139</v>
      </c>
      <c r="G227" s="47" t="s">
        <v>146</v>
      </c>
      <c r="H227" s="47" t="s">
        <v>553</v>
      </c>
      <c r="I227" s="55" t="n">
        <v>2000</v>
      </c>
      <c r="J227" s="56" t="n">
        <v>3</v>
      </c>
      <c r="K227" s="54" t="s">
        <v>142</v>
      </c>
      <c r="L227" s="57" t="n">
        <v>0.039</v>
      </c>
      <c r="N227" s="47" t="s">
        <v>148</v>
      </c>
      <c r="O227" s="47" t="s">
        <v>203</v>
      </c>
      <c r="P227" s="47"/>
      <c r="Q227" s="48" t="n">
        <f aca="false">IF($J227="","",IFERROR(IF($J227&lt;=1,INDEX(VN_국채일별!$B$4:$B$1436,MATCH($B227,VN_국채일별!$A$4:$A$1436,1)),IF($J227&lt;=2,INDEX(VN_국채일별!$B$4:$B$1436,MATCH($B227,VN_국채일별!$A$4:$A$1436,1))+(INDEX(VN_국채일별!$C$4:$C$1436,MATCH($B227,VN_국채일별!$A$4:$A$1436,1))-INDEX(VN_국채일별!$B$4:$B$1436,MATCH($B227,VN_국채일별!$A$4:$A$1436,1)))*($J227-1),IF($J227&lt;=3,INDEX(VN_국채일별!$C$4:$C$1436,MATCH($B227,VN_국채일별!$A$4:$A$1436,1))+(INDEX(VN_국채일별!$D$4:$D$1436,MATCH($B227,VN_국채일별!$A$4:$A$1436,1))-INDEX(VN_국채일별!$C$4:$C$1436,MATCH($B227,VN_국채일별!$A$4:$A$1436,1)))*($J227-2),IF($J227&lt;=5,INDEX(VN_국채일별!$D$4:$D$1436,MATCH($B227,VN_국채일별!$A$4:$A$1436,1))+(INDEX(VN_국채일별!$E$4:$E$1436,MATCH($B227,VN_국채일별!$A$4:$A$1436,1))-INDEX(VN_국채일별!$D$4:$D$1436,MATCH($B227,VN_국채일별!$A$4:$A$1436,1)))*($J227-3)/2,IF($J227&lt;=7,INDEX(VN_국채일별!$E$4:$E$1436,MATCH($B227,VN_국채일별!$A$4:$A$1436,1))+(INDEX(VN_국채일별!$F$4:$F$1436,MATCH($B227,VN_국채일별!$A$4:$A$1436,1))-INDEX(VN_국채일별!$E$4:$E$1436,MATCH($B227,VN_국채일별!$A$4:$A$1436,1)))*($J227-5)/2,IF($J227&lt;=10,INDEX(VN_국채일별!$F$4:$F$1436,MATCH($B227,VN_국채일별!$A$4:$A$1436,1))+(INDEX(VN_국채일별!$G$4:$G$1436,MATCH($B227,VN_국채일별!$A$4:$A$1436,1))-INDEX(VN_국채일별!$F$4:$F$1436,MATCH($B227,VN_국채일별!$A$4:$A$1436,1)))*($J227-7)/3,INDEX(VN_국채일별!$G$4:$G$1436,MATCH($B227,VN_국채일별!$A$4:$A$1436,1)))))))),""))</f>
        <v>0.01983</v>
      </c>
      <c r="R227" s="58" t="n">
        <f aca="false">IF(OR(L227="",Q227=""),"",(L227-Q227)*10000)</f>
        <v>191.7</v>
      </c>
      <c r="S227" s="30" t="n">
        <f aca="false">IF(AND(K227="고정",N227="N",J227&gt;=2,J227&lt;=4,I227&lt;&gt;""),1,0)</f>
        <v>1</v>
      </c>
      <c r="T227" s="59" t="n">
        <f aca="false">IF(S227=1,I227*L227,0)</f>
        <v>78</v>
      </c>
      <c r="U227" s="60" t="n">
        <f aca="false">IF(AND(S227=1,ISNUMBER(R227)),I227*R227,0)</f>
        <v>383400</v>
      </c>
      <c r="V227" s="30" t="n">
        <f aca="false">IF(AND(F227="Big4(국영)",K227="고정",N227="N",I227&lt;&gt;""),1,0)</f>
        <v>0</v>
      </c>
      <c r="W227" s="59" t="n">
        <f aca="false">IF(V227=1,I227*L227,0)</f>
        <v>0</v>
      </c>
      <c r="X227" s="60" t="n">
        <f aca="false">IF(AND(V227=1,ISNUMBER(R227)),I227*R227,0)</f>
        <v>0</v>
      </c>
      <c r="Y227" s="61" t="n">
        <f aca="false">IF(AND(S227=1,ISNUMBER(R227)),I227,0)</f>
        <v>2000</v>
      </c>
      <c r="Z227" s="61" t="n">
        <f aca="false">IF(AND(V227=1,ISNUMBER(R227)),I227,0)</f>
        <v>0</v>
      </c>
    </row>
    <row r="228" customFormat="false" ht="15" hidden="false" customHeight="false" outlineLevel="0" collapsed="false">
      <c r="A228" s="47" t="s">
        <v>542</v>
      </c>
      <c r="B228" s="52" t="n">
        <v>45404</v>
      </c>
      <c r="C228" s="53" t="n">
        <f aca="false">DATE(YEAR(B228),MONTH(B228),1)</f>
        <v>45383</v>
      </c>
      <c r="D228" s="5" t="str">
        <f aca="false">YEAR(B228)&amp;"Q"&amp;ROUNDUP(MONTH(B228)/3,0)</f>
        <v>2024Q2</v>
      </c>
      <c r="E228" s="47" t="s">
        <v>160</v>
      </c>
      <c r="F228" s="54" t="s">
        <v>139</v>
      </c>
      <c r="G228" s="47" t="s">
        <v>161</v>
      </c>
      <c r="H228" s="47" t="s">
        <v>554</v>
      </c>
      <c r="I228" s="55" t="n">
        <v>400</v>
      </c>
      <c r="J228" s="56" t="n">
        <v>7</v>
      </c>
      <c r="K228" s="54" t="s">
        <v>153</v>
      </c>
      <c r="N228" s="47" t="s">
        <v>143</v>
      </c>
      <c r="O228" s="47" t="s">
        <v>546</v>
      </c>
      <c r="P228" s="47"/>
      <c r="Q228" s="48" t="n">
        <f aca="false">IF($J228="","",IFERROR(IF($J228&lt;=1,INDEX(VN_국채일별!$B$4:$B$1436,MATCH($B228,VN_국채일별!$A$4:$A$1436,1)),IF($J228&lt;=2,INDEX(VN_국채일별!$B$4:$B$1436,MATCH($B228,VN_국채일별!$A$4:$A$1436,1))+(INDEX(VN_국채일별!$C$4:$C$1436,MATCH($B228,VN_국채일별!$A$4:$A$1436,1))-INDEX(VN_국채일별!$B$4:$B$1436,MATCH($B228,VN_국채일별!$A$4:$A$1436,1)))*($J228-1),IF($J228&lt;=3,INDEX(VN_국채일별!$C$4:$C$1436,MATCH($B228,VN_국채일별!$A$4:$A$1436,1))+(INDEX(VN_국채일별!$D$4:$D$1436,MATCH($B228,VN_국채일별!$A$4:$A$1436,1))-INDEX(VN_국채일별!$C$4:$C$1436,MATCH($B228,VN_국채일별!$A$4:$A$1436,1)))*($J228-2),IF($J228&lt;=5,INDEX(VN_국채일별!$D$4:$D$1436,MATCH($B228,VN_국채일별!$A$4:$A$1436,1))+(INDEX(VN_국채일별!$E$4:$E$1436,MATCH($B228,VN_국채일별!$A$4:$A$1436,1))-INDEX(VN_국채일별!$D$4:$D$1436,MATCH($B228,VN_국채일별!$A$4:$A$1436,1)))*($J228-3)/2,IF($J228&lt;=7,INDEX(VN_국채일별!$E$4:$E$1436,MATCH($B228,VN_국채일별!$A$4:$A$1436,1))+(INDEX(VN_국채일별!$F$4:$F$1436,MATCH($B228,VN_국채일별!$A$4:$A$1436,1))-INDEX(VN_국채일별!$E$4:$E$1436,MATCH($B228,VN_국채일별!$A$4:$A$1436,1)))*($J228-5)/2,IF($J228&lt;=10,INDEX(VN_국채일별!$F$4:$F$1436,MATCH($B228,VN_국채일별!$A$4:$A$1436,1))+(INDEX(VN_국채일별!$G$4:$G$1436,MATCH($B228,VN_국채일별!$A$4:$A$1436,1))-INDEX(VN_국채일별!$F$4:$F$1436,MATCH($B228,VN_국채일별!$A$4:$A$1436,1)))*($J228-7)/3,INDEX(VN_국채일별!$G$4:$G$1436,MATCH($B228,VN_국채일별!$A$4:$A$1436,1)))))))),""))</f>
        <v>0.02426</v>
      </c>
      <c r="R228" s="58" t="str">
        <f aca="false">IF(OR(L228="",Q228=""),"",(L228-Q228)*10000)</f>
        <v/>
      </c>
      <c r="S228" s="30" t="n">
        <f aca="false">IF(AND(K228="고정",N228="N",J228&gt;=2,J228&lt;=4,I228&lt;&gt;""),1,0)</f>
        <v>0</v>
      </c>
      <c r="T228" s="59" t="n">
        <f aca="false">IF(S228=1,I228*L228,0)</f>
        <v>0</v>
      </c>
      <c r="U228" s="60" t="n">
        <f aca="false">IF(AND(S228=1,ISNUMBER(R228)),I228*R228,0)</f>
        <v>0</v>
      </c>
      <c r="V228" s="30" t="n">
        <f aca="false">IF(AND(F228="Big4(국영)",K228="고정",N228="N",I228&lt;&gt;""),1,0)</f>
        <v>0</v>
      </c>
      <c r="W228" s="59" t="n">
        <f aca="false">IF(V228=1,I228*L228,0)</f>
        <v>0</v>
      </c>
      <c r="X228" s="60" t="n">
        <f aca="false">IF(AND(V228=1,ISNUMBER(R228)),I228*R228,0)</f>
        <v>0</v>
      </c>
      <c r="Y228" s="61" t="n">
        <f aca="false">IF(AND(S228=1,ISNUMBER(R228)),I228,0)</f>
        <v>0</v>
      </c>
      <c r="Z228" s="61" t="n">
        <f aca="false">IF(AND(V228=1,ISNUMBER(R228)),I228,0)</f>
        <v>0</v>
      </c>
    </row>
    <row r="229" customFormat="false" ht="15" hidden="false" customHeight="false" outlineLevel="0" collapsed="false">
      <c r="A229" s="47" t="s">
        <v>555</v>
      </c>
      <c r="B229" s="52" t="n">
        <v>45421</v>
      </c>
      <c r="C229" s="53" t="n">
        <f aca="false">DATE(YEAR(B229),MONTH(B229),1)</f>
        <v>45413</v>
      </c>
      <c r="D229" s="5" t="str">
        <f aca="false">YEAR(B229)&amp;"Q"&amp;ROUNDUP(MONTH(B229)/3,0)</f>
        <v>2024Q2</v>
      </c>
      <c r="E229" s="47" t="s">
        <v>248</v>
      </c>
      <c r="F229" s="54" t="s">
        <v>139</v>
      </c>
      <c r="G229" s="47" t="s">
        <v>361</v>
      </c>
      <c r="H229" s="47" t="s">
        <v>556</v>
      </c>
      <c r="I229" s="55" t="n">
        <v>2000</v>
      </c>
      <c r="J229" s="56" t="n">
        <v>3</v>
      </c>
      <c r="K229" s="54" t="s">
        <v>142</v>
      </c>
      <c r="L229" s="57" t="n">
        <v>0.048</v>
      </c>
      <c r="N229" s="47" t="s">
        <v>148</v>
      </c>
      <c r="O229" s="47" t="s">
        <v>557</v>
      </c>
      <c r="P229" s="47"/>
      <c r="Q229" s="48" t="n">
        <f aca="false">IF($J229="","",IFERROR(IF($J229&lt;=1,INDEX(VN_국채일별!$B$4:$B$1436,MATCH($B229,VN_국채일별!$A$4:$A$1436,1)),IF($J229&lt;=2,INDEX(VN_국채일별!$B$4:$B$1436,MATCH($B229,VN_국채일별!$A$4:$A$1436,1))+(INDEX(VN_국채일별!$C$4:$C$1436,MATCH($B229,VN_국채일별!$A$4:$A$1436,1))-INDEX(VN_국채일별!$B$4:$B$1436,MATCH($B229,VN_국채일별!$A$4:$A$1436,1)))*($J229-1),IF($J229&lt;=3,INDEX(VN_국채일별!$C$4:$C$1436,MATCH($B229,VN_국채일별!$A$4:$A$1436,1))+(INDEX(VN_국채일별!$D$4:$D$1436,MATCH($B229,VN_국채일별!$A$4:$A$1436,1))-INDEX(VN_국채일별!$C$4:$C$1436,MATCH($B229,VN_국채일별!$A$4:$A$1436,1)))*($J229-2),IF($J229&lt;=5,INDEX(VN_국채일별!$D$4:$D$1436,MATCH($B229,VN_국채일별!$A$4:$A$1436,1))+(INDEX(VN_국채일별!$E$4:$E$1436,MATCH($B229,VN_국채일별!$A$4:$A$1436,1))-INDEX(VN_국채일별!$D$4:$D$1436,MATCH($B229,VN_국채일별!$A$4:$A$1436,1)))*($J229-3)/2,IF($J229&lt;=7,INDEX(VN_국채일별!$E$4:$E$1436,MATCH($B229,VN_국채일별!$A$4:$A$1436,1))+(INDEX(VN_국채일별!$F$4:$F$1436,MATCH($B229,VN_국채일별!$A$4:$A$1436,1))-INDEX(VN_국채일별!$E$4:$E$1436,MATCH($B229,VN_국채일별!$A$4:$A$1436,1)))*($J229-5)/2,IF($J229&lt;=10,INDEX(VN_국채일별!$F$4:$F$1436,MATCH($B229,VN_국채일별!$A$4:$A$1436,1))+(INDEX(VN_국채일별!$G$4:$G$1436,MATCH($B229,VN_국채일별!$A$4:$A$1436,1))-INDEX(VN_국채일별!$F$4:$F$1436,MATCH($B229,VN_국채일별!$A$4:$A$1436,1)))*($J229-7)/3,INDEX(VN_국채일별!$G$4:$G$1436,MATCH($B229,VN_국채일별!$A$4:$A$1436,1)))))))),""))</f>
        <v>0.01984</v>
      </c>
      <c r="R229" s="58" t="n">
        <f aca="false">IF(OR(L229="",Q229=""),"",(L229-Q229)*10000)</f>
        <v>281.6</v>
      </c>
      <c r="S229" s="30" t="n">
        <f aca="false">IF(AND(K229="고정",N229="N",J229&gt;=2,J229&lt;=4,I229&lt;&gt;""),1,0)</f>
        <v>1</v>
      </c>
      <c r="T229" s="59" t="n">
        <f aca="false">IF(S229=1,I229*L229,0)</f>
        <v>96</v>
      </c>
      <c r="U229" s="60" t="n">
        <f aca="false">IF(AND(S229=1,ISNUMBER(R229)),I229*R229,0)</f>
        <v>563200</v>
      </c>
      <c r="V229" s="30" t="n">
        <f aca="false">IF(AND(F229="Big4(국영)",K229="고정",N229="N",I229&lt;&gt;""),1,0)</f>
        <v>0</v>
      </c>
      <c r="W229" s="59" t="n">
        <f aca="false">IF(V229=1,I229*L229,0)</f>
        <v>0</v>
      </c>
      <c r="X229" s="60" t="n">
        <f aca="false">IF(AND(V229=1,ISNUMBER(R229)),I229*R229,0)</f>
        <v>0</v>
      </c>
      <c r="Y229" s="61" t="n">
        <f aca="false">IF(AND(S229=1,ISNUMBER(R229)),I229,0)</f>
        <v>2000</v>
      </c>
      <c r="Z229" s="61" t="n">
        <f aca="false">IF(AND(V229=1,ISNUMBER(R229)),I229,0)</f>
        <v>0</v>
      </c>
    </row>
    <row r="230" customFormat="false" ht="15" hidden="false" customHeight="false" outlineLevel="0" collapsed="false">
      <c r="A230" s="47" t="s">
        <v>555</v>
      </c>
      <c r="B230" s="52" t="n">
        <v>45422</v>
      </c>
      <c r="C230" s="53" t="n">
        <f aca="false">DATE(YEAR(B230),MONTH(B230),1)</f>
        <v>45413</v>
      </c>
      <c r="D230" s="5" t="str">
        <f aca="false">YEAR(B230)&amp;"Q"&amp;ROUNDUP(MONTH(B230)/3,0)</f>
        <v>2024Q2</v>
      </c>
      <c r="E230" s="47" t="s">
        <v>307</v>
      </c>
      <c r="F230" s="54" t="s">
        <v>139</v>
      </c>
      <c r="G230" s="47" t="s">
        <v>308</v>
      </c>
      <c r="H230" s="47" t="s">
        <v>558</v>
      </c>
      <c r="I230" s="55" t="n">
        <v>1500</v>
      </c>
      <c r="J230" s="56" t="n">
        <v>3</v>
      </c>
      <c r="K230" s="54" t="s">
        <v>142</v>
      </c>
      <c r="L230" s="57" t="n">
        <v>0.048</v>
      </c>
      <c r="N230" s="47" t="s">
        <v>148</v>
      </c>
      <c r="O230" s="47" t="s">
        <v>557</v>
      </c>
      <c r="P230" s="47"/>
      <c r="Q230" s="48" t="n">
        <f aca="false">IF($J230="","",IFERROR(IF($J230&lt;=1,INDEX(VN_국채일별!$B$4:$B$1436,MATCH($B230,VN_국채일별!$A$4:$A$1436,1)),IF($J230&lt;=2,INDEX(VN_국채일별!$B$4:$B$1436,MATCH($B230,VN_국채일별!$A$4:$A$1436,1))+(INDEX(VN_국채일별!$C$4:$C$1436,MATCH($B230,VN_국채일별!$A$4:$A$1436,1))-INDEX(VN_국채일별!$B$4:$B$1436,MATCH($B230,VN_국채일별!$A$4:$A$1436,1)))*($J230-1),IF($J230&lt;=3,INDEX(VN_국채일별!$C$4:$C$1436,MATCH($B230,VN_국채일별!$A$4:$A$1436,1))+(INDEX(VN_국채일별!$D$4:$D$1436,MATCH($B230,VN_국채일별!$A$4:$A$1436,1))-INDEX(VN_국채일별!$C$4:$C$1436,MATCH($B230,VN_국채일별!$A$4:$A$1436,1)))*($J230-2),IF($J230&lt;=5,INDEX(VN_국채일별!$D$4:$D$1436,MATCH($B230,VN_국채일별!$A$4:$A$1436,1))+(INDEX(VN_국채일별!$E$4:$E$1436,MATCH($B230,VN_국채일별!$A$4:$A$1436,1))-INDEX(VN_국채일별!$D$4:$D$1436,MATCH($B230,VN_국채일별!$A$4:$A$1436,1)))*($J230-3)/2,IF($J230&lt;=7,INDEX(VN_국채일별!$E$4:$E$1436,MATCH($B230,VN_국채일별!$A$4:$A$1436,1))+(INDEX(VN_국채일별!$F$4:$F$1436,MATCH($B230,VN_국채일별!$A$4:$A$1436,1))-INDEX(VN_국채일별!$E$4:$E$1436,MATCH($B230,VN_국채일별!$A$4:$A$1436,1)))*($J230-5)/2,IF($J230&lt;=10,INDEX(VN_국채일별!$F$4:$F$1436,MATCH($B230,VN_국채일별!$A$4:$A$1436,1))+(INDEX(VN_국채일별!$G$4:$G$1436,MATCH($B230,VN_국채일별!$A$4:$A$1436,1))-INDEX(VN_국채일별!$F$4:$F$1436,MATCH($B230,VN_국채일별!$A$4:$A$1436,1)))*($J230-7)/3,INDEX(VN_국채일별!$G$4:$G$1436,MATCH($B230,VN_국채일별!$A$4:$A$1436,1)))))))),""))</f>
        <v>0.01983</v>
      </c>
      <c r="R230" s="58" t="n">
        <f aca="false">IF(OR(L230="",Q230=""),"",(L230-Q230)*10000)</f>
        <v>281.7</v>
      </c>
      <c r="S230" s="30" t="n">
        <f aca="false">IF(AND(K230="고정",N230="N",J230&gt;=2,J230&lt;=4,I230&lt;&gt;""),1,0)</f>
        <v>1</v>
      </c>
      <c r="T230" s="59" t="n">
        <f aca="false">IF(S230=1,I230*L230,0)</f>
        <v>72</v>
      </c>
      <c r="U230" s="60" t="n">
        <f aca="false">IF(AND(S230=1,ISNUMBER(R230)),I230*R230,0)</f>
        <v>422550</v>
      </c>
      <c r="V230" s="30" t="n">
        <f aca="false">IF(AND(F230="Big4(국영)",K230="고정",N230="N",I230&lt;&gt;""),1,0)</f>
        <v>0</v>
      </c>
      <c r="W230" s="59" t="n">
        <f aca="false">IF(V230=1,I230*L230,0)</f>
        <v>0</v>
      </c>
      <c r="X230" s="60" t="n">
        <f aca="false">IF(AND(V230=1,ISNUMBER(R230)),I230*R230,0)</f>
        <v>0</v>
      </c>
      <c r="Y230" s="61" t="n">
        <f aca="false">IF(AND(S230=1,ISNUMBER(R230)),I230,0)</f>
        <v>1500</v>
      </c>
      <c r="Z230" s="61" t="n">
        <f aca="false">IF(AND(V230=1,ISNUMBER(R230)),I230,0)</f>
        <v>0</v>
      </c>
    </row>
    <row r="231" customFormat="false" ht="15" hidden="false" customHeight="false" outlineLevel="0" collapsed="false">
      <c r="A231" s="47" t="s">
        <v>555</v>
      </c>
      <c r="B231" s="52" t="n">
        <v>45422</v>
      </c>
      <c r="C231" s="53" t="n">
        <f aca="false">DATE(YEAR(B231),MONTH(B231),1)</f>
        <v>45413</v>
      </c>
      <c r="D231" s="5" t="str">
        <f aca="false">YEAR(B231)&amp;"Q"&amp;ROUNDUP(MONTH(B231)/3,0)</f>
        <v>2024Q2</v>
      </c>
      <c r="E231" s="62" t="s">
        <v>155</v>
      </c>
      <c r="F231" s="62" t="s">
        <v>156</v>
      </c>
      <c r="G231" s="47" t="s">
        <v>157</v>
      </c>
      <c r="H231" s="47" t="s">
        <v>559</v>
      </c>
      <c r="I231" s="55" t="n">
        <v>950</v>
      </c>
      <c r="J231" s="56" t="n">
        <v>7</v>
      </c>
      <c r="K231" s="54" t="s">
        <v>153</v>
      </c>
      <c r="N231" s="47" t="s">
        <v>143</v>
      </c>
      <c r="O231" s="47" t="s">
        <v>560</v>
      </c>
      <c r="P231" s="47"/>
      <c r="Q231" s="48" t="n">
        <f aca="false">IF($J231="","",IFERROR(IF($J231&lt;=1,INDEX(VN_국채일별!$B$4:$B$1436,MATCH($B231,VN_국채일별!$A$4:$A$1436,1)),IF($J231&lt;=2,INDEX(VN_국채일별!$B$4:$B$1436,MATCH($B231,VN_국채일별!$A$4:$A$1436,1))+(INDEX(VN_국채일별!$C$4:$C$1436,MATCH($B231,VN_국채일별!$A$4:$A$1436,1))-INDEX(VN_국채일별!$B$4:$B$1436,MATCH($B231,VN_국채일별!$A$4:$A$1436,1)))*($J231-1),IF($J231&lt;=3,INDEX(VN_국채일별!$C$4:$C$1436,MATCH($B231,VN_국채일별!$A$4:$A$1436,1))+(INDEX(VN_국채일별!$D$4:$D$1436,MATCH($B231,VN_국채일별!$A$4:$A$1436,1))-INDEX(VN_국채일별!$C$4:$C$1436,MATCH($B231,VN_국채일별!$A$4:$A$1436,1)))*($J231-2),IF($J231&lt;=5,INDEX(VN_국채일별!$D$4:$D$1436,MATCH($B231,VN_국채일별!$A$4:$A$1436,1))+(INDEX(VN_국채일별!$E$4:$E$1436,MATCH($B231,VN_국채일별!$A$4:$A$1436,1))-INDEX(VN_국채일별!$D$4:$D$1436,MATCH($B231,VN_국채일별!$A$4:$A$1436,1)))*($J231-3)/2,IF($J231&lt;=7,INDEX(VN_국채일별!$E$4:$E$1436,MATCH($B231,VN_국채일별!$A$4:$A$1436,1))+(INDEX(VN_국채일별!$F$4:$F$1436,MATCH($B231,VN_국채일별!$A$4:$A$1436,1))-INDEX(VN_국채일별!$E$4:$E$1436,MATCH($B231,VN_국채일별!$A$4:$A$1436,1)))*($J231-5)/2,IF($J231&lt;=10,INDEX(VN_국채일별!$F$4:$F$1436,MATCH($B231,VN_국채일별!$A$4:$A$1436,1))+(INDEX(VN_국채일별!$G$4:$G$1436,MATCH($B231,VN_국채일별!$A$4:$A$1436,1))-INDEX(VN_국채일별!$F$4:$F$1436,MATCH($B231,VN_국채일별!$A$4:$A$1436,1)))*($J231-7)/3,INDEX(VN_국채일별!$G$4:$G$1436,MATCH($B231,VN_국채일별!$A$4:$A$1436,1)))))))),""))</f>
        <v>0.02341</v>
      </c>
      <c r="R231" s="58" t="str">
        <f aca="false">IF(OR(L231="",Q231=""),"",(L231-Q231)*10000)</f>
        <v/>
      </c>
      <c r="S231" s="30" t="n">
        <f aca="false">IF(AND(K231="고정",N231="N",J231&gt;=2,J231&lt;=4,I231&lt;&gt;""),1,0)</f>
        <v>0</v>
      </c>
      <c r="T231" s="59" t="n">
        <f aca="false">IF(S231=1,I231*L231,0)</f>
        <v>0</v>
      </c>
      <c r="U231" s="60" t="n">
        <f aca="false">IF(AND(S231=1,ISNUMBER(R231)),I231*R231,0)</f>
        <v>0</v>
      </c>
      <c r="V231" s="30" t="n">
        <f aca="false">IF(AND(F231="Big4(국영)",K231="고정",N231="N",I231&lt;&gt;""),1,0)</f>
        <v>0</v>
      </c>
      <c r="W231" s="59" t="n">
        <f aca="false">IF(V231=1,I231*L231,0)</f>
        <v>0</v>
      </c>
      <c r="X231" s="60" t="n">
        <f aca="false">IF(AND(V231=1,ISNUMBER(R231)),I231*R231,0)</f>
        <v>0</v>
      </c>
      <c r="Y231" s="61" t="n">
        <f aca="false">IF(AND(S231=1,ISNUMBER(R231)),I231,0)</f>
        <v>0</v>
      </c>
      <c r="Z231" s="61" t="n">
        <f aca="false">IF(AND(V231=1,ISNUMBER(R231)),I231,0)</f>
        <v>0</v>
      </c>
    </row>
    <row r="232" customFormat="false" ht="15" hidden="false" customHeight="false" outlineLevel="0" collapsed="false">
      <c r="A232" s="47" t="s">
        <v>555</v>
      </c>
      <c r="B232" s="52" t="n">
        <v>45427</v>
      </c>
      <c r="C232" s="53" t="n">
        <f aca="false">DATE(YEAR(B232),MONTH(B232),1)</f>
        <v>45413</v>
      </c>
      <c r="D232" s="5" t="str">
        <f aca="false">YEAR(B232)&amp;"Q"&amp;ROUNDUP(MONTH(B232)/3,0)</f>
        <v>2024Q2</v>
      </c>
      <c r="E232" s="47" t="s">
        <v>323</v>
      </c>
      <c r="F232" s="54" t="s">
        <v>139</v>
      </c>
      <c r="G232" s="47" t="s">
        <v>324</v>
      </c>
      <c r="H232" s="47" t="s">
        <v>561</v>
      </c>
      <c r="I232" s="55" t="n">
        <v>500</v>
      </c>
      <c r="J232" s="56" t="n">
        <v>3</v>
      </c>
      <c r="K232" s="54" t="s">
        <v>142</v>
      </c>
      <c r="L232" s="57" t="n">
        <v>0.051</v>
      </c>
      <c r="N232" s="47" t="s">
        <v>148</v>
      </c>
      <c r="O232" s="47" t="s">
        <v>510</v>
      </c>
      <c r="P232" s="47"/>
      <c r="Q232" s="48" t="n">
        <f aca="false">IF($J232="","",IFERROR(IF($J232&lt;=1,INDEX(VN_국채일별!$B$4:$B$1436,MATCH($B232,VN_국채일별!$A$4:$A$1436,1)),IF($J232&lt;=2,INDEX(VN_국채일별!$B$4:$B$1436,MATCH($B232,VN_국채일별!$A$4:$A$1436,1))+(INDEX(VN_국채일별!$C$4:$C$1436,MATCH($B232,VN_국채일별!$A$4:$A$1436,1))-INDEX(VN_국채일별!$B$4:$B$1436,MATCH($B232,VN_국채일별!$A$4:$A$1436,1)))*($J232-1),IF($J232&lt;=3,INDEX(VN_국채일별!$C$4:$C$1436,MATCH($B232,VN_국채일별!$A$4:$A$1436,1))+(INDEX(VN_국채일별!$D$4:$D$1436,MATCH($B232,VN_국채일별!$A$4:$A$1436,1))-INDEX(VN_국채일별!$C$4:$C$1436,MATCH($B232,VN_국채일별!$A$4:$A$1436,1)))*($J232-2),IF($J232&lt;=5,INDEX(VN_국채일별!$D$4:$D$1436,MATCH($B232,VN_국채일별!$A$4:$A$1436,1))+(INDEX(VN_국채일별!$E$4:$E$1436,MATCH($B232,VN_국채일별!$A$4:$A$1436,1))-INDEX(VN_국채일별!$D$4:$D$1436,MATCH($B232,VN_국채일별!$A$4:$A$1436,1)))*($J232-3)/2,IF($J232&lt;=7,INDEX(VN_국채일별!$E$4:$E$1436,MATCH($B232,VN_국채일별!$A$4:$A$1436,1))+(INDEX(VN_국채일별!$F$4:$F$1436,MATCH($B232,VN_국채일별!$A$4:$A$1436,1))-INDEX(VN_국채일별!$E$4:$E$1436,MATCH($B232,VN_국채일별!$A$4:$A$1436,1)))*($J232-5)/2,IF($J232&lt;=10,INDEX(VN_국채일별!$F$4:$F$1436,MATCH($B232,VN_국채일별!$A$4:$A$1436,1))+(INDEX(VN_국채일별!$G$4:$G$1436,MATCH($B232,VN_국채일별!$A$4:$A$1436,1))-INDEX(VN_국채일별!$F$4:$F$1436,MATCH($B232,VN_국채일별!$A$4:$A$1436,1)))*($J232-7)/3,INDEX(VN_국채일별!$G$4:$G$1436,MATCH($B232,VN_국채일별!$A$4:$A$1436,1)))))))),""))</f>
        <v>0.01968</v>
      </c>
      <c r="R232" s="58" t="n">
        <f aca="false">IF(OR(L232="",Q232=""),"",(L232-Q232)*10000)</f>
        <v>313.2</v>
      </c>
      <c r="S232" s="30" t="n">
        <f aca="false">IF(AND(K232="고정",N232="N",J232&gt;=2,J232&lt;=4,I232&lt;&gt;""),1,0)</f>
        <v>1</v>
      </c>
      <c r="T232" s="59" t="n">
        <f aca="false">IF(S232=1,I232*L232,0)</f>
        <v>25.5</v>
      </c>
      <c r="U232" s="60" t="n">
        <f aca="false">IF(AND(S232=1,ISNUMBER(R232)),I232*R232,0)</f>
        <v>156600</v>
      </c>
      <c r="V232" s="30" t="n">
        <f aca="false">IF(AND(F232="Big4(국영)",K232="고정",N232="N",I232&lt;&gt;""),1,0)</f>
        <v>0</v>
      </c>
      <c r="W232" s="59" t="n">
        <f aca="false">IF(V232=1,I232*L232,0)</f>
        <v>0</v>
      </c>
      <c r="X232" s="60" t="n">
        <f aca="false">IF(AND(V232=1,ISNUMBER(R232)),I232*R232,0)</f>
        <v>0</v>
      </c>
      <c r="Y232" s="61" t="n">
        <f aca="false">IF(AND(S232=1,ISNUMBER(R232)),I232,0)</f>
        <v>500</v>
      </c>
      <c r="Z232" s="61" t="n">
        <f aca="false">IF(AND(V232=1,ISNUMBER(R232)),I232,0)</f>
        <v>0</v>
      </c>
    </row>
    <row r="233" customFormat="false" ht="15" hidden="false" customHeight="false" outlineLevel="0" collapsed="false">
      <c r="A233" s="47" t="s">
        <v>555</v>
      </c>
      <c r="B233" s="52" t="n">
        <v>45428</v>
      </c>
      <c r="C233" s="53" t="n">
        <f aca="false">DATE(YEAR(B233),MONTH(B233),1)</f>
        <v>45413</v>
      </c>
      <c r="D233" s="5" t="str">
        <f aca="false">YEAR(B233)&amp;"Q"&amp;ROUNDUP(MONTH(B233)/3,0)</f>
        <v>2024Q2</v>
      </c>
      <c r="E233" s="47" t="s">
        <v>145</v>
      </c>
      <c r="F233" s="54" t="s">
        <v>139</v>
      </c>
      <c r="G233" s="47" t="s">
        <v>146</v>
      </c>
      <c r="H233" s="47" t="s">
        <v>562</v>
      </c>
      <c r="I233" s="55" t="n">
        <v>1000</v>
      </c>
      <c r="J233" s="56" t="n">
        <v>3</v>
      </c>
      <c r="K233" s="54" t="s">
        <v>142</v>
      </c>
      <c r="L233" s="57" t="n">
        <v>0.039</v>
      </c>
      <c r="N233" s="47" t="s">
        <v>148</v>
      </c>
      <c r="O233" s="47" t="s">
        <v>203</v>
      </c>
      <c r="P233" s="47"/>
      <c r="Q233" s="48" t="n">
        <f aca="false">IF($J233="","",IFERROR(IF($J233&lt;=1,INDEX(VN_국채일별!$B$4:$B$1436,MATCH($B233,VN_국채일별!$A$4:$A$1436,1)),IF($J233&lt;=2,INDEX(VN_국채일별!$B$4:$B$1436,MATCH($B233,VN_국채일별!$A$4:$A$1436,1))+(INDEX(VN_국채일별!$C$4:$C$1436,MATCH($B233,VN_국채일별!$A$4:$A$1436,1))-INDEX(VN_국채일별!$B$4:$B$1436,MATCH($B233,VN_국채일별!$A$4:$A$1436,1)))*($J233-1),IF($J233&lt;=3,INDEX(VN_국채일별!$C$4:$C$1436,MATCH($B233,VN_국채일별!$A$4:$A$1436,1))+(INDEX(VN_국채일별!$D$4:$D$1436,MATCH($B233,VN_국채일별!$A$4:$A$1436,1))-INDEX(VN_국채일별!$C$4:$C$1436,MATCH($B233,VN_국채일별!$A$4:$A$1436,1)))*($J233-2),IF($J233&lt;=5,INDEX(VN_국채일별!$D$4:$D$1436,MATCH($B233,VN_국채일별!$A$4:$A$1436,1))+(INDEX(VN_국채일별!$E$4:$E$1436,MATCH($B233,VN_국채일별!$A$4:$A$1436,1))-INDEX(VN_국채일별!$D$4:$D$1436,MATCH($B233,VN_국채일별!$A$4:$A$1436,1)))*($J233-3)/2,IF($J233&lt;=7,INDEX(VN_국채일별!$E$4:$E$1436,MATCH($B233,VN_국채일별!$A$4:$A$1436,1))+(INDEX(VN_국채일별!$F$4:$F$1436,MATCH($B233,VN_국채일별!$A$4:$A$1436,1))-INDEX(VN_국채일별!$E$4:$E$1436,MATCH($B233,VN_국채일별!$A$4:$A$1436,1)))*($J233-5)/2,IF($J233&lt;=10,INDEX(VN_국채일별!$F$4:$F$1436,MATCH($B233,VN_국채일별!$A$4:$A$1436,1))+(INDEX(VN_국채일별!$G$4:$G$1436,MATCH($B233,VN_국채일별!$A$4:$A$1436,1))-INDEX(VN_국채일별!$F$4:$F$1436,MATCH($B233,VN_국채일별!$A$4:$A$1436,1)))*($J233-7)/3,INDEX(VN_국채일별!$G$4:$G$1436,MATCH($B233,VN_국채일별!$A$4:$A$1436,1)))))))),""))</f>
        <v>0.01966</v>
      </c>
      <c r="R233" s="58" t="n">
        <f aca="false">IF(OR(L233="",Q233=""),"",(L233-Q233)*10000)</f>
        <v>193.4</v>
      </c>
      <c r="S233" s="30" t="n">
        <f aca="false">IF(AND(K233="고정",N233="N",J233&gt;=2,J233&lt;=4,I233&lt;&gt;""),1,0)</f>
        <v>1</v>
      </c>
      <c r="T233" s="59" t="n">
        <f aca="false">IF(S233=1,I233*L233,0)</f>
        <v>39</v>
      </c>
      <c r="U233" s="60" t="n">
        <f aca="false">IF(AND(S233=1,ISNUMBER(R233)),I233*R233,0)</f>
        <v>193400</v>
      </c>
      <c r="V233" s="30" t="n">
        <f aca="false">IF(AND(F233="Big4(국영)",K233="고정",N233="N",I233&lt;&gt;""),1,0)</f>
        <v>0</v>
      </c>
      <c r="W233" s="59" t="n">
        <f aca="false">IF(V233=1,I233*L233,0)</f>
        <v>0</v>
      </c>
      <c r="X233" s="60" t="n">
        <f aca="false">IF(AND(V233=1,ISNUMBER(R233)),I233*R233,0)</f>
        <v>0</v>
      </c>
      <c r="Y233" s="61" t="n">
        <f aca="false">IF(AND(S233=1,ISNUMBER(R233)),I233,0)</f>
        <v>1000</v>
      </c>
      <c r="Z233" s="61" t="n">
        <f aca="false">IF(AND(V233=1,ISNUMBER(R233)),I233,0)</f>
        <v>0</v>
      </c>
    </row>
    <row r="234" customFormat="false" ht="15" hidden="false" customHeight="false" outlineLevel="0" collapsed="false">
      <c r="A234" s="47" t="s">
        <v>555</v>
      </c>
      <c r="B234" s="52" t="n">
        <v>45433</v>
      </c>
      <c r="C234" s="53" t="n">
        <f aca="false">DATE(YEAR(B234),MONTH(B234),1)</f>
        <v>45413</v>
      </c>
      <c r="D234" s="5" t="str">
        <f aca="false">YEAR(B234)&amp;"Q"&amp;ROUNDUP(MONTH(B234)/3,0)</f>
        <v>2024Q2</v>
      </c>
      <c r="E234" s="47" t="s">
        <v>323</v>
      </c>
      <c r="F234" s="54" t="s">
        <v>139</v>
      </c>
      <c r="G234" s="47" t="s">
        <v>324</v>
      </c>
      <c r="H234" s="47" t="s">
        <v>563</v>
      </c>
      <c r="I234" s="55" t="n">
        <v>500</v>
      </c>
      <c r="J234" s="56" t="n">
        <v>3</v>
      </c>
      <c r="K234" s="54" t="s">
        <v>142</v>
      </c>
      <c r="L234" s="57" t="n">
        <v>0.052</v>
      </c>
      <c r="N234" s="47" t="s">
        <v>148</v>
      </c>
      <c r="O234" s="47" t="s">
        <v>538</v>
      </c>
      <c r="P234" s="47"/>
      <c r="Q234" s="48" t="n">
        <f aca="false">IF($J234="","",IFERROR(IF($J234&lt;=1,INDEX(VN_국채일별!$B$4:$B$1436,MATCH($B234,VN_국채일별!$A$4:$A$1436,1)),IF($J234&lt;=2,INDEX(VN_국채일별!$B$4:$B$1436,MATCH($B234,VN_국채일별!$A$4:$A$1436,1))+(INDEX(VN_국채일별!$C$4:$C$1436,MATCH($B234,VN_국채일별!$A$4:$A$1436,1))-INDEX(VN_국채일별!$B$4:$B$1436,MATCH($B234,VN_국채일별!$A$4:$A$1436,1)))*($J234-1),IF($J234&lt;=3,INDEX(VN_국채일별!$C$4:$C$1436,MATCH($B234,VN_국채일별!$A$4:$A$1436,1))+(INDEX(VN_국채일별!$D$4:$D$1436,MATCH($B234,VN_국채일별!$A$4:$A$1436,1))-INDEX(VN_국채일별!$C$4:$C$1436,MATCH($B234,VN_국채일별!$A$4:$A$1436,1)))*($J234-2),IF($J234&lt;=5,INDEX(VN_국채일별!$D$4:$D$1436,MATCH($B234,VN_국채일별!$A$4:$A$1436,1))+(INDEX(VN_국채일별!$E$4:$E$1436,MATCH($B234,VN_국채일별!$A$4:$A$1436,1))-INDEX(VN_국채일별!$D$4:$D$1436,MATCH($B234,VN_국채일별!$A$4:$A$1436,1)))*($J234-3)/2,IF($J234&lt;=7,INDEX(VN_국채일별!$E$4:$E$1436,MATCH($B234,VN_국채일별!$A$4:$A$1436,1))+(INDEX(VN_국채일별!$F$4:$F$1436,MATCH($B234,VN_국채일별!$A$4:$A$1436,1))-INDEX(VN_국채일별!$E$4:$E$1436,MATCH($B234,VN_국채일별!$A$4:$A$1436,1)))*($J234-5)/2,IF($J234&lt;=10,INDEX(VN_국채일별!$F$4:$F$1436,MATCH($B234,VN_국채일별!$A$4:$A$1436,1))+(INDEX(VN_국채일별!$G$4:$G$1436,MATCH($B234,VN_국채일별!$A$4:$A$1436,1))-INDEX(VN_국채일별!$F$4:$F$1436,MATCH($B234,VN_국채일별!$A$4:$A$1436,1)))*($J234-7)/3,INDEX(VN_국채일별!$G$4:$G$1436,MATCH($B234,VN_국채일별!$A$4:$A$1436,1)))))))),""))</f>
        <v>0.01965</v>
      </c>
      <c r="R234" s="58" t="n">
        <f aca="false">IF(OR(L234="",Q234=""),"",(L234-Q234)*10000)</f>
        <v>323.5</v>
      </c>
      <c r="S234" s="30" t="n">
        <f aca="false">IF(AND(K234="고정",N234="N",J234&gt;=2,J234&lt;=4,I234&lt;&gt;""),1,0)</f>
        <v>1</v>
      </c>
      <c r="T234" s="59" t="n">
        <f aca="false">IF(S234=1,I234*L234,0)</f>
        <v>26</v>
      </c>
      <c r="U234" s="60" t="n">
        <f aca="false">IF(AND(S234=1,ISNUMBER(R234)),I234*R234,0)</f>
        <v>161750</v>
      </c>
      <c r="V234" s="30" t="n">
        <f aca="false">IF(AND(F234="Big4(국영)",K234="고정",N234="N",I234&lt;&gt;""),1,0)</f>
        <v>0</v>
      </c>
      <c r="W234" s="59" t="n">
        <f aca="false">IF(V234=1,I234*L234,0)</f>
        <v>0</v>
      </c>
      <c r="X234" s="60" t="n">
        <f aca="false">IF(AND(V234=1,ISNUMBER(R234)),I234*R234,0)</f>
        <v>0</v>
      </c>
      <c r="Y234" s="61" t="n">
        <f aca="false">IF(AND(S234=1,ISNUMBER(R234)),I234,0)</f>
        <v>500</v>
      </c>
      <c r="Z234" s="61" t="n">
        <f aca="false">IF(AND(V234=1,ISNUMBER(R234)),I234,0)</f>
        <v>0</v>
      </c>
    </row>
    <row r="235" customFormat="false" ht="15" hidden="false" customHeight="false" outlineLevel="0" collapsed="false">
      <c r="A235" s="47" t="s">
        <v>555</v>
      </c>
      <c r="B235" s="52" t="n">
        <v>45433</v>
      </c>
      <c r="C235" s="53" t="n">
        <f aca="false">DATE(YEAR(B235),MONTH(B235),1)</f>
        <v>45413</v>
      </c>
      <c r="D235" s="5" t="str">
        <f aca="false">YEAR(B235)&amp;"Q"&amp;ROUNDUP(MONTH(B235)/3,0)</f>
        <v>2024Q2</v>
      </c>
      <c r="E235" s="62" t="s">
        <v>155</v>
      </c>
      <c r="F235" s="62" t="s">
        <v>156</v>
      </c>
      <c r="G235" s="47" t="s">
        <v>157</v>
      </c>
      <c r="H235" s="47" t="s">
        <v>564</v>
      </c>
      <c r="I235" s="55" t="n">
        <v>1000</v>
      </c>
      <c r="J235" s="56" t="n">
        <v>15</v>
      </c>
      <c r="K235" s="54" t="s">
        <v>142</v>
      </c>
      <c r="L235" s="57" t="n">
        <v>0.065</v>
      </c>
      <c r="N235" s="47" t="s">
        <v>143</v>
      </c>
      <c r="O235" s="47" t="s">
        <v>417</v>
      </c>
      <c r="P235" s="47"/>
      <c r="Q235" s="48" t="n">
        <f aca="false">IF($J235="","",IFERROR(IF($J235&lt;=1,INDEX(VN_국채일별!$B$4:$B$1436,MATCH($B235,VN_국채일별!$A$4:$A$1436,1)),IF($J235&lt;=2,INDEX(VN_국채일별!$B$4:$B$1436,MATCH($B235,VN_국채일별!$A$4:$A$1436,1))+(INDEX(VN_국채일별!$C$4:$C$1436,MATCH($B235,VN_국채일별!$A$4:$A$1436,1))-INDEX(VN_국채일별!$B$4:$B$1436,MATCH($B235,VN_국채일별!$A$4:$A$1436,1)))*($J235-1),IF($J235&lt;=3,INDEX(VN_국채일별!$C$4:$C$1436,MATCH($B235,VN_국채일별!$A$4:$A$1436,1))+(INDEX(VN_국채일별!$D$4:$D$1436,MATCH($B235,VN_국채일별!$A$4:$A$1436,1))-INDEX(VN_국채일별!$C$4:$C$1436,MATCH($B235,VN_국채일별!$A$4:$A$1436,1)))*($J235-2),IF($J235&lt;=5,INDEX(VN_국채일별!$D$4:$D$1436,MATCH($B235,VN_국채일별!$A$4:$A$1436,1))+(INDEX(VN_국채일별!$E$4:$E$1436,MATCH($B235,VN_국채일별!$A$4:$A$1436,1))-INDEX(VN_국채일별!$D$4:$D$1436,MATCH($B235,VN_국채일별!$A$4:$A$1436,1)))*($J235-3)/2,IF($J235&lt;=7,INDEX(VN_국채일별!$E$4:$E$1436,MATCH($B235,VN_국채일별!$A$4:$A$1436,1))+(INDEX(VN_국채일별!$F$4:$F$1436,MATCH($B235,VN_국채일별!$A$4:$A$1436,1))-INDEX(VN_국채일별!$E$4:$E$1436,MATCH($B235,VN_국채일별!$A$4:$A$1436,1)))*($J235-5)/2,IF($J235&lt;=10,INDEX(VN_국채일별!$F$4:$F$1436,MATCH($B235,VN_국채일별!$A$4:$A$1436,1))+(INDEX(VN_국채일별!$G$4:$G$1436,MATCH($B235,VN_국채일별!$A$4:$A$1436,1))-INDEX(VN_국채일별!$F$4:$F$1436,MATCH($B235,VN_국채일별!$A$4:$A$1436,1)))*($J235-7)/3,INDEX(VN_국채일별!$G$4:$G$1436,MATCH($B235,VN_국채일별!$A$4:$A$1436,1)))))))),""))</f>
        <v>0.02777</v>
      </c>
      <c r="R235" s="58" t="n">
        <f aca="false">IF(OR(L235="",Q235=""),"",(L235-Q235)*10000)</f>
        <v>372.3</v>
      </c>
      <c r="S235" s="30" t="n">
        <f aca="false">IF(AND(K235="고정",N235="N",J235&gt;=2,J235&lt;=4,I235&lt;&gt;""),1,0)</f>
        <v>0</v>
      </c>
      <c r="T235" s="59" t="n">
        <f aca="false">IF(S235=1,I235*L235,0)</f>
        <v>0</v>
      </c>
      <c r="U235" s="60" t="n">
        <f aca="false">IF(AND(S235=1,ISNUMBER(R235)),I235*R235,0)</f>
        <v>0</v>
      </c>
      <c r="V235" s="30" t="n">
        <f aca="false">IF(AND(F235="Big4(국영)",K235="고정",N235="N",I235&lt;&gt;""),1,0)</f>
        <v>0</v>
      </c>
      <c r="W235" s="59" t="n">
        <f aca="false">IF(V235=1,I235*L235,0)</f>
        <v>0</v>
      </c>
      <c r="X235" s="60" t="n">
        <f aca="false">IF(AND(V235=1,ISNUMBER(R235)),I235*R235,0)</f>
        <v>0</v>
      </c>
      <c r="Y235" s="61" t="n">
        <f aca="false">IF(AND(S235=1,ISNUMBER(R235)),I235,0)</f>
        <v>0</v>
      </c>
      <c r="Z235" s="61" t="n">
        <f aca="false">IF(AND(V235=1,ISNUMBER(R235)),I235,0)</f>
        <v>0</v>
      </c>
    </row>
    <row r="236" customFormat="false" ht="15" hidden="false" customHeight="false" outlineLevel="0" collapsed="false">
      <c r="A236" s="47" t="s">
        <v>555</v>
      </c>
      <c r="B236" s="52" t="n">
        <v>45434</v>
      </c>
      <c r="C236" s="53" t="n">
        <f aca="false">DATE(YEAR(B236),MONTH(B236),1)</f>
        <v>45413</v>
      </c>
      <c r="D236" s="5" t="str">
        <f aca="false">YEAR(B236)&amp;"Q"&amp;ROUNDUP(MONTH(B236)/3,0)</f>
        <v>2024Q2</v>
      </c>
      <c r="E236" s="62" t="s">
        <v>155</v>
      </c>
      <c r="F236" s="62" t="s">
        <v>156</v>
      </c>
      <c r="G236" s="47" t="s">
        <v>157</v>
      </c>
      <c r="H236" s="47" t="s">
        <v>565</v>
      </c>
      <c r="I236" s="55" t="n">
        <v>50</v>
      </c>
      <c r="J236" s="56" t="n">
        <v>8</v>
      </c>
      <c r="K236" s="54" t="s">
        <v>153</v>
      </c>
      <c r="N236" s="47" t="s">
        <v>143</v>
      </c>
      <c r="O236" s="47" t="s">
        <v>566</v>
      </c>
      <c r="P236" s="47"/>
      <c r="Q236" s="48" t="n">
        <f aca="false">IF($J236="","",IFERROR(IF($J236&lt;=1,INDEX(VN_국채일별!$B$4:$B$1436,MATCH($B236,VN_국채일별!$A$4:$A$1436,1)),IF($J236&lt;=2,INDEX(VN_국채일별!$B$4:$B$1436,MATCH($B236,VN_국채일별!$A$4:$A$1436,1))+(INDEX(VN_국채일별!$C$4:$C$1436,MATCH($B236,VN_국채일별!$A$4:$A$1436,1))-INDEX(VN_국채일별!$B$4:$B$1436,MATCH($B236,VN_국채일별!$A$4:$A$1436,1)))*($J236-1),IF($J236&lt;=3,INDEX(VN_국채일별!$C$4:$C$1436,MATCH($B236,VN_국채일별!$A$4:$A$1436,1))+(INDEX(VN_국채일별!$D$4:$D$1436,MATCH($B236,VN_국채일별!$A$4:$A$1436,1))-INDEX(VN_국채일별!$C$4:$C$1436,MATCH($B236,VN_국채일별!$A$4:$A$1436,1)))*($J236-2),IF($J236&lt;=5,INDEX(VN_국채일별!$D$4:$D$1436,MATCH($B236,VN_국채일별!$A$4:$A$1436,1))+(INDEX(VN_국채일별!$E$4:$E$1436,MATCH($B236,VN_국채일별!$A$4:$A$1436,1))-INDEX(VN_국채일별!$D$4:$D$1436,MATCH($B236,VN_국채일별!$A$4:$A$1436,1)))*($J236-3)/2,IF($J236&lt;=7,INDEX(VN_국채일별!$E$4:$E$1436,MATCH($B236,VN_국채일별!$A$4:$A$1436,1))+(INDEX(VN_국채일별!$F$4:$F$1436,MATCH($B236,VN_국채일별!$A$4:$A$1436,1))-INDEX(VN_국채일별!$E$4:$E$1436,MATCH($B236,VN_국채일별!$A$4:$A$1436,1)))*($J236-5)/2,IF($J236&lt;=10,INDEX(VN_국채일별!$F$4:$F$1436,MATCH($B236,VN_국채일별!$A$4:$A$1436,1))+(INDEX(VN_국채일별!$G$4:$G$1436,MATCH($B236,VN_국채일별!$A$4:$A$1436,1))-INDEX(VN_국채일별!$F$4:$F$1436,MATCH($B236,VN_국채일별!$A$4:$A$1436,1)))*($J236-7)/3,INDEX(VN_국채일별!$G$4:$G$1436,MATCH($B236,VN_국채일별!$A$4:$A$1436,1)))))))),""))</f>
        <v>0.02578</v>
      </c>
      <c r="R236" s="58" t="str">
        <f aca="false">IF(OR(L236="",Q236=""),"",(L236-Q236)*10000)</f>
        <v/>
      </c>
      <c r="S236" s="30" t="n">
        <f aca="false">IF(AND(K236="고정",N236="N",J236&gt;=2,J236&lt;=4,I236&lt;&gt;""),1,0)</f>
        <v>0</v>
      </c>
      <c r="T236" s="59" t="n">
        <f aca="false">IF(S236=1,I236*L236,0)</f>
        <v>0</v>
      </c>
      <c r="U236" s="60" t="n">
        <f aca="false">IF(AND(S236=1,ISNUMBER(R236)),I236*R236,0)</f>
        <v>0</v>
      </c>
      <c r="V236" s="30" t="n">
        <f aca="false">IF(AND(F236="Big4(국영)",K236="고정",N236="N",I236&lt;&gt;""),1,0)</f>
        <v>0</v>
      </c>
      <c r="W236" s="59" t="n">
        <f aca="false">IF(V236=1,I236*L236,0)</f>
        <v>0</v>
      </c>
      <c r="X236" s="60" t="n">
        <f aca="false">IF(AND(V236=1,ISNUMBER(R236)),I236*R236,0)</f>
        <v>0</v>
      </c>
      <c r="Y236" s="61" t="n">
        <f aca="false">IF(AND(S236=1,ISNUMBER(R236)),I236,0)</f>
        <v>0</v>
      </c>
      <c r="Z236" s="61" t="n">
        <f aca="false">IF(AND(V236=1,ISNUMBER(R236)),I236,0)</f>
        <v>0</v>
      </c>
    </row>
    <row r="237" customFormat="false" ht="15" hidden="false" customHeight="false" outlineLevel="0" collapsed="false">
      <c r="A237" s="47" t="s">
        <v>555</v>
      </c>
      <c r="B237" s="52" t="n">
        <v>45434</v>
      </c>
      <c r="C237" s="53" t="n">
        <f aca="false">DATE(YEAR(B237),MONTH(B237),1)</f>
        <v>45413</v>
      </c>
      <c r="D237" s="5" t="str">
        <f aca="false">YEAR(B237)&amp;"Q"&amp;ROUNDUP(MONTH(B237)/3,0)</f>
        <v>2024Q2</v>
      </c>
      <c r="E237" s="62" t="s">
        <v>155</v>
      </c>
      <c r="F237" s="62" t="s">
        <v>156</v>
      </c>
      <c r="G237" s="47" t="s">
        <v>157</v>
      </c>
      <c r="H237" s="47" t="s">
        <v>567</v>
      </c>
      <c r="I237" s="55" t="n">
        <v>245</v>
      </c>
      <c r="J237" s="56" t="n">
        <v>7</v>
      </c>
      <c r="K237" s="54" t="s">
        <v>153</v>
      </c>
      <c r="N237" s="47" t="s">
        <v>143</v>
      </c>
      <c r="O237" s="47" t="s">
        <v>568</v>
      </c>
      <c r="P237" s="47"/>
      <c r="Q237" s="48" t="n">
        <f aca="false">IF($J237="","",IFERROR(IF($J237&lt;=1,INDEX(VN_국채일별!$B$4:$B$1436,MATCH($B237,VN_국채일별!$A$4:$A$1436,1)),IF($J237&lt;=2,INDEX(VN_국채일별!$B$4:$B$1436,MATCH($B237,VN_국채일별!$A$4:$A$1436,1))+(INDEX(VN_국채일별!$C$4:$C$1436,MATCH($B237,VN_국채일별!$A$4:$A$1436,1))-INDEX(VN_국채일별!$B$4:$B$1436,MATCH($B237,VN_국채일별!$A$4:$A$1436,1)))*($J237-1),IF($J237&lt;=3,INDEX(VN_국채일별!$C$4:$C$1436,MATCH($B237,VN_국채일별!$A$4:$A$1436,1))+(INDEX(VN_국채일별!$D$4:$D$1436,MATCH($B237,VN_국채일별!$A$4:$A$1436,1))-INDEX(VN_국채일별!$C$4:$C$1436,MATCH($B237,VN_국채일별!$A$4:$A$1436,1)))*($J237-2),IF($J237&lt;=5,INDEX(VN_국채일별!$D$4:$D$1436,MATCH($B237,VN_국채일별!$A$4:$A$1436,1))+(INDEX(VN_국채일별!$E$4:$E$1436,MATCH($B237,VN_국채일별!$A$4:$A$1436,1))-INDEX(VN_국채일별!$D$4:$D$1436,MATCH($B237,VN_국채일별!$A$4:$A$1436,1)))*($J237-3)/2,IF($J237&lt;=7,INDEX(VN_국채일별!$E$4:$E$1436,MATCH($B237,VN_국채일별!$A$4:$A$1436,1))+(INDEX(VN_국채일별!$F$4:$F$1436,MATCH($B237,VN_국채일별!$A$4:$A$1436,1))-INDEX(VN_국채일별!$E$4:$E$1436,MATCH($B237,VN_국채일별!$A$4:$A$1436,1)))*($J237-5)/2,IF($J237&lt;=10,INDEX(VN_국채일별!$F$4:$F$1436,MATCH($B237,VN_국채일별!$A$4:$A$1436,1))+(INDEX(VN_국채일별!$G$4:$G$1436,MATCH($B237,VN_국채일별!$A$4:$A$1436,1))-INDEX(VN_국채일별!$F$4:$F$1436,MATCH($B237,VN_국채일별!$A$4:$A$1436,1)))*($J237-7)/3,INDEX(VN_국채일별!$G$4:$G$1436,MATCH($B237,VN_국채일별!$A$4:$A$1436,1)))))))),""))</f>
        <v>0.02425</v>
      </c>
      <c r="R237" s="58" t="str">
        <f aca="false">IF(OR(L237="",Q237=""),"",(L237-Q237)*10000)</f>
        <v/>
      </c>
      <c r="S237" s="30" t="n">
        <f aca="false">IF(AND(K237="고정",N237="N",J237&gt;=2,J237&lt;=4,I237&lt;&gt;""),1,0)</f>
        <v>0</v>
      </c>
      <c r="T237" s="59" t="n">
        <f aca="false">IF(S237=1,I237*L237,0)</f>
        <v>0</v>
      </c>
      <c r="U237" s="60" t="n">
        <f aca="false">IF(AND(S237=1,ISNUMBER(R237)),I237*R237,0)</f>
        <v>0</v>
      </c>
      <c r="V237" s="30" t="n">
        <f aca="false">IF(AND(F237="Big4(국영)",K237="고정",N237="N",I237&lt;&gt;""),1,0)</f>
        <v>0</v>
      </c>
      <c r="W237" s="59" t="n">
        <f aca="false">IF(V237=1,I237*L237,0)</f>
        <v>0</v>
      </c>
      <c r="X237" s="60" t="n">
        <f aca="false">IF(AND(V237=1,ISNUMBER(R237)),I237*R237,0)</f>
        <v>0</v>
      </c>
      <c r="Y237" s="61" t="n">
        <f aca="false">IF(AND(S237=1,ISNUMBER(R237)),I237,0)</f>
        <v>0</v>
      </c>
      <c r="Z237" s="61" t="n">
        <f aca="false">IF(AND(V237=1,ISNUMBER(R237)),I237,0)</f>
        <v>0</v>
      </c>
    </row>
    <row r="238" customFormat="false" ht="15" hidden="false" customHeight="false" outlineLevel="0" collapsed="false">
      <c r="A238" s="47" t="s">
        <v>555</v>
      </c>
      <c r="B238" s="52" t="n">
        <v>45439</v>
      </c>
      <c r="C238" s="53" t="n">
        <f aca="false">DATE(YEAR(B238),MONTH(B238),1)</f>
        <v>45413</v>
      </c>
      <c r="D238" s="5" t="str">
        <f aca="false">YEAR(B238)&amp;"Q"&amp;ROUNDUP(MONTH(B238)/3,0)</f>
        <v>2024Q2</v>
      </c>
      <c r="E238" s="47" t="s">
        <v>160</v>
      </c>
      <c r="F238" s="54" t="s">
        <v>139</v>
      </c>
      <c r="G238" s="47" t="s">
        <v>161</v>
      </c>
      <c r="H238" s="47" t="s">
        <v>569</v>
      </c>
      <c r="I238" s="55" t="n">
        <v>200</v>
      </c>
      <c r="J238" s="56" t="n">
        <v>7</v>
      </c>
      <c r="K238" s="54" t="s">
        <v>153</v>
      </c>
      <c r="N238" s="47" t="s">
        <v>143</v>
      </c>
      <c r="O238" s="47" t="s">
        <v>570</v>
      </c>
      <c r="P238" s="47"/>
      <c r="Q238" s="48" t="n">
        <f aca="false">IF($J238="","",IFERROR(IF($J238&lt;=1,INDEX(VN_국채일별!$B$4:$B$1436,MATCH($B238,VN_국채일별!$A$4:$A$1436,1)),IF($J238&lt;=2,INDEX(VN_국채일별!$B$4:$B$1436,MATCH($B238,VN_국채일별!$A$4:$A$1436,1))+(INDEX(VN_국채일별!$C$4:$C$1436,MATCH($B238,VN_국채일별!$A$4:$A$1436,1))-INDEX(VN_국채일별!$B$4:$B$1436,MATCH($B238,VN_국채일별!$A$4:$A$1436,1)))*($J238-1),IF($J238&lt;=3,INDEX(VN_국채일별!$C$4:$C$1436,MATCH($B238,VN_국채일별!$A$4:$A$1436,1))+(INDEX(VN_국채일별!$D$4:$D$1436,MATCH($B238,VN_국채일별!$A$4:$A$1436,1))-INDEX(VN_국채일별!$C$4:$C$1436,MATCH($B238,VN_국채일별!$A$4:$A$1436,1)))*($J238-2),IF($J238&lt;=5,INDEX(VN_국채일별!$D$4:$D$1436,MATCH($B238,VN_국채일별!$A$4:$A$1436,1))+(INDEX(VN_국채일별!$E$4:$E$1436,MATCH($B238,VN_국채일별!$A$4:$A$1436,1))-INDEX(VN_국채일별!$D$4:$D$1436,MATCH($B238,VN_국채일별!$A$4:$A$1436,1)))*($J238-3)/2,IF($J238&lt;=7,INDEX(VN_국채일별!$E$4:$E$1436,MATCH($B238,VN_국채일별!$A$4:$A$1436,1))+(INDEX(VN_국채일별!$F$4:$F$1436,MATCH($B238,VN_국채일별!$A$4:$A$1436,1))-INDEX(VN_국채일별!$E$4:$E$1436,MATCH($B238,VN_국채일별!$A$4:$A$1436,1)))*($J238-5)/2,IF($J238&lt;=10,INDEX(VN_국채일별!$F$4:$F$1436,MATCH($B238,VN_국채일별!$A$4:$A$1436,1))+(INDEX(VN_국채일별!$G$4:$G$1436,MATCH($B238,VN_국채일별!$A$4:$A$1436,1))-INDEX(VN_국채일별!$F$4:$F$1436,MATCH($B238,VN_국채일별!$A$4:$A$1436,1)))*($J238-7)/3,INDEX(VN_국채일별!$G$4:$G$1436,MATCH($B238,VN_국채일별!$A$4:$A$1436,1)))))))),""))</f>
        <v>0.02441</v>
      </c>
      <c r="R238" s="58" t="str">
        <f aca="false">IF(OR(L238="",Q238=""),"",(L238-Q238)*10000)</f>
        <v/>
      </c>
      <c r="S238" s="30" t="n">
        <f aca="false">IF(AND(K238="고정",N238="N",J238&gt;=2,J238&lt;=4,I238&lt;&gt;""),1,0)</f>
        <v>0</v>
      </c>
      <c r="T238" s="59" t="n">
        <f aca="false">IF(S238=1,I238*L238,0)</f>
        <v>0</v>
      </c>
      <c r="U238" s="60" t="n">
        <f aca="false">IF(AND(S238=1,ISNUMBER(R238)),I238*R238,0)</f>
        <v>0</v>
      </c>
      <c r="V238" s="30" t="n">
        <f aca="false">IF(AND(F238="Big4(국영)",K238="고정",N238="N",I238&lt;&gt;""),1,0)</f>
        <v>0</v>
      </c>
      <c r="W238" s="59" t="n">
        <f aca="false">IF(V238=1,I238*L238,0)</f>
        <v>0</v>
      </c>
      <c r="X238" s="60" t="n">
        <f aca="false">IF(AND(V238=1,ISNUMBER(R238)),I238*R238,0)</f>
        <v>0</v>
      </c>
      <c r="Y238" s="61" t="n">
        <f aca="false">IF(AND(S238=1,ISNUMBER(R238)),I238,0)</f>
        <v>0</v>
      </c>
      <c r="Z238" s="61" t="n">
        <f aca="false">IF(AND(V238=1,ISNUMBER(R238)),I238,0)</f>
        <v>0</v>
      </c>
    </row>
    <row r="239" customFormat="false" ht="15" hidden="false" customHeight="false" outlineLevel="0" collapsed="false">
      <c r="A239" s="47" t="s">
        <v>555</v>
      </c>
      <c r="B239" s="52" t="n">
        <v>45439</v>
      </c>
      <c r="C239" s="53" t="n">
        <f aca="false">DATE(YEAR(B239),MONTH(B239),1)</f>
        <v>45413</v>
      </c>
      <c r="D239" s="5" t="str">
        <f aca="false">YEAR(B239)&amp;"Q"&amp;ROUNDUP(MONTH(B239)/3,0)</f>
        <v>2024Q2</v>
      </c>
      <c r="E239" s="62" t="s">
        <v>571</v>
      </c>
      <c r="F239" s="63" t="s">
        <v>572</v>
      </c>
      <c r="G239" s="47" t="s">
        <v>573</v>
      </c>
      <c r="H239" s="47" t="s">
        <v>574</v>
      </c>
      <c r="I239" s="55" t="n">
        <v>1000</v>
      </c>
      <c r="J239" s="56" t="n">
        <v>3</v>
      </c>
      <c r="K239" s="54" t="s">
        <v>142</v>
      </c>
      <c r="L239" s="57" t="n">
        <v>0.054</v>
      </c>
      <c r="N239" s="47" t="s">
        <v>148</v>
      </c>
      <c r="O239" s="47" t="s">
        <v>575</v>
      </c>
      <c r="P239" s="47"/>
      <c r="Q239" s="48" t="n">
        <f aca="false">IF($J239="","",IFERROR(IF($J239&lt;=1,INDEX(VN_국채일별!$B$4:$B$1436,MATCH($B239,VN_국채일별!$A$4:$A$1436,1)),IF($J239&lt;=2,INDEX(VN_국채일별!$B$4:$B$1436,MATCH($B239,VN_국채일별!$A$4:$A$1436,1))+(INDEX(VN_국채일별!$C$4:$C$1436,MATCH($B239,VN_국채일별!$A$4:$A$1436,1))-INDEX(VN_국채일별!$B$4:$B$1436,MATCH($B239,VN_국채일별!$A$4:$A$1436,1)))*($J239-1),IF($J239&lt;=3,INDEX(VN_국채일별!$C$4:$C$1436,MATCH($B239,VN_국채일별!$A$4:$A$1436,1))+(INDEX(VN_국채일별!$D$4:$D$1436,MATCH($B239,VN_국채일별!$A$4:$A$1436,1))-INDEX(VN_국채일별!$C$4:$C$1436,MATCH($B239,VN_국채일별!$A$4:$A$1436,1)))*($J239-2),IF($J239&lt;=5,INDEX(VN_국채일별!$D$4:$D$1436,MATCH($B239,VN_국채일별!$A$4:$A$1436,1))+(INDEX(VN_국채일별!$E$4:$E$1436,MATCH($B239,VN_국채일별!$A$4:$A$1436,1))-INDEX(VN_국채일별!$D$4:$D$1436,MATCH($B239,VN_국채일별!$A$4:$A$1436,1)))*($J239-3)/2,IF($J239&lt;=7,INDEX(VN_국채일별!$E$4:$E$1436,MATCH($B239,VN_국채일별!$A$4:$A$1436,1))+(INDEX(VN_국채일별!$F$4:$F$1436,MATCH($B239,VN_국채일별!$A$4:$A$1436,1))-INDEX(VN_국채일별!$E$4:$E$1436,MATCH($B239,VN_국채일별!$A$4:$A$1436,1)))*($J239-5)/2,IF($J239&lt;=10,INDEX(VN_국채일별!$F$4:$F$1436,MATCH($B239,VN_국채일별!$A$4:$A$1436,1))+(INDEX(VN_국채일별!$G$4:$G$1436,MATCH($B239,VN_국채일별!$A$4:$A$1436,1))-INDEX(VN_국채일별!$F$4:$F$1436,MATCH($B239,VN_국채일별!$A$4:$A$1436,1)))*($J239-7)/3,INDEX(VN_국채일별!$G$4:$G$1436,MATCH($B239,VN_국채일별!$A$4:$A$1436,1)))))))),""))</f>
        <v>0.02013</v>
      </c>
      <c r="R239" s="58" t="n">
        <f aca="false">IF(OR(L239="",Q239=""),"",(L239-Q239)*10000)</f>
        <v>338.7</v>
      </c>
      <c r="S239" s="30" t="n">
        <f aca="false">IF(AND(K239="고정",N239="N",J239&gt;=2,J239&lt;=4,I239&lt;&gt;""),1,0)</f>
        <v>1</v>
      </c>
      <c r="T239" s="59" t="n">
        <f aca="false">IF(S239=1,I239*L239,0)</f>
        <v>54</v>
      </c>
      <c r="U239" s="60" t="n">
        <f aca="false">IF(AND(S239=1,ISNUMBER(R239)),I239*R239,0)</f>
        <v>338700</v>
      </c>
      <c r="V239" s="30" t="n">
        <f aca="false">IF(AND(F239="Big4(국영)",K239="고정",N239="N",I239&lt;&gt;""),1,0)</f>
        <v>0</v>
      </c>
      <c r="W239" s="59" t="n">
        <f aca="false">IF(V239=1,I239*L239,0)</f>
        <v>0</v>
      </c>
      <c r="X239" s="60" t="n">
        <f aca="false">IF(AND(V239=1,ISNUMBER(R239)),I239*R239,0)</f>
        <v>0</v>
      </c>
      <c r="Y239" s="61" t="n">
        <f aca="false">IF(AND(S239=1,ISNUMBER(R239)),I239,0)</f>
        <v>1000</v>
      </c>
      <c r="Z239" s="61" t="n">
        <f aca="false">IF(AND(V239=1,ISNUMBER(R239)),I239,0)</f>
        <v>0</v>
      </c>
    </row>
    <row r="240" customFormat="false" ht="15" hidden="false" customHeight="false" outlineLevel="0" collapsed="false">
      <c r="A240" s="47" t="s">
        <v>555</v>
      </c>
      <c r="B240" s="52" t="n">
        <v>45441</v>
      </c>
      <c r="C240" s="53" t="n">
        <f aca="false">DATE(YEAR(B240),MONTH(B240),1)</f>
        <v>45413</v>
      </c>
      <c r="D240" s="5" t="str">
        <f aca="false">YEAR(B240)&amp;"Q"&amp;ROUNDUP(MONTH(B240)/3,0)</f>
        <v>2024Q2</v>
      </c>
      <c r="E240" s="62" t="s">
        <v>571</v>
      </c>
      <c r="F240" s="63" t="s">
        <v>572</v>
      </c>
      <c r="G240" s="47" t="s">
        <v>573</v>
      </c>
      <c r="H240" s="47" t="s">
        <v>576</v>
      </c>
      <c r="I240" s="55" t="n">
        <v>1000</v>
      </c>
      <c r="J240" s="56" t="n">
        <v>3</v>
      </c>
      <c r="K240" s="54" t="s">
        <v>142</v>
      </c>
      <c r="L240" s="57" t="n">
        <v>0.054</v>
      </c>
      <c r="N240" s="47" t="s">
        <v>148</v>
      </c>
      <c r="O240" s="47" t="s">
        <v>575</v>
      </c>
      <c r="P240" s="47"/>
      <c r="Q240" s="48" t="n">
        <f aca="false">IF($J240="","",IFERROR(IF($J240&lt;=1,INDEX(VN_국채일별!$B$4:$B$1436,MATCH($B240,VN_국채일별!$A$4:$A$1436,1)),IF($J240&lt;=2,INDEX(VN_국채일별!$B$4:$B$1436,MATCH($B240,VN_국채일별!$A$4:$A$1436,1))+(INDEX(VN_국채일별!$C$4:$C$1436,MATCH($B240,VN_국채일별!$A$4:$A$1436,1))-INDEX(VN_국채일별!$B$4:$B$1436,MATCH($B240,VN_국채일별!$A$4:$A$1436,1)))*($J240-1),IF($J240&lt;=3,INDEX(VN_국채일별!$C$4:$C$1436,MATCH($B240,VN_국채일별!$A$4:$A$1436,1))+(INDEX(VN_국채일별!$D$4:$D$1436,MATCH($B240,VN_국채일별!$A$4:$A$1436,1))-INDEX(VN_국채일별!$C$4:$C$1436,MATCH($B240,VN_국채일별!$A$4:$A$1436,1)))*($J240-2),IF($J240&lt;=5,INDEX(VN_국채일별!$D$4:$D$1436,MATCH($B240,VN_국채일별!$A$4:$A$1436,1))+(INDEX(VN_국채일별!$E$4:$E$1436,MATCH($B240,VN_국채일별!$A$4:$A$1436,1))-INDEX(VN_국채일별!$D$4:$D$1436,MATCH($B240,VN_국채일별!$A$4:$A$1436,1)))*($J240-3)/2,IF($J240&lt;=7,INDEX(VN_국채일별!$E$4:$E$1436,MATCH($B240,VN_국채일별!$A$4:$A$1436,1))+(INDEX(VN_국채일별!$F$4:$F$1436,MATCH($B240,VN_국채일별!$A$4:$A$1436,1))-INDEX(VN_국채일별!$E$4:$E$1436,MATCH($B240,VN_국채일별!$A$4:$A$1436,1)))*($J240-5)/2,IF($J240&lt;=10,INDEX(VN_국채일별!$F$4:$F$1436,MATCH($B240,VN_국채일별!$A$4:$A$1436,1))+(INDEX(VN_국채일별!$G$4:$G$1436,MATCH($B240,VN_국채일별!$A$4:$A$1436,1))-INDEX(VN_국채일별!$F$4:$F$1436,MATCH($B240,VN_국채일별!$A$4:$A$1436,1)))*($J240-7)/3,INDEX(VN_국채일별!$G$4:$G$1436,MATCH($B240,VN_국채일별!$A$4:$A$1436,1)))))))),""))</f>
        <v>0.02012</v>
      </c>
      <c r="R240" s="58" t="n">
        <f aca="false">IF(OR(L240="",Q240=""),"",(L240-Q240)*10000)</f>
        <v>338.8</v>
      </c>
      <c r="S240" s="30" t="n">
        <f aca="false">IF(AND(K240="고정",N240="N",J240&gt;=2,J240&lt;=4,I240&lt;&gt;""),1,0)</f>
        <v>1</v>
      </c>
      <c r="T240" s="59" t="n">
        <f aca="false">IF(S240=1,I240*L240,0)</f>
        <v>54</v>
      </c>
      <c r="U240" s="60" t="n">
        <f aca="false">IF(AND(S240=1,ISNUMBER(R240)),I240*R240,0)</f>
        <v>338800</v>
      </c>
      <c r="V240" s="30" t="n">
        <f aca="false">IF(AND(F240="Big4(국영)",K240="고정",N240="N",I240&lt;&gt;""),1,0)</f>
        <v>0</v>
      </c>
      <c r="W240" s="59" t="n">
        <f aca="false">IF(V240=1,I240*L240,0)</f>
        <v>0</v>
      </c>
      <c r="X240" s="60" t="n">
        <f aca="false">IF(AND(V240=1,ISNUMBER(R240)),I240*R240,0)</f>
        <v>0</v>
      </c>
      <c r="Y240" s="61" t="n">
        <f aca="false">IF(AND(S240=1,ISNUMBER(R240)),I240,0)</f>
        <v>1000</v>
      </c>
      <c r="Z240" s="61" t="n">
        <f aca="false">IF(AND(V240=1,ISNUMBER(R240)),I240,0)</f>
        <v>0</v>
      </c>
    </row>
    <row r="241" customFormat="false" ht="15" hidden="false" customHeight="false" outlineLevel="0" collapsed="false">
      <c r="A241" s="47" t="s">
        <v>577</v>
      </c>
      <c r="B241" s="52" t="n">
        <v>45447</v>
      </c>
      <c r="C241" s="53" t="n">
        <f aca="false">DATE(YEAR(B241),MONTH(B241),1)</f>
        <v>45444</v>
      </c>
      <c r="D241" s="5" t="str">
        <f aca="false">YEAR(B241)&amp;"Q"&amp;ROUNDUP(MONTH(B241)/3,0)</f>
        <v>2024Q2</v>
      </c>
      <c r="E241" s="47" t="s">
        <v>254</v>
      </c>
      <c r="F241" s="54" t="s">
        <v>139</v>
      </c>
      <c r="G241" s="47" t="s">
        <v>339</v>
      </c>
      <c r="H241" s="47" t="s">
        <v>578</v>
      </c>
      <c r="I241" s="55" t="n">
        <v>5000</v>
      </c>
      <c r="J241" s="56" t="n">
        <v>2</v>
      </c>
      <c r="K241" s="54" t="s">
        <v>142</v>
      </c>
      <c r="L241" s="57" t="n">
        <v>0.045</v>
      </c>
      <c r="N241" s="47" t="s">
        <v>148</v>
      </c>
      <c r="O241" s="47" t="s">
        <v>579</v>
      </c>
      <c r="P241" s="47"/>
      <c r="Q241" s="48" t="n">
        <f aca="false">IF($J241="","",IFERROR(IF($J241&lt;=1,INDEX(VN_국채일별!$B$4:$B$1436,MATCH($B241,VN_국채일별!$A$4:$A$1436,1)),IF($J241&lt;=2,INDEX(VN_국채일별!$B$4:$B$1436,MATCH($B241,VN_국채일별!$A$4:$A$1436,1))+(INDEX(VN_국채일별!$C$4:$C$1436,MATCH($B241,VN_국채일별!$A$4:$A$1436,1))-INDEX(VN_국채일별!$B$4:$B$1436,MATCH($B241,VN_국채일별!$A$4:$A$1436,1)))*($J241-1),IF($J241&lt;=3,INDEX(VN_국채일별!$C$4:$C$1436,MATCH($B241,VN_국채일별!$A$4:$A$1436,1))+(INDEX(VN_국채일별!$D$4:$D$1436,MATCH($B241,VN_국채일별!$A$4:$A$1436,1))-INDEX(VN_국채일별!$C$4:$C$1436,MATCH($B241,VN_국채일별!$A$4:$A$1436,1)))*($J241-2),IF($J241&lt;=5,INDEX(VN_국채일별!$D$4:$D$1436,MATCH($B241,VN_국채일별!$A$4:$A$1436,1))+(INDEX(VN_국채일별!$E$4:$E$1436,MATCH($B241,VN_국채일별!$A$4:$A$1436,1))-INDEX(VN_국채일별!$D$4:$D$1436,MATCH($B241,VN_국채일별!$A$4:$A$1436,1)))*($J241-3)/2,IF($J241&lt;=7,INDEX(VN_국채일별!$E$4:$E$1436,MATCH($B241,VN_국채일별!$A$4:$A$1436,1))+(INDEX(VN_국채일별!$F$4:$F$1436,MATCH($B241,VN_국채일별!$A$4:$A$1436,1))-INDEX(VN_국채일별!$E$4:$E$1436,MATCH($B241,VN_국채일별!$A$4:$A$1436,1)))*($J241-5)/2,IF($J241&lt;=10,INDEX(VN_국채일별!$F$4:$F$1436,MATCH($B241,VN_국채일별!$A$4:$A$1436,1))+(INDEX(VN_국채일별!$G$4:$G$1436,MATCH($B241,VN_국채일별!$A$4:$A$1436,1))-INDEX(VN_국채일별!$F$4:$F$1436,MATCH($B241,VN_국채일별!$A$4:$A$1436,1)))*($J241-7)/3,INDEX(VN_국채일별!$G$4:$G$1436,MATCH($B241,VN_국채일별!$A$4:$A$1436,1)))))))),""))</f>
        <v>0.01982</v>
      </c>
      <c r="R241" s="58" t="n">
        <f aca="false">IF(OR(L241="",Q241=""),"",(L241-Q241)*10000)</f>
        <v>251.8</v>
      </c>
      <c r="S241" s="30" t="n">
        <f aca="false">IF(AND(K241="고정",N241="N",J241&gt;=2,J241&lt;=4,I241&lt;&gt;""),1,0)</f>
        <v>1</v>
      </c>
      <c r="T241" s="59" t="n">
        <f aca="false">IF(S241=1,I241*L241,0)</f>
        <v>225</v>
      </c>
      <c r="U241" s="60" t="n">
        <f aca="false">IF(AND(S241=1,ISNUMBER(R241)),I241*R241,0)</f>
        <v>1259000</v>
      </c>
      <c r="V241" s="30" t="n">
        <f aca="false">IF(AND(F241="Big4(국영)",K241="고정",N241="N",I241&lt;&gt;""),1,0)</f>
        <v>0</v>
      </c>
      <c r="W241" s="59" t="n">
        <f aca="false">IF(V241=1,I241*L241,0)</f>
        <v>0</v>
      </c>
      <c r="X241" s="60" t="n">
        <f aca="false">IF(AND(V241=1,ISNUMBER(R241)),I241*R241,0)</f>
        <v>0</v>
      </c>
      <c r="Y241" s="61" t="n">
        <f aca="false">IF(AND(S241=1,ISNUMBER(R241)),I241,0)</f>
        <v>5000</v>
      </c>
      <c r="Z241" s="61" t="n">
        <f aca="false">IF(AND(V241=1,ISNUMBER(R241)),I241,0)</f>
        <v>0</v>
      </c>
    </row>
    <row r="242" customFormat="false" ht="15" hidden="false" customHeight="false" outlineLevel="0" collapsed="false">
      <c r="A242" s="47" t="s">
        <v>577</v>
      </c>
      <c r="B242" s="52" t="n">
        <v>45448</v>
      </c>
      <c r="C242" s="53" t="n">
        <f aca="false">DATE(YEAR(B242),MONTH(B242),1)</f>
        <v>45444</v>
      </c>
      <c r="D242" s="5" t="str">
        <f aca="false">YEAR(B242)&amp;"Q"&amp;ROUNDUP(MONTH(B242)/3,0)</f>
        <v>2024Q2</v>
      </c>
      <c r="E242" s="62" t="s">
        <v>571</v>
      </c>
      <c r="F242" s="63" t="s">
        <v>572</v>
      </c>
      <c r="G242" s="47" t="s">
        <v>573</v>
      </c>
      <c r="H242" s="47" t="s">
        <v>580</v>
      </c>
      <c r="I242" s="55" t="n">
        <v>1000</v>
      </c>
      <c r="J242" s="56" t="n">
        <v>2</v>
      </c>
      <c r="K242" s="54" t="s">
        <v>142</v>
      </c>
      <c r="L242" s="57" t="n">
        <v>0.051</v>
      </c>
      <c r="N242" s="47" t="s">
        <v>148</v>
      </c>
      <c r="O242" s="47" t="s">
        <v>510</v>
      </c>
      <c r="P242" s="47"/>
      <c r="Q242" s="48" t="n">
        <f aca="false">IF($J242="","",IFERROR(IF($J242&lt;=1,INDEX(VN_국채일별!$B$4:$B$1436,MATCH($B242,VN_국채일별!$A$4:$A$1436,1)),IF($J242&lt;=2,INDEX(VN_국채일별!$B$4:$B$1436,MATCH($B242,VN_국채일별!$A$4:$A$1436,1))+(INDEX(VN_국채일별!$C$4:$C$1436,MATCH($B242,VN_국채일별!$A$4:$A$1436,1))-INDEX(VN_국채일별!$B$4:$B$1436,MATCH($B242,VN_국채일별!$A$4:$A$1436,1)))*($J242-1),IF($J242&lt;=3,INDEX(VN_국채일별!$C$4:$C$1436,MATCH($B242,VN_국채일별!$A$4:$A$1436,1))+(INDEX(VN_국채일별!$D$4:$D$1436,MATCH($B242,VN_국채일별!$A$4:$A$1436,1))-INDEX(VN_국채일별!$C$4:$C$1436,MATCH($B242,VN_국채일별!$A$4:$A$1436,1)))*($J242-2),IF($J242&lt;=5,INDEX(VN_국채일별!$D$4:$D$1436,MATCH($B242,VN_국채일별!$A$4:$A$1436,1))+(INDEX(VN_국채일별!$E$4:$E$1436,MATCH($B242,VN_국채일별!$A$4:$A$1436,1))-INDEX(VN_국채일별!$D$4:$D$1436,MATCH($B242,VN_국채일별!$A$4:$A$1436,1)))*($J242-3)/2,IF($J242&lt;=7,INDEX(VN_국채일별!$E$4:$E$1436,MATCH($B242,VN_국채일별!$A$4:$A$1436,1))+(INDEX(VN_국채일별!$F$4:$F$1436,MATCH($B242,VN_국채일별!$A$4:$A$1436,1))-INDEX(VN_국채일별!$E$4:$E$1436,MATCH($B242,VN_국채일별!$A$4:$A$1436,1)))*($J242-5)/2,IF($J242&lt;=10,INDEX(VN_국채일별!$F$4:$F$1436,MATCH($B242,VN_국채일별!$A$4:$A$1436,1))+(INDEX(VN_국채일별!$G$4:$G$1436,MATCH($B242,VN_국채일별!$A$4:$A$1436,1))-INDEX(VN_국채일별!$F$4:$F$1436,MATCH($B242,VN_국채일별!$A$4:$A$1436,1)))*($J242-7)/3,INDEX(VN_국채일별!$G$4:$G$1436,MATCH($B242,VN_국채일별!$A$4:$A$1436,1)))))))),""))</f>
        <v>0.01982</v>
      </c>
      <c r="R242" s="58" t="n">
        <f aca="false">IF(OR(L242="",Q242=""),"",(L242-Q242)*10000)</f>
        <v>311.8</v>
      </c>
      <c r="S242" s="30" t="n">
        <f aca="false">IF(AND(K242="고정",N242="N",J242&gt;=2,J242&lt;=4,I242&lt;&gt;""),1,0)</f>
        <v>1</v>
      </c>
      <c r="T242" s="59" t="n">
        <f aca="false">IF(S242=1,I242*L242,0)</f>
        <v>51</v>
      </c>
      <c r="U242" s="60" t="n">
        <f aca="false">IF(AND(S242=1,ISNUMBER(R242)),I242*R242,0)</f>
        <v>311800</v>
      </c>
      <c r="V242" s="30" t="n">
        <f aca="false">IF(AND(F242="Big4(국영)",K242="고정",N242="N",I242&lt;&gt;""),1,0)</f>
        <v>0</v>
      </c>
      <c r="W242" s="59" t="n">
        <f aca="false">IF(V242=1,I242*L242,0)</f>
        <v>0</v>
      </c>
      <c r="X242" s="60" t="n">
        <f aca="false">IF(AND(V242=1,ISNUMBER(R242)),I242*R242,0)</f>
        <v>0</v>
      </c>
      <c r="Y242" s="61" t="n">
        <f aca="false">IF(AND(S242=1,ISNUMBER(R242)),I242,0)</f>
        <v>1000</v>
      </c>
      <c r="Z242" s="61" t="n">
        <f aca="false">IF(AND(V242=1,ISNUMBER(R242)),I242,0)</f>
        <v>0</v>
      </c>
    </row>
    <row r="243" customFormat="false" ht="15" hidden="false" customHeight="false" outlineLevel="0" collapsed="false">
      <c r="A243" s="47" t="s">
        <v>577</v>
      </c>
      <c r="B243" s="52" t="n">
        <v>45448</v>
      </c>
      <c r="C243" s="53" t="n">
        <f aca="false">DATE(YEAR(B243),MONTH(B243),1)</f>
        <v>45444</v>
      </c>
      <c r="D243" s="5" t="str">
        <f aca="false">YEAR(B243)&amp;"Q"&amp;ROUNDUP(MONTH(B243)/3,0)</f>
        <v>2024Q2</v>
      </c>
      <c r="E243" s="47" t="s">
        <v>145</v>
      </c>
      <c r="F243" s="54" t="s">
        <v>139</v>
      </c>
      <c r="G243" s="47" t="s">
        <v>146</v>
      </c>
      <c r="H243" s="47" t="s">
        <v>581</v>
      </c>
      <c r="I243" s="55" t="n">
        <v>2000</v>
      </c>
      <c r="J243" s="56" t="n">
        <v>3</v>
      </c>
      <c r="K243" s="54" t="s">
        <v>142</v>
      </c>
      <c r="L243" s="57" t="n">
        <v>0.053</v>
      </c>
      <c r="N243" s="47" t="s">
        <v>148</v>
      </c>
      <c r="O243" s="47" t="s">
        <v>582</v>
      </c>
      <c r="P243" s="47"/>
      <c r="Q243" s="48" t="n">
        <f aca="false">IF($J243="","",IFERROR(IF($J243&lt;=1,INDEX(VN_국채일별!$B$4:$B$1436,MATCH($B243,VN_국채일별!$A$4:$A$1436,1)),IF($J243&lt;=2,INDEX(VN_국채일별!$B$4:$B$1436,MATCH($B243,VN_국채일별!$A$4:$A$1436,1))+(INDEX(VN_국채일별!$C$4:$C$1436,MATCH($B243,VN_국채일별!$A$4:$A$1436,1))-INDEX(VN_국채일별!$B$4:$B$1436,MATCH($B243,VN_국채일별!$A$4:$A$1436,1)))*($J243-1),IF($J243&lt;=3,INDEX(VN_국채일별!$C$4:$C$1436,MATCH($B243,VN_국채일별!$A$4:$A$1436,1))+(INDEX(VN_국채일별!$D$4:$D$1436,MATCH($B243,VN_국채일별!$A$4:$A$1436,1))-INDEX(VN_국채일별!$C$4:$C$1436,MATCH($B243,VN_국채일별!$A$4:$A$1436,1)))*($J243-2),IF($J243&lt;=5,INDEX(VN_국채일별!$D$4:$D$1436,MATCH($B243,VN_국채일별!$A$4:$A$1436,1))+(INDEX(VN_국채일별!$E$4:$E$1436,MATCH($B243,VN_국채일별!$A$4:$A$1436,1))-INDEX(VN_국채일별!$D$4:$D$1436,MATCH($B243,VN_국채일별!$A$4:$A$1436,1)))*($J243-3)/2,IF($J243&lt;=7,INDEX(VN_국채일별!$E$4:$E$1436,MATCH($B243,VN_국채일별!$A$4:$A$1436,1))+(INDEX(VN_국채일별!$F$4:$F$1436,MATCH($B243,VN_국채일별!$A$4:$A$1436,1))-INDEX(VN_국채일별!$E$4:$E$1436,MATCH($B243,VN_국채일별!$A$4:$A$1436,1)))*($J243-5)/2,IF($J243&lt;=10,INDEX(VN_국채일별!$F$4:$F$1436,MATCH($B243,VN_국채일별!$A$4:$A$1436,1))+(INDEX(VN_국채일별!$G$4:$G$1436,MATCH($B243,VN_국채일별!$A$4:$A$1436,1))-INDEX(VN_국채일별!$F$4:$F$1436,MATCH($B243,VN_국채일별!$A$4:$A$1436,1)))*($J243-7)/3,INDEX(VN_국채일별!$G$4:$G$1436,MATCH($B243,VN_국채일별!$A$4:$A$1436,1)))))))),""))</f>
        <v>0.02009</v>
      </c>
      <c r="R243" s="58" t="n">
        <f aca="false">IF(OR(L243="",Q243=""),"",(L243-Q243)*10000)</f>
        <v>329.1</v>
      </c>
      <c r="S243" s="30" t="n">
        <f aca="false">IF(AND(K243="고정",N243="N",J243&gt;=2,J243&lt;=4,I243&lt;&gt;""),1,0)</f>
        <v>1</v>
      </c>
      <c r="T243" s="59" t="n">
        <f aca="false">IF(S243=1,I243*L243,0)</f>
        <v>106</v>
      </c>
      <c r="U243" s="60" t="n">
        <f aca="false">IF(AND(S243=1,ISNUMBER(R243)),I243*R243,0)</f>
        <v>658200</v>
      </c>
      <c r="V243" s="30" t="n">
        <f aca="false">IF(AND(F243="Big4(국영)",K243="고정",N243="N",I243&lt;&gt;""),1,0)</f>
        <v>0</v>
      </c>
      <c r="W243" s="59" t="n">
        <f aca="false">IF(V243=1,I243*L243,0)</f>
        <v>0</v>
      </c>
      <c r="X243" s="60" t="n">
        <f aca="false">IF(AND(V243=1,ISNUMBER(R243)),I243*R243,0)</f>
        <v>0</v>
      </c>
      <c r="Y243" s="61" t="n">
        <f aca="false">IF(AND(S243=1,ISNUMBER(R243)),I243,0)</f>
        <v>2000</v>
      </c>
      <c r="Z243" s="61" t="n">
        <f aca="false">IF(AND(V243=1,ISNUMBER(R243)),I243,0)</f>
        <v>0</v>
      </c>
    </row>
    <row r="244" customFormat="false" ht="15" hidden="false" customHeight="false" outlineLevel="0" collapsed="false">
      <c r="A244" s="47" t="s">
        <v>577</v>
      </c>
      <c r="B244" s="52" t="n">
        <v>45448</v>
      </c>
      <c r="C244" s="53" t="n">
        <f aca="false">DATE(YEAR(B244),MONTH(B244),1)</f>
        <v>45444</v>
      </c>
      <c r="D244" s="5" t="str">
        <f aca="false">YEAR(B244)&amp;"Q"&amp;ROUNDUP(MONTH(B244)/3,0)</f>
        <v>2024Q2</v>
      </c>
      <c r="E244" s="47" t="s">
        <v>254</v>
      </c>
      <c r="F244" s="54" t="s">
        <v>139</v>
      </c>
      <c r="G244" s="47" t="s">
        <v>339</v>
      </c>
      <c r="H244" s="47" t="s">
        <v>583</v>
      </c>
      <c r="I244" s="55" t="n">
        <v>5000</v>
      </c>
      <c r="J244" s="56" t="n">
        <v>2</v>
      </c>
      <c r="K244" s="54" t="s">
        <v>142</v>
      </c>
      <c r="L244" s="57" t="n">
        <v>0.045</v>
      </c>
      <c r="N244" s="47" t="s">
        <v>148</v>
      </c>
      <c r="O244" s="47" t="s">
        <v>579</v>
      </c>
      <c r="P244" s="47"/>
      <c r="Q244" s="48" t="n">
        <f aca="false">IF($J244="","",IFERROR(IF($J244&lt;=1,INDEX(VN_국채일별!$B$4:$B$1436,MATCH($B244,VN_국채일별!$A$4:$A$1436,1)),IF($J244&lt;=2,INDEX(VN_국채일별!$B$4:$B$1436,MATCH($B244,VN_국채일별!$A$4:$A$1436,1))+(INDEX(VN_국채일별!$C$4:$C$1436,MATCH($B244,VN_국채일별!$A$4:$A$1436,1))-INDEX(VN_국채일별!$B$4:$B$1436,MATCH($B244,VN_국채일별!$A$4:$A$1436,1)))*($J244-1),IF($J244&lt;=3,INDEX(VN_국채일별!$C$4:$C$1436,MATCH($B244,VN_국채일별!$A$4:$A$1436,1))+(INDEX(VN_국채일별!$D$4:$D$1436,MATCH($B244,VN_국채일별!$A$4:$A$1436,1))-INDEX(VN_국채일별!$C$4:$C$1436,MATCH($B244,VN_국채일별!$A$4:$A$1436,1)))*($J244-2),IF($J244&lt;=5,INDEX(VN_국채일별!$D$4:$D$1436,MATCH($B244,VN_국채일별!$A$4:$A$1436,1))+(INDEX(VN_국채일별!$E$4:$E$1436,MATCH($B244,VN_국채일별!$A$4:$A$1436,1))-INDEX(VN_국채일별!$D$4:$D$1436,MATCH($B244,VN_국채일별!$A$4:$A$1436,1)))*($J244-3)/2,IF($J244&lt;=7,INDEX(VN_국채일별!$E$4:$E$1436,MATCH($B244,VN_국채일별!$A$4:$A$1436,1))+(INDEX(VN_국채일별!$F$4:$F$1436,MATCH($B244,VN_국채일별!$A$4:$A$1436,1))-INDEX(VN_국채일별!$E$4:$E$1436,MATCH($B244,VN_국채일별!$A$4:$A$1436,1)))*($J244-5)/2,IF($J244&lt;=10,INDEX(VN_국채일별!$F$4:$F$1436,MATCH($B244,VN_국채일별!$A$4:$A$1436,1))+(INDEX(VN_국채일별!$G$4:$G$1436,MATCH($B244,VN_국채일별!$A$4:$A$1436,1))-INDEX(VN_국채일별!$F$4:$F$1436,MATCH($B244,VN_국채일별!$A$4:$A$1436,1)))*($J244-7)/3,INDEX(VN_국채일별!$G$4:$G$1436,MATCH($B244,VN_국채일별!$A$4:$A$1436,1)))))))),""))</f>
        <v>0.01982</v>
      </c>
      <c r="R244" s="58" t="n">
        <f aca="false">IF(OR(L244="",Q244=""),"",(L244-Q244)*10000)</f>
        <v>251.8</v>
      </c>
      <c r="S244" s="30" t="n">
        <f aca="false">IF(AND(K244="고정",N244="N",J244&gt;=2,J244&lt;=4,I244&lt;&gt;""),1,0)</f>
        <v>1</v>
      </c>
      <c r="T244" s="59" t="n">
        <f aca="false">IF(S244=1,I244*L244,0)</f>
        <v>225</v>
      </c>
      <c r="U244" s="60" t="n">
        <f aca="false">IF(AND(S244=1,ISNUMBER(R244)),I244*R244,0)</f>
        <v>1259000</v>
      </c>
      <c r="V244" s="30" t="n">
        <f aca="false">IF(AND(F244="Big4(국영)",K244="고정",N244="N",I244&lt;&gt;""),1,0)</f>
        <v>0</v>
      </c>
      <c r="W244" s="59" t="n">
        <f aca="false">IF(V244=1,I244*L244,0)</f>
        <v>0</v>
      </c>
      <c r="X244" s="60" t="n">
        <f aca="false">IF(AND(V244=1,ISNUMBER(R244)),I244*R244,0)</f>
        <v>0</v>
      </c>
      <c r="Y244" s="61" t="n">
        <f aca="false">IF(AND(S244=1,ISNUMBER(R244)),I244,0)</f>
        <v>5000</v>
      </c>
      <c r="Z244" s="61" t="n">
        <f aca="false">IF(AND(V244=1,ISNUMBER(R244)),I244,0)</f>
        <v>0</v>
      </c>
    </row>
    <row r="245" customFormat="false" ht="15" hidden="false" customHeight="false" outlineLevel="0" collapsed="false">
      <c r="A245" s="47" t="s">
        <v>577</v>
      </c>
      <c r="B245" s="52" t="n">
        <v>45449</v>
      </c>
      <c r="C245" s="53" t="n">
        <f aca="false">DATE(YEAR(B245),MONTH(B245),1)</f>
        <v>45444</v>
      </c>
      <c r="D245" s="5" t="str">
        <f aca="false">YEAR(B245)&amp;"Q"&amp;ROUNDUP(MONTH(B245)/3,0)</f>
        <v>2024Q2</v>
      </c>
      <c r="E245" s="47" t="s">
        <v>323</v>
      </c>
      <c r="F245" s="54" t="s">
        <v>139</v>
      </c>
      <c r="G245" s="47" t="s">
        <v>324</v>
      </c>
      <c r="H245" s="47" t="s">
        <v>584</v>
      </c>
      <c r="I245" s="55" t="n">
        <v>1000</v>
      </c>
      <c r="J245" s="56" t="n">
        <v>3</v>
      </c>
      <c r="K245" s="54" t="s">
        <v>142</v>
      </c>
      <c r="L245" s="57" t="n">
        <v>0.047</v>
      </c>
      <c r="N245" s="47" t="s">
        <v>148</v>
      </c>
      <c r="O245" s="47" t="s">
        <v>326</v>
      </c>
      <c r="P245" s="47"/>
      <c r="Q245" s="48" t="n">
        <f aca="false">IF($J245="","",IFERROR(IF($J245&lt;=1,INDEX(VN_국채일별!$B$4:$B$1436,MATCH($B245,VN_국채일별!$A$4:$A$1436,1)),IF($J245&lt;=2,INDEX(VN_국채일별!$B$4:$B$1436,MATCH($B245,VN_국채일별!$A$4:$A$1436,1))+(INDEX(VN_국채일별!$C$4:$C$1436,MATCH($B245,VN_국채일별!$A$4:$A$1436,1))-INDEX(VN_국채일별!$B$4:$B$1436,MATCH($B245,VN_국채일별!$A$4:$A$1436,1)))*($J245-1),IF($J245&lt;=3,INDEX(VN_국채일별!$C$4:$C$1436,MATCH($B245,VN_국채일별!$A$4:$A$1436,1))+(INDEX(VN_국채일별!$D$4:$D$1436,MATCH($B245,VN_국채일별!$A$4:$A$1436,1))-INDEX(VN_국채일별!$C$4:$C$1436,MATCH($B245,VN_국채일별!$A$4:$A$1436,1)))*($J245-2),IF($J245&lt;=5,INDEX(VN_국채일별!$D$4:$D$1436,MATCH($B245,VN_국채일별!$A$4:$A$1436,1))+(INDEX(VN_국채일별!$E$4:$E$1436,MATCH($B245,VN_국채일별!$A$4:$A$1436,1))-INDEX(VN_국채일별!$D$4:$D$1436,MATCH($B245,VN_국채일별!$A$4:$A$1436,1)))*($J245-3)/2,IF($J245&lt;=7,INDEX(VN_국채일별!$E$4:$E$1436,MATCH($B245,VN_국채일별!$A$4:$A$1436,1))+(INDEX(VN_국채일별!$F$4:$F$1436,MATCH($B245,VN_국채일별!$A$4:$A$1436,1))-INDEX(VN_국채일별!$E$4:$E$1436,MATCH($B245,VN_국채일별!$A$4:$A$1436,1)))*($J245-5)/2,IF($J245&lt;=10,INDEX(VN_국채일별!$F$4:$F$1436,MATCH($B245,VN_국채일별!$A$4:$A$1436,1))+(INDEX(VN_국채일별!$G$4:$G$1436,MATCH($B245,VN_국채일별!$A$4:$A$1436,1))-INDEX(VN_국채일별!$F$4:$F$1436,MATCH($B245,VN_국채일별!$A$4:$A$1436,1)))*($J245-7)/3,INDEX(VN_국채일별!$G$4:$G$1436,MATCH($B245,VN_국채일별!$A$4:$A$1436,1)))))))),""))</f>
        <v>0.02001</v>
      </c>
      <c r="R245" s="58" t="n">
        <f aca="false">IF(OR(L245="",Q245=""),"",(L245-Q245)*10000)</f>
        <v>269.9</v>
      </c>
      <c r="S245" s="30" t="n">
        <f aca="false">IF(AND(K245="고정",N245="N",J245&gt;=2,J245&lt;=4,I245&lt;&gt;""),1,0)</f>
        <v>1</v>
      </c>
      <c r="T245" s="59" t="n">
        <f aca="false">IF(S245=1,I245*L245,0)</f>
        <v>47</v>
      </c>
      <c r="U245" s="60" t="n">
        <f aca="false">IF(AND(S245=1,ISNUMBER(R245)),I245*R245,0)</f>
        <v>269900</v>
      </c>
      <c r="V245" s="30" t="n">
        <f aca="false">IF(AND(F245="Big4(국영)",K245="고정",N245="N",I245&lt;&gt;""),1,0)</f>
        <v>0</v>
      </c>
      <c r="W245" s="59" t="n">
        <f aca="false">IF(V245=1,I245*L245,0)</f>
        <v>0</v>
      </c>
      <c r="X245" s="60" t="n">
        <f aca="false">IF(AND(V245=1,ISNUMBER(R245)),I245*R245,0)</f>
        <v>0</v>
      </c>
      <c r="Y245" s="61" t="n">
        <f aca="false">IF(AND(S245=1,ISNUMBER(R245)),I245,0)</f>
        <v>1000</v>
      </c>
      <c r="Z245" s="61" t="n">
        <f aca="false">IF(AND(V245=1,ISNUMBER(R245)),I245,0)</f>
        <v>0</v>
      </c>
    </row>
    <row r="246" customFormat="false" ht="15" hidden="false" customHeight="false" outlineLevel="0" collapsed="false">
      <c r="A246" s="47" t="s">
        <v>577</v>
      </c>
      <c r="B246" s="52" t="n">
        <v>45450</v>
      </c>
      <c r="C246" s="53" t="n">
        <f aca="false">DATE(YEAR(B246),MONTH(B246),1)</f>
        <v>45444</v>
      </c>
      <c r="D246" s="5" t="str">
        <f aca="false">YEAR(B246)&amp;"Q"&amp;ROUNDUP(MONTH(B246)/3,0)</f>
        <v>2024Q2</v>
      </c>
      <c r="E246" s="62" t="s">
        <v>155</v>
      </c>
      <c r="F246" s="62" t="s">
        <v>156</v>
      </c>
      <c r="G246" s="47" t="s">
        <v>157</v>
      </c>
      <c r="H246" s="47" t="s">
        <v>585</v>
      </c>
      <c r="I246" s="55" t="n">
        <v>3500</v>
      </c>
      <c r="J246" s="56" t="n">
        <v>10</v>
      </c>
      <c r="K246" s="54" t="s">
        <v>153</v>
      </c>
      <c r="N246" s="47" t="s">
        <v>143</v>
      </c>
      <c r="O246" s="47" t="s">
        <v>586</v>
      </c>
      <c r="P246" s="47"/>
      <c r="Q246" s="48" t="n">
        <f aca="false">IF($J246="","",IFERROR(IF($J246&lt;=1,INDEX(VN_국채일별!$B$4:$B$1436,MATCH($B246,VN_국채일별!$A$4:$A$1436,1)),IF($J246&lt;=2,INDEX(VN_국채일별!$B$4:$B$1436,MATCH($B246,VN_국채일별!$A$4:$A$1436,1))+(INDEX(VN_국채일별!$C$4:$C$1436,MATCH($B246,VN_국채일별!$A$4:$A$1436,1))-INDEX(VN_국채일별!$B$4:$B$1436,MATCH($B246,VN_국채일별!$A$4:$A$1436,1)))*($J246-1),IF($J246&lt;=3,INDEX(VN_국채일별!$C$4:$C$1436,MATCH($B246,VN_국채일별!$A$4:$A$1436,1))+(INDEX(VN_국채일별!$D$4:$D$1436,MATCH($B246,VN_국채일별!$A$4:$A$1436,1))-INDEX(VN_국채일별!$C$4:$C$1436,MATCH($B246,VN_국채일별!$A$4:$A$1436,1)))*($J246-2),IF($J246&lt;=5,INDEX(VN_국채일별!$D$4:$D$1436,MATCH($B246,VN_국채일별!$A$4:$A$1436,1))+(INDEX(VN_국채일별!$E$4:$E$1436,MATCH($B246,VN_국채일별!$A$4:$A$1436,1))-INDEX(VN_국채일별!$D$4:$D$1436,MATCH($B246,VN_국채일별!$A$4:$A$1436,1)))*($J246-3)/2,IF($J246&lt;=7,INDEX(VN_국채일별!$E$4:$E$1436,MATCH($B246,VN_국채일별!$A$4:$A$1436,1))+(INDEX(VN_국채일별!$F$4:$F$1436,MATCH($B246,VN_국채일별!$A$4:$A$1436,1))-INDEX(VN_국채일별!$E$4:$E$1436,MATCH($B246,VN_국채일별!$A$4:$A$1436,1)))*($J246-5)/2,IF($J246&lt;=10,INDEX(VN_국채일별!$F$4:$F$1436,MATCH($B246,VN_국채일별!$A$4:$A$1436,1))+(INDEX(VN_국채일별!$G$4:$G$1436,MATCH($B246,VN_국채일별!$A$4:$A$1436,1))-INDEX(VN_국채일별!$F$4:$F$1436,MATCH($B246,VN_국채일별!$A$4:$A$1436,1)))*($J246-7)/3,INDEX(VN_국채일별!$G$4:$G$1436,MATCH($B246,VN_국채일별!$A$4:$A$1436,1)))))))),""))</f>
        <v>0.02833</v>
      </c>
      <c r="R246" s="58" t="str">
        <f aca="false">IF(OR(L246="",Q246=""),"",(L246-Q246)*10000)</f>
        <v/>
      </c>
      <c r="S246" s="30" t="n">
        <f aca="false">IF(AND(K246="고정",N246="N",J246&gt;=2,J246&lt;=4,I246&lt;&gt;""),1,0)</f>
        <v>0</v>
      </c>
      <c r="T246" s="59" t="n">
        <f aca="false">IF(S246=1,I246*L246,0)</f>
        <v>0</v>
      </c>
      <c r="U246" s="60" t="n">
        <f aca="false">IF(AND(S246=1,ISNUMBER(R246)),I246*R246,0)</f>
        <v>0</v>
      </c>
      <c r="V246" s="30" t="n">
        <f aca="false">IF(AND(F246="Big4(국영)",K246="고정",N246="N",I246&lt;&gt;""),1,0)</f>
        <v>0</v>
      </c>
      <c r="W246" s="59" t="n">
        <f aca="false">IF(V246=1,I246*L246,0)</f>
        <v>0</v>
      </c>
      <c r="X246" s="60" t="n">
        <f aca="false">IF(AND(V246=1,ISNUMBER(R246)),I246*R246,0)</f>
        <v>0</v>
      </c>
      <c r="Y246" s="61" t="n">
        <f aca="false">IF(AND(S246=1,ISNUMBER(R246)),I246,0)</f>
        <v>0</v>
      </c>
      <c r="Z246" s="61" t="n">
        <f aca="false">IF(AND(V246=1,ISNUMBER(R246)),I246,0)</f>
        <v>0</v>
      </c>
    </row>
    <row r="247" customFormat="false" ht="15" hidden="false" customHeight="false" outlineLevel="0" collapsed="false">
      <c r="A247" s="47" t="s">
        <v>577</v>
      </c>
      <c r="B247" s="52" t="n">
        <v>45450</v>
      </c>
      <c r="C247" s="53" t="n">
        <f aca="false">DATE(YEAR(B247),MONTH(B247),1)</f>
        <v>45444</v>
      </c>
      <c r="D247" s="5" t="str">
        <f aca="false">YEAR(B247)&amp;"Q"&amp;ROUNDUP(MONTH(B247)/3,0)</f>
        <v>2024Q2</v>
      </c>
      <c r="E247" s="47" t="s">
        <v>248</v>
      </c>
      <c r="F247" s="54" t="s">
        <v>139</v>
      </c>
      <c r="G247" s="47" t="s">
        <v>361</v>
      </c>
      <c r="H247" s="47" t="s">
        <v>587</v>
      </c>
      <c r="I247" s="55" t="n">
        <v>300</v>
      </c>
      <c r="J247" s="56" t="n">
        <v>7</v>
      </c>
      <c r="K247" s="54" t="s">
        <v>153</v>
      </c>
      <c r="N247" s="47" t="s">
        <v>143</v>
      </c>
      <c r="O247" s="47" t="s">
        <v>494</v>
      </c>
      <c r="P247" s="47"/>
      <c r="Q247" s="48" t="n">
        <f aca="false">IF($J247="","",IFERROR(IF($J247&lt;=1,INDEX(VN_국채일별!$B$4:$B$1436,MATCH($B247,VN_국채일별!$A$4:$A$1436,1)),IF($J247&lt;=2,INDEX(VN_국채일별!$B$4:$B$1436,MATCH($B247,VN_국채일별!$A$4:$A$1436,1))+(INDEX(VN_국채일별!$C$4:$C$1436,MATCH($B247,VN_국채일별!$A$4:$A$1436,1))-INDEX(VN_국채일별!$B$4:$B$1436,MATCH($B247,VN_국채일별!$A$4:$A$1436,1)))*($J247-1),IF($J247&lt;=3,INDEX(VN_국채일별!$C$4:$C$1436,MATCH($B247,VN_국채일별!$A$4:$A$1436,1))+(INDEX(VN_국채일별!$D$4:$D$1436,MATCH($B247,VN_국채일별!$A$4:$A$1436,1))-INDEX(VN_국채일별!$C$4:$C$1436,MATCH($B247,VN_국채일별!$A$4:$A$1436,1)))*($J247-2),IF($J247&lt;=5,INDEX(VN_국채일별!$D$4:$D$1436,MATCH($B247,VN_국채일별!$A$4:$A$1436,1))+(INDEX(VN_국채일별!$E$4:$E$1436,MATCH($B247,VN_국채일별!$A$4:$A$1436,1))-INDEX(VN_국채일별!$D$4:$D$1436,MATCH($B247,VN_국채일별!$A$4:$A$1436,1)))*($J247-3)/2,IF($J247&lt;=7,INDEX(VN_국채일별!$E$4:$E$1436,MATCH($B247,VN_국채일별!$A$4:$A$1436,1))+(INDEX(VN_국채일별!$F$4:$F$1436,MATCH($B247,VN_국채일별!$A$4:$A$1436,1))-INDEX(VN_국채일별!$E$4:$E$1436,MATCH($B247,VN_국채일별!$A$4:$A$1436,1)))*($J247-5)/2,IF($J247&lt;=10,INDEX(VN_국채일별!$F$4:$F$1436,MATCH($B247,VN_국채일별!$A$4:$A$1436,1))+(INDEX(VN_국채일별!$G$4:$G$1436,MATCH($B247,VN_국채일별!$A$4:$A$1436,1))-INDEX(VN_국채일별!$F$4:$F$1436,MATCH($B247,VN_국채일별!$A$4:$A$1436,1)))*($J247-7)/3,INDEX(VN_국채일별!$G$4:$G$1436,MATCH($B247,VN_국채일별!$A$4:$A$1436,1)))))))),""))</f>
        <v>0.02366</v>
      </c>
      <c r="R247" s="58" t="str">
        <f aca="false">IF(OR(L247="",Q247=""),"",(L247-Q247)*10000)</f>
        <v/>
      </c>
      <c r="S247" s="30" t="n">
        <f aca="false">IF(AND(K247="고정",N247="N",J247&gt;=2,J247&lt;=4,I247&lt;&gt;""),1,0)</f>
        <v>0</v>
      </c>
      <c r="T247" s="59" t="n">
        <f aca="false">IF(S247=1,I247*L247,0)</f>
        <v>0</v>
      </c>
      <c r="U247" s="60" t="n">
        <f aca="false">IF(AND(S247=1,ISNUMBER(R247)),I247*R247,0)</f>
        <v>0</v>
      </c>
      <c r="V247" s="30" t="n">
        <f aca="false">IF(AND(F247="Big4(국영)",K247="고정",N247="N",I247&lt;&gt;""),1,0)</f>
        <v>0</v>
      </c>
      <c r="W247" s="59" t="n">
        <f aca="false">IF(V247=1,I247*L247,0)</f>
        <v>0</v>
      </c>
      <c r="X247" s="60" t="n">
        <f aca="false">IF(AND(V247=1,ISNUMBER(R247)),I247*R247,0)</f>
        <v>0</v>
      </c>
      <c r="Y247" s="61" t="n">
        <f aca="false">IF(AND(S247=1,ISNUMBER(R247)),I247,0)</f>
        <v>0</v>
      </c>
      <c r="Z247" s="61" t="n">
        <f aca="false">IF(AND(V247=1,ISNUMBER(R247)),I247,0)</f>
        <v>0</v>
      </c>
    </row>
    <row r="248" customFormat="false" ht="15" hidden="false" customHeight="false" outlineLevel="0" collapsed="false">
      <c r="A248" s="47" t="s">
        <v>577</v>
      </c>
      <c r="B248" s="52" t="n">
        <v>45453</v>
      </c>
      <c r="C248" s="53" t="n">
        <f aca="false">DATE(YEAR(B248),MONTH(B248),1)</f>
        <v>45444</v>
      </c>
      <c r="D248" s="5" t="str">
        <f aca="false">YEAR(B248)&amp;"Q"&amp;ROUNDUP(MONTH(B248)/3,0)</f>
        <v>2024Q2</v>
      </c>
      <c r="E248" s="47" t="s">
        <v>181</v>
      </c>
      <c r="F248" s="54" t="s">
        <v>139</v>
      </c>
      <c r="G248" s="47" t="s">
        <v>182</v>
      </c>
      <c r="H248" s="47" t="s">
        <v>588</v>
      </c>
      <c r="I248" s="55" t="n">
        <v>1300</v>
      </c>
      <c r="J248" s="56" t="n">
        <v>3</v>
      </c>
      <c r="K248" s="54" t="s">
        <v>142</v>
      </c>
      <c r="L248" s="57" t="n">
        <v>0.054</v>
      </c>
      <c r="N248" s="47" t="s">
        <v>148</v>
      </c>
      <c r="O248" s="47" t="s">
        <v>575</v>
      </c>
      <c r="P248" s="47"/>
      <c r="Q248" s="48" t="n">
        <f aca="false">IF($J248="","",IFERROR(IF($J248&lt;=1,INDEX(VN_국채일별!$B$4:$B$1436,MATCH($B248,VN_국채일별!$A$4:$A$1436,1)),IF($J248&lt;=2,INDEX(VN_국채일별!$B$4:$B$1436,MATCH($B248,VN_국채일별!$A$4:$A$1436,1))+(INDEX(VN_국채일별!$C$4:$C$1436,MATCH($B248,VN_국채일별!$A$4:$A$1436,1))-INDEX(VN_국채일별!$B$4:$B$1436,MATCH($B248,VN_국채일별!$A$4:$A$1436,1)))*($J248-1),IF($J248&lt;=3,INDEX(VN_국채일별!$C$4:$C$1436,MATCH($B248,VN_국채일별!$A$4:$A$1436,1))+(INDEX(VN_국채일별!$D$4:$D$1436,MATCH($B248,VN_국채일별!$A$4:$A$1436,1))-INDEX(VN_국채일별!$C$4:$C$1436,MATCH($B248,VN_국채일별!$A$4:$A$1436,1)))*($J248-2),IF($J248&lt;=5,INDEX(VN_국채일별!$D$4:$D$1436,MATCH($B248,VN_국채일별!$A$4:$A$1436,1))+(INDEX(VN_국채일별!$E$4:$E$1436,MATCH($B248,VN_국채일별!$A$4:$A$1436,1))-INDEX(VN_국채일별!$D$4:$D$1436,MATCH($B248,VN_국채일별!$A$4:$A$1436,1)))*($J248-3)/2,IF($J248&lt;=7,INDEX(VN_국채일별!$E$4:$E$1436,MATCH($B248,VN_국채일별!$A$4:$A$1436,1))+(INDEX(VN_국채일별!$F$4:$F$1436,MATCH($B248,VN_국채일별!$A$4:$A$1436,1))-INDEX(VN_국채일별!$E$4:$E$1436,MATCH($B248,VN_국채일별!$A$4:$A$1436,1)))*($J248-5)/2,IF($J248&lt;=10,INDEX(VN_국채일별!$F$4:$F$1436,MATCH($B248,VN_국채일별!$A$4:$A$1436,1))+(INDEX(VN_국채일별!$G$4:$G$1436,MATCH($B248,VN_국채일별!$A$4:$A$1436,1))-INDEX(VN_국채일별!$F$4:$F$1436,MATCH($B248,VN_국채일별!$A$4:$A$1436,1)))*($J248-7)/3,INDEX(VN_국채일별!$G$4:$G$1436,MATCH($B248,VN_국채일별!$A$4:$A$1436,1)))))))),""))</f>
        <v>0.02</v>
      </c>
      <c r="R248" s="58" t="n">
        <f aca="false">IF(OR(L248="",Q248=""),"",(L248-Q248)*10000)</f>
        <v>340</v>
      </c>
      <c r="S248" s="30" t="n">
        <f aca="false">IF(AND(K248="고정",N248="N",J248&gt;=2,J248&lt;=4,I248&lt;&gt;""),1,0)</f>
        <v>1</v>
      </c>
      <c r="T248" s="59" t="n">
        <f aca="false">IF(S248=1,I248*L248,0)</f>
        <v>70.2</v>
      </c>
      <c r="U248" s="60" t="n">
        <f aca="false">IF(AND(S248=1,ISNUMBER(R248)),I248*R248,0)</f>
        <v>442000</v>
      </c>
      <c r="V248" s="30" t="n">
        <f aca="false">IF(AND(F248="Big4(국영)",K248="고정",N248="N",I248&lt;&gt;""),1,0)</f>
        <v>0</v>
      </c>
      <c r="W248" s="59" t="n">
        <f aca="false">IF(V248=1,I248*L248,0)</f>
        <v>0</v>
      </c>
      <c r="X248" s="60" t="n">
        <f aca="false">IF(AND(V248=1,ISNUMBER(R248)),I248*R248,0)</f>
        <v>0</v>
      </c>
      <c r="Y248" s="61" t="n">
        <f aca="false">IF(AND(S248=1,ISNUMBER(R248)),I248,0)</f>
        <v>1300</v>
      </c>
      <c r="Z248" s="61" t="n">
        <f aca="false">IF(AND(V248=1,ISNUMBER(R248)),I248,0)</f>
        <v>0</v>
      </c>
    </row>
    <row r="249" customFormat="false" ht="15" hidden="false" customHeight="false" outlineLevel="0" collapsed="false">
      <c r="A249" s="47" t="s">
        <v>577</v>
      </c>
      <c r="B249" s="52" t="n">
        <v>45453</v>
      </c>
      <c r="C249" s="53" t="n">
        <f aca="false">DATE(YEAR(B249),MONTH(B249),1)</f>
        <v>45444</v>
      </c>
      <c r="D249" s="5" t="str">
        <f aca="false">YEAR(B249)&amp;"Q"&amp;ROUNDUP(MONTH(B249)/3,0)</f>
        <v>2024Q2</v>
      </c>
      <c r="E249" s="62" t="s">
        <v>571</v>
      </c>
      <c r="F249" s="63" t="s">
        <v>572</v>
      </c>
      <c r="G249" s="47" t="s">
        <v>573</v>
      </c>
      <c r="H249" s="47" t="s">
        <v>589</v>
      </c>
      <c r="I249" s="55" t="n">
        <v>1000</v>
      </c>
      <c r="J249" s="56" t="n">
        <v>2</v>
      </c>
      <c r="K249" s="54" t="s">
        <v>142</v>
      </c>
      <c r="L249" s="57" t="n">
        <v>0.051</v>
      </c>
      <c r="N249" s="47" t="s">
        <v>148</v>
      </c>
      <c r="O249" s="47" t="s">
        <v>510</v>
      </c>
      <c r="P249" s="47"/>
      <c r="Q249" s="48" t="n">
        <f aca="false">IF($J249="","",IFERROR(IF($J249&lt;=1,INDEX(VN_국채일별!$B$4:$B$1436,MATCH($B249,VN_국채일별!$A$4:$A$1436,1)),IF($J249&lt;=2,INDEX(VN_국채일별!$B$4:$B$1436,MATCH($B249,VN_국채일별!$A$4:$A$1436,1))+(INDEX(VN_국채일별!$C$4:$C$1436,MATCH($B249,VN_국채일별!$A$4:$A$1436,1))-INDEX(VN_국채일별!$B$4:$B$1436,MATCH($B249,VN_국채일별!$A$4:$A$1436,1)))*($J249-1),IF($J249&lt;=3,INDEX(VN_국채일별!$C$4:$C$1436,MATCH($B249,VN_국채일별!$A$4:$A$1436,1))+(INDEX(VN_국채일별!$D$4:$D$1436,MATCH($B249,VN_국채일별!$A$4:$A$1436,1))-INDEX(VN_국채일별!$C$4:$C$1436,MATCH($B249,VN_국채일별!$A$4:$A$1436,1)))*($J249-2),IF($J249&lt;=5,INDEX(VN_국채일별!$D$4:$D$1436,MATCH($B249,VN_국채일별!$A$4:$A$1436,1))+(INDEX(VN_국채일별!$E$4:$E$1436,MATCH($B249,VN_국채일별!$A$4:$A$1436,1))-INDEX(VN_국채일별!$D$4:$D$1436,MATCH($B249,VN_국채일별!$A$4:$A$1436,1)))*($J249-3)/2,IF($J249&lt;=7,INDEX(VN_국채일별!$E$4:$E$1436,MATCH($B249,VN_국채일별!$A$4:$A$1436,1))+(INDEX(VN_국채일별!$F$4:$F$1436,MATCH($B249,VN_국채일별!$A$4:$A$1436,1))-INDEX(VN_국채일별!$E$4:$E$1436,MATCH($B249,VN_국채일별!$A$4:$A$1436,1)))*($J249-5)/2,IF($J249&lt;=10,INDEX(VN_국채일별!$F$4:$F$1436,MATCH($B249,VN_국채일별!$A$4:$A$1436,1))+(INDEX(VN_국채일별!$G$4:$G$1436,MATCH($B249,VN_국채일별!$A$4:$A$1436,1))-INDEX(VN_국채일별!$F$4:$F$1436,MATCH($B249,VN_국채일별!$A$4:$A$1436,1)))*($J249-7)/3,INDEX(VN_국채일별!$G$4:$G$1436,MATCH($B249,VN_국채일별!$A$4:$A$1436,1)))))))),""))</f>
        <v>0.01974</v>
      </c>
      <c r="R249" s="58" t="n">
        <f aca="false">IF(OR(L249="",Q249=""),"",(L249-Q249)*10000)</f>
        <v>312.6</v>
      </c>
      <c r="S249" s="30" t="n">
        <f aca="false">IF(AND(K249="고정",N249="N",J249&gt;=2,J249&lt;=4,I249&lt;&gt;""),1,0)</f>
        <v>1</v>
      </c>
      <c r="T249" s="59" t="n">
        <f aca="false">IF(S249=1,I249*L249,0)</f>
        <v>51</v>
      </c>
      <c r="U249" s="60" t="n">
        <f aca="false">IF(AND(S249=1,ISNUMBER(R249)),I249*R249,0)</f>
        <v>312600</v>
      </c>
      <c r="V249" s="30" t="n">
        <f aca="false">IF(AND(F249="Big4(국영)",K249="고정",N249="N",I249&lt;&gt;""),1,0)</f>
        <v>0</v>
      </c>
      <c r="W249" s="59" t="n">
        <f aca="false">IF(V249=1,I249*L249,0)</f>
        <v>0</v>
      </c>
      <c r="X249" s="60" t="n">
        <f aca="false">IF(AND(V249=1,ISNUMBER(R249)),I249*R249,0)</f>
        <v>0</v>
      </c>
      <c r="Y249" s="61" t="n">
        <f aca="false">IF(AND(S249=1,ISNUMBER(R249)),I249,0)</f>
        <v>1000</v>
      </c>
      <c r="Z249" s="61" t="n">
        <f aca="false">IF(AND(V249=1,ISNUMBER(R249)),I249,0)</f>
        <v>0</v>
      </c>
    </row>
    <row r="250" customFormat="false" ht="15" hidden="false" customHeight="false" outlineLevel="0" collapsed="false">
      <c r="A250" s="47" t="s">
        <v>577</v>
      </c>
      <c r="B250" s="52" t="n">
        <v>45453</v>
      </c>
      <c r="C250" s="53" t="n">
        <f aca="false">DATE(YEAR(B250),MONTH(B250),1)</f>
        <v>45444</v>
      </c>
      <c r="D250" s="5" t="str">
        <f aca="false">YEAR(B250)&amp;"Q"&amp;ROUNDUP(MONTH(B250)/3,0)</f>
        <v>2024Q2</v>
      </c>
      <c r="E250" s="47" t="s">
        <v>323</v>
      </c>
      <c r="F250" s="54" t="s">
        <v>139</v>
      </c>
      <c r="G250" s="47" t="s">
        <v>324</v>
      </c>
      <c r="H250" s="47" t="s">
        <v>590</v>
      </c>
      <c r="I250" s="55" t="n">
        <v>500</v>
      </c>
      <c r="J250" s="56" t="n">
        <v>3</v>
      </c>
      <c r="K250" s="54" t="s">
        <v>142</v>
      </c>
      <c r="L250" s="57" t="n">
        <v>0.055</v>
      </c>
      <c r="N250" s="47" t="s">
        <v>148</v>
      </c>
      <c r="O250" s="47" t="s">
        <v>591</v>
      </c>
      <c r="P250" s="47"/>
      <c r="Q250" s="48" t="n">
        <f aca="false">IF($J250="","",IFERROR(IF($J250&lt;=1,INDEX(VN_국채일별!$B$4:$B$1436,MATCH($B250,VN_국채일별!$A$4:$A$1436,1)),IF($J250&lt;=2,INDEX(VN_국채일별!$B$4:$B$1436,MATCH($B250,VN_국채일별!$A$4:$A$1436,1))+(INDEX(VN_국채일별!$C$4:$C$1436,MATCH($B250,VN_국채일별!$A$4:$A$1436,1))-INDEX(VN_국채일별!$B$4:$B$1436,MATCH($B250,VN_국채일별!$A$4:$A$1436,1)))*($J250-1),IF($J250&lt;=3,INDEX(VN_국채일별!$C$4:$C$1436,MATCH($B250,VN_국채일별!$A$4:$A$1436,1))+(INDEX(VN_국채일별!$D$4:$D$1436,MATCH($B250,VN_국채일별!$A$4:$A$1436,1))-INDEX(VN_국채일별!$C$4:$C$1436,MATCH($B250,VN_국채일별!$A$4:$A$1436,1)))*($J250-2),IF($J250&lt;=5,INDEX(VN_국채일별!$D$4:$D$1436,MATCH($B250,VN_국채일별!$A$4:$A$1436,1))+(INDEX(VN_국채일별!$E$4:$E$1436,MATCH($B250,VN_국채일별!$A$4:$A$1436,1))-INDEX(VN_국채일별!$D$4:$D$1436,MATCH($B250,VN_국채일별!$A$4:$A$1436,1)))*($J250-3)/2,IF($J250&lt;=7,INDEX(VN_국채일별!$E$4:$E$1436,MATCH($B250,VN_국채일별!$A$4:$A$1436,1))+(INDEX(VN_국채일별!$F$4:$F$1436,MATCH($B250,VN_국채일별!$A$4:$A$1436,1))-INDEX(VN_국채일별!$E$4:$E$1436,MATCH($B250,VN_국채일별!$A$4:$A$1436,1)))*($J250-5)/2,IF($J250&lt;=10,INDEX(VN_국채일별!$F$4:$F$1436,MATCH($B250,VN_국채일별!$A$4:$A$1436,1))+(INDEX(VN_국채일별!$G$4:$G$1436,MATCH($B250,VN_국채일별!$A$4:$A$1436,1))-INDEX(VN_국채일별!$F$4:$F$1436,MATCH($B250,VN_국채일별!$A$4:$A$1436,1)))*($J250-7)/3,INDEX(VN_국채일별!$G$4:$G$1436,MATCH($B250,VN_국채일별!$A$4:$A$1436,1)))))))),""))</f>
        <v>0.02</v>
      </c>
      <c r="R250" s="58" t="n">
        <f aca="false">IF(OR(L250="",Q250=""),"",(L250-Q250)*10000)</f>
        <v>350</v>
      </c>
      <c r="S250" s="30" t="n">
        <f aca="false">IF(AND(K250="고정",N250="N",J250&gt;=2,J250&lt;=4,I250&lt;&gt;""),1,0)</f>
        <v>1</v>
      </c>
      <c r="T250" s="59" t="n">
        <f aca="false">IF(S250=1,I250*L250,0)</f>
        <v>27.5</v>
      </c>
      <c r="U250" s="60" t="n">
        <f aca="false">IF(AND(S250=1,ISNUMBER(R250)),I250*R250,0)</f>
        <v>175000</v>
      </c>
      <c r="V250" s="30" t="n">
        <f aca="false">IF(AND(F250="Big4(국영)",K250="고정",N250="N",I250&lt;&gt;""),1,0)</f>
        <v>0</v>
      </c>
      <c r="W250" s="59" t="n">
        <f aca="false">IF(V250=1,I250*L250,0)</f>
        <v>0</v>
      </c>
      <c r="X250" s="60" t="n">
        <f aca="false">IF(AND(V250=1,ISNUMBER(R250)),I250*R250,0)</f>
        <v>0</v>
      </c>
      <c r="Y250" s="61" t="n">
        <f aca="false">IF(AND(S250=1,ISNUMBER(R250)),I250,0)</f>
        <v>500</v>
      </c>
      <c r="Z250" s="61" t="n">
        <f aca="false">IF(AND(V250=1,ISNUMBER(R250)),I250,0)</f>
        <v>0</v>
      </c>
    </row>
    <row r="251" customFormat="false" ht="15" hidden="false" customHeight="false" outlineLevel="0" collapsed="false">
      <c r="A251" s="47" t="s">
        <v>577</v>
      </c>
      <c r="B251" s="52" t="n">
        <v>45454</v>
      </c>
      <c r="C251" s="53" t="n">
        <f aca="false">DATE(YEAR(B251),MONTH(B251),1)</f>
        <v>45444</v>
      </c>
      <c r="D251" s="5" t="str">
        <f aca="false">YEAR(B251)&amp;"Q"&amp;ROUNDUP(MONTH(B251)/3,0)</f>
        <v>2024Q2</v>
      </c>
      <c r="E251" s="47" t="s">
        <v>307</v>
      </c>
      <c r="F251" s="54" t="s">
        <v>139</v>
      </c>
      <c r="G251" s="47" t="s">
        <v>308</v>
      </c>
      <c r="H251" s="47" t="s">
        <v>592</v>
      </c>
      <c r="I251" s="55" t="n">
        <v>5000</v>
      </c>
      <c r="J251" s="56" t="n">
        <v>3</v>
      </c>
      <c r="K251" s="54" t="s">
        <v>142</v>
      </c>
      <c r="L251" s="57" t="n">
        <v>0.046</v>
      </c>
      <c r="N251" s="47" t="s">
        <v>148</v>
      </c>
      <c r="O251" s="47" t="s">
        <v>593</v>
      </c>
      <c r="P251" s="47"/>
      <c r="Q251" s="48" t="n">
        <f aca="false">IF($J251="","",IFERROR(IF($J251&lt;=1,INDEX(VN_국채일별!$B$4:$B$1436,MATCH($B251,VN_국채일별!$A$4:$A$1436,1)),IF($J251&lt;=2,INDEX(VN_국채일별!$B$4:$B$1436,MATCH($B251,VN_국채일별!$A$4:$A$1436,1))+(INDEX(VN_국채일별!$C$4:$C$1436,MATCH($B251,VN_국채일별!$A$4:$A$1436,1))-INDEX(VN_국채일별!$B$4:$B$1436,MATCH($B251,VN_국채일별!$A$4:$A$1436,1)))*($J251-1),IF($J251&lt;=3,INDEX(VN_국채일별!$C$4:$C$1436,MATCH($B251,VN_국채일별!$A$4:$A$1436,1))+(INDEX(VN_국채일별!$D$4:$D$1436,MATCH($B251,VN_국채일별!$A$4:$A$1436,1))-INDEX(VN_국채일별!$C$4:$C$1436,MATCH($B251,VN_국채일별!$A$4:$A$1436,1)))*($J251-2),IF($J251&lt;=5,INDEX(VN_국채일별!$D$4:$D$1436,MATCH($B251,VN_국채일별!$A$4:$A$1436,1))+(INDEX(VN_국채일별!$E$4:$E$1436,MATCH($B251,VN_국채일별!$A$4:$A$1436,1))-INDEX(VN_국채일별!$D$4:$D$1436,MATCH($B251,VN_국채일별!$A$4:$A$1436,1)))*($J251-3)/2,IF($J251&lt;=7,INDEX(VN_국채일별!$E$4:$E$1436,MATCH($B251,VN_국채일별!$A$4:$A$1436,1))+(INDEX(VN_국채일별!$F$4:$F$1436,MATCH($B251,VN_국채일별!$A$4:$A$1436,1))-INDEX(VN_국채일별!$E$4:$E$1436,MATCH($B251,VN_국채일별!$A$4:$A$1436,1)))*($J251-5)/2,IF($J251&lt;=10,INDEX(VN_국채일별!$F$4:$F$1436,MATCH($B251,VN_국채일별!$A$4:$A$1436,1))+(INDEX(VN_국채일별!$G$4:$G$1436,MATCH($B251,VN_국채일별!$A$4:$A$1436,1))-INDEX(VN_국채일별!$F$4:$F$1436,MATCH($B251,VN_국채일별!$A$4:$A$1436,1)))*($J251-7)/3,INDEX(VN_국채일별!$G$4:$G$1436,MATCH($B251,VN_국채일별!$A$4:$A$1436,1)))))))),""))</f>
        <v>0.02001</v>
      </c>
      <c r="R251" s="58" t="n">
        <f aca="false">IF(OR(L251="",Q251=""),"",(L251-Q251)*10000)</f>
        <v>259.9</v>
      </c>
      <c r="S251" s="30" t="n">
        <f aca="false">IF(AND(K251="고정",N251="N",J251&gt;=2,J251&lt;=4,I251&lt;&gt;""),1,0)</f>
        <v>1</v>
      </c>
      <c r="T251" s="59" t="n">
        <f aca="false">IF(S251=1,I251*L251,0)</f>
        <v>230</v>
      </c>
      <c r="U251" s="60" t="n">
        <f aca="false">IF(AND(S251=1,ISNUMBER(R251)),I251*R251,0)</f>
        <v>1299500</v>
      </c>
      <c r="V251" s="30" t="n">
        <f aca="false">IF(AND(F251="Big4(국영)",K251="고정",N251="N",I251&lt;&gt;""),1,0)</f>
        <v>0</v>
      </c>
      <c r="W251" s="59" t="n">
        <f aca="false">IF(V251=1,I251*L251,0)</f>
        <v>0</v>
      </c>
      <c r="X251" s="60" t="n">
        <f aca="false">IF(AND(V251=1,ISNUMBER(R251)),I251*R251,0)</f>
        <v>0</v>
      </c>
      <c r="Y251" s="61" t="n">
        <f aca="false">IF(AND(S251=1,ISNUMBER(R251)),I251,0)</f>
        <v>5000</v>
      </c>
      <c r="Z251" s="61" t="n">
        <f aca="false">IF(AND(V251=1,ISNUMBER(R251)),I251,0)</f>
        <v>0</v>
      </c>
    </row>
    <row r="252" customFormat="false" ht="15" hidden="false" customHeight="false" outlineLevel="0" collapsed="false">
      <c r="A252" s="47" t="s">
        <v>577</v>
      </c>
      <c r="B252" s="52" t="n">
        <v>45455</v>
      </c>
      <c r="C252" s="53" t="n">
        <f aca="false">DATE(YEAR(B252),MONTH(B252),1)</f>
        <v>45444</v>
      </c>
      <c r="D252" s="5" t="str">
        <f aca="false">YEAR(B252)&amp;"Q"&amp;ROUNDUP(MONTH(B252)/3,0)</f>
        <v>2024Q2</v>
      </c>
      <c r="E252" s="62" t="s">
        <v>571</v>
      </c>
      <c r="F252" s="63" t="s">
        <v>572</v>
      </c>
      <c r="G252" s="47" t="s">
        <v>573</v>
      </c>
      <c r="H252" s="47" t="s">
        <v>594</v>
      </c>
      <c r="I252" s="55" t="n">
        <v>1000</v>
      </c>
      <c r="J252" s="56" t="n">
        <v>2</v>
      </c>
      <c r="K252" s="54" t="s">
        <v>142</v>
      </c>
      <c r="L252" s="57" t="n">
        <v>0.051</v>
      </c>
      <c r="N252" s="47" t="s">
        <v>148</v>
      </c>
      <c r="O252" s="47" t="s">
        <v>510</v>
      </c>
      <c r="P252" s="47"/>
      <c r="Q252" s="48" t="n">
        <f aca="false">IF($J252="","",IFERROR(IF($J252&lt;=1,INDEX(VN_국채일별!$B$4:$B$1436,MATCH($B252,VN_국채일별!$A$4:$A$1436,1)),IF($J252&lt;=2,INDEX(VN_국채일별!$B$4:$B$1436,MATCH($B252,VN_국채일별!$A$4:$A$1436,1))+(INDEX(VN_국채일별!$C$4:$C$1436,MATCH($B252,VN_국채일별!$A$4:$A$1436,1))-INDEX(VN_국채일별!$B$4:$B$1436,MATCH($B252,VN_국채일별!$A$4:$A$1436,1)))*($J252-1),IF($J252&lt;=3,INDEX(VN_국채일별!$C$4:$C$1436,MATCH($B252,VN_국채일별!$A$4:$A$1436,1))+(INDEX(VN_국채일별!$D$4:$D$1436,MATCH($B252,VN_국채일별!$A$4:$A$1436,1))-INDEX(VN_국채일별!$C$4:$C$1436,MATCH($B252,VN_국채일별!$A$4:$A$1436,1)))*($J252-2),IF($J252&lt;=5,INDEX(VN_국채일별!$D$4:$D$1436,MATCH($B252,VN_국채일별!$A$4:$A$1436,1))+(INDEX(VN_국채일별!$E$4:$E$1436,MATCH($B252,VN_국채일별!$A$4:$A$1436,1))-INDEX(VN_국채일별!$D$4:$D$1436,MATCH($B252,VN_국채일별!$A$4:$A$1436,1)))*($J252-3)/2,IF($J252&lt;=7,INDEX(VN_국채일별!$E$4:$E$1436,MATCH($B252,VN_국채일별!$A$4:$A$1436,1))+(INDEX(VN_국채일별!$F$4:$F$1436,MATCH($B252,VN_국채일별!$A$4:$A$1436,1))-INDEX(VN_국채일별!$E$4:$E$1436,MATCH($B252,VN_국채일별!$A$4:$A$1436,1)))*($J252-5)/2,IF($J252&lt;=10,INDEX(VN_국채일별!$F$4:$F$1436,MATCH($B252,VN_국채일별!$A$4:$A$1436,1))+(INDEX(VN_국채일별!$G$4:$G$1436,MATCH($B252,VN_국채일별!$A$4:$A$1436,1))-INDEX(VN_국채일별!$F$4:$F$1436,MATCH($B252,VN_국채일별!$A$4:$A$1436,1)))*($J252-7)/3,INDEX(VN_국채일별!$G$4:$G$1436,MATCH($B252,VN_국채일별!$A$4:$A$1436,1)))))))),""))</f>
        <v>0.01974</v>
      </c>
      <c r="R252" s="58" t="n">
        <f aca="false">IF(OR(L252="",Q252=""),"",(L252-Q252)*10000)</f>
        <v>312.6</v>
      </c>
      <c r="S252" s="30" t="n">
        <f aca="false">IF(AND(K252="고정",N252="N",J252&gt;=2,J252&lt;=4,I252&lt;&gt;""),1,0)</f>
        <v>1</v>
      </c>
      <c r="T252" s="59" t="n">
        <f aca="false">IF(S252=1,I252*L252,0)</f>
        <v>51</v>
      </c>
      <c r="U252" s="60" t="n">
        <f aca="false">IF(AND(S252=1,ISNUMBER(R252)),I252*R252,0)</f>
        <v>312600</v>
      </c>
      <c r="V252" s="30" t="n">
        <f aca="false">IF(AND(F252="Big4(국영)",K252="고정",N252="N",I252&lt;&gt;""),1,0)</f>
        <v>0</v>
      </c>
      <c r="W252" s="59" t="n">
        <f aca="false">IF(V252=1,I252*L252,0)</f>
        <v>0</v>
      </c>
      <c r="X252" s="60" t="n">
        <f aca="false">IF(AND(V252=1,ISNUMBER(R252)),I252*R252,0)</f>
        <v>0</v>
      </c>
      <c r="Y252" s="61" t="n">
        <f aca="false">IF(AND(S252=1,ISNUMBER(R252)),I252,0)</f>
        <v>1000</v>
      </c>
      <c r="Z252" s="61" t="n">
        <f aca="false">IF(AND(V252=1,ISNUMBER(R252)),I252,0)</f>
        <v>0</v>
      </c>
    </row>
    <row r="253" customFormat="false" ht="15" hidden="false" customHeight="false" outlineLevel="0" collapsed="false">
      <c r="A253" s="47" t="s">
        <v>577</v>
      </c>
      <c r="B253" s="52" t="n">
        <v>45456</v>
      </c>
      <c r="C253" s="53" t="n">
        <f aca="false">DATE(YEAR(B253),MONTH(B253),1)</f>
        <v>45444</v>
      </c>
      <c r="D253" s="5" t="str">
        <f aca="false">YEAR(B253)&amp;"Q"&amp;ROUNDUP(MONTH(B253)/3,0)</f>
        <v>2024Q2</v>
      </c>
      <c r="E253" s="62" t="s">
        <v>571</v>
      </c>
      <c r="F253" s="63" t="s">
        <v>572</v>
      </c>
      <c r="G253" s="47" t="s">
        <v>573</v>
      </c>
      <c r="H253" s="47" t="s">
        <v>595</v>
      </c>
      <c r="I253" s="55" t="n">
        <v>1000</v>
      </c>
      <c r="J253" s="56" t="n">
        <v>2</v>
      </c>
      <c r="K253" s="54" t="s">
        <v>142</v>
      </c>
      <c r="L253" s="57" t="n">
        <v>0.051</v>
      </c>
      <c r="N253" s="47" t="s">
        <v>148</v>
      </c>
      <c r="O253" s="47" t="s">
        <v>510</v>
      </c>
      <c r="P253" s="47"/>
      <c r="Q253" s="48" t="n">
        <f aca="false">IF($J253="","",IFERROR(IF($J253&lt;=1,INDEX(VN_국채일별!$B$4:$B$1436,MATCH($B253,VN_국채일별!$A$4:$A$1436,1)),IF($J253&lt;=2,INDEX(VN_국채일별!$B$4:$B$1436,MATCH($B253,VN_국채일별!$A$4:$A$1436,1))+(INDEX(VN_국채일별!$C$4:$C$1436,MATCH($B253,VN_국채일별!$A$4:$A$1436,1))-INDEX(VN_국채일별!$B$4:$B$1436,MATCH($B253,VN_국채일별!$A$4:$A$1436,1)))*($J253-1),IF($J253&lt;=3,INDEX(VN_국채일별!$C$4:$C$1436,MATCH($B253,VN_국채일별!$A$4:$A$1436,1))+(INDEX(VN_국채일별!$D$4:$D$1436,MATCH($B253,VN_국채일별!$A$4:$A$1436,1))-INDEX(VN_국채일별!$C$4:$C$1436,MATCH($B253,VN_국채일별!$A$4:$A$1436,1)))*($J253-2),IF($J253&lt;=5,INDEX(VN_국채일별!$D$4:$D$1436,MATCH($B253,VN_국채일별!$A$4:$A$1436,1))+(INDEX(VN_국채일별!$E$4:$E$1436,MATCH($B253,VN_국채일별!$A$4:$A$1436,1))-INDEX(VN_국채일별!$D$4:$D$1436,MATCH($B253,VN_국채일별!$A$4:$A$1436,1)))*($J253-3)/2,IF($J253&lt;=7,INDEX(VN_국채일별!$E$4:$E$1436,MATCH($B253,VN_국채일별!$A$4:$A$1436,1))+(INDEX(VN_국채일별!$F$4:$F$1436,MATCH($B253,VN_국채일별!$A$4:$A$1436,1))-INDEX(VN_국채일별!$E$4:$E$1436,MATCH($B253,VN_국채일별!$A$4:$A$1436,1)))*($J253-5)/2,IF($J253&lt;=10,INDEX(VN_국채일별!$F$4:$F$1436,MATCH($B253,VN_국채일별!$A$4:$A$1436,1))+(INDEX(VN_국채일별!$G$4:$G$1436,MATCH($B253,VN_국채일별!$A$4:$A$1436,1))-INDEX(VN_국채일별!$F$4:$F$1436,MATCH($B253,VN_국채일별!$A$4:$A$1436,1)))*($J253-7)/3,INDEX(VN_국채일별!$G$4:$G$1436,MATCH($B253,VN_국채일별!$A$4:$A$1436,1)))))))),""))</f>
        <v>0.01974</v>
      </c>
      <c r="R253" s="58" t="n">
        <f aca="false">IF(OR(L253="",Q253=""),"",(L253-Q253)*10000)</f>
        <v>312.6</v>
      </c>
      <c r="S253" s="30" t="n">
        <f aca="false">IF(AND(K253="고정",N253="N",J253&gt;=2,J253&lt;=4,I253&lt;&gt;""),1,0)</f>
        <v>1</v>
      </c>
      <c r="T253" s="59" t="n">
        <f aca="false">IF(S253=1,I253*L253,0)</f>
        <v>51</v>
      </c>
      <c r="U253" s="60" t="n">
        <f aca="false">IF(AND(S253=1,ISNUMBER(R253)),I253*R253,0)</f>
        <v>312600</v>
      </c>
      <c r="V253" s="30" t="n">
        <f aca="false">IF(AND(F253="Big4(국영)",K253="고정",N253="N",I253&lt;&gt;""),1,0)</f>
        <v>0</v>
      </c>
      <c r="W253" s="59" t="n">
        <f aca="false">IF(V253=1,I253*L253,0)</f>
        <v>0</v>
      </c>
      <c r="X253" s="60" t="n">
        <f aca="false">IF(AND(V253=1,ISNUMBER(R253)),I253*R253,0)</f>
        <v>0</v>
      </c>
      <c r="Y253" s="61" t="n">
        <f aca="false">IF(AND(S253=1,ISNUMBER(R253)),I253,0)</f>
        <v>1000</v>
      </c>
      <c r="Z253" s="61" t="n">
        <f aca="false">IF(AND(V253=1,ISNUMBER(R253)),I253,0)</f>
        <v>0</v>
      </c>
    </row>
    <row r="254" customFormat="false" ht="15" hidden="false" customHeight="false" outlineLevel="0" collapsed="false">
      <c r="A254" s="47" t="s">
        <v>577</v>
      </c>
      <c r="B254" s="52" t="n">
        <v>45460</v>
      </c>
      <c r="C254" s="53" t="n">
        <f aca="false">DATE(YEAR(B254),MONTH(B254),1)</f>
        <v>45444</v>
      </c>
      <c r="D254" s="5" t="str">
        <f aca="false">YEAR(B254)&amp;"Q"&amp;ROUNDUP(MONTH(B254)/3,0)</f>
        <v>2024Q2</v>
      </c>
      <c r="E254" s="47" t="s">
        <v>323</v>
      </c>
      <c r="F254" s="54" t="s">
        <v>139</v>
      </c>
      <c r="G254" s="47" t="s">
        <v>324</v>
      </c>
      <c r="H254" s="47" t="s">
        <v>596</v>
      </c>
      <c r="I254" s="55" t="n">
        <v>500</v>
      </c>
      <c r="J254" s="56" t="n">
        <v>8</v>
      </c>
      <c r="K254" s="54" t="s">
        <v>153</v>
      </c>
      <c r="N254" s="47" t="s">
        <v>143</v>
      </c>
      <c r="O254" s="47" t="s">
        <v>597</v>
      </c>
      <c r="P254" s="47"/>
      <c r="Q254" s="48" t="n">
        <f aca="false">IF($J254="","",IFERROR(IF($J254&lt;=1,INDEX(VN_국채일별!$B$4:$B$1436,MATCH($B254,VN_국채일별!$A$4:$A$1436,1)),IF($J254&lt;=2,INDEX(VN_국채일별!$B$4:$B$1436,MATCH($B254,VN_국채일별!$A$4:$A$1436,1))+(INDEX(VN_국채일별!$C$4:$C$1436,MATCH($B254,VN_국채일별!$A$4:$A$1436,1))-INDEX(VN_국채일별!$B$4:$B$1436,MATCH($B254,VN_국채일별!$A$4:$A$1436,1)))*($J254-1),IF($J254&lt;=3,INDEX(VN_국채일별!$C$4:$C$1436,MATCH($B254,VN_국채일별!$A$4:$A$1436,1))+(INDEX(VN_국채일별!$D$4:$D$1436,MATCH($B254,VN_국채일별!$A$4:$A$1436,1))-INDEX(VN_국채일별!$C$4:$C$1436,MATCH($B254,VN_국채일별!$A$4:$A$1436,1)))*($J254-2),IF($J254&lt;=5,INDEX(VN_국채일별!$D$4:$D$1436,MATCH($B254,VN_국채일별!$A$4:$A$1436,1))+(INDEX(VN_국채일별!$E$4:$E$1436,MATCH($B254,VN_국채일별!$A$4:$A$1436,1))-INDEX(VN_국채일별!$D$4:$D$1436,MATCH($B254,VN_국채일별!$A$4:$A$1436,1)))*($J254-3)/2,IF($J254&lt;=7,INDEX(VN_국채일별!$E$4:$E$1436,MATCH($B254,VN_국채일별!$A$4:$A$1436,1))+(INDEX(VN_국채일별!$F$4:$F$1436,MATCH($B254,VN_국채일별!$A$4:$A$1436,1))-INDEX(VN_국채일별!$E$4:$E$1436,MATCH($B254,VN_국채일별!$A$4:$A$1436,1)))*($J254-5)/2,IF($J254&lt;=10,INDEX(VN_국채일별!$F$4:$F$1436,MATCH($B254,VN_국채일별!$A$4:$A$1436,1))+(INDEX(VN_국채일별!$G$4:$G$1436,MATCH($B254,VN_국채일별!$A$4:$A$1436,1))-INDEX(VN_국채일별!$F$4:$F$1436,MATCH($B254,VN_국채일별!$A$4:$A$1436,1)))*($J254-7)/3,INDEX(VN_국채일별!$G$4:$G$1436,MATCH($B254,VN_국채일별!$A$4:$A$1436,1)))))))),""))</f>
        <v>0.025</v>
      </c>
      <c r="R254" s="58" t="str">
        <f aca="false">IF(OR(L254="",Q254=""),"",(L254-Q254)*10000)</f>
        <v/>
      </c>
      <c r="S254" s="30" t="n">
        <f aca="false">IF(AND(K254="고정",N254="N",J254&gt;=2,J254&lt;=4,I254&lt;&gt;""),1,0)</f>
        <v>0</v>
      </c>
      <c r="T254" s="59" t="n">
        <f aca="false">IF(S254=1,I254*L254,0)</f>
        <v>0</v>
      </c>
      <c r="U254" s="60" t="n">
        <f aca="false">IF(AND(S254=1,ISNUMBER(R254)),I254*R254,0)</f>
        <v>0</v>
      </c>
      <c r="V254" s="30" t="n">
        <f aca="false">IF(AND(F254="Big4(국영)",K254="고정",N254="N",I254&lt;&gt;""),1,0)</f>
        <v>0</v>
      </c>
      <c r="W254" s="59" t="n">
        <f aca="false">IF(V254=1,I254*L254,0)</f>
        <v>0</v>
      </c>
      <c r="X254" s="60" t="n">
        <f aca="false">IF(AND(V254=1,ISNUMBER(R254)),I254*R254,0)</f>
        <v>0</v>
      </c>
      <c r="Y254" s="61" t="n">
        <f aca="false">IF(AND(S254=1,ISNUMBER(R254)),I254,0)</f>
        <v>0</v>
      </c>
      <c r="Z254" s="61" t="n">
        <f aca="false">IF(AND(V254=1,ISNUMBER(R254)),I254,0)</f>
        <v>0</v>
      </c>
    </row>
    <row r="255" customFormat="false" ht="15" hidden="false" customHeight="false" outlineLevel="0" collapsed="false">
      <c r="A255" s="47" t="s">
        <v>577</v>
      </c>
      <c r="B255" s="52" t="n">
        <v>45460</v>
      </c>
      <c r="C255" s="53" t="n">
        <f aca="false">DATE(YEAR(B255),MONTH(B255),1)</f>
        <v>45444</v>
      </c>
      <c r="D255" s="5" t="str">
        <f aca="false">YEAR(B255)&amp;"Q"&amp;ROUNDUP(MONTH(B255)/3,0)</f>
        <v>2024Q2</v>
      </c>
      <c r="E255" s="47" t="s">
        <v>323</v>
      </c>
      <c r="F255" s="54" t="s">
        <v>139</v>
      </c>
      <c r="G255" s="47" t="s">
        <v>324</v>
      </c>
      <c r="H255" s="47" t="s">
        <v>598</v>
      </c>
      <c r="I255" s="55" t="n">
        <v>600</v>
      </c>
      <c r="J255" s="56" t="n">
        <v>7</v>
      </c>
      <c r="K255" s="54" t="s">
        <v>153</v>
      </c>
      <c r="N255" s="47" t="s">
        <v>143</v>
      </c>
      <c r="O255" s="47" t="s">
        <v>599</v>
      </c>
      <c r="P255" s="47"/>
      <c r="Q255" s="48" t="n">
        <f aca="false">IF($J255="","",IFERROR(IF($J255&lt;=1,INDEX(VN_국채일별!$B$4:$B$1436,MATCH($B255,VN_국채일별!$A$4:$A$1436,1)),IF($J255&lt;=2,INDEX(VN_국채일별!$B$4:$B$1436,MATCH($B255,VN_국채일별!$A$4:$A$1436,1))+(INDEX(VN_국채일별!$C$4:$C$1436,MATCH($B255,VN_국채일별!$A$4:$A$1436,1))-INDEX(VN_국채일별!$B$4:$B$1436,MATCH($B255,VN_국채일별!$A$4:$A$1436,1)))*($J255-1),IF($J255&lt;=3,INDEX(VN_국채일별!$C$4:$C$1436,MATCH($B255,VN_국채일별!$A$4:$A$1436,1))+(INDEX(VN_국채일별!$D$4:$D$1436,MATCH($B255,VN_국채일별!$A$4:$A$1436,1))-INDEX(VN_국채일별!$C$4:$C$1436,MATCH($B255,VN_국채일별!$A$4:$A$1436,1)))*($J255-2),IF($J255&lt;=5,INDEX(VN_국채일별!$D$4:$D$1436,MATCH($B255,VN_국채일별!$A$4:$A$1436,1))+(INDEX(VN_국채일별!$E$4:$E$1436,MATCH($B255,VN_국채일별!$A$4:$A$1436,1))-INDEX(VN_국채일별!$D$4:$D$1436,MATCH($B255,VN_국채일별!$A$4:$A$1436,1)))*($J255-3)/2,IF($J255&lt;=7,INDEX(VN_국채일별!$E$4:$E$1436,MATCH($B255,VN_국채일별!$A$4:$A$1436,1))+(INDEX(VN_국채일별!$F$4:$F$1436,MATCH($B255,VN_국채일별!$A$4:$A$1436,1))-INDEX(VN_국채일별!$E$4:$E$1436,MATCH($B255,VN_국채일별!$A$4:$A$1436,1)))*($J255-5)/2,IF($J255&lt;=10,INDEX(VN_국채일별!$F$4:$F$1436,MATCH($B255,VN_국채일별!$A$4:$A$1436,1))+(INDEX(VN_국채일별!$G$4:$G$1436,MATCH($B255,VN_국채일별!$A$4:$A$1436,1))-INDEX(VN_국채일별!$F$4:$F$1436,MATCH($B255,VN_국채일별!$A$4:$A$1436,1)))*($J255-7)/3,INDEX(VN_국채일별!$G$4:$G$1436,MATCH($B255,VN_국채일별!$A$4:$A$1436,1)))))))),""))</f>
        <v>0.02336</v>
      </c>
      <c r="R255" s="58" t="str">
        <f aca="false">IF(OR(L255="",Q255=""),"",(L255-Q255)*10000)</f>
        <v/>
      </c>
      <c r="S255" s="30" t="n">
        <f aca="false">IF(AND(K255="고정",N255="N",J255&gt;=2,J255&lt;=4,I255&lt;&gt;""),1,0)</f>
        <v>0</v>
      </c>
      <c r="T255" s="59" t="n">
        <f aca="false">IF(S255=1,I255*L255,0)</f>
        <v>0</v>
      </c>
      <c r="U255" s="60" t="n">
        <f aca="false">IF(AND(S255=1,ISNUMBER(R255)),I255*R255,0)</f>
        <v>0</v>
      </c>
      <c r="V255" s="30" t="n">
        <f aca="false">IF(AND(F255="Big4(국영)",K255="고정",N255="N",I255&lt;&gt;""),1,0)</f>
        <v>0</v>
      </c>
      <c r="W255" s="59" t="n">
        <f aca="false">IF(V255=1,I255*L255,0)</f>
        <v>0</v>
      </c>
      <c r="X255" s="60" t="n">
        <f aca="false">IF(AND(V255=1,ISNUMBER(R255)),I255*R255,0)</f>
        <v>0</v>
      </c>
      <c r="Y255" s="61" t="n">
        <f aca="false">IF(AND(S255=1,ISNUMBER(R255)),I255,0)</f>
        <v>0</v>
      </c>
      <c r="Z255" s="61" t="n">
        <f aca="false">IF(AND(V255=1,ISNUMBER(R255)),I255,0)</f>
        <v>0</v>
      </c>
    </row>
    <row r="256" customFormat="false" ht="15" hidden="false" customHeight="false" outlineLevel="0" collapsed="false">
      <c r="A256" s="47" t="s">
        <v>577</v>
      </c>
      <c r="B256" s="52" t="n">
        <v>45460</v>
      </c>
      <c r="C256" s="53" t="n">
        <f aca="false">DATE(YEAR(B256),MONTH(B256),1)</f>
        <v>45444</v>
      </c>
      <c r="D256" s="5" t="str">
        <f aca="false">YEAR(B256)&amp;"Q"&amp;ROUNDUP(MONTH(B256)/3,0)</f>
        <v>2024Q2</v>
      </c>
      <c r="E256" s="62" t="s">
        <v>571</v>
      </c>
      <c r="F256" s="63" t="s">
        <v>572</v>
      </c>
      <c r="G256" s="47" t="s">
        <v>573</v>
      </c>
      <c r="H256" s="47" t="s">
        <v>600</v>
      </c>
      <c r="I256" s="55" t="n">
        <v>1000</v>
      </c>
      <c r="J256" s="56" t="n">
        <v>2</v>
      </c>
      <c r="K256" s="54" t="s">
        <v>142</v>
      </c>
      <c r="L256" s="57" t="n">
        <v>0.054</v>
      </c>
      <c r="N256" s="47" t="s">
        <v>148</v>
      </c>
      <c r="O256" s="47" t="s">
        <v>575</v>
      </c>
      <c r="P256" s="47"/>
      <c r="Q256" s="48" t="n">
        <f aca="false">IF($J256="","",IFERROR(IF($J256&lt;=1,INDEX(VN_국채일별!$B$4:$B$1436,MATCH($B256,VN_국채일별!$A$4:$A$1436,1)),IF($J256&lt;=2,INDEX(VN_국채일별!$B$4:$B$1436,MATCH($B256,VN_국채일별!$A$4:$A$1436,1))+(INDEX(VN_국채일별!$C$4:$C$1436,MATCH($B256,VN_국채일별!$A$4:$A$1436,1))-INDEX(VN_국채일별!$B$4:$B$1436,MATCH($B256,VN_국채일별!$A$4:$A$1436,1)))*($J256-1),IF($J256&lt;=3,INDEX(VN_국채일별!$C$4:$C$1436,MATCH($B256,VN_국채일별!$A$4:$A$1436,1))+(INDEX(VN_국채일별!$D$4:$D$1436,MATCH($B256,VN_국채일별!$A$4:$A$1436,1))-INDEX(VN_국채일별!$C$4:$C$1436,MATCH($B256,VN_국채일별!$A$4:$A$1436,1)))*($J256-2),IF($J256&lt;=5,INDEX(VN_국채일별!$D$4:$D$1436,MATCH($B256,VN_국채일별!$A$4:$A$1436,1))+(INDEX(VN_국채일별!$E$4:$E$1436,MATCH($B256,VN_국채일별!$A$4:$A$1436,1))-INDEX(VN_국채일별!$D$4:$D$1436,MATCH($B256,VN_국채일별!$A$4:$A$1436,1)))*($J256-3)/2,IF($J256&lt;=7,INDEX(VN_국채일별!$E$4:$E$1436,MATCH($B256,VN_국채일별!$A$4:$A$1436,1))+(INDEX(VN_국채일별!$F$4:$F$1436,MATCH($B256,VN_국채일별!$A$4:$A$1436,1))-INDEX(VN_국채일별!$E$4:$E$1436,MATCH($B256,VN_국채일별!$A$4:$A$1436,1)))*($J256-5)/2,IF($J256&lt;=10,INDEX(VN_국채일별!$F$4:$F$1436,MATCH($B256,VN_국채일별!$A$4:$A$1436,1))+(INDEX(VN_국채일별!$G$4:$G$1436,MATCH($B256,VN_국채일별!$A$4:$A$1436,1))-INDEX(VN_국채일별!$F$4:$F$1436,MATCH($B256,VN_국채일별!$A$4:$A$1436,1)))*($J256-7)/3,INDEX(VN_국채일별!$G$4:$G$1436,MATCH($B256,VN_국채일별!$A$4:$A$1436,1)))))))),""))</f>
        <v>0.01969</v>
      </c>
      <c r="R256" s="58" t="n">
        <f aca="false">IF(OR(L256="",Q256=""),"",(L256-Q256)*10000)</f>
        <v>343.1</v>
      </c>
      <c r="S256" s="30" t="n">
        <f aca="false">IF(AND(K256="고정",N256="N",J256&gt;=2,J256&lt;=4,I256&lt;&gt;""),1,0)</f>
        <v>1</v>
      </c>
      <c r="T256" s="59" t="n">
        <f aca="false">IF(S256=1,I256*L256,0)</f>
        <v>54</v>
      </c>
      <c r="U256" s="60" t="n">
        <f aca="false">IF(AND(S256=1,ISNUMBER(R256)),I256*R256,0)</f>
        <v>343100</v>
      </c>
      <c r="V256" s="30" t="n">
        <f aca="false">IF(AND(F256="Big4(국영)",K256="고정",N256="N",I256&lt;&gt;""),1,0)</f>
        <v>0</v>
      </c>
      <c r="W256" s="59" t="n">
        <f aca="false">IF(V256=1,I256*L256,0)</f>
        <v>0</v>
      </c>
      <c r="X256" s="60" t="n">
        <f aca="false">IF(AND(V256=1,ISNUMBER(R256)),I256*R256,0)</f>
        <v>0</v>
      </c>
      <c r="Y256" s="61" t="n">
        <f aca="false">IF(AND(S256=1,ISNUMBER(R256)),I256,0)</f>
        <v>1000</v>
      </c>
      <c r="Z256" s="61" t="n">
        <f aca="false">IF(AND(V256=1,ISNUMBER(R256)),I256,0)</f>
        <v>0</v>
      </c>
    </row>
    <row r="257" customFormat="false" ht="15" hidden="false" customHeight="false" outlineLevel="0" collapsed="false">
      <c r="A257" s="47" t="s">
        <v>577</v>
      </c>
      <c r="B257" s="52" t="n">
        <v>45460</v>
      </c>
      <c r="C257" s="53" t="n">
        <f aca="false">DATE(YEAR(B257),MONTH(B257),1)</f>
        <v>45444</v>
      </c>
      <c r="D257" s="5" t="str">
        <f aca="false">YEAR(B257)&amp;"Q"&amp;ROUNDUP(MONTH(B257)/3,0)</f>
        <v>2024Q2</v>
      </c>
      <c r="E257" s="62" t="s">
        <v>155</v>
      </c>
      <c r="F257" s="62" t="s">
        <v>156</v>
      </c>
      <c r="G257" s="47" t="s">
        <v>157</v>
      </c>
      <c r="H257" s="47" t="s">
        <v>601</v>
      </c>
      <c r="I257" s="55" t="n">
        <v>720</v>
      </c>
      <c r="J257" s="56" t="n">
        <v>7</v>
      </c>
      <c r="K257" s="54" t="s">
        <v>153</v>
      </c>
      <c r="N257" s="47" t="s">
        <v>143</v>
      </c>
      <c r="O257" s="47" t="s">
        <v>602</v>
      </c>
      <c r="P257" s="47"/>
      <c r="Q257" s="48" t="n">
        <f aca="false">IF($J257="","",IFERROR(IF($J257&lt;=1,INDEX(VN_국채일별!$B$4:$B$1436,MATCH($B257,VN_국채일별!$A$4:$A$1436,1)),IF($J257&lt;=2,INDEX(VN_국채일별!$B$4:$B$1436,MATCH($B257,VN_국채일별!$A$4:$A$1436,1))+(INDEX(VN_국채일별!$C$4:$C$1436,MATCH($B257,VN_국채일별!$A$4:$A$1436,1))-INDEX(VN_국채일별!$B$4:$B$1436,MATCH($B257,VN_국채일별!$A$4:$A$1436,1)))*($J257-1),IF($J257&lt;=3,INDEX(VN_국채일별!$C$4:$C$1436,MATCH($B257,VN_국채일별!$A$4:$A$1436,1))+(INDEX(VN_국채일별!$D$4:$D$1436,MATCH($B257,VN_국채일별!$A$4:$A$1436,1))-INDEX(VN_국채일별!$C$4:$C$1436,MATCH($B257,VN_국채일별!$A$4:$A$1436,1)))*($J257-2),IF($J257&lt;=5,INDEX(VN_국채일별!$D$4:$D$1436,MATCH($B257,VN_국채일별!$A$4:$A$1436,1))+(INDEX(VN_국채일별!$E$4:$E$1436,MATCH($B257,VN_국채일별!$A$4:$A$1436,1))-INDEX(VN_국채일별!$D$4:$D$1436,MATCH($B257,VN_국채일별!$A$4:$A$1436,1)))*($J257-3)/2,IF($J257&lt;=7,INDEX(VN_국채일별!$E$4:$E$1436,MATCH($B257,VN_국채일별!$A$4:$A$1436,1))+(INDEX(VN_국채일별!$F$4:$F$1436,MATCH($B257,VN_국채일별!$A$4:$A$1436,1))-INDEX(VN_국채일별!$E$4:$E$1436,MATCH($B257,VN_국채일별!$A$4:$A$1436,1)))*($J257-5)/2,IF($J257&lt;=10,INDEX(VN_국채일별!$F$4:$F$1436,MATCH($B257,VN_국채일별!$A$4:$A$1436,1))+(INDEX(VN_국채일별!$G$4:$G$1436,MATCH($B257,VN_국채일별!$A$4:$A$1436,1))-INDEX(VN_국채일별!$F$4:$F$1436,MATCH($B257,VN_국채일별!$A$4:$A$1436,1)))*($J257-7)/3,INDEX(VN_국채일별!$G$4:$G$1436,MATCH($B257,VN_국채일별!$A$4:$A$1436,1)))))))),""))</f>
        <v>0.02336</v>
      </c>
      <c r="R257" s="58" t="str">
        <f aca="false">IF(OR(L257="",Q257=""),"",(L257-Q257)*10000)</f>
        <v/>
      </c>
      <c r="S257" s="30" t="n">
        <f aca="false">IF(AND(K257="고정",N257="N",J257&gt;=2,J257&lt;=4,I257&lt;&gt;""),1,0)</f>
        <v>0</v>
      </c>
      <c r="T257" s="59" t="n">
        <f aca="false">IF(S257=1,I257*L257,0)</f>
        <v>0</v>
      </c>
      <c r="U257" s="60" t="n">
        <f aca="false">IF(AND(S257=1,ISNUMBER(R257)),I257*R257,0)</f>
        <v>0</v>
      </c>
      <c r="V257" s="30" t="n">
        <f aca="false">IF(AND(F257="Big4(국영)",K257="고정",N257="N",I257&lt;&gt;""),1,0)</f>
        <v>0</v>
      </c>
      <c r="W257" s="59" t="n">
        <f aca="false">IF(V257=1,I257*L257,0)</f>
        <v>0</v>
      </c>
      <c r="X257" s="60" t="n">
        <f aca="false">IF(AND(V257=1,ISNUMBER(R257)),I257*R257,0)</f>
        <v>0</v>
      </c>
      <c r="Y257" s="61" t="n">
        <f aca="false">IF(AND(S257=1,ISNUMBER(R257)),I257,0)</f>
        <v>0</v>
      </c>
      <c r="Z257" s="61" t="n">
        <f aca="false">IF(AND(V257=1,ISNUMBER(R257)),I257,0)</f>
        <v>0</v>
      </c>
    </row>
    <row r="258" customFormat="false" ht="15" hidden="false" customHeight="false" outlineLevel="0" collapsed="false">
      <c r="A258" s="47" t="s">
        <v>577</v>
      </c>
      <c r="B258" s="52" t="n">
        <v>45460</v>
      </c>
      <c r="C258" s="53" t="n">
        <f aca="false">DATE(YEAR(B258),MONTH(B258),1)</f>
        <v>45444</v>
      </c>
      <c r="D258" s="5" t="str">
        <f aca="false">YEAR(B258)&amp;"Q"&amp;ROUNDUP(MONTH(B258)/3,0)</f>
        <v>2024Q2</v>
      </c>
      <c r="E258" s="62" t="s">
        <v>155</v>
      </c>
      <c r="F258" s="62" t="s">
        <v>156</v>
      </c>
      <c r="G258" s="47" t="s">
        <v>157</v>
      </c>
      <c r="H258" s="47" t="s">
        <v>603</v>
      </c>
      <c r="I258" s="55" t="n">
        <v>150</v>
      </c>
      <c r="J258" s="56" t="n">
        <v>8</v>
      </c>
      <c r="K258" s="54" t="s">
        <v>153</v>
      </c>
      <c r="N258" s="47" t="s">
        <v>143</v>
      </c>
      <c r="O258" s="47" t="s">
        <v>604</v>
      </c>
      <c r="P258" s="47"/>
      <c r="Q258" s="48" t="n">
        <f aca="false">IF($J258="","",IFERROR(IF($J258&lt;=1,INDEX(VN_국채일별!$B$4:$B$1436,MATCH($B258,VN_국채일별!$A$4:$A$1436,1)),IF($J258&lt;=2,INDEX(VN_국채일별!$B$4:$B$1436,MATCH($B258,VN_국채일별!$A$4:$A$1436,1))+(INDEX(VN_국채일별!$C$4:$C$1436,MATCH($B258,VN_국채일별!$A$4:$A$1436,1))-INDEX(VN_국채일별!$B$4:$B$1436,MATCH($B258,VN_국채일별!$A$4:$A$1436,1)))*($J258-1),IF($J258&lt;=3,INDEX(VN_국채일별!$C$4:$C$1436,MATCH($B258,VN_국채일별!$A$4:$A$1436,1))+(INDEX(VN_국채일별!$D$4:$D$1436,MATCH($B258,VN_국채일별!$A$4:$A$1436,1))-INDEX(VN_국채일별!$C$4:$C$1436,MATCH($B258,VN_국채일별!$A$4:$A$1436,1)))*($J258-2),IF($J258&lt;=5,INDEX(VN_국채일별!$D$4:$D$1436,MATCH($B258,VN_국채일별!$A$4:$A$1436,1))+(INDEX(VN_국채일별!$E$4:$E$1436,MATCH($B258,VN_국채일별!$A$4:$A$1436,1))-INDEX(VN_국채일별!$D$4:$D$1436,MATCH($B258,VN_국채일별!$A$4:$A$1436,1)))*($J258-3)/2,IF($J258&lt;=7,INDEX(VN_국채일별!$E$4:$E$1436,MATCH($B258,VN_국채일별!$A$4:$A$1436,1))+(INDEX(VN_국채일별!$F$4:$F$1436,MATCH($B258,VN_국채일별!$A$4:$A$1436,1))-INDEX(VN_국채일별!$E$4:$E$1436,MATCH($B258,VN_국채일별!$A$4:$A$1436,1)))*($J258-5)/2,IF($J258&lt;=10,INDEX(VN_국채일별!$F$4:$F$1436,MATCH($B258,VN_국채일별!$A$4:$A$1436,1))+(INDEX(VN_국채일별!$G$4:$G$1436,MATCH($B258,VN_국채일별!$A$4:$A$1436,1))-INDEX(VN_국채일별!$F$4:$F$1436,MATCH($B258,VN_국채일별!$A$4:$A$1436,1)))*($J258-7)/3,INDEX(VN_국채일별!$G$4:$G$1436,MATCH($B258,VN_국채일별!$A$4:$A$1436,1)))))))),""))</f>
        <v>0.025</v>
      </c>
      <c r="R258" s="58" t="str">
        <f aca="false">IF(OR(L258="",Q258=""),"",(L258-Q258)*10000)</f>
        <v/>
      </c>
      <c r="S258" s="30" t="n">
        <f aca="false">IF(AND(K258="고정",N258="N",J258&gt;=2,J258&lt;=4,I258&lt;&gt;""),1,0)</f>
        <v>0</v>
      </c>
      <c r="T258" s="59" t="n">
        <f aca="false">IF(S258=1,I258*L258,0)</f>
        <v>0</v>
      </c>
      <c r="U258" s="60" t="n">
        <f aca="false">IF(AND(S258=1,ISNUMBER(R258)),I258*R258,0)</f>
        <v>0</v>
      </c>
      <c r="V258" s="30" t="n">
        <f aca="false">IF(AND(F258="Big4(국영)",K258="고정",N258="N",I258&lt;&gt;""),1,0)</f>
        <v>0</v>
      </c>
      <c r="W258" s="59" t="n">
        <f aca="false">IF(V258=1,I258*L258,0)</f>
        <v>0</v>
      </c>
      <c r="X258" s="60" t="n">
        <f aca="false">IF(AND(V258=1,ISNUMBER(R258)),I258*R258,0)</f>
        <v>0</v>
      </c>
      <c r="Y258" s="61" t="n">
        <f aca="false">IF(AND(S258=1,ISNUMBER(R258)),I258,0)</f>
        <v>0</v>
      </c>
      <c r="Z258" s="61" t="n">
        <f aca="false">IF(AND(V258=1,ISNUMBER(R258)),I258,0)</f>
        <v>0</v>
      </c>
    </row>
    <row r="259" customFormat="false" ht="15" hidden="false" customHeight="false" outlineLevel="0" collapsed="false">
      <c r="A259" s="47" t="s">
        <v>577</v>
      </c>
      <c r="B259" s="52" t="n">
        <v>45460</v>
      </c>
      <c r="C259" s="53" t="n">
        <f aca="false">DATE(YEAR(B259),MONTH(B259),1)</f>
        <v>45444</v>
      </c>
      <c r="D259" s="5" t="str">
        <f aca="false">YEAR(B259)&amp;"Q"&amp;ROUNDUP(MONTH(B259)/3,0)</f>
        <v>2024Q2</v>
      </c>
      <c r="E259" s="47" t="s">
        <v>323</v>
      </c>
      <c r="F259" s="54" t="s">
        <v>139</v>
      </c>
      <c r="G259" s="47" t="s">
        <v>324</v>
      </c>
      <c r="H259" s="47" t="s">
        <v>605</v>
      </c>
      <c r="I259" s="55" t="n">
        <v>900</v>
      </c>
      <c r="J259" s="56" t="n">
        <v>7</v>
      </c>
      <c r="K259" s="54" t="s">
        <v>153</v>
      </c>
      <c r="N259" s="47" t="s">
        <v>143</v>
      </c>
      <c r="O259" s="47" t="s">
        <v>606</v>
      </c>
      <c r="P259" s="47"/>
      <c r="Q259" s="48" t="n">
        <f aca="false">IF($J259="","",IFERROR(IF($J259&lt;=1,INDEX(VN_국채일별!$B$4:$B$1436,MATCH($B259,VN_국채일별!$A$4:$A$1436,1)),IF($J259&lt;=2,INDEX(VN_국채일별!$B$4:$B$1436,MATCH($B259,VN_국채일별!$A$4:$A$1436,1))+(INDEX(VN_국채일별!$C$4:$C$1436,MATCH($B259,VN_국채일별!$A$4:$A$1436,1))-INDEX(VN_국채일별!$B$4:$B$1436,MATCH($B259,VN_국채일별!$A$4:$A$1436,1)))*($J259-1),IF($J259&lt;=3,INDEX(VN_국채일별!$C$4:$C$1436,MATCH($B259,VN_국채일별!$A$4:$A$1436,1))+(INDEX(VN_국채일별!$D$4:$D$1436,MATCH($B259,VN_국채일별!$A$4:$A$1436,1))-INDEX(VN_국채일별!$C$4:$C$1436,MATCH($B259,VN_국채일별!$A$4:$A$1436,1)))*($J259-2),IF($J259&lt;=5,INDEX(VN_국채일별!$D$4:$D$1436,MATCH($B259,VN_국채일별!$A$4:$A$1436,1))+(INDEX(VN_국채일별!$E$4:$E$1436,MATCH($B259,VN_국채일별!$A$4:$A$1436,1))-INDEX(VN_국채일별!$D$4:$D$1436,MATCH($B259,VN_국채일별!$A$4:$A$1436,1)))*($J259-3)/2,IF($J259&lt;=7,INDEX(VN_국채일별!$E$4:$E$1436,MATCH($B259,VN_국채일별!$A$4:$A$1436,1))+(INDEX(VN_국채일별!$F$4:$F$1436,MATCH($B259,VN_국채일별!$A$4:$A$1436,1))-INDEX(VN_국채일별!$E$4:$E$1436,MATCH($B259,VN_국채일별!$A$4:$A$1436,1)))*($J259-5)/2,IF($J259&lt;=10,INDEX(VN_국채일별!$F$4:$F$1436,MATCH($B259,VN_국채일별!$A$4:$A$1436,1))+(INDEX(VN_국채일별!$G$4:$G$1436,MATCH($B259,VN_국채일별!$A$4:$A$1436,1))-INDEX(VN_국채일별!$F$4:$F$1436,MATCH($B259,VN_국채일별!$A$4:$A$1436,1)))*($J259-7)/3,INDEX(VN_국채일별!$G$4:$G$1436,MATCH($B259,VN_국채일별!$A$4:$A$1436,1)))))))),""))</f>
        <v>0.02336</v>
      </c>
      <c r="R259" s="58" t="str">
        <f aca="false">IF(OR(L259="",Q259=""),"",(L259-Q259)*10000)</f>
        <v/>
      </c>
      <c r="S259" s="30" t="n">
        <f aca="false">IF(AND(K259="고정",N259="N",J259&gt;=2,J259&lt;=4,I259&lt;&gt;""),1,0)</f>
        <v>0</v>
      </c>
      <c r="T259" s="59" t="n">
        <f aca="false">IF(S259=1,I259*L259,0)</f>
        <v>0</v>
      </c>
      <c r="U259" s="60" t="n">
        <f aca="false">IF(AND(S259=1,ISNUMBER(R259)),I259*R259,0)</f>
        <v>0</v>
      </c>
      <c r="V259" s="30" t="n">
        <f aca="false">IF(AND(F259="Big4(국영)",K259="고정",N259="N",I259&lt;&gt;""),1,0)</f>
        <v>0</v>
      </c>
      <c r="W259" s="59" t="n">
        <f aca="false">IF(V259=1,I259*L259,0)</f>
        <v>0</v>
      </c>
      <c r="X259" s="60" t="n">
        <f aca="false">IF(AND(V259=1,ISNUMBER(R259)),I259*R259,0)</f>
        <v>0</v>
      </c>
      <c r="Y259" s="61" t="n">
        <f aca="false">IF(AND(S259=1,ISNUMBER(R259)),I259,0)</f>
        <v>0</v>
      </c>
      <c r="Z259" s="61" t="n">
        <f aca="false">IF(AND(V259=1,ISNUMBER(R259)),I259,0)</f>
        <v>0</v>
      </c>
    </row>
    <row r="260" customFormat="false" ht="15" hidden="false" customHeight="false" outlineLevel="0" collapsed="false">
      <c r="A260" s="47" t="s">
        <v>577</v>
      </c>
      <c r="B260" s="52" t="n">
        <v>45462</v>
      </c>
      <c r="C260" s="53" t="n">
        <f aca="false">DATE(YEAR(B260),MONTH(B260),1)</f>
        <v>45444</v>
      </c>
      <c r="D260" s="5" t="str">
        <f aca="false">YEAR(B260)&amp;"Q"&amp;ROUNDUP(MONTH(B260)/3,0)</f>
        <v>2024Q2</v>
      </c>
      <c r="E260" s="47" t="s">
        <v>160</v>
      </c>
      <c r="F260" s="54" t="s">
        <v>139</v>
      </c>
      <c r="G260" s="47" t="s">
        <v>161</v>
      </c>
      <c r="H260" s="47" t="s">
        <v>607</v>
      </c>
      <c r="I260" s="55" t="n">
        <v>2000</v>
      </c>
      <c r="J260" s="56" t="n">
        <v>2</v>
      </c>
      <c r="K260" s="54" t="s">
        <v>142</v>
      </c>
      <c r="L260" s="57" t="n">
        <v>0.0528</v>
      </c>
      <c r="N260" s="47" t="s">
        <v>148</v>
      </c>
      <c r="O260" s="47" t="s">
        <v>608</v>
      </c>
      <c r="P260" s="47"/>
      <c r="Q260" s="48" t="n">
        <f aca="false">IF($J260="","",IFERROR(IF($J260&lt;=1,INDEX(VN_국채일별!$B$4:$B$1436,MATCH($B260,VN_국채일별!$A$4:$A$1436,1)),IF($J260&lt;=2,INDEX(VN_국채일별!$B$4:$B$1436,MATCH($B260,VN_국채일별!$A$4:$A$1436,1))+(INDEX(VN_국채일별!$C$4:$C$1436,MATCH($B260,VN_국채일별!$A$4:$A$1436,1))-INDEX(VN_국채일별!$B$4:$B$1436,MATCH($B260,VN_국채일별!$A$4:$A$1436,1)))*($J260-1),IF($J260&lt;=3,INDEX(VN_국채일별!$C$4:$C$1436,MATCH($B260,VN_국채일별!$A$4:$A$1436,1))+(INDEX(VN_국채일별!$D$4:$D$1436,MATCH($B260,VN_국채일별!$A$4:$A$1436,1))-INDEX(VN_국채일별!$C$4:$C$1436,MATCH($B260,VN_국채일별!$A$4:$A$1436,1)))*($J260-2),IF($J260&lt;=5,INDEX(VN_국채일별!$D$4:$D$1436,MATCH($B260,VN_국채일별!$A$4:$A$1436,1))+(INDEX(VN_국채일별!$E$4:$E$1436,MATCH($B260,VN_국채일별!$A$4:$A$1436,1))-INDEX(VN_국채일별!$D$4:$D$1436,MATCH($B260,VN_국채일별!$A$4:$A$1436,1)))*($J260-3)/2,IF($J260&lt;=7,INDEX(VN_국채일별!$E$4:$E$1436,MATCH($B260,VN_국채일별!$A$4:$A$1436,1))+(INDEX(VN_국채일별!$F$4:$F$1436,MATCH($B260,VN_국채일별!$A$4:$A$1436,1))-INDEX(VN_국채일별!$E$4:$E$1436,MATCH($B260,VN_국채일별!$A$4:$A$1436,1)))*($J260-5)/2,IF($J260&lt;=10,INDEX(VN_국채일별!$F$4:$F$1436,MATCH($B260,VN_국채일별!$A$4:$A$1436,1))+(INDEX(VN_국채일별!$G$4:$G$1436,MATCH($B260,VN_국채일별!$A$4:$A$1436,1))-INDEX(VN_국채일별!$F$4:$F$1436,MATCH($B260,VN_국채일별!$A$4:$A$1436,1)))*($J260-7)/3,INDEX(VN_국채일별!$G$4:$G$1436,MATCH($B260,VN_국채일별!$A$4:$A$1436,1)))))))),""))</f>
        <v>0.01969</v>
      </c>
      <c r="R260" s="58" t="n">
        <f aca="false">IF(OR(L260="",Q260=""),"",(L260-Q260)*10000)</f>
        <v>331.1</v>
      </c>
      <c r="S260" s="30" t="n">
        <f aca="false">IF(AND(K260="고정",N260="N",J260&gt;=2,J260&lt;=4,I260&lt;&gt;""),1,0)</f>
        <v>1</v>
      </c>
      <c r="T260" s="59" t="n">
        <f aca="false">IF(S260=1,I260*L260,0)</f>
        <v>105.6</v>
      </c>
      <c r="U260" s="60" t="n">
        <f aca="false">IF(AND(S260=1,ISNUMBER(R260)),I260*R260,0)</f>
        <v>662200</v>
      </c>
      <c r="V260" s="30" t="n">
        <f aca="false">IF(AND(F260="Big4(국영)",K260="고정",N260="N",I260&lt;&gt;""),1,0)</f>
        <v>0</v>
      </c>
      <c r="W260" s="59" t="n">
        <f aca="false">IF(V260=1,I260*L260,0)</f>
        <v>0</v>
      </c>
      <c r="X260" s="60" t="n">
        <f aca="false">IF(AND(V260=1,ISNUMBER(R260)),I260*R260,0)</f>
        <v>0</v>
      </c>
      <c r="Y260" s="61" t="n">
        <f aca="false">IF(AND(S260=1,ISNUMBER(R260)),I260,0)</f>
        <v>2000</v>
      </c>
      <c r="Z260" s="61" t="n">
        <f aca="false">IF(AND(V260=1,ISNUMBER(R260)),I260,0)</f>
        <v>0</v>
      </c>
    </row>
    <row r="261" customFormat="false" ht="15" hidden="false" customHeight="false" outlineLevel="0" collapsed="false">
      <c r="A261" s="47" t="s">
        <v>577</v>
      </c>
      <c r="B261" s="52" t="n">
        <v>45462</v>
      </c>
      <c r="C261" s="53" t="n">
        <f aca="false">DATE(YEAR(B261),MONTH(B261),1)</f>
        <v>45444</v>
      </c>
      <c r="D261" s="5" t="str">
        <f aca="false">YEAR(B261)&amp;"Q"&amp;ROUNDUP(MONTH(B261)/3,0)</f>
        <v>2024Q2</v>
      </c>
      <c r="E261" s="47" t="s">
        <v>323</v>
      </c>
      <c r="F261" s="54" t="s">
        <v>139</v>
      </c>
      <c r="G261" s="47" t="s">
        <v>324</v>
      </c>
      <c r="H261" s="47" t="s">
        <v>609</v>
      </c>
      <c r="I261" s="55" t="n">
        <v>1000</v>
      </c>
      <c r="J261" s="56" t="n">
        <v>3</v>
      </c>
      <c r="K261" s="54" t="s">
        <v>142</v>
      </c>
      <c r="L261" s="57" t="n">
        <v>0.055</v>
      </c>
      <c r="N261" s="47" t="s">
        <v>148</v>
      </c>
      <c r="O261" s="47" t="s">
        <v>591</v>
      </c>
      <c r="P261" s="47"/>
      <c r="Q261" s="48" t="n">
        <f aca="false">IF($J261="","",IFERROR(IF($J261&lt;=1,INDEX(VN_국채일별!$B$4:$B$1436,MATCH($B261,VN_국채일별!$A$4:$A$1436,1)),IF($J261&lt;=2,INDEX(VN_국채일별!$B$4:$B$1436,MATCH($B261,VN_국채일별!$A$4:$A$1436,1))+(INDEX(VN_국채일별!$C$4:$C$1436,MATCH($B261,VN_국채일별!$A$4:$A$1436,1))-INDEX(VN_국채일별!$B$4:$B$1436,MATCH($B261,VN_국채일별!$A$4:$A$1436,1)))*($J261-1),IF($J261&lt;=3,INDEX(VN_국채일별!$C$4:$C$1436,MATCH($B261,VN_국채일별!$A$4:$A$1436,1))+(INDEX(VN_국채일별!$D$4:$D$1436,MATCH($B261,VN_국채일별!$A$4:$A$1436,1))-INDEX(VN_국채일별!$C$4:$C$1436,MATCH($B261,VN_국채일별!$A$4:$A$1436,1)))*($J261-2),IF($J261&lt;=5,INDEX(VN_국채일별!$D$4:$D$1436,MATCH($B261,VN_국채일별!$A$4:$A$1436,1))+(INDEX(VN_국채일별!$E$4:$E$1436,MATCH($B261,VN_국채일별!$A$4:$A$1436,1))-INDEX(VN_국채일별!$D$4:$D$1436,MATCH($B261,VN_국채일별!$A$4:$A$1436,1)))*($J261-3)/2,IF($J261&lt;=7,INDEX(VN_국채일별!$E$4:$E$1436,MATCH($B261,VN_국채일별!$A$4:$A$1436,1))+(INDEX(VN_국채일별!$F$4:$F$1436,MATCH($B261,VN_국채일별!$A$4:$A$1436,1))-INDEX(VN_국채일별!$E$4:$E$1436,MATCH($B261,VN_국채일별!$A$4:$A$1436,1)))*($J261-5)/2,IF($J261&lt;=10,INDEX(VN_국채일별!$F$4:$F$1436,MATCH($B261,VN_국채일별!$A$4:$A$1436,1))+(INDEX(VN_국채일별!$G$4:$G$1436,MATCH($B261,VN_국채일별!$A$4:$A$1436,1))-INDEX(VN_국채일별!$F$4:$F$1436,MATCH($B261,VN_국채일별!$A$4:$A$1436,1)))*($J261-7)/3,INDEX(VN_국채일별!$G$4:$G$1436,MATCH($B261,VN_국채일별!$A$4:$A$1436,1)))))))),""))</f>
        <v>0.01994</v>
      </c>
      <c r="R261" s="58" t="n">
        <f aca="false">IF(OR(L261="",Q261=""),"",(L261-Q261)*10000)</f>
        <v>350.6</v>
      </c>
      <c r="S261" s="30" t="n">
        <f aca="false">IF(AND(K261="고정",N261="N",J261&gt;=2,J261&lt;=4,I261&lt;&gt;""),1,0)</f>
        <v>1</v>
      </c>
      <c r="T261" s="59" t="n">
        <f aca="false">IF(S261=1,I261*L261,0)</f>
        <v>55</v>
      </c>
      <c r="U261" s="60" t="n">
        <f aca="false">IF(AND(S261=1,ISNUMBER(R261)),I261*R261,0)</f>
        <v>350600</v>
      </c>
      <c r="V261" s="30" t="n">
        <f aca="false">IF(AND(F261="Big4(국영)",K261="고정",N261="N",I261&lt;&gt;""),1,0)</f>
        <v>0</v>
      </c>
      <c r="W261" s="59" t="n">
        <f aca="false">IF(V261=1,I261*L261,0)</f>
        <v>0</v>
      </c>
      <c r="X261" s="60" t="n">
        <f aca="false">IF(AND(V261=1,ISNUMBER(R261)),I261*R261,0)</f>
        <v>0</v>
      </c>
      <c r="Y261" s="61" t="n">
        <f aca="false">IF(AND(S261=1,ISNUMBER(R261)),I261,0)</f>
        <v>1000</v>
      </c>
      <c r="Z261" s="61" t="n">
        <f aca="false">IF(AND(V261=1,ISNUMBER(R261)),I261,0)</f>
        <v>0</v>
      </c>
    </row>
    <row r="262" customFormat="false" ht="15" hidden="false" customHeight="false" outlineLevel="0" collapsed="false">
      <c r="A262" s="47" t="s">
        <v>577</v>
      </c>
      <c r="B262" s="52" t="n">
        <v>45463</v>
      </c>
      <c r="C262" s="53" t="n">
        <f aca="false">DATE(YEAR(B262),MONTH(B262),1)</f>
        <v>45444</v>
      </c>
      <c r="D262" s="5" t="str">
        <f aca="false">YEAR(B262)&amp;"Q"&amp;ROUNDUP(MONTH(B262)/3,0)</f>
        <v>2024Q2</v>
      </c>
      <c r="E262" s="47" t="s">
        <v>160</v>
      </c>
      <c r="F262" s="54" t="s">
        <v>139</v>
      </c>
      <c r="G262" s="47" t="s">
        <v>161</v>
      </c>
      <c r="H262" s="47" t="s">
        <v>610</v>
      </c>
      <c r="I262" s="55" t="n">
        <v>1000</v>
      </c>
      <c r="J262" s="56" t="n">
        <v>7</v>
      </c>
      <c r="K262" s="54" t="s">
        <v>153</v>
      </c>
      <c r="N262" s="47" t="s">
        <v>143</v>
      </c>
      <c r="O262" s="47" t="s">
        <v>611</v>
      </c>
      <c r="P262" s="47"/>
      <c r="Q262" s="48" t="n">
        <f aca="false">IF($J262="","",IFERROR(IF($J262&lt;=1,INDEX(VN_국채일별!$B$4:$B$1436,MATCH($B262,VN_국채일별!$A$4:$A$1436,1)),IF($J262&lt;=2,INDEX(VN_국채일별!$B$4:$B$1436,MATCH($B262,VN_국채일별!$A$4:$A$1436,1))+(INDEX(VN_국채일별!$C$4:$C$1436,MATCH($B262,VN_국채일별!$A$4:$A$1436,1))-INDEX(VN_국채일별!$B$4:$B$1436,MATCH($B262,VN_국채일별!$A$4:$A$1436,1)))*($J262-1),IF($J262&lt;=3,INDEX(VN_국채일별!$C$4:$C$1436,MATCH($B262,VN_국채일별!$A$4:$A$1436,1))+(INDEX(VN_국채일별!$D$4:$D$1436,MATCH($B262,VN_국채일별!$A$4:$A$1436,1))-INDEX(VN_국채일별!$C$4:$C$1436,MATCH($B262,VN_국채일별!$A$4:$A$1436,1)))*($J262-2),IF($J262&lt;=5,INDEX(VN_국채일별!$D$4:$D$1436,MATCH($B262,VN_국채일별!$A$4:$A$1436,1))+(INDEX(VN_국채일별!$E$4:$E$1436,MATCH($B262,VN_국채일별!$A$4:$A$1436,1))-INDEX(VN_국채일별!$D$4:$D$1436,MATCH($B262,VN_국채일별!$A$4:$A$1436,1)))*($J262-3)/2,IF($J262&lt;=7,INDEX(VN_국채일별!$E$4:$E$1436,MATCH($B262,VN_국채일별!$A$4:$A$1436,1))+(INDEX(VN_국채일별!$F$4:$F$1436,MATCH($B262,VN_국채일별!$A$4:$A$1436,1))-INDEX(VN_국채일별!$E$4:$E$1436,MATCH($B262,VN_국채일별!$A$4:$A$1436,1)))*($J262-5)/2,IF($J262&lt;=10,INDEX(VN_국채일별!$F$4:$F$1436,MATCH($B262,VN_국채일별!$A$4:$A$1436,1))+(INDEX(VN_국채일별!$G$4:$G$1436,MATCH($B262,VN_국채일별!$A$4:$A$1436,1))-INDEX(VN_국채일별!$F$4:$F$1436,MATCH($B262,VN_국채일별!$A$4:$A$1436,1)))*($J262-7)/3,INDEX(VN_국채일별!$G$4:$G$1436,MATCH($B262,VN_국채일별!$A$4:$A$1436,1)))))))),""))</f>
        <v>0.0227</v>
      </c>
      <c r="R262" s="58" t="str">
        <f aca="false">IF(OR(L262="",Q262=""),"",(L262-Q262)*10000)</f>
        <v/>
      </c>
      <c r="S262" s="30" t="n">
        <f aca="false">IF(AND(K262="고정",N262="N",J262&gt;=2,J262&lt;=4,I262&lt;&gt;""),1,0)</f>
        <v>0</v>
      </c>
      <c r="T262" s="59" t="n">
        <f aca="false">IF(S262=1,I262*L262,0)</f>
        <v>0</v>
      </c>
      <c r="U262" s="60" t="n">
        <f aca="false">IF(AND(S262=1,ISNUMBER(R262)),I262*R262,0)</f>
        <v>0</v>
      </c>
      <c r="V262" s="30" t="n">
        <f aca="false">IF(AND(F262="Big4(국영)",K262="고정",N262="N",I262&lt;&gt;""),1,0)</f>
        <v>0</v>
      </c>
      <c r="W262" s="59" t="n">
        <f aca="false">IF(V262=1,I262*L262,0)</f>
        <v>0</v>
      </c>
      <c r="X262" s="60" t="n">
        <f aca="false">IF(AND(V262=1,ISNUMBER(R262)),I262*R262,0)</f>
        <v>0</v>
      </c>
      <c r="Y262" s="61" t="n">
        <f aca="false">IF(AND(S262=1,ISNUMBER(R262)),I262,0)</f>
        <v>0</v>
      </c>
      <c r="Z262" s="61" t="n">
        <f aca="false">IF(AND(V262=1,ISNUMBER(R262)),I262,0)</f>
        <v>0</v>
      </c>
    </row>
    <row r="263" customFormat="false" ht="15" hidden="false" customHeight="false" outlineLevel="0" collapsed="false">
      <c r="A263" s="47" t="s">
        <v>577</v>
      </c>
      <c r="B263" s="52" t="n">
        <v>45463</v>
      </c>
      <c r="C263" s="53" t="n">
        <f aca="false">DATE(YEAR(B263),MONTH(B263),1)</f>
        <v>45444</v>
      </c>
      <c r="D263" s="5" t="str">
        <f aca="false">YEAR(B263)&amp;"Q"&amp;ROUNDUP(MONTH(B263)/3,0)</f>
        <v>2024Q2</v>
      </c>
      <c r="E263" s="47" t="s">
        <v>160</v>
      </c>
      <c r="F263" s="54" t="s">
        <v>139</v>
      </c>
      <c r="G263" s="47" t="s">
        <v>161</v>
      </c>
      <c r="H263" s="47" t="s">
        <v>612</v>
      </c>
      <c r="I263" s="55" t="n">
        <v>2000</v>
      </c>
      <c r="J263" s="56" t="n">
        <v>2</v>
      </c>
      <c r="K263" s="54" t="s">
        <v>142</v>
      </c>
      <c r="L263" s="57" t="n">
        <v>0.0528</v>
      </c>
      <c r="N263" s="47" t="s">
        <v>148</v>
      </c>
      <c r="O263" s="47" t="s">
        <v>608</v>
      </c>
      <c r="P263" s="47"/>
      <c r="Q263" s="48" t="n">
        <f aca="false">IF($J263="","",IFERROR(IF($J263&lt;=1,INDEX(VN_국채일별!$B$4:$B$1436,MATCH($B263,VN_국채일별!$A$4:$A$1436,1)),IF($J263&lt;=2,INDEX(VN_국채일별!$B$4:$B$1436,MATCH($B263,VN_국채일별!$A$4:$A$1436,1))+(INDEX(VN_국채일별!$C$4:$C$1436,MATCH($B263,VN_국채일별!$A$4:$A$1436,1))-INDEX(VN_국채일별!$B$4:$B$1436,MATCH($B263,VN_국채일별!$A$4:$A$1436,1)))*($J263-1),IF($J263&lt;=3,INDEX(VN_국채일별!$C$4:$C$1436,MATCH($B263,VN_국채일별!$A$4:$A$1436,1))+(INDEX(VN_국채일별!$D$4:$D$1436,MATCH($B263,VN_국채일별!$A$4:$A$1436,1))-INDEX(VN_국채일별!$C$4:$C$1436,MATCH($B263,VN_국채일별!$A$4:$A$1436,1)))*($J263-2),IF($J263&lt;=5,INDEX(VN_국채일별!$D$4:$D$1436,MATCH($B263,VN_국채일별!$A$4:$A$1436,1))+(INDEX(VN_국채일별!$E$4:$E$1436,MATCH($B263,VN_국채일별!$A$4:$A$1436,1))-INDEX(VN_국채일별!$D$4:$D$1436,MATCH($B263,VN_국채일별!$A$4:$A$1436,1)))*($J263-3)/2,IF($J263&lt;=7,INDEX(VN_국채일별!$E$4:$E$1436,MATCH($B263,VN_국채일별!$A$4:$A$1436,1))+(INDEX(VN_국채일별!$F$4:$F$1436,MATCH($B263,VN_국채일별!$A$4:$A$1436,1))-INDEX(VN_국채일별!$E$4:$E$1436,MATCH($B263,VN_국채일별!$A$4:$A$1436,1)))*($J263-5)/2,IF($J263&lt;=10,INDEX(VN_국채일별!$F$4:$F$1436,MATCH($B263,VN_국채일별!$A$4:$A$1436,1))+(INDEX(VN_국채일별!$G$4:$G$1436,MATCH($B263,VN_국채일별!$A$4:$A$1436,1))-INDEX(VN_국채일별!$F$4:$F$1436,MATCH($B263,VN_국채일별!$A$4:$A$1436,1)))*($J263-7)/3,INDEX(VN_국채일별!$G$4:$G$1436,MATCH($B263,VN_국채일별!$A$4:$A$1436,1)))))))),""))</f>
        <v>0.01969</v>
      </c>
      <c r="R263" s="58" t="n">
        <f aca="false">IF(OR(L263="",Q263=""),"",(L263-Q263)*10000)</f>
        <v>331.1</v>
      </c>
      <c r="S263" s="30" t="n">
        <f aca="false">IF(AND(K263="고정",N263="N",J263&gt;=2,J263&lt;=4,I263&lt;&gt;""),1,0)</f>
        <v>1</v>
      </c>
      <c r="T263" s="59" t="n">
        <f aca="false">IF(S263=1,I263*L263,0)</f>
        <v>105.6</v>
      </c>
      <c r="U263" s="60" t="n">
        <f aca="false">IF(AND(S263=1,ISNUMBER(R263)),I263*R263,0)</f>
        <v>662200</v>
      </c>
      <c r="V263" s="30" t="n">
        <f aca="false">IF(AND(F263="Big4(국영)",K263="고정",N263="N",I263&lt;&gt;""),1,0)</f>
        <v>0</v>
      </c>
      <c r="W263" s="59" t="n">
        <f aca="false">IF(V263=1,I263*L263,0)</f>
        <v>0</v>
      </c>
      <c r="X263" s="60" t="n">
        <f aca="false">IF(AND(V263=1,ISNUMBER(R263)),I263*R263,0)</f>
        <v>0</v>
      </c>
      <c r="Y263" s="61" t="n">
        <f aca="false">IF(AND(S263=1,ISNUMBER(R263)),I263,0)</f>
        <v>2000</v>
      </c>
      <c r="Z263" s="61" t="n">
        <f aca="false">IF(AND(V263=1,ISNUMBER(R263)),I263,0)</f>
        <v>0</v>
      </c>
    </row>
    <row r="264" customFormat="false" ht="15" hidden="false" customHeight="false" outlineLevel="0" collapsed="false">
      <c r="A264" s="47" t="s">
        <v>577</v>
      </c>
      <c r="B264" s="52" t="n">
        <v>45463</v>
      </c>
      <c r="C264" s="53" t="n">
        <f aca="false">DATE(YEAR(B264),MONTH(B264),1)</f>
        <v>45444</v>
      </c>
      <c r="D264" s="5" t="str">
        <f aca="false">YEAR(B264)&amp;"Q"&amp;ROUNDUP(MONTH(B264)/3,0)</f>
        <v>2024Q2</v>
      </c>
      <c r="E264" s="47" t="s">
        <v>248</v>
      </c>
      <c r="F264" s="54" t="s">
        <v>139</v>
      </c>
      <c r="G264" s="47" t="s">
        <v>361</v>
      </c>
      <c r="H264" s="47" t="s">
        <v>613</v>
      </c>
      <c r="I264" s="55" t="n">
        <v>1000</v>
      </c>
      <c r="J264" s="56" t="n">
        <v>7</v>
      </c>
      <c r="K264" s="54" t="s">
        <v>153</v>
      </c>
      <c r="N264" s="47" t="s">
        <v>143</v>
      </c>
      <c r="O264" s="47" t="s">
        <v>494</v>
      </c>
      <c r="P264" s="47"/>
      <c r="Q264" s="48" t="n">
        <f aca="false">IF($J264="","",IFERROR(IF($J264&lt;=1,INDEX(VN_국채일별!$B$4:$B$1436,MATCH($B264,VN_국채일별!$A$4:$A$1436,1)),IF($J264&lt;=2,INDEX(VN_국채일별!$B$4:$B$1436,MATCH($B264,VN_국채일별!$A$4:$A$1436,1))+(INDEX(VN_국채일별!$C$4:$C$1436,MATCH($B264,VN_국채일별!$A$4:$A$1436,1))-INDEX(VN_국채일별!$B$4:$B$1436,MATCH($B264,VN_국채일별!$A$4:$A$1436,1)))*($J264-1),IF($J264&lt;=3,INDEX(VN_국채일별!$C$4:$C$1436,MATCH($B264,VN_국채일별!$A$4:$A$1436,1))+(INDEX(VN_국채일별!$D$4:$D$1436,MATCH($B264,VN_국채일별!$A$4:$A$1436,1))-INDEX(VN_국채일별!$C$4:$C$1436,MATCH($B264,VN_국채일별!$A$4:$A$1436,1)))*($J264-2),IF($J264&lt;=5,INDEX(VN_국채일별!$D$4:$D$1436,MATCH($B264,VN_국채일별!$A$4:$A$1436,1))+(INDEX(VN_국채일별!$E$4:$E$1436,MATCH($B264,VN_국채일별!$A$4:$A$1436,1))-INDEX(VN_국채일별!$D$4:$D$1436,MATCH($B264,VN_국채일별!$A$4:$A$1436,1)))*($J264-3)/2,IF($J264&lt;=7,INDEX(VN_국채일별!$E$4:$E$1436,MATCH($B264,VN_국채일별!$A$4:$A$1436,1))+(INDEX(VN_국채일별!$F$4:$F$1436,MATCH($B264,VN_국채일별!$A$4:$A$1436,1))-INDEX(VN_국채일별!$E$4:$E$1436,MATCH($B264,VN_국채일별!$A$4:$A$1436,1)))*($J264-5)/2,IF($J264&lt;=10,INDEX(VN_국채일별!$F$4:$F$1436,MATCH($B264,VN_국채일별!$A$4:$A$1436,1))+(INDEX(VN_국채일별!$G$4:$G$1436,MATCH($B264,VN_국채일별!$A$4:$A$1436,1))-INDEX(VN_국채일별!$F$4:$F$1436,MATCH($B264,VN_국채일별!$A$4:$A$1436,1)))*($J264-7)/3,INDEX(VN_국채일별!$G$4:$G$1436,MATCH($B264,VN_국채일별!$A$4:$A$1436,1)))))))),""))</f>
        <v>0.0227</v>
      </c>
      <c r="R264" s="58" t="str">
        <f aca="false">IF(OR(L264="",Q264=""),"",(L264-Q264)*10000)</f>
        <v/>
      </c>
      <c r="S264" s="30" t="n">
        <f aca="false">IF(AND(K264="고정",N264="N",J264&gt;=2,J264&lt;=4,I264&lt;&gt;""),1,0)</f>
        <v>0</v>
      </c>
      <c r="T264" s="59" t="n">
        <f aca="false">IF(S264=1,I264*L264,0)</f>
        <v>0</v>
      </c>
      <c r="U264" s="60" t="n">
        <f aca="false">IF(AND(S264=1,ISNUMBER(R264)),I264*R264,0)</f>
        <v>0</v>
      </c>
      <c r="V264" s="30" t="n">
        <f aca="false">IF(AND(F264="Big4(국영)",K264="고정",N264="N",I264&lt;&gt;""),1,0)</f>
        <v>0</v>
      </c>
      <c r="W264" s="59" t="n">
        <f aca="false">IF(V264=1,I264*L264,0)</f>
        <v>0</v>
      </c>
      <c r="X264" s="60" t="n">
        <f aca="false">IF(AND(V264=1,ISNUMBER(R264)),I264*R264,0)</f>
        <v>0</v>
      </c>
      <c r="Y264" s="61" t="n">
        <f aca="false">IF(AND(S264=1,ISNUMBER(R264)),I264,0)</f>
        <v>0</v>
      </c>
      <c r="Z264" s="61" t="n">
        <f aca="false">IF(AND(V264=1,ISNUMBER(R264)),I264,0)</f>
        <v>0</v>
      </c>
    </row>
    <row r="265" customFormat="false" ht="15" hidden="false" customHeight="false" outlineLevel="0" collapsed="false">
      <c r="A265" s="47" t="s">
        <v>614</v>
      </c>
      <c r="B265" s="52" t="n">
        <v>45475</v>
      </c>
      <c r="C265" s="53" t="n">
        <f aca="false">DATE(YEAR(B265),MONTH(B265),1)</f>
        <v>45474</v>
      </c>
      <c r="D265" s="5" t="str">
        <f aca="false">YEAR(B265)&amp;"Q"&amp;ROUNDUP(MONTH(B265)/3,0)</f>
        <v>2024Q3</v>
      </c>
      <c r="E265" s="47" t="s">
        <v>248</v>
      </c>
      <c r="F265" s="54" t="s">
        <v>139</v>
      </c>
      <c r="G265" s="47" t="s">
        <v>361</v>
      </c>
      <c r="H265" s="47" t="s">
        <v>615</v>
      </c>
      <c r="I265" s="55" t="n">
        <v>1000</v>
      </c>
      <c r="J265" s="56" t="n">
        <v>8</v>
      </c>
      <c r="K265" s="54" t="s">
        <v>153</v>
      </c>
      <c r="N265" s="47" t="s">
        <v>143</v>
      </c>
      <c r="O265" s="47" t="s">
        <v>494</v>
      </c>
      <c r="P265" s="47"/>
      <c r="Q265" s="48" t="n">
        <f aca="false">IF($J265="","",IFERROR(IF($J265&lt;=1,INDEX(VN_국채일별!$B$4:$B$1436,MATCH($B265,VN_국채일별!$A$4:$A$1436,1)),IF($J265&lt;=2,INDEX(VN_국채일별!$B$4:$B$1436,MATCH($B265,VN_국채일별!$A$4:$A$1436,1))+(INDEX(VN_국채일별!$C$4:$C$1436,MATCH($B265,VN_국채일별!$A$4:$A$1436,1))-INDEX(VN_국채일별!$B$4:$B$1436,MATCH($B265,VN_국채일별!$A$4:$A$1436,1)))*($J265-1),IF($J265&lt;=3,INDEX(VN_국채일별!$C$4:$C$1436,MATCH($B265,VN_국채일별!$A$4:$A$1436,1))+(INDEX(VN_국채일별!$D$4:$D$1436,MATCH($B265,VN_국채일별!$A$4:$A$1436,1))-INDEX(VN_국채일별!$C$4:$C$1436,MATCH($B265,VN_국채일별!$A$4:$A$1436,1)))*($J265-2),IF($J265&lt;=5,INDEX(VN_국채일별!$D$4:$D$1436,MATCH($B265,VN_국채일별!$A$4:$A$1436,1))+(INDEX(VN_국채일별!$E$4:$E$1436,MATCH($B265,VN_국채일별!$A$4:$A$1436,1))-INDEX(VN_국채일별!$D$4:$D$1436,MATCH($B265,VN_국채일별!$A$4:$A$1436,1)))*($J265-3)/2,IF($J265&lt;=7,INDEX(VN_국채일별!$E$4:$E$1436,MATCH($B265,VN_국채일별!$A$4:$A$1436,1))+(INDEX(VN_국채일별!$F$4:$F$1436,MATCH($B265,VN_국채일별!$A$4:$A$1436,1))-INDEX(VN_국채일별!$E$4:$E$1436,MATCH($B265,VN_국채일별!$A$4:$A$1436,1)))*($J265-5)/2,IF($J265&lt;=10,INDEX(VN_국채일별!$F$4:$F$1436,MATCH($B265,VN_국채일별!$A$4:$A$1436,1))+(INDEX(VN_국채일별!$G$4:$G$1436,MATCH($B265,VN_국채일별!$A$4:$A$1436,1))-INDEX(VN_국채일별!$F$4:$F$1436,MATCH($B265,VN_국채일별!$A$4:$A$1436,1)))*($J265-7)/3,INDEX(VN_국채일별!$G$4:$G$1436,MATCH($B265,VN_국채일별!$A$4:$A$1436,1)))))))),""))</f>
        <v>0.0248</v>
      </c>
      <c r="R265" s="58" t="str">
        <f aca="false">IF(OR(L265="",Q265=""),"",(L265-Q265)*10000)</f>
        <v/>
      </c>
      <c r="S265" s="30" t="n">
        <f aca="false">IF(AND(K265="고정",N265="N",J265&gt;=2,J265&lt;=4,I265&lt;&gt;""),1,0)</f>
        <v>0</v>
      </c>
      <c r="T265" s="59" t="n">
        <f aca="false">IF(S265=1,I265*L265,0)</f>
        <v>0</v>
      </c>
      <c r="U265" s="60" t="n">
        <f aca="false">IF(AND(S265=1,ISNUMBER(R265)),I265*R265,0)</f>
        <v>0</v>
      </c>
      <c r="V265" s="30" t="n">
        <f aca="false">IF(AND(F265="Big4(국영)",K265="고정",N265="N",I265&lt;&gt;""),1,0)</f>
        <v>0</v>
      </c>
      <c r="W265" s="59" t="n">
        <f aca="false">IF(V265=1,I265*L265,0)</f>
        <v>0</v>
      </c>
      <c r="X265" s="60" t="n">
        <f aca="false">IF(AND(V265=1,ISNUMBER(R265)),I265*R265,0)</f>
        <v>0</v>
      </c>
      <c r="Y265" s="61" t="n">
        <f aca="false">IF(AND(S265=1,ISNUMBER(R265)),I265,0)</f>
        <v>0</v>
      </c>
      <c r="Z265" s="61" t="n">
        <f aca="false">IF(AND(V265=1,ISNUMBER(R265)),I265,0)</f>
        <v>0</v>
      </c>
    </row>
    <row r="266" customFormat="false" ht="15" hidden="false" customHeight="false" outlineLevel="0" collapsed="false">
      <c r="A266" s="47" t="s">
        <v>614</v>
      </c>
      <c r="B266" s="52" t="n">
        <v>45475</v>
      </c>
      <c r="C266" s="53" t="n">
        <f aca="false">DATE(YEAR(B266),MONTH(B266),1)</f>
        <v>45474</v>
      </c>
      <c r="D266" s="5" t="str">
        <f aca="false">YEAR(B266)&amp;"Q"&amp;ROUNDUP(MONTH(B266)/3,0)</f>
        <v>2024Q3</v>
      </c>
      <c r="E266" s="47" t="s">
        <v>254</v>
      </c>
      <c r="F266" s="54" t="s">
        <v>139</v>
      </c>
      <c r="G266" s="47" t="s">
        <v>339</v>
      </c>
      <c r="H266" s="47" t="s">
        <v>616</v>
      </c>
      <c r="I266" s="55" t="n">
        <v>400</v>
      </c>
      <c r="J266" s="56" t="n">
        <v>3</v>
      </c>
      <c r="K266" s="54" t="s">
        <v>142</v>
      </c>
      <c r="L266" s="57" t="n">
        <v>0.06</v>
      </c>
      <c r="N266" s="47" t="s">
        <v>148</v>
      </c>
      <c r="O266" s="47" t="s">
        <v>449</v>
      </c>
      <c r="P266" s="47"/>
      <c r="Q266" s="48" t="n">
        <f aca="false">IF($J266="","",IFERROR(IF($J266&lt;=1,INDEX(VN_국채일별!$B$4:$B$1436,MATCH($B266,VN_국채일별!$A$4:$A$1436,1)),IF($J266&lt;=2,INDEX(VN_국채일별!$B$4:$B$1436,MATCH($B266,VN_국채일별!$A$4:$A$1436,1))+(INDEX(VN_국채일별!$C$4:$C$1436,MATCH($B266,VN_국채일별!$A$4:$A$1436,1))-INDEX(VN_국채일별!$B$4:$B$1436,MATCH($B266,VN_국채일별!$A$4:$A$1436,1)))*($J266-1),IF($J266&lt;=3,INDEX(VN_국채일별!$C$4:$C$1436,MATCH($B266,VN_국채일별!$A$4:$A$1436,1))+(INDEX(VN_국채일별!$D$4:$D$1436,MATCH($B266,VN_국채일별!$A$4:$A$1436,1))-INDEX(VN_국채일별!$C$4:$C$1436,MATCH($B266,VN_국채일별!$A$4:$A$1436,1)))*($J266-2),IF($J266&lt;=5,INDEX(VN_국채일별!$D$4:$D$1436,MATCH($B266,VN_국채일별!$A$4:$A$1436,1))+(INDEX(VN_국채일별!$E$4:$E$1436,MATCH($B266,VN_국채일별!$A$4:$A$1436,1))-INDEX(VN_국채일별!$D$4:$D$1436,MATCH($B266,VN_국채일별!$A$4:$A$1436,1)))*($J266-3)/2,IF($J266&lt;=7,INDEX(VN_국채일별!$E$4:$E$1436,MATCH($B266,VN_국채일별!$A$4:$A$1436,1))+(INDEX(VN_국채일별!$F$4:$F$1436,MATCH($B266,VN_국채일별!$A$4:$A$1436,1))-INDEX(VN_국채일별!$E$4:$E$1436,MATCH($B266,VN_국채일별!$A$4:$A$1436,1)))*($J266-5)/2,IF($J266&lt;=10,INDEX(VN_국채일별!$F$4:$F$1436,MATCH($B266,VN_국채일별!$A$4:$A$1436,1))+(INDEX(VN_국채일별!$G$4:$G$1436,MATCH($B266,VN_국채일별!$A$4:$A$1436,1))-INDEX(VN_국채일별!$F$4:$F$1436,MATCH($B266,VN_국채일별!$A$4:$A$1436,1)))*($J266-7)/3,INDEX(VN_국채일별!$G$4:$G$1436,MATCH($B266,VN_국채일별!$A$4:$A$1436,1)))))))),""))</f>
        <v>0.02001</v>
      </c>
      <c r="R266" s="58" t="n">
        <f aca="false">IF(OR(L266="",Q266=""),"",(L266-Q266)*10000)</f>
        <v>399.9</v>
      </c>
      <c r="S266" s="30" t="n">
        <f aca="false">IF(AND(K266="고정",N266="N",J266&gt;=2,J266&lt;=4,I266&lt;&gt;""),1,0)</f>
        <v>1</v>
      </c>
      <c r="T266" s="59" t="n">
        <f aca="false">IF(S266=1,I266*L266,0)</f>
        <v>24</v>
      </c>
      <c r="U266" s="60" t="n">
        <f aca="false">IF(AND(S266=1,ISNUMBER(R266)),I266*R266,0)</f>
        <v>159960</v>
      </c>
      <c r="V266" s="30" t="n">
        <f aca="false">IF(AND(F266="Big4(국영)",K266="고정",N266="N",I266&lt;&gt;""),1,0)</f>
        <v>0</v>
      </c>
      <c r="W266" s="59" t="n">
        <f aca="false">IF(V266=1,I266*L266,0)</f>
        <v>0</v>
      </c>
      <c r="X266" s="60" t="n">
        <f aca="false">IF(AND(V266=1,ISNUMBER(R266)),I266*R266,0)</f>
        <v>0</v>
      </c>
      <c r="Y266" s="61" t="n">
        <f aca="false">IF(AND(S266=1,ISNUMBER(R266)),I266,0)</f>
        <v>400</v>
      </c>
      <c r="Z266" s="61" t="n">
        <f aca="false">IF(AND(V266=1,ISNUMBER(R266)),I266,0)</f>
        <v>0</v>
      </c>
    </row>
    <row r="267" customFormat="false" ht="15" hidden="false" customHeight="false" outlineLevel="0" collapsed="false">
      <c r="A267" s="47" t="s">
        <v>614</v>
      </c>
      <c r="B267" s="52" t="n">
        <v>45478</v>
      </c>
      <c r="C267" s="53" t="n">
        <f aca="false">DATE(YEAR(B267),MONTH(B267),1)</f>
        <v>45474</v>
      </c>
      <c r="D267" s="5" t="str">
        <f aca="false">YEAR(B267)&amp;"Q"&amp;ROUNDUP(MONTH(B267)/3,0)</f>
        <v>2024Q3</v>
      </c>
      <c r="E267" s="62" t="s">
        <v>173</v>
      </c>
      <c r="F267" s="62" t="s">
        <v>156</v>
      </c>
      <c r="G267" s="47" t="s">
        <v>174</v>
      </c>
      <c r="H267" s="47" t="s">
        <v>617</v>
      </c>
      <c r="I267" s="55" t="n">
        <v>3000</v>
      </c>
      <c r="J267" s="56" t="n">
        <v>10</v>
      </c>
      <c r="K267" s="54" t="s">
        <v>153</v>
      </c>
      <c r="N267" s="47" t="s">
        <v>143</v>
      </c>
      <c r="O267" s="47" t="s">
        <v>618</v>
      </c>
      <c r="P267" s="47"/>
      <c r="Q267" s="48" t="n">
        <f aca="false">IF($J267="","",IFERROR(IF($J267&lt;=1,INDEX(VN_국채일별!$B$4:$B$1436,MATCH($B267,VN_국채일별!$A$4:$A$1436,1)),IF($J267&lt;=2,INDEX(VN_국채일별!$B$4:$B$1436,MATCH($B267,VN_국채일별!$A$4:$A$1436,1))+(INDEX(VN_국채일별!$C$4:$C$1436,MATCH($B267,VN_국채일별!$A$4:$A$1436,1))-INDEX(VN_국채일별!$B$4:$B$1436,MATCH($B267,VN_국채일별!$A$4:$A$1436,1)))*($J267-1),IF($J267&lt;=3,INDEX(VN_국채일별!$C$4:$C$1436,MATCH($B267,VN_국채일별!$A$4:$A$1436,1))+(INDEX(VN_국채일별!$D$4:$D$1436,MATCH($B267,VN_국채일별!$A$4:$A$1436,1))-INDEX(VN_국채일별!$C$4:$C$1436,MATCH($B267,VN_국채일별!$A$4:$A$1436,1)))*($J267-2),IF($J267&lt;=5,INDEX(VN_국채일별!$D$4:$D$1436,MATCH($B267,VN_국채일별!$A$4:$A$1436,1))+(INDEX(VN_국채일별!$E$4:$E$1436,MATCH($B267,VN_국채일별!$A$4:$A$1436,1))-INDEX(VN_국채일별!$D$4:$D$1436,MATCH($B267,VN_국채일별!$A$4:$A$1436,1)))*($J267-3)/2,IF($J267&lt;=7,INDEX(VN_국채일별!$E$4:$E$1436,MATCH($B267,VN_국채일별!$A$4:$A$1436,1))+(INDEX(VN_국채일별!$F$4:$F$1436,MATCH($B267,VN_국채일별!$A$4:$A$1436,1))-INDEX(VN_국채일별!$E$4:$E$1436,MATCH($B267,VN_국채일별!$A$4:$A$1436,1)))*($J267-5)/2,IF($J267&lt;=10,INDEX(VN_국채일별!$F$4:$F$1436,MATCH($B267,VN_국채일별!$A$4:$A$1436,1))+(INDEX(VN_국채일별!$G$4:$G$1436,MATCH($B267,VN_국채일별!$A$4:$A$1436,1))-INDEX(VN_국채일별!$F$4:$F$1436,MATCH($B267,VN_국채일별!$A$4:$A$1436,1)))*($J267-7)/3,INDEX(VN_국채일별!$G$4:$G$1436,MATCH($B267,VN_국채일별!$A$4:$A$1436,1)))))))),""))</f>
        <v>0.02799</v>
      </c>
      <c r="R267" s="58" t="str">
        <f aca="false">IF(OR(L267="",Q267=""),"",(L267-Q267)*10000)</f>
        <v/>
      </c>
      <c r="S267" s="30" t="n">
        <f aca="false">IF(AND(K267="고정",N267="N",J267&gt;=2,J267&lt;=4,I267&lt;&gt;""),1,0)</f>
        <v>0</v>
      </c>
      <c r="T267" s="59" t="n">
        <f aca="false">IF(S267=1,I267*L267,0)</f>
        <v>0</v>
      </c>
      <c r="U267" s="60" t="n">
        <f aca="false">IF(AND(S267=1,ISNUMBER(R267)),I267*R267,0)</f>
        <v>0</v>
      </c>
      <c r="V267" s="30" t="n">
        <f aca="false">IF(AND(F267="Big4(국영)",K267="고정",N267="N",I267&lt;&gt;""),1,0)</f>
        <v>0</v>
      </c>
      <c r="W267" s="59" t="n">
        <f aca="false">IF(V267=1,I267*L267,0)</f>
        <v>0</v>
      </c>
      <c r="X267" s="60" t="n">
        <f aca="false">IF(AND(V267=1,ISNUMBER(R267)),I267*R267,0)</f>
        <v>0</v>
      </c>
      <c r="Y267" s="61" t="n">
        <f aca="false">IF(AND(S267=1,ISNUMBER(R267)),I267,0)</f>
        <v>0</v>
      </c>
      <c r="Z267" s="61" t="n">
        <f aca="false">IF(AND(V267=1,ISNUMBER(R267)),I267,0)</f>
        <v>0</v>
      </c>
    </row>
    <row r="268" customFormat="false" ht="15" hidden="false" customHeight="false" outlineLevel="0" collapsed="false">
      <c r="A268" s="47" t="s">
        <v>614</v>
      </c>
      <c r="B268" s="52" t="n">
        <v>45478</v>
      </c>
      <c r="C268" s="53" t="n">
        <f aca="false">DATE(YEAR(B268),MONTH(B268),1)</f>
        <v>45474</v>
      </c>
      <c r="D268" s="5" t="str">
        <f aca="false">YEAR(B268)&amp;"Q"&amp;ROUNDUP(MONTH(B268)/3,0)</f>
        <v>2024Q3</v>
      </c>
      <c r="E268" s="62" t="s">
        <v>155</v>
      </c>
      <c r="F268" s="62" t="s">
        <v>156</v>
      </c>
      <c r="G268" s="47" t="s">
        <v>157</v>
      </c>
      <c r="H268" s="47" t="s">
        <v>619</v>
      </c>
      <c r="I268" s="55" t="n">
        <v>100</v>
      </c>
      <c r="J268" s="56" t="n">
        <v>8</v>
      </c>
      <c r="K268" s="54" t="s">
        <v>153</v>
      </c>
      <c r="N268" s="47" t="s">
        <v>143</v>
      </c>
      <c r="O268" s="47" t="s">
        <v>620</v>
      </c>
      <c r="P268" s="47"/>
      <c r="Q268" s="48" t="n">
        <f aca="false">IF($J268="","",IFERROR(IF($J268&lt;=1,INDEX(VN_국채일별!$B$4:$B$1436,MATCH($B268,VN_국채일별!$A$4:$A$1436,1)),IF($J268&lt;=2,INDEX(VN_국채일별!$B$4:$B$1436,MATCH($B268,VN_국채일별!$A$4:$A$1436,1))+(INDEX(VN_국채일별!$C$4:$C$1436,MATCH($B268,VN_국채일별!$A$4:$A$1436,1))-INDEX(VN_국채일별!$B$4:$B$1436,MATCH($B268,VN_국채일별!$A$4:$A$1436,1)))*($J268-1),IF($J268&lt;=3,INDEX(VN_국채일별!$C$4:$C$1436,MATCH($B268,VN_국채일별!$A$4:$A$1436,1))+(INDEX(VN_국채일별!$D$4:$D$1436,MATCH($B268,VN_국채일별!$A$4:$A$1436,1))-INDEX(VN_국채일별!$C$4:$C$1436,MATCH($B268,VN_국채일별!$A$4:$A$1436,1)))*($J268-2),IF($J268&lt;=5,INDEX(VN_국채일별!$D$4:$D$1436,MATCH($B268,VN_국채일별!$A$4:$A$1436,1))+(INDEX(VN_국채일별!$E$4:$E$1436,MATCH($B268,VN_국채일별!$A$4:$A$1436,1))-INDEX(VN_국채일별!$D$4:$D$1436,MATCH($B268,VN_국채일별!$A$4:$A$1436,1)))*($J268-3)/2,IF($J268&lt;=7,INDEX(VN_국채일별!$E$4:$E$1436,MATCH($B268,VN_국채일별!$A$4:$A$1436,1))+(INDEX(VN_국채일별!$F$4:$F$1436,MATCH($B268,VN_국채일별!$A$4:$A$1436,1))-INDEX(VN_국채일별!$E$4:$E$1436,MATCH($B268,VN_국채일별!$A$4:$A$1436,1)))*($J268-5)/2,IF($J268&lt;=10,INDEX(VN_국채일별!$F$4:$F$1436,MATCH($B268,VN_국채일별!$A$4:$A$1436,1))+(INDEX(VN_국채일별!$G$4:$G$1436,MATCH($B268,VN_국채일별!$A$4:$A$1436,1))-INDEX(VN_국채일별!$F$4:$F$1436,MATCH($B268,VN_국채일별!$A$4:$A$1436,1)))*($J268-7)/3,INDEX(VN_국채일별!$G$4:$G$1436,MATCH($B268,VN_국채일별!$A$4:$A$1436,1)))))))),""))</f>
        <v>0.0249366666666667</v>
      </c>
      <c r="R268" s="58" t="str">
        <f aca="false">IF(OR(L268="",Q268=""),"",(L268-Q268)*10000)</f>
        <v/>
      </c>
      <c r="S268" s="30" t="n">
        <f aca="false">IF(AND(K268="고정",N268="N",J268&gt;=2,J268&lt;=4,I268&lt;&gt;""),1,0)</f>
        <v>0</v>
      </c>
      <c r="T268" s="59" t="n">
        <f aca="false">IF(S268=1,I268*L268,0)</f>
        <v>0</v>
      </c>
      <c r="U268" s="60" t="n">
        <f aca="false">IF(AND(S268=1,ISNUMBER(R268)),I268*R268,0)</f>
        <v>0</v>
      </c>
      <c r="V268" s="30" t="n">
        <f aca="false">IF(AND(F268="Big4(국영)",K268="고정",N268="N",I268&lt;&gt;""),1,0)</f>
        <v>0</v>
      </c>
      <c r="W268" s="59" t="n">
        <f aca="false">IF(V268=1,I268*L268,0)</f>
        <v>0</v>
      </c>
      <c r="X268" s="60" t="n">
        <f aca="false">IF(AND(V268=1,ISNUMBER(R268)),I268*R268,0)</f>
        <v>0</v>
      </c>
      <c r="Y268" s="61" t="n">
        <f aca="false">IF(AND(S268=1,ISNUMBER(R268)),I268,0)</f>
        <v>0</v>
      </c>
      <c r="Z268" s="61" t="n">
        <f aca="false">IF(AND(V268=1,ISNUMBER(R268)),I268,0)</f>
        <v>0</v>
      </c>
    </row>
    <row r="269" customFormat="false" ht="15" hidden="false" customHeight="false" outlineLevel="0" collapsed="false">
      <c r="A269" s="47" t="s">
        <v>614</v>
      </c>
      <c r="B269" s="52" t="n">
        <v>45478</v>
      </c>
      <c r="C269" s="53" t="n">
        <f aca="false">DATE(YEAR(B269),MONTH(B269),1)</f>
        <v>45474</v>
      </c>
      <c r="D269" s="5" t="str">
        <f aca="false">YEAR(B269)&amp;"Q"&amp;ROUNDUP(MONTH(B269)/3,0)</f>
        <v>2024Q3</v>
      </c>
      <c r="E269" s="62" t="s">
        <v>155</v>
      </c>
      <c r="F269" s="62" t="s">
        <v>156</v>
      </c>
      <c r="G269" s="47" t="s">
        <v>157</v>
      </c>
      <c r="H269" s="47" t="s">
        <v>621</v>
      </c>
      <c r="I269" s="55" t="n">
        <v>1000</v>
      </c>
      <c r="J269" s="56" t="n">
        <v>8</v>
      </c>
      <c r="K269" s="54" t="s">
        <v>153</v>
      </c>
      <c r="N269" s="47" t="s">
        <v>143</v>
      </c>
      <c r="O269" s="47" t="s">
        <v>620</v>
      </c>
      <c r="P269" s="47"/>
      <c r="Q269" s="48" t="n">
        <f aca="false">IF($J269="","",IFERROR(IF($J269&lt;=1,INDEX(VN_국채일별!$B$4:$B$1436,MATCH($B269,VN_국채일별!$A$4:$A$1436,1)),IF($J269&lt;=2,INDEX(VN_국채일별!$B$4:$B$1436,MATCH($B269,VN_국채일별!$A$4:$A$1436,1))+(INDEX(VN_국채일별!$C$4:$C$1436,MATCH($B269,VN_국채일별!$A$4:$A$1436,1))-INDEX(VN_국채일별!$B$4:$B$1436,MATCH($B269,VN_국채일별!$A$4:$A$1436,1)))*($J269-1),IF($J269&lt;=3,INDEX(VN_국채일별!$C$4:$C$1436,MATCH($B269,VN_국채일별!$A$4:$A$1436,1))+(INDEX(VN_국채일별!$D$4:$D$1436,MATCH($B269,VN_국채일별!$A$4:$A$1436,1))-INDEX(VN_국채일별!$C$4:$C$1436,MATCH($B269,VN_국채일별!$A$4:$A$1436,1)))*($J269-2),IF($J269&lt;=5,INDEX(VN_국채일별!$D$4:$D$1436,MATCH($B269,VN_국채일별!$A$4:$A$1436,1))+(INDEX(VN_국채일별!$E$4:$E$1436,MATCH($B269,VN_국채일별!$A$4:$A$1436,1))-INDEX(VN_국채일별!$D$4:$D$1436,MATCH($B269,VN_국채일별!$A$4:$A$1436,1)))*($J269-3)/2,IF($J269&lt;=7,INDEX(VN_국채일별!$E$4:$E$1436,MATCH($B269,VN_국채일별!$A$4:$A$1436,1))+(INDEX(VN_국채일별!$F$4:$F$1436,MATCH($B269,VN_국채일별!$A$4:$A$1436,1))-INDEX(VN_국채일별!$E$4:$E$1436,MATCH($B269,VN_국채일별!$A$4:$A$1436,1)))*($J269-5)/2,IF($J269&lt;=10,INDEX(VN_국채일별!$F$4:$F$1436,MATCH($B269,VN_국채일별!$A$4:$A$1436,1))+(INDEX(VN_국채일별!$G$4:$G$1436,MATCH($B269,VN_국채일별!$A$4:$A$1436,1))-INDEX(VN_국채일별!$F$4:$F$1436,MATCH($B269,VN_국채일별!$A$4:$A$1436,1)))*($J269-7)/3,INDEX(VN_국채일별!$G$4:$G$1436,MATCH($B269,VN_국채일별!$A$4:$A$1436,1)))))))),""))</f>
        <v>0.0249366666666667</v>
      </c>
      <c r="R269" s="58" t="str">
        <f aca="false">IF(OR(L269="",Q269=""),"",(L269-Q269)*10000)</f>
        <v/>
      </c>
      <c r="S269" s="30" t="n">
        <f aca="false">IF(AND(K269="고정",N269="N",J269&gt;=2,J269&lt;=4,I269&lt;&gt;""),1,0)</f>
        <v>0</v>
      </c>
      <c r="T269" s="59" t="n">
        <f aca="false">IF(S269=1,I269*L269,0)</f>
        <v>0</v>
      </c>
      <c r="U269" s="60" t="n">
        <f aca="false">IF(AND(S269=1,ISNUMBER(R269)),I269*R269,0)</f>
        <v>0</v>
      </c>
      <c r="V269" s="30" t="n">
        <f aca="false">IF(AND(F269="Big4(국영)",K269="고정",N269="N",I269&lt;&gt;""),1,0)</f>
        <v>0</v>
      </c>
      <c r="W269" s="59" t="n">
        <f aca="false">IF(V269=1,I269*L269,0)</f>
        <v>0</v>
      </c>
      <c r="X269" s="60" t="n">
        <f aca="false">IF(AND(V269=1,ISNUMBER(R269)),I269*R269,0)</f>
        <v>0</v>
      </c>
      <c r="Y269" s="61" t="n">
        <f aca="false">IF(AND(S269=1,ISNUMBER(R269)),I269,0)</f>
        <v>0</v>
      </c>
      <c r="Z269" s="61" t="n">
        <f aca="false">IF(AND(V269=1,ISNUMBER(R269)),I269,0)</f>
        <v>0</v>
      </c>
    </row>
    <row r="270" customFormat="false" ht="15" hidden="false" customHeight="false" outlineLevel="0" collapsed="false">
      <c r="A270" s="47" t="s">
        <v>614</v>
      </c>
      <c r="B270" s="52" t="n">
        <v>45481</v>
      </c>
      <c r="C270" s="53" t="n">
        <f aca="false">DATE(YEAR(B270),MONTH(B270),1)</f>
        <v>45474</v>
      </c>
      <c r="D270" s="5" t="str">
        <f aca="false">YEAR(B270)&amp;"Q"&amp;ROUNDUP(MONTH(B270)/3,0)</f>
        <v>2024Q3</v>
      </c>
      <c r="E270" s="47" t="s">
        <v>191</v>
      </c>
      <c r="F270" s="54" t="s">
        <v>139</v>
      </c>
      <c r="G270" s="47" t="s">
        <v>622</v>
      </c>
      <c r="H270" s="47" t="s">
        <v>623</v>
      </c>
      <c r="I270" s="55" t="n">
        <v>2000</v>
      </c>
      <c r="J270" s="56" t="n">
        <v>3</v>
      </c>
      <c r="K270" s="54" t="s">
        <v>142</v>
      </c>
      <c r="L270" s="57" t="n">
        <v>0.06</v>
      </c>
      <c r="N270" s="47" t="s">
        <v>148</v>
      </c>
      <c r="O270" s="47" t="s">
        <v>449</v>
      </c>
      <c r="P270" s="47"/>
      <c r="Q270" s="48" t="n">
        <f aca="false">IF($J270="","",IFERROR(IF($J270&lt;=1,INDEX(VN_국채일별!$B$4:$B$1436,MATCH($B270,VN_국채일별!$A$4:$A$1436,1)),IF($J270&lt;=2,INDEX(VN_국채일별!$B$4:$B$1436,MATCH($B270,VN_국채일별!$A$4:$A$1436,1))+(INDEX(VN_국채일별!$C$4:$C$1436,MATCH($B270,VN_국채일별!$A$4:$A$1436,1))-INDEX(VN_국채일별!$B$4:$B$1436,MATCH($B270,VN_국채일별!$A$4:$A$1436,1)))*($J270-1),IF($J270&lt;=3,INDEX(VN_국채일별!$C$4:$C$1436,MATCH($B270,VN_국채일별!$A$4:$A$1436,1))+(INDEX(VN_국채일별!$D$4:$D$1436,MATCH($B270,VN_국채일별!$A$4:$A$1436,1))-INDEX(VN_국채일별!$C$4:$C$1436,MATCH($B270,VN_국채일별!$A$4:$A$1436,1)))*($J270-2),IF($J270&lt;=5,INDEX(VN_국채일별!$D$4:$D$1436,MATCH($B270,VN_국채일별!$A$4:$A$1436,1))+(INDEX(VN_국채일별!$E$4:$E$1436,MATCH($B270,VN_국채일별!$A$4:$A$1436,1))-INDEX(VN_국채일별!$D$4:$D$1436,MATCH($B270,VN_국채일별!$A$4:$A$1436,1)))*($J270-3)/2,IF($J270&lt;=7,INDEX(VN_국채일별!$E$4:$E$1436,MATCH($B270,VN_국채일별!$A$4:$A$1436,1))+(INDEX(VN_국채일별!$F$4:$F$1436,MATCH($B270,VN_국채일별!$A$4:$A$1436,1))-INDEX(VN_국채일별!$E$4:$E$1436,MATCH($B270,VN_국채일별!$A$4:$A$1436,1)))*($J270-5)/2,IF($J270&lt;=10,INDEX(VN_국채일별!$F$4:$F$1436,MATCH($B270,VN_국채일별!$A$4:$A$1436,1))+(INDEX(VN_국채일별!$G$4:$G$1436,MATCH($B270,VN_국채일별!$A$4:$A$1436,1))-INDEX(VN_국채일별!$F$4:$F$1436,MATCH($B270,VN_국채일별!$A$4:$A$1436,1)))*($J270-7)/3,INDEX(VN_국채일별!$G$4:$G$1436,MATCH($B270,VN_국채일별!$A$4:$A$1436,1)))))))),""))</f>
        <v>0.02</v>
      </c>
      <c r="R270" s="58" t="n">
        <f aca="false">IF(OR(L270="",Q270=""),"",(L270-Q270)*10000)</f>
        <v>400</v>
      </c>
      <c r="S270" s="30" t="n">
        <f aca="false">IF(AND(K270="고정",N270="N",J270&gt;=2,J270&lt;=4,I270&lt;&gt;""),1,0)</f>
        <v>1</v>
      </c>
      <c r="T270" s="59" t="n">
        <f aca="false">IF(S270=1,I270*L270,0)</f>
        <v>120</v>
      </c>
      <c r="U270" s="60" t="n">
        <f aca="false">IF(AND(S270=1,ISNUMBER(R270)),I270*R270,0)</f>
        <v>800000</v>
      </c>
      <c r="V270" s="30" t="n">
        <f aca="false">IF(AND(F270="Big4(국영)",K270="고정",N270="N",I270&lt;&gt;""),1,0)</f>
        <v>0</v>
      </c>
      <c r="W270" s="59" t="n">
        <f aca="false">IF(V270=1,I270*L270,0)</f>
        <v>0</v>
      </c>
      <c r="X270" s="60" t="n">
        <f aca="false">IF(AND(V270=1,ISNUMBER(R270)),I270*R270,0)</f>
        <v>0</v>
      </c>
      <c r="Y270" s="61" t="n">
        <f aca="false">IF(AND(S270=1,ISNUMBER(R270)),I270,0)</f>
        <v>2000</v>
      </c>
      <c r="Z270" s="61" t="n">
        <f aca="false">IF(AND(V270=1,ISNUMBER(R270)),I270,0)</f>
        <v>0</v>
      </c>
    </row>
    <row r="271" customFormat="false" ht="15" hidden="false" customHeight="false" outlineLevel="0" collapsed="false">
      <c r="A271" s="47" t="s">
        <v>614</v>
      </c>
      <c r="B271" s="52" t="n">
        <v>45482</v>
      </c>
      <c r="C271" s="53" t="n">
        <f aca="false">DATE(YEAR(B271),MONTH(B271),1)</f>
        <v>45474</v>
      </c>
      <c r="D271" s="5" t="str">
        <f aca="false">YEAR(B271)&amp;"Q"&amp;ROUNDUP(MONTH(B271)/3,0)</f>
        <v>2024Q3</v>
      </c>
      <c r="E271" s="62" t="s">
        <v>155</v>
      </c>
      <c r="F271" s="62" t="s">
        <v>156</v>
      </c>
      <c r="G271" s="47" t="s">
        <v>157</v>
      </c>
      <c r="H271" s="47" t="s">
        <v>624</v>
      </c>
      <c r="I271" s="55" t="n">
        <v>50</v>
      </c>
      <c r="J271" s="56" t="n">
        <v>8</v>
      </c>
      <c r="K271" s="54" t="s">
        <v>153</v>
      </c>
      <c r="N271" s="47" t="s">
        <v>143</v>
      </c>
      <c r="O271" s="47" t="s">
        <v>620</v>
      </c>
      <c r="P271" s="47"/>
      <c r="Q271" s="48" t="n">
        <f aca="false">IF($J271="","",IFERROR(IF($J271&lt;=1,INDEX(VN_국채일별!$B$4:$B$1436,MATCH($B271,VN_국채일별!$A$4:$A$1436,1)),IF($J271&lt;=2,INDEX(VN_국채일별!$B$4:$B$1436,MATCH($B271,VN_국채일별!$A$4:$A$1436,1))+(INDEX(VN_국채일별!$C$4:$C$1436,MATCH($B271,VN_국채일별!$A$4:$A$1436,1))-INDEX(VN_국채일별!$B$4:$B$1436,MATCH($B271,VN_국채일별!$A$4:$A$1436,1)))*($J271-1),IF($J271&lt;=3,INDEX(VN_국채일별!$C$4:$C$1436,MATCH($B271,VN_국채일별!$A$4:$A$1436,1))+(INDEX(VN_국채일별!$D$4:$D$1436,MATCH($B271,VN_국채일별!$A$4:$A$1436,1))-INDEX(VN_국채일별!$C$4:$C$1436,MATCH($B271,VN_국채일별!$A$4:$A$1436,1)))*($J271-2),IF($J271&lt;=5,INDEX(VN_국채일별!$D$4:$D$1436,MATCH($B271,VN_국채일별!$A$4:$A$1436,1))+(INDEX(VN_국채일별!$E$4:$E$1436,MATCH($B271,VN_국채일별!$A$4:$A$1436,1))-INDEX(VN_국채일별!$D$4:$D$1436,MATCH($B271,VN_국채일별!$A$4:$A$1436,1)))*($J271-3)/2,IF($J271&lt;=7,INDEX(VN_국채일별!$E$4:$E$1436,MATCH($B271,VN_국채일별!$A$4:$A$1436,1))+(INDEX(VN_국채일별!$F$4:$F$1436,MATCH($B271,VN_국채일별!$A$4:$A$1436,1))-INDEX(VN_국채일별!$E$4:$E$1436,MATCH($B271,VN_국채일별!$A$4:$A$1436,1)))*($J271-5)/2,IF($J271&lt;=10,INDEX(VN_국채일별!$F$4:$F$1436,MATCH($B271,VN_국채일별!$A$4:$A$1436,1))+(INDEX(VN_국채일별!$G$4:$G$1436,MATCH($B271,VN_국채일별!$A$4:$A$1436,1))-INDEX(VN_국채일별!$F$4:$F$1436,MATCH($B271,VN_국채일별!$A$4:$A$1436,1)))*($J271-7)/3,INDEX(VN_국채일별!$G$4:$G$1436,MATCH($B271,VN_국채일별!$A$4:$A$1436,1)))))))),""))</f>
        <v>0.0249833333333333</v>
      </c>
      <c r="R271" s="58" t="str">
        <f aca="false">IF(OR(L271="",Q271=""),"",(L271-Q271)*10000)</f>
        <v/>
      </c>
      <c r="S271" s="30" t="n">
        <f aca="false">IF(AND(K271="고정",N271="N",J271&gt;=2,J271&lt;=4,I271&lt;&gt;""),1,0)</f>
        <v>0</v>
      </c>
      <c r="T271" s="59" t="n">
        <f aca="false">IF(S271=1,I271*L271,0)</f>
        <v>0</v>
      </c>
      <c r="U271" s="60" t="n">
        <f aca="false">IF(AND(S271=1,ISNUMBER(R271)),I271*R271,0)</f>
        <v>0</v>
      </c>
      <c r="V271" s="30" t="n">
        <f aca="false">IF(AND(F271="Big4(국영)",K271="고정",N271="N",I271&lt;&gt;""),1,0)</f>
        <v>0</v>
      </c>
      <c r="W271" s="59" t="n">
        <f aca="false">IF(V271=1,I271*L271,0)</f>
        <v>0</v>
      </c>
      <c r="X271" s="60" t="n">
        <f aca="false">IF(AND(V271=1,ISNUMBER(R271)),I271*R271,0)</f>
        <v>0</v>
      </c>
      <c r="Y271" s="61" t="n">
        <f aca="false">IF(AND(S271=1,ISNUMBER(R271)),I271,0)</f>
        <v>0</v>
      </c>
      <c r="Z271" s="61" t="n">
        <f aca="false">IF(AND(V271=1,ISNUMBER(R271)),I271,0)</f>
        <v>0</v>
      </c>
    </row>
    <row r="272" customFormat="false" ht="15" hidden="false" customHeight="false" outlineLevel="0" collapsed="false">
      <c r="A272" s="47" t="s">
        <v>614</v>
      </c>
      <c r="B272" s="52" t="n">
        <v>45482</v>
      </c>
      <c r="C272" s="53" t="n">
        <f aca="false">DATE(YEAR(B272),MONTH(B272),1)</f>
        <v>45474</v>
      </c>
      <c r="D272" s="5" t="str">
        <f aca="false">YEAR(B272)&amp;"Q"&amp;ROUNDUP(MONTH(B272)/3,0)</f>
        <v>2024Q3</v>
      </c>
      <c r="E272" s="62" t="s">
        <v>155</v>
      </c>
      <c r="F272" s="62" t="s">
        <v>156</v>
      </c>
      <c r="G272" s="47" t="s">
        <v>157</v>
      </c>
      <c r="H272" s="47" t="s">
        <v>625</v>
      </c>
      <c r="I272" s="55" t="n">
        <v>450</v>
      </c>
      <c r="J272" s="56" t="n">
        <v>7</v>
      </c>
      <c r="K272" s="54" t="s">
        <v>153</v>
      </c>
      <c r="N272" s="47" t="s">
        <v>143</v>
      </c>
      <c r="O272" s="47" t="s">
        <v>626</v>
      </c>
      <c r="P272" s="47"/>
      <c r="Q272" s="48" t="n">
        <f aca="false">IF($J272="","",IFERROR(IF($J272&lt;=1,INDEX(VN_국채일별!$B$4:$B$1436,MATCH($B272,VN_국채일별!$A$4:$A$1436,1)),IF($J272&lt;=2,INDEX(VN_국채일별!$B$4:$B$1436,MATCH($B272,VN_국채일별!$A$4:$A$1436,1))+(INDEX(VN_국채일별!$C$4:$C$1436,MATCH($B272,VN_국채일별!$A$4:$A$1436,1))-INDEX(VN_국채일별!$B$4:$B$1436,MATCH($B272,VN_국채일별!$A$4:$A$1436,1)))*($J272-1),IF($J272&lt;=3,INDEX(VN_국채일별!$C$4:$C$1436,MATCH($B272,VN_국채일별!$A$4:$A$1436,1))+(INDEX(VN_국채일별!$D$4:$D$1436,MATCH($B272,VN_국채일별!$A$4:$A$1436,1))-INDEX(VN_국채일별!$C$4:$C$1436,MATCH($B272,VN_국채일별!$A$4:$A$1436,1)))*($J272-2),IF($J272&lt;=5,INDEX(VN_국채일별!$D$4:$D$1436,MATCH($B272,VN_국채일별!$A$4:$A$1436,1))+(INDEX(VN_국채일별!$E$4:$E$1436,MATCH($B272,VN_국채일별!$A$4:$A$1436,1))-INDEX(VN_국채일별!$D$4:$D$1436,MATCH($B272,VN_국채일별!$A$4:$A$1436,1)))*($J272-3)/2,IF($J272&lt;=7,INDEX(VN_국채일별!$E$4:$E$1436,MATCH($B272,VN_국채일별!$A$4:$A$1436,1))+(INDEX(VN_국채일별!$F$4:$F$1436,MATCH($B272,VN_국채일별!$A$4:$A$1436,1))-INDEX(VN_국채일별!$E$4:$E$1436,MATCH($B272,VN_국채일별!$A$4:$A$1436,1)))*($J272-5)/2,IF($J272&lt;=10,INDEX(VN_국채일별!$F$4:$F$1436,MATCH($B272,VN_국채일별!$A$4:$A$1436,1))+(INDEX(VN_국채일별!$G$4:$G$1436,MATCH($B272,VN_국채일별!$A$4:$A$1436,1))-INDEX(VN_국채일별!$F$4:$F$1436,MATCH($B272,VN_국채일별!$A$4:$A$1436,1)))*($J272-7)/3,INDEX(VN_국채일별!$G$4:$G$1436,MATCH($B272,VN_국채일별!$A$4:$A$1436,1)))))))),""))</f>
        <v>0.02338</v>
      </c>
      <c r="R272" s="58" t="str">
        <f aca="false">IF(OR(L272="",Q272=""),"",(L272-Q272)*10000)</f>
        <v/>
      </c>
      <c r="S272" s="30" t="n">
        <f aca="false">IF(AND(K272="고정",N272="N",J272&gt;=2,J272&lt;=4,I272&lt;&gt;""),1,0)</f>
        <v>0</v>
      </c>
      <c r="T272" s="59" t="n">
        <f aca="false">IF(S272=1,I272*L272,0)</f>
        <v>0</v>
      </c>
      <c r="U272" s="60" t="n">
        <f aca="false">IF(AND(S272=1,ISNUMBER(R272)),I272*R272,0)</f>
        <v>0</v>
      </c>
      <c r="V272" s="30" t="n">
        <f aca="false">IF(AND(F272="Big4(국영)",K272="고정",N272="N",I272&lt;&gt;""),1,0)</f>
        <v>0</v>
      </c>
      <c r="W272" s="59" t="n">
        <f aca="false">IF(V272=1,I272*L272,0)</f>
        <v>0</v>
      </c>
      <c r="X272" s="60" t="n">
        <f aca="false">IF(AND(V272=1,ISNUMBER(R272)),I272*R272,0)</f>
        <v>0</v>
      </c>
      <c r="Y272" s="61" t="n">
        <f aca="false">IF(AND(S272=1,ISNUMBER(R272)),I272,0)</f>
        <v>0</v>
      </c>
      <c r="Z272" s="61" t="n">
        <f aca="false">IF(AND(V272=1,ISNUMBER(R272)),I272,0)</f>
        <v>0</v>
      </c>
    </row>
    <row r="273" customFormat="false" ht="15" hidden="false" customHeight="false" outlineLevel="0" collapsed="false">
      <c r="A273" s="47" t="s">
        <v>614</v>
      </c>
      <c r="B273" s="52" t="n">
        <v>45482</v>
      </c>
      <c r="C273" s="53" t="n">
        <f aca="false">DATE(YEAR(B273),MONTH(B273),1)</f>
        <v>45474</v>
      </c>
      <c r="D273" s="5" t="str">
        <f aca="false">YEAR(B273)&amp;"Q"&amp;ROUNDUP(MONTH(B273)/3,0)</f>
        <v>2024Q3</v>
      </c>
      <c r="E273" s="47" t="s">
        <v>181</v>
      </c>
      <c r="F273" s="54" t="s">
        <v>139</v>
      </c>
      <c r="G273" s="47" t="s">
        <v>182</v>
      </c>
      <c r="H273" s="47" t="s">
        <v>627</v>
      </c>
      <c r="I273" s="55" t="n">
        <v>500</v>
      </c>
      <c r="J273" s="56" t="n">
        <v>3</v>
      </c>
      <c r="K273" s="54" t="s">
        <v>142</v>
      </c>
      <c r="L273" s="57" t="n">
        <v>0.052</v>
      </c>
      <c r="N273" s="47" t="s">
        <v>148</v>
      </c>
      <c r="O273" s="47" t="s">
        <v>538</v>
      </c>
      <c r="P273" s="47"/>
      <c r="Q273" s="48" t="n">
        <f aca="false">IF($J273="","",IFERROR(IF($J273&lt;=1,INDEX(VN_국채일별!$B$4:$B$1436,MATCH($B273,VN_국채일별!$A$4:$A$1436,1)),IF($J273&lt;=2,INDEX(VN_국채일별!$B$4:$B$1436,MATCH($B273,VN_국채일별!$A$4:$A$1436,1))+(INDEX(VN_국채일별!$C$4:$C$1436,MATCH($B273,VN_국채일별!$A$4:$A$1436,1))-INDEX(VN_국채일별!$B$4:$B$1436,MATCH($B273,VN_국채일별!$A$4:$A$1436,1)))*($J273-1),IF($J273&lt;=3,INDEX(VN_국채일별!$C$4:$C$1436,MATCH($B273,VN_국채일별!$A$4:$A$1436,1))+(INDEX(VN_국채일별!$D$4:$D$1436,MATCH($B273,VN_국채일별!$A$4:$A$1436,1))-INDEX(VN_국채일별!$C$4:$C$1436,MATCH($B273,VN_국채일별!$A$4:$A$1436,1)))*($J273-2),IF($J273&lt;=5,INDEX(VN_국채일별!$D$4:$D$1436,MATCH($B273,VN_국채일별!$A$4:$A$1436,1))+(INDEX(VN_국채일별!$E$4:$E$1436,MATCH($B273,VN_국채일별!$A$4:$A$1436,1))-INDEX(VN_국채일별!$D$4:$D$1436,MATCH($B273,VN_국채일별!$A$4:$A$1436,1)))*($J273-3)/2,IF($J273&lt;=7,INDEX(VN_국채일별!$E$4:$E$1436,MATCH($B273,VN_국채일별!$A$4:$A$1436,1))+(INDEX(VN_국채일별!$F$4:$F$1436,MATCH($B273,VN_국채일별!$A$4:$A$1436,1))-INDEX(VN_국채일별!$E$4:$E$1436,MATCH($B273,VN_국채일별!$A$4:$A$1436,1)))*($J273-5)/2,IF($J273&lt;=10,INDEX(VN_국채일별!$F$4:$F$1436,MATCH($B273,VN_국채일별!$A$4:$A$1436,1))+(INDEX(VN_국채일별!$G$4:$G$1436,MATCH($B273,VN_국채일별!$A$4:$A$1436,1))-INDEX(VN_국채일별!$F$4:$F$1436,MATCH($B273,VN_국채일별!$A$4:$A$1436,1)))*($J273-7)/3,INDEX(VN_국채일별!$G$4:$G$1436,MATCH($B273,VN_국채일별!$A$4:$A$1436,1)))))))),""))</f>
        <v>0.02</v>
      </c>
      <c r="R273" s="58" t="n">
        <f aca="false">IF(OR(L273="",Q273=""),"",(L273-Q273)*10000)</f>
        <v>320</v>
      </c>
      <c r="S273" s="30" t="n">
        <f aca="false">IF(AND(K273="고정",N273="N",J273&gt;=2,J273&lt;=4,I273&lt;&gt;""),1,0)</f>
        <v>1</v>
      </c>
      <c r="T273" s="59" t="n">
        <f aca="false">IF(S273=1,I273*L273,0)</f>
        <v>26</v>
      </c>
      <c r="U273" s="60" t="n">
        <f aca="false">IF(AND(S273=1,ISNUMBER(R273)),I273*R273,0)</f>
        <v>160000</v>
      </c>
      <c r="V273" s="30" t="n">
        <f aca="false">IF(AND(F273="Big4(국영)",K273="고정",N273="N",I273&lt;&gt;""),1,0)</f>
        <v>0</v>
      </c>
      <c r="W273" s="59" t="n">
        <f aca="false">IF(V273=1,I273*L273,0)</f>
        <v>0</v>
      </c>
      <c r="X273" s="60" t="n">
        <f aca="false">IF(AND(V273=1,ISNUMBER(R273)),I273*R273,0)</f>
        <v>0</v>
      </c>
      <c r="Y273" s="61" t="n">
        <f aca="false">IF(AND(S273=1,ISNUMBER(R273)),I273,0)</f>
        <v>500</v>
      </c>
      <c r="Z273" s="61" t="n">
        <f aca="false">IF(AND(V273=1,ISNUMBER(R273)),I273,0)</f>
        <v>0</v>
      </c>
    </row>
    <row r="274" customFormat="false" ht="15" hidden="false" customHeight="false" outlineLevel="0" collapsed="false">
      <c r="A274" s="47" t="s">
        <v>614</v>
      </c>
      <c r="B274" s="52" t="n">
        <v>45482</v>
      </c>
      <c r="C274" s="53" t="n">
        <f aca="false">DATE(YEAR(B274),MONTH(B274),1)</f>
        <v>45474</v>
      </c>
      <c r="D274" s="5" t="str">
        <f aca="false">YEAR(B274)&amp;"Q"&amp;ROUNDUP(MONTH(B274)/3,0)</f>
        <v>2024Q3</v>
      </c>
      <c r="E274" s="62" t="s">
        <v>173</v>
      </c>
      <c r="F274" s="62" t="s">
        <v>156</v>
      </c>
      <c r="G274" s="47" t="s">
        <v>174</v>
      </c>
      <c r="H274" s="47" t="s">
        <v>628</v>
      </c>
      <c r="I274" s="55" t="n">
        <v>1000</v>
      </c>
      <c r="J274" s="56" t="n">
        <v>15</v>
      </c>
      <c r="K274" s="54" t="s">
        <v>142</v>
      </c>
      <c r="L274" s="57" t="n">
        <v>0.065</v>
      </c>
      <c r="N274" s="47" t="s">
        <v>143</v>
      </c>
      <c r="O274" s="47" t="s">
        <v>417</v>
      </c>
      <c r="P274" s="47"/>
      <c r="Q274" s="48" t="n">
        <f aca="false">IF($J274="","",IFERROR(IF($J274&lt;=1,INDEX(VN_국채일별!$B$4:$B$1436,MATCH($B274,VN_국채일별!$A$4:$A$1436,1)),IF($J274&lt;=2,INDEX(VN_국채일별!$B$4:$B$1436,MATCH($B274,VN_국채일별!$A$4:$A$1436,1))+(INDEX(VN_국채일별!$C$4:$C$1436,MATCH($B274,VN_국채일별!$A$4:$A$1436,1))-INDEX(VN_국채일별!$B$4:$B$1436,MATCH($B274,VN_국채일별!$A$4:$A$1436,1)))*($J274-1),IF($J274&lt;=3,INDEX(VN_국채일별!$C$4:$C$1436,MATCH($B274,VN_국채일별!$A$4:$A$1436,1))+(INDEX(VN_국채일별!$D$4:$D$1436,MATCH($B274,VN_국채일별!$A$4:$A$1436,1))-INDEX(VN_국채일별!$C$4:$C$1436,MATCH($B274,VN_국채일별!$A$4:$A$1436,1)))*($J274-2),IF($J274&lt;=5,INDEX(VN_국채일별!$D$4:$D$1436,MATCH($B274,VN_국채일별!$A$4:$A$1436,1))+(INDEX(VN_국채일별!$E$4:$E$1436,MATCH($B274,VN_국채일별!$A$4:$A$1436,1))-INDEX(VN_국채일별!$D$4:$D$1436,MATCH($B274,VN_국채일별!$A$4:$A$1436,1)))*($J274-3)/2,IF($J274&lt;=7,INDEX(VN_국채일별!$E$4:$E$1436,MATCH($B274,VN_국채일별!$A$4:$A$1436,1))+(INDEX(VN_국채일별!$F$4:$F$1436,MATCH($B274,VN_국채일별!$A$4:$A$1436,1))-INDEX(VN_국채일별!$E$4:$E$1436,MATCH($B274,VN_국채일별!$A$4:$A$1436,1)))*($J274-5)/2,IF($J274&lt;=10,INDEX(VN_국채일별!$F$4:$F$1436,MATCH($B274,VN_국채일별!$A$4:$A$1436,1))+(INDEX(VN_국채일별!$G$4:$G$1436,MATCH($B274,VN_국채일별!$A$4:$A$1436,1))-INDEX(VN_국채일별!$F$4:$F$1436,MATCH($B274,VN_국채일별!$A$4:$A$1436,1)))*($J274-7)/3,INDEX(VN_국채일별!$G$4:$G$1436,MATCH($B274,VN_국채일별!$A$4:$A$1436,1)))))))),""))</f>
        <v>0.02819</v>
      </c>
      <c r="R274" s="58" t="n">
        <f aca="false">IF(OR(L274="",Q274=""),"",(L274-Q274)*10000)</f>
        <v>368.1</v>
      </c>
      <c r="S274" s="30" t="n">
        <f aca="false">IF(AND(K274="고정",N274="N",J274&gt;=2,J274&lt;=4,I274&lt;&gt;""),1,0)</f>
        <v>0</v>
      </c>
      <c r="T274" s="59" t="n">
        <f aca="false">IF(S274=1,I274*L274,0)</f>
        <v>0</v>
      </c>
      <c r="U274" s="60" t="n">
        <f aca="false">IF(AND(S274=1,ISNUMBER(R274)),I274*R274,0)</f>
        <v>0</v>
      </c>
      <c r="V274" s="30" t="n">
        <f aca="false">IF(AND(F274="Big4(국영)",K274="고정",N274="N",I274&lt;&gt;""),1,0)</f>
        <v>0</v>
      </c>
      <c r="W274" s="59" t="n">
        <f aca="false">IF(V274=1,I274*L274,0)</f>
        <v>0</v>
      </c>
      <c r="X274" s="60" t="n">
        <f aca="false">IF(AND(V274=1,ISNUMBER(R274)),I274*R274,0)</f>
        <v>0</v>
      </c>
      <c r="Y274" s="61" t="n">
        <f aca="false">IF(AND(S274=1,ISNUMBER(R274)),I274,0)</f>
        <v>0</v>
      </c>
      <c r="Z274" s="61" t="n">
        <f aca="false">IF(AND(V274=1,ISNUMBER(R274)),I274,0)</f>
        <v>0</v>
      </c>
    </row>
    <row r="275" customFormat="false" ht="15" hidden="false" customHeight="false" outlineLevel="0" collapsed="false">
      <c r="A275" s="47" t="s">
        <v>614</v>
      </c>
      <c r="B275" s="52" t="n">
        <v>45484</v>
      </c>
      <c r="C275" s="53" t="n">
        <f aca="false">DATE(YEAR(B275),MONTH(B275),1)</f>
        <v>45474</v>
      </c>
      <c r="D275" s="5" t="str">
        <f aca="false">YEAR(B275)&amp;"Q"&amp;ROUNDUP(MONTH(B275)/3,0)</f>
        <v>2024Q3</v>
      </c>
      <c r="E275" s="62" t="s">
        <v>173</v>
      </c>
      <c r="F275" s="62" t="s">
        <v>156</v>
      </c>
      <c r="G275" s="47" t="s">
        <v>174</v>
      </c>
      <c r="H275" s="47" t="s">
        <v>629</v>
      </c>
      <c r="I275" s="55" t="n">
        <v>400</v>
      </c>
      <c r="J275" s="56" t="n">
        <v>8</v>
      </c>
      <c r="K275" s="54" t="s">
        <v>153</v>
      </c>
      <c r="N275" s="47" t="s">
        <v>143</v>
      </c>
      <c r="O275" s="47" t="s">
        <v>487</v>
      </c>
      <c r="P275" s="47"/>
      <c r="Q275" s="48" t="n">
        <f aca="false">IF($J275="","",IFERROR(IF($J275&lt;=1,INDEX(VN_국채일별!$B$4:$B$1436,MATCH($B275,VN_국채일별!$A$4:$A$1436,1)),IF($J275&lt;=2,INDEX(VN_국채일별!$B$4:$B$1436,MATCH($B275,VN_국채일별!$A$4:$A$1436,1))+(INDEX(VN_국채일별!$C$4:$C$1436,MATCH($B275,VN_국채일별!$A$4:$A$1436,1))-INDEX(VN_국채일별!$B$4:$B$1436,MATCH($B275,VN_국채일별!$A$4:$A$1436,1)))*($J275-1),IF($J275&lt;=3,INDEX(VN_국채일별!$C$4:$C$1436,MATCH($B275,VN_국채일별!$A$4:$A$1436,1))+(INDEX(VN_국채일별!$D$4:$D$1436,MATCH($B275,VN_국채일별!$A$4:$A$1436,1))-INDEX(VN_국채일별!$C$4:$C$1436,MATCH($B275,VN_국채일별!$A$4:$A$1436,1)))*($J275-2),IF($J275&lt;=5,INDEX(VN_국채일별!$D$4:$D$1436,MATCH($B275,VN_국채일별!$A$4:$A$1436,1))+(INDEX(VN_국채일별!$E$4:$E$1436,MATCH($B275,VN_국채일별!$A$4:$A$1436,1))-INDEX(VN_국채일별!$D$4:$D$1436,MATCH($B275,VN_국채일별!$A$4:$A$1436,1)))*($J275-3)/2,IF($J275&lt;=7,INDEX(VN_국채일별!$E$4:$E$1436,MATCH($B275,VN_국채일별!$A$4:$A$1436,1))+(INDEX(VN_국채일별!$F$4:$F$1436,MATCH($B275,VN_국채일별!$A$4:$A$1436,1))-INDEX(VN_국채일별!$E$4:$E$1436,MATCH($B275,VN_국채일별!$A$4:$A$1436,1)))*($J275-5)/2,IF($J275&lt;=10,INDEX(VN_국채일별!$F$4:$F$1436,MATCH($B275,VN_국채일별!$A$4:$A$1436,1))+(INDEX(VN_국채일별!$G$4:$G$1436,MATCH($B275,VN_국채일별!$A$4:$A$1436,1))-INDEX(VN_국채일별!$F$4:$F$1436,MATCH($B275,VN_국채일별!$A$4:$A$1436,1)))*($J275-7)/3,INDEX(VN_국채일별!$G$4:$G$1436,MATCH($B275,VN_국채일별!$A$4:$A$1436,1)))))))),""))</f>
        <v>0.0249766666666667</v>
      </c>
      <c r="R275" s="58" t="str">
        <f aca="false">IF(OR(L275="",Q275=""),"",(L275-Q275)*10000)</f>
        <v/>
      </c>
      <c r="S275" s="30" t="n">
        <f aca="false">IF(AND(K275="고정",N275="N",J275&gt;=2,J275&lt;=4,I275&lt;&gt;""),1,0)</f>
        <v>0</v>
      </c>
      <c r="T275" s="59" t="n">
        <f aca="false">IF(S275=1,I275*L275,0)</f>
        <v>0</v>
      </c>
      <c r="U275" s="60" t="n">
        <f aca="false">IF(AND(S275=1,ISNUMBER(R275)),I275*R275,0)</f>
        <v>0</v>
      </c>
      <c r="V275" s="30" t="n">
        <f aca="false">IF(AND(F275="Big4(국영)",K275="고정",N275="N",I275&lt;&gt;""),1,0)</f>
        <v>0</v>
      </c>
      <c r="W275" s="59" t="n">
        <f aca="false">IF(V275=1,I275*L275,0)</f>
        <v>0</v>
      </c>
      <c r="X275" s="60" t="n">
        <f aca="false">IF(AND(V275=1,ISNUMBER(R275)),I275*R275,0)</f>
        <v>0</v>
      </c>
      <c r="Y275" s="61" t="n">
        <f aca="false">IF(AND(S275=1,ISNUMBER(R275)),I275,0)</f>
        <v>0</v>
      </c>
      <c r="Z275" s="61" t="n">
        <f aca="false">IF(AND(V275=1,ISNUMBER(R275)),I275,0)</f>
        <v>0</v>
      </c>
    </row>
    <row r="276" customFormat="false" ht="15" hidden="false" customHeight="false" outlineLevel="0" collapsed="false">
      <c r="A276" s="47" t="s">
        <v>614</v>
      </c>
      <c r="B276" s="52" t="n">
        <v>45485</v>
      </c>
      <c r="C276" s="53" t="n">
        <f aca="false">DATE(YEAR(B276),MONTH(B276),1)</f>
        <v>45474</v>
      </c>
      <c r="D276" s="5" t="str">
        <f aca="false">YEAR(B276)&amp;"Q"&amp;ROUNDUP(MONTH(B276)/3,0)</f>
        <v>2024Q3</v>
      </c>
      <c r="E276" s="47" t="s">
        <v>215</v>
      </c>
      <c r="F276" s="54" t="s">
        <v>139</v>
      </c>
      <c r="G276" s="47" t="s">
        <v>391</v>
      </c>
      <c r="H276" s="47" t="s">
        <v>630</v>
      </c>
      <c r="I276" s="55" t="n">
        <v>200</v>
      </c>
      <c r="J276" s="56" t="n">
        <v>6</v>
      </c>
      <c r="K276" s="54" t="s">
        <v>142</v>
      </c>
      <c r="L276" s="57" t="n">
        <v>0.077</v>
      </c>
      <c r="N276" s="47" t="s">
        <v>148</v>
      </c>
      <c r="O276" s="47" t="s">
        <v>399</v>
      </c>
      <c r="P276" s="47"/>
      <c r="Q276" s="48" t="n">
        <f aca="false">IF($J276="","",IFERROR(IF($J276&lt;=1,INDEX(VN_국채일별!$B$4:$B$1436,MATCH($B276,VN_국채일별!$A$4:$A$1436,1)),IF($J276&lt;=2,INDEX(VN_국채일별!$B$4:$B$1436,MATCH($B276,VN_국채일별!$A$4:$A$1436,1))+(INDEX(VN_국채일별!$C$4:$C$1436,MATCH($B276,VN_국채일별!$A$4:$A$1436,1))-INDEX(VN_국채일별!$B$4:$B$1436,MATCH($B276,VN_국채일별!$A$4:$A$1436,1)))*($J276-1),IF($J276&lt;=3,INDEX(VN_국채일별!$C$4:$C$1436,MATCH($B276,VN_국채일별!$A$4:$A$1436,1))+(INDEX(VN_국채일별!$D$4:$D$1436,MATCH($B276,VN_국채일별!$A$4:$A$1436,1))-INDEX(VN_국채일별!$C$4:$C$1436,MATCH($B276,VN_국채일별!$A$4:$A$1436,1)))*($J276-2),IF($J276&lt;=5,INDEX(VN_국채일별!$D$4:$D$1436,MATCH($B276,VN_국채일별!$A$4:$A$1436,1))+(INDEX(VN_국채일별!$E$4:$E$1436,MATCH($B276,VN_국채일별!$A$4:$A$1436,1))-INDEX(VN_국채일별!$D$4:$D$1436,MATCH($B276,VN_국채일별!$A$4:$A$1436,1)))*($J276-3)/2,IF($J276&lt;=7,INDEX(VN_국채일별!$E$4:$E$1436,MATCH($B276,VN_국채일별!$A$4:$A$1436,1))+(INDEX(VN_국채일별!$F$4:$F$1436,MATCH($B276,VN_국채일별!$A$4:$A$1436,1))-INDEX(VN_국채일별!$E$4:$E$1436,MATCH($B276,VN_국채일별!$A$4:$A$1436,1)))*($J276-5)/2,IF($J276&lt;=10,INDEX(VN_국채일별!$F$4:$F$1436,MATCH($B276,VN_국채일별!$A$4:$A$1436,1))+(INDEX(VN_국채일별!$G$4:$G$1436,MATCH($B276,VN_국채일별!$A$4:$A$1436,1))-INDEX(VN_국채일별!$F$4:$F$1436,MATCH($B276,VN_국채일별!$A$4:$A$1436,1)))*($J276-7)/3,INDEX(VN_국채일별!$G$4:$G$1436,MATCH($B276,VN_국채일별!$A$4:$A$1436,1)))))))),""))</f>
        <v>0.022045</v>
      </c>
      <c r="R276" s="58" t="n">
        <f aca="false">IF(OR(L276="",Q276=""),"",(L276-Q276)*10000)</f>
        <v>549.55</v>
      </c>
      <c r="S276" s="30" t="n">
        <f aca="false">IF(AND(K276="고정",N276="N",J276&gt;=2,J276&lt;=4,I276&lt;&gt;""),1,0)</f>
        <v>0</v>
      </c>
      <c r="T276" s="59" t="n">
        <f aca="false">IF(S276=1,I276*L276,0)</f>
        <v>0</v>
      </c>
      <c r="U276" s="60" t="n">
        <f aca="false">IF(AND(S276=1,ISNUMBER(R276)),I276*R276,0)</f>
        <v>0</v>
      </c>
      <c r="V276" s="30" t="n">
        <f aca="false">IF(AND(F276="Big4(국영)",K276="고정",N276="N",I276&lt;&gt;""),1,0)</f>
        <v>0</v>
      </c>
      <c r="W276" s="59" t="n">
        <f aca="false">IF(V276=1,I276*L276,0)</f>
        <v>0</v>
      </c>
      <c r="X276" s="60" t="n">
        <f aca="false">IF(AND(V276=1,ISNUMBER(R276)),I276*R276,0)</f>
        <v>0</v>
      </c>
      <c r="Y276" s="61" t="n">
        <f aca="false">IF(AND(S276=1,ISNUMBER(R276)),I276,0)</f>
        <v>0</v>
      </c>
      <c r="Z276" s="61" t="n">
        <f aca="false">IF(AND(V276=1,ISNUMBER(R276)),I276,0)</f>
        <v>0</v>
      </c>
    </row>
    <row r="277" customFormat="false" ht="15" hidden="false" customHeight="false" outlineLevel="0" collapsed="false">
      <c r="A277" s="47" t="s">
        <v>614</v>
      </c>
      <c r="B277" s="52" t="n">
        <v>45488</v>
      </c>
      <c r="C277" s="53" t="n">
        <f aca="false">DATE(YEAR(B277),MONTH(B277),1)</f>
        <v>45474</v>
      </c>
      <c r="D277" s="5" t="str">
        <f aca="false">YEAR(B277)&amp;"Q"&amp;ROUNDUP(MONTH(B277)/3,0)</f>
        <v>2024Q3</v>
      </c>
      <c r="E277" s="47" t="s">
        <v>160</v>
      </c>
      <c r="F277" s="54" t="s">
        <v>139</v>
      </c>
      <c r="G277" s="47" t="s">
        <v>161</v>
      </c>
      <c r="H277" s="47" t="s">
        <v>631</v>
      </c>
      <c r="I277" s="55" t="n">
        <v>395.1028</v>
      </c>
      <c r="J277" s="56" t="n">
        <v>6</v>
      </c>
      <c r="K277" s="54" t="s">
        <v>153</v>
      </c>
      <c r="N277" s="47" t="s">
        <v>148</v>
      </c>
      <c r="O277" s="47" t="s">
        <v>618</v>
      </c>
      <c r="P277" s="47"/>
      <c r="Q277" s="48" t="n">
        <f aca="false">IF($J277="","",IFERROR(IF($J277&lt;=1,INDEX(VN_국채일별!$B$4:$B$1436,MATCH($B277,VN_국채일별!$A$4:$A$1436,1)),IF($J277&lt;=2,INDEX(VN_국채일별!$B$4:$B$1436,MATCH($B277,VN_국채일별!$A$4:$A$1436,1))+(INDEX(VN_국채일별!$C$4:$C$1436,MATCH($B277,VN_국채일별!$A$4:$A$1436,1))-INDEX(VN_국채일별!$B$4:$B$1436,MATCH($B277,VN_국채일별!$A$4:$A$1436,1)))*($J277-1),IF($J277&lt;=3,INDEX(VN_국채일별!$C$4:$C$1436,MATCH($B277,VN_국채일별!$A$4:$A$1436,1))+(INDEX(VN_국채일별!$D$4:$D$1436,MATCH($B277,VN_국채일별!$A$4:$A$1436,1))-INDEX(VN_국채일별!$C$4:$C$1436,MATCH($B277,VN_국채일별!$A$4:$A$1436,1)))*($J277-2),IF($J277&lt;=5,INDEX(VN_국채일별!$D$4:$D$1436,MATCH($B277,VN_국채일별!$A$4:$A$1436,1))+(INDEX(VN_국채일별!$E$4:$E$1436,MATCH($B277,VN_국채일별!$A$4:$A$1436,1))-INDEX(VN_국채일별!$D$4:$D$1436,MATCH($B277,VN_국채일별!$A$4:$A$1436,1)))*($J277-3)/2,IF($J277&lt;=7,INDEX(VN_국채일별!$E$4:$E$1436,MATCH($B277,VN_국채일별!$A$4:$A$1436,1))+(INDEX(VN_국채일별!$F$4:$F$1436,MATCH($B277,VN_국채일별!$A$4:$A$1436,1))-INDEX(VN_국채일별!$E$4:$E$1436,MATCH($B277,VN_국채일별!$A$4:$A$1436,1)))*($J277-5)/2,IF($J277&lt;=10,INDEX(VN_국채일별!$F$4:$F$1436,MATCH($B277,VN_국채일별!$A$4:$A$1436,1))+(INDEX(VN_국채일별!$G$4:$G$1436,MATCH($B277,VN_국채일별!$A$4:$A$1436,1))-INDEX(VN_국채일별!$F$4:$F$1436,MATCH($B277,VN_국채일별!$A$4:$A$1436,1)))*($J277-7)/3,INDEX(VN_국채일별!$G$4:$G$1436,MATCH($B277,VN_국채일별!$A$4:$A$1436,1)))))))),""))</f>
        <v>0.022045</v>
      </c>
      <c r="R277" s="58" t="str">
        <f aca="false">IF(OR(L277="",Q277=""),"",(L277-Q277)*10000)</f>
        <v/>
      </c>
      <c r="S277" s="30" t="n">
        <f aca="false">IF(AND(K277="고정",N277="N",J277&gt;=2,J277&lt;=4,I277&lt;&gt;""),1,0)</f>
        <v>0</v>
      </c>
      <c r="T277" s="59" t="n">
        <f aca="false">IF(S277=1,I277*L277,0)</f>
        <v>0</v>
      </c>
      <c r="U277" s="60" t="n">
        <f aca="false">IF(AND(S277=1,ISNUMBER(R277)),I277*R277,0)</f>
        <v>0</v>
      </c>
      <c r="V277" s="30" t="n">
        <f aca="false">IF(AND(F277="Big4(국영)",K277="고정",N277="N",I277&lt;&gt;""),1,0)</f>
        <v>0</v>
      </c>
      <c r="W277" s="59" t="n">
        <f aca="false">IF(V277=1,I277*L277,0)</f>
        <v>0</v>
      </c>
      <c r="X277" s="60" t="n">
        <f aca="false">IF(AND(V277=1,ISNUMBER(R277)),I277*R277,0)</f>
        <v>0</v>
      </c>
      <c r="Y277" s="61" t="n">
        <f aca="false">IF(AND(S277=1,ISNUMBER(R277)),I277,0)</f>
        <v>0</v>
      </c>
      <c r="Z277" s="61" t="n">
        <f aca="false">IF(AND(V277=1,ISNUMBER(R277)),I277,0)</f>
        <v>0</v>
      </c>
    </row>
    <row r="278" customFormat="false" ht="15" hidden="false" customHeight="false" outlineLevel="0" collapsed="false">
      <c r="A278" s="47" t="s">
        <v>614</v>
      </c>
      <c r="B278" s="52" t="n">
        <v>45488</v>
      </c>
      <c r="C278" s="53" t="n">
        <f aca="false">DATE(YEAR(B278),MONTH(B278),1)</f>
        <v>45474</v>
      </c>
      <c r="D278" s="5" t="str">
        <f aca="false">YEAR(B278)&amp;"Q"&amp;ROUNDUP(MONTH(B278)/3,0)</f>
        <v>2024Q3</v>
      </c>
      <c r="E278" s="47" t="s">
        <v>254</v>
      </c>
      <c r="F278" s="54" t="s">
        <v>139</v>
      </c>
      <c r="G278" s="47" t="s">
        <v>339</v>
      </c>
      <c r="H278" s="47" t="s">
        <v>632</v>
      </c>
      <c r="I278" s="55" t="n">
        <v>500</v>
      </c>
      <c r="J278" s="56" t="n">
        <v>3</v>
      </c>
      <c r="K278" s="54" t="s">
        <v>142</v>
      </c>
      <c r="L278" s="57" t="n">
        <v>0.06</v>
      </c>
      <c r="N278" s="47" t="s">
        <v>148</v>
      </c>
      <c r="O278" s="47" t="s">
        <v>449</v>
      </c>
      <c r="P278" s="47"/>
      <c r="Q278" s="48" t="n">
        <f aca="false">IF($J278="","",IFERROR(IF($J278&lt;=1,INDEX(VN_국채일별!$B$4:$B$1436,MATCH($B278,VN_국채일별!$A$4:$A$1436,1)),IF($J278&lt;=2,INDEX(VN_국채일별!$B$4:$B$1436,MATCH($B278,VN_국채일별!$A$4:$A$1436,1))+(INDEX(VN_국채일별!$C$4:$C$1436,MATCH($B278,VN_국채일별!$A$4:$A$1436,1))-INDEX(VN_국채일별!$B$4:$B$1436,MATCH($B278,VN_국채일별!$A$4:$A$1436,1)))*($J278-1),IF($J278&lt;=3,INDEX(VN_국채일별!$C$4:$C$1436,MATCH($B278,VN_국채일별!$A$4:$A$1436,1))+(INDEX(VN_국채일별!$D$4:$D$1436,MATCH($B278,VN_국채일별!$A$4:$A$1436,1))-INDEX(VN_국채일별!$C$4:$C$1436,MATCH($B278,VN_국채일별!$A$4:$A$1436,1)))*($J278-2),IF($J278&lt;=5,INDEX(VN_국채일별!$D$4:$D$1436,MATCH($B278,VN_국채일별!$A$4:$A$1436,1))+(INDEX(VN_국채일별!$E$4:$E$1436,MATCH($B278,VN_국채일별!$A$4:$A$1436,1))-INDEX(VN_국채일별!$D$4:$D$1436,MATCH($B278,VN_국채일별!$A$4:$A$1436,1)))*($J278-3)/2,IF($J278&lt;=7,INDEX(VN_국채일별!$E$4:$E$1436,MATCH($B278,VN_국채일별!$A$4:$A$1436,1))+(INDEX(VN_국채일별!$F$4:$F$1436,MATCH($B278,VN_국채일별!$A$4:$A$1436,1))-INDEX(VN_국채일별!$E$4:$E$1436,MATCH($B278,VN_국채일별!$A$4:$A$1436,1)))*($J278-5)/2,IF($J278&lt;=10,INDEX(VN_국채일별!$F$4:$F$1436,MATCH($B278,VN_국채일별!$A$4:$A$1436,1))+(INDEX(VN_국채일별!$G$4:$G$1436,MATCH($B278,VN_국채일별!$A$4:$A$1436,1))-INDEX(VN_국채일별!$F$4:$F$1436,MATCH($B278,VN_국채일별!$A$4:$A$1436,1)))*($J278-7)/3,INDEX(VN_국채일별!$G$4:$G$1436,MATCH($B278,VN_국채일별!$A$4:$A$1436,1)))))))),""))</f>
        <v>0.02</v>
      </c>
      <c r="R278" s="58" t="n">
        <f aca="false">IF(OR(L278="",Q278=""),"",(L278-Q278)*10000)</f>
        <v>400</v>
      </c>
      <c r="S278" s="30" t="n">
        <f aca="false">IF(AND(K278="고정",N278="N",J278&gt;=2,J278&lt;=4,I278&lt;&gt;""),1,0)</f>
        <v>1</v>
      </c>
      <c r="T278" s="59" t="n">
        <f aca="false">IF(S278=1,I278*L278,0)</f>
        <v>30</v>
      </c>
      <c r="U278" s="60" t="n">
        <f aca="false">IF(AND(S278=1,ISNUMBER(R278)),I278*R278,0)</f>
        <v>200000</v>
      </c>
      <c r="V278" s="30" t="n">
        <f aca="false">IF(AND(F278="Big4(국영)",K278="고정",N278="N",I278&lt;&gt;""),1,0)</f>
        <v>0</v>
      </c>
      <c r="W278" s="59" t="n">
        <f aca="false">IF(V278=1,I278*L278,0)</f>
        <v>0</v>
      </c>
      <c r="X278" s="60" t="n">
        <f aca="false">IF(AND(V278=1,ISNUMBER(R278)),I278*R278,0)</f>
        <v>0</v>
      </c>
      <c r="Y278" s="61" t="n">
        <f aca="false">IF(AND(S278=1,ISNUMBER(R278)),I278,0)</f>
        <v>500</v>
      </c>
      <c r="Z278" s="61" t="n">
        <f aca="false">IF(AND(V278=1,ISNUMBER(R278)),I278,0)</f>
        <v>0</v>
      </c>
    </row>
    <row r="279" customFormat="false" ht="15" hidden="false" customHeight="false" outlineLevel="0" collapsed="false">
      <c r="A279" s="47" t="s">
        <v>614</v>
      </c>
      <c r="B279" s="52" t="n">
        <v>45490</v>
      </c>
      <c r="C279" s="53" t="n">
        <f aca="false">DATE(YEAR(B279),MONTH(B279),1)</f>
        <v>45474</v>
      </c>
      <c r="D279" s="5" t="str">
        <f aca="false">YEAR(B279)&amp;"Q"&amp;ROUNDUP(MONTH(B279)/3,0)</f>
        <v>2024Q3</v>
      </c>
      <c r="E279" s="47" t="s">
        <v>191</v>
      </c>
      <c r="F279" s="54" t="s">
        <v>139</v>
      </c>
      <c r="G279" s="47" t="s">
        <v>622</v>
      </c>
      <c r="H279" s="47" t="s">
        <v>633</v>
      </c>
      <c r="I279" s="55" t="n">
        <v>1000</v>
      </c>
      <c r="J279" s="56" t="n">
        <v>3</v>
      </c>
      <c r="K279" s="54" t="s">
        <v>142</v>
      </c>
      <c r="L279" s="57" t="n">
        <v>0.063</v>
      </c>
      <c r="N279" s="47" t="s">
        <v>148</v>
      </c>
      <c r="O279" s="47" t="s">
        <v>439</v>
      </c>
      <c r="P279" s="47"/>
      <c r="Q279" s="48" t="n">
        <f aca="false">IF($J279="","",IFERROR(IF($J279&lt;=1,INDEX(VN_국채일별!$B$4:$B$1436,MATCH($B279,VN_국채일별!$A$4:$A$1436,1)),IF($J279&lt;=2,INDEX(VN_국채일별!$B$4:$B$1436,MATCH($B279,VN_국채일별!$A$4:$A$1436,1))+(INDEX(VN_국채일별!$C$4:$C$1436,MATCH($B279,VN_국채일별!$A$4:$A$1436,1))-INDEX(VN_국채일별!$B$4:$B$1436,MATCH($B279,VN_국채일별!$A$4:$A$1436,1)))*($J279-1),IF($J279&lt;=3,INDEX(VN_국채일별!$C$4:$C$1436,MATCH($B279,VN_국채일별!$A$4:$A$1436,1))+(INDEX(VN_국채일별!$D$4:$D$1436,MATCH($B279,VN_국채일별!$A$4:$A$1436,1))-INDEX(VN_국채일별!$C$4:$C$1436,MATCH($B279,VN_국채일별!$A$4:$A$1436,1)))*($J279-2),IF($J279&lt;=5,INDEX(VN_국채일별!$D$4:$D$1436,MATCH($B279,VN_국채일별!$A$4:$A$1436,1))+(INDEX(VN_국채일별!$E$4:$E$1436,MATCH($B279,VN_국채일별!$A$4:$A$1436,1))-INDEX(VN_국채일별!$D$4:$D$1436,MATCH($B279,VN_국채일별!$A$4:$A$1436,1)))*($J279-3)/2,IF($J279&lt;=7,INDEX(VN_국채일별!$E$4:$E$1436,MATCH($B279,VN_국채일별!$A$4:$A$1436,1))+(INDEX(VN_국채일별!$F$4:$F$1436,MATCH($B279,VN_국채일별!$A$4:$A$1436,1))-INDEX(VN_국채일별!$E$4:$E$1436,MATCH($B279,VN_국채일별!$A$4:$A$1436,1)))*($J279-5)/2,IF($J279&lt;=10,INDEX(VN_국채일별!$F$4:$F$1436,MATCH($B279,VN_국채일별!$A$4:$A$1436,1))+(INDEX(VN_국채일별!$G$4:$G$1436,MATCH($B279,VN_국채일별!$A$4:$A$1436,1))-INDEX(VN_국채일별!$F$4:$F$1436,MATCH($B279,VN_국채일별!$A$4:$A$1436,1)))*($J279-7)/3,INDEX(VN_국채일별!$G$4:$G$1436,MATCH($B279,VN_국채일별!$A$4:$A$1436,1)))))))),""))</f>
        <v>0.02</v>
      </c>
      <c r="R279" s="58" t="n">
        <f aca="false">IF(OR(L279="",Q279=""),"",(L279-Q279)*10000)</f>
        <v>430</v>
      </c>
      <c r="S279" s="30" t="n">
        <f aca="false">IF(AND(K279="고정",N279="N",J279&gt;=2,J279&lt;=4,I279&lt;&gt;""),1,0)</f>
        <v>1</v>
      </c>
      <c r="T279" s="59" t="n">
        <f aca="false">IF(S279=1,I279*L279,0)</f>
        <v>63</v>
      </c>
      <c r="U279" s="60" t="n">
        <f aca="false">IF(AND(S279=1,ISNUMBER(R279)),I279*R279,0)</f>
        <v>430000</v>
      </c>
      <c r="V279" s="30" t="n">
        <f aca="false">IF(AND(F279="Big4(국영)",K279="고정",N279="N",I279&lt;&gt;""),1,0)</f>
        <v>0</v>
      </c>
      <c r="W279" s="59" t="n">
        <f aca="false">IF(V279=1,I279*L279,0)</f>
        <v>0</v>
      </c>
      <c r="X279" s="60" t="n">
        <f aca="false">IF(AND(V279=1,ISNUMBER(R279)),I279*R279,0)</f>
        <v>0</v>
      </c>
      <c r="Y279" s="61" t="n">
        <f aca="false">IF(AND(S279=1,ISNUMBER(R279)),I279,0)</f>
        <v>1000</v>
      </c>
      <c r="Z279" s="61" t="n">
        <f aca="false">IF(AND(V279=1,ISNUMBER(R279)),I279,0)</f>
        <v>0</v>
      </c>
    </row>
    <row r="280" customFormat="false" ht="15" hidden="false" customHeight="false" outlineLevel="0" collapsed="false">
      <c r="A280" s="47" t="s">
        <v>614</v>
      </c>
      <c r="B280" s="52" t="n">
        <v>45490</v>
      </c>
      <c r="C280" s="53" t="n">
        <f aca="false">DATE(YEAR(B280),MONTH(B280),1)</f>
        <v>45474</v>
      </c>
      <c r="D280" s="5" t="str">
        <f aca="false">YEAR(B280)&amp;"Q"&amp;ROUNDUP(MONTH(B280)/3,0)</f>
        <v>2024Q3</v>
      </c>
      <c r="E280" s="62" t="s">
        <v>173</v>
      </c>
      <c r="F280" s="62" t="s">
        <v>156</v>
      </c>
      <c r="G280" s="47" t="s">
        <v>174</v>
      </c>
      <c r="H280" s="47" t="s">
        <v>634</v>
      </c>
      <c r="I280" s="55" t="n">
        <v>230</v>
      </c>
      <c r="J280" s="56" t="n">
        <v>15</v>
      </c>
      <c r="K280" s="54" t="s">
        <v>142</v>
      </c>
      <c r="L280" s="57" t="n">
        <v>0.065</v>
      </c>
      <c r="N280" s="47" t="s">
        <v>143</v>
      </c>
      <c r="O280" s="47" t="s">
        <v>417</v>
      </c>
      <c r="P280" s="47"/>
      <c r="Q280" s="48" t="n">
        <f aca="false">IF($J280="","",IFERROR(IF($J280&lt;=1,INDEX(VN_국채일별!$B$4:$B$1436,MATCH($B280,VN_국채일별!$A$4:$A$1436,1)),IF($J280&lt;=2,INDEX(VN_국채일별!$B$4:$B$1436,MATCH($B280,VN_국채일별!$A$4:$A$1436,1))+(INDEX(VN_국채일별!$C$4:$C$1436,MATCH($B280,VN_국채일별!$A$4:$A$1436,1))-INDEX(VN_국채일별!$B$4:$B$1436,MATCH($B280,VN_국채일별!$A$4:$A$1436,1)))*($J280-1),IF($J280&lt;=3,INDEX(VN_국채일별!$C$4:$C$1436,MATCH($B280,VN_국채일별!$A$4:$A$1436,1))+(INDEX(VN_국채일별!$D$4:$D$1436,MATCH($B280,VN_국채일별!$A$4:$A$1436,1))-INDEX(VN_국채일별!$C$4:$C$1436,MATCH($B280,VN_국채일별!$A$4:$A$1436,1)))*($J280-2),IF($J280&lt;=5,INDEX(VN_국채일별!$D$4:$D$1436,MATCH($B280,VN_국채일별!$A$4:$A$1436,1))+(INDEX(VN_국채일별!$E$4:$E$1436,MATCH($B280,VN_국채일별!$A$4:$A$1436,1))-INDEX(VN_국채일별!$D$4:$D$1436,MATCH($B280,VN_국채일별!$A$4:$A$1436,1)))*($J280-3)/2,IF($J280&lt;=7,INDEX(VN_국채일별!$E$4:$E$1436,MATCH($B280,VN_국채일별!$A$4:$A$1436,1))+(INDEX(VN_국채일별!$F$4:$F$1436,MATCH($B280,VN_국채일별!$A$4:$A$1436,1))-INDEX(VN_국채일별!$E$4:$E$1436,MATCH($B280,VN_국채일별!$A$4:$A$1436,1)))*($J280-5)/2,IF($J280&lt;=10,INDEX(VN_국채일별!$F$4:$F$1436,MATCH($B280,VN_국채일별!$A$4:$A$1436,1))+(INDEX(VN_국채일별!$G$4:$G$1436,MATCH($B280,VN_국채일별!$A$4:$A$1436,1))-INDEX(VN_국채일별!$F$4:$F$1436,MATCH($B280,VN_국채일별!$A$4:$A$1436,1)))*($J280-7)/3,INDEX(VN_국채일별!$G$4:$G$1436,MATCH($B280,VN_국채일별!$A$4:$A$1436,1)))))))),""))</f>
        <v>0.02827</v>
      </c>
      <c r="R280" s="58" t="n">
        <f aca="false">IF(OR(L280="",Q280=""),"",(L280-Q280)*10000)</f>
        <v>367.3</v>
      </c>
      <c r="S280" s="30" t="n">
        <f aca="false">IF(AND(K280="고정",N280="N",J280&gt;=2,J280&lt;=4,I280&lt;&gt;""),1,0)</f>
        <v>0</v>
      </c>
      <c r="T280" s="59" t="n">
        <f aca="false">IF(S280=1,I280*L280,0)</f>
        <v>0</v>
      </c>
      <c r="U280" s="60" t="n">
        <f aca="false">IF(AND(S280=1,ISNUMBER(R280)),I280*R280,0)</f>
        <v>0</v>
      </c>
      <c r="V280" s="30" t="n">
        <f aca="false">IF(AND(F280="Big4(국영)",K280="고정",N280="N",I280&lt;&gt;""),1,0)</f>
        <v>0</v>
      </c>
      <c r="W280" s="59" t="n">
        <f aca="false">IF(V280=1,I280*L280,0)</f>
        <v>0</v>
      </c>
      <c r="X280" s="60" t="n">
        <f aca="false">IF(AND(V280=1,ISNUMBER(R280)),I280*R280,0)</f>
        <v>0</v>
      </c>
      <c r="Y280" s="61" t="n">
        <f aca="false">IF(AND(S280=1,ISNUMBER(R280)),I280,0)</f>
        <v>0</v>
      </c>
      <c r="Z280" s="61" t="n">
        <f aca="false">IF(AND(V280=1,ISNUMBER(R280)),I280,0)</f>
        <v>0</v>
      </c>
    </row>
    <row r="281" customFormat="false" ht="15" hidden="false" customHeight="false" outlineLevel="0" collapsed="false">
      <c r="A281" s="47" t="s">
        <v>614</v>
      </c>
      <c r="B281" s="52" t="n">
        <v>45490</v>
      </c>
      <c r="C281" s="53" t="n">
        <f aca="false">DATE(YEAR(B281),MONTH(B281),1)</f>
        <v>45474</v>
      </c>
      <c r="D281" s="5" t="str">
        <f aca="false">YEAR(B281)&amp;"Q"&amp;ROUNDUP(MONTH(B281)/3,0)</f>
        <v>2024Q3</v>
      </c>
      <c r="E281" s="62" t="s">
        <v>155</v>
      </c>
      <c r="F281" s="62" t="s">
        <v>156</v>
      </c>
      <c r="G281" s="47" t="s">
        <v>157</v>
      </c>
      <c r="H281" s="47" t="s">
        <v>635</v>
      </c>
      <c r="I281" s="55" t="n">
        <v>105</v>
      </c>
      <c r="J281" s="56" t="n">
        <v>7</v>
      </c>
      <c r="K281" s="54" t="s">
        <v>153</v>
      </c>
      <c r="N281" s="47" t="s">
        <v>143</v>
      </c>
      <c r="O281" s="47" t="s">
        <v>626</v>
      </c>
      <c r="P281" s="47"/>
      <c r="Q281" s="48" t="n">
        <f aca="false">IF($J281="","",IFERROR(IF($J281&lt;=1,INDEX(VN_국채일별!$B$4:$B$1436,MATCH($B281,VN_국채일별!$A$4:$A$1436,1)),IF($J281&lt;=2,INDEX(VN_국채일별!$B$4:$B$1436,MATCH($B281,VN_국채일별!$A$4:$A$1436,1))+(INDEX(VN_국채일별!$C$4:$C$1436,MATCH($B281,VN_국채일별!$A$4:$A$1436,1))-INDEX(VN_국채일별!$B$4:$B$1436,MATCH($B281,VN_국채일별!$A$4:$A$1436,1)))*($J281-1),IF($J281&lt;=3,INDEX(VN_국채일별!$C$4:$C$1436,MATCH($B281,VN_국채일별!$A$4:$A$1436,1))+(INDEX(VN_국채일별!$D$4:$D$1436,MATCH($B281,VN_국채일별!$A$4:$A$1436,1))-INDEX(VN_국채일별!$C$4:$C$1436,MATCH($B281,VN_국채일별!$A$4:$A$1436,1)))*($J281-2),IF($J281&lt;=5,INDEX(VN_국채일별!$D$4:$D$1436,MATCH($B281,VN_국채일별!$A$4:$A$1436,1))+(INDEX(VN_국채일별!$E$4:$E$1436,MATCH($B281,VN_국채일별!$A$4:$A$1436,1))-INDEX(VN_국채일별!$D$4:$D$1436,MATCH($B281,VN_국채일별!$A$4:$A$1436,1)))*($J281-3)/2,IF($J281&lt;=7,INDEX(VN_국채일별!$E$4:$E$1436,MATCH($B281,VN_국채일별!$A$4:$A$1436,1))+(INDEX(VN_국채일별!$F$4:$F$1436,MATCH($B281,VN_국채일별!$A$4:$A$1436,1))-INDEX(VN_국채일별!$E$4:$E$1436,MATCH($B281,VN_국채일별!$A$4:$A$1436,1)))*($J281-5)/2,IF($J281&lt;=10,INDEX(VN_국채일별!$F$4:$F$1436,MATCH($B281,VN_국채일별!$A$4:$A$1436,1))+(INDEX(VN_국채일별!$G$4:$G$1436,MATCH($B281,VN_국채일별!$A$4:$A$1436,1))-INDEX(VN_국채일별!$F$4:$F$1436,MATCH($B281,VN_국채일별!$A$4:$A$1436,1)))*($J281-7)/3,INDEX(VN_국채일별!$G$4:$G$1436,MATCH($B281,VN_국채일별!$A$4:$A$1436,1)))))))),""))</f>
        <v>0.02345</v>
      </c>
      <c r="R281" s="58" t="str">
        <f aca="false">IF(OR(L281="",Q281=""),"",(L281-Q281)*10000)</f>
        <v/>
      </c>
      <c r="S281" s="30" t="n">
        <f aca="false">IF(AND(K281="고정",N281="N",J281&gt;=2,J281&lt;=4,I281&lt;&gt;""),1,0)</f>
        <v>0</v>
      </c>
      <c r="T281" s="59" t="n">
        <f aca="false">IF(S281=1,I281*L281,0)</f>
        <v>0</v>
      </c>
      <c r="U281" s="60" t="n">
        <f aca="false">IF(AND(S281=1,ISNUMBER(R281)),I281*R281,0)</f>
        <v>0</v>
      </c>
      <c r="V281" s="30" t="n">
        <f aca="false">IF(AND(F281="Big4(국영)",K281="고정",N281="N",I281&lt;&gt;""),1,0)</f>
        <v>0</v>
      </c>
      <c r="W281" s="59" t="n">
        <f aca="false">IF(V281=1,I281*L281,0)</f>
        <v>0</v>
      </c>
      <c r="X281" s="60" t="n">
        <f aca="false">IF(AND(V281=1,ISNUMBER(R281)),I281*R281,0)</f>
        <v>0</v>
      </c>
      <c r="Y281" s="61" t="n">
        <f aca="false">IF(AND(S281=1,ISNUMBER(R281)),I281,0)</f>
        <v>0</v>
      </c>
      <c r="Z281" s="61" t="n">
        <f aca="false">IF(AND(V281=1,ISNUMBER(R281)),I281,0)</f>
        <v>0</v>
      </c>
    </row>
    <row r="282" customFormat="false" ht="15" hidden="false" customHeight="false" outlineLevel="0" collapsed="false">
      <c r="A282" s="47" t="s">
        <v>614</v>
      </c>
      <c r="B282" s="52" t="n">
        <v>45490</v>
      </c>
      <c r="C282" s="53" t="n">
        <f aca="false">DATE(YEAR(B282),MONTH(B282),1)</f>
        <v>45474</v>
      </c>
      <c r="D282" s="5" t="str">
        <f aca="false">YEAR(B282)&amp;"Q"&amp;ROUNDUP(MONTH(B282)/3,0)</f>
        <v>2024Q3</v>
      </c>
      <c r="E282" s="62" t="s">
        <v>155</v>
      </c>
      <c r="F282" s="62" t="s">
        <v>156</v>
      </c>
      <c r="G282" s="47" t="s">
        <v>157</v>
      </c>
      <c r="H282" s="47" t="s">
        <v>636</v>
      </c>
      <c r="I282" s="55" t="n">
        <v>50</v>
      </c>
      <c r="J282" s="56" t="n">
        <v>8</v>
      </c>
      <c r="K282" s="54" t="s">
        <v>153</v>
      </c>
      <c r="N282" s="47" t="s">
        <v>143</v>
      </c>
      <c r="O282" s="47" t="s">
        <v>620</v>
      </c>
      <c r="P282" s="47"/>
      <c r="Q282" s="48" t="n">
        <f aca="false">IF($J282="","",IFERROR(IF($J282&lt;=1,INDEX(VN_국채일별!$B$4:$B$1436,MATCH($B282,VN_국채일별!$A$4:$A$1436,1)),IF($J282&lt;=2,INDEX(VN_국채일별!$B$4:$B$1436,MATCH($B282,VN_국채일별!$A$4:$A$1436,1))+(INDEX(VN_국채일별!$C$4:$C$1436,MATCH($B282,VN_국채일별!$A$4:$A$1436,1))-INDEX(VN_국채일별!$B$4:$B$1436,MATCH($B282,VN_국채일별!$A$4:$A$1436,1)))*($J282-1),IF($J282&lt;=3,INDEX(VN_국채일별!$C$4:$C$1436,MATCH($B282,VN_국채일별!$A$4:$A$1436,1))+(INDEX(VN_국채일별!$D$4:$D$1436,MATCH($B282,VN_국채일별!$A$4:$A$1436,1))-INDEX(VN_국채일별!$C$4:$C$1436,MATCH($B282,VN_국채일별!$A$4:$A$1436,1)))*($J282-2),IF($J282&lt;=5,INDEX(VN_국채일별!$D$4:$D$1436,MATCH($B282,VN_국채일별!$A$4:$A$1436,1))+(INDEX(VN_국채일별!$E$4:$E$1436,MATCH($B282,VN_국채일별!$A$4:$A$1436,1))-INDEX(VN_국채일별!$D$4:$D$1436,MATCH($B282,VN_국채일별!$A$4:$A$1436,1)))*($J282-3)/2,IF($J282&lt;=7,INDEX(VN_국채일별!$E$4:$E$1436,MATCH($B282,VN_국채일별!$A$4:$A$1436,1))+(INDEX(VN_국채일별!$F$4:$F$1436,MATCH($B282,VN_국채일별!$A$4:$A$1436,1))-INDEX(VN_국채일별!$E$4:$E$1436,MATCH($B282,VN_국채일별!$A$4:$A$1436,1)))*($J282-5)/2,IF($J282&lt;=10,INDEX(VN_국채일별!$F$4:$F$1436,MATCH($B282,VN_국채일별!$A$4:$A$1436,1))+(INDEX(VN_국채일별!$G$4:$G$1436,MATCH($B282,VN_국채일별!$A$4:$A$1436,1))-INDEX(VN_국채일별!$F$4:$F$1436,MATCH($B282,VN_국채일별!$A$4:$A$1436,1)))*($J282-7)/3,INDEX(VN_국채일별!$G$4:$G$1436,MATCH($B282,VN_국채일별!$A$4:$A$1436,1)))))))),""))</f>
        <v>0.0250566666666667</v>
      </c>
      <c r="R282" s="58" t="str">
        <f aca="false">IF(OR(L282="",Q282=""),"",(L282-Q282)*10000)</f>
        <v/>
      </c>
      <c r="S282" s="30" t="n">
        <f aca="false">IF(AND(K282="고정",N282="N",J282&gt;=2,J282&lt;=4,I282&lt;&gt;""),1,0)</f>
        <v>0</v>
      </c>
      <c r="T282" s="59" t="n">
        <f aca="false">IF(S282=1,I282*L282,0)</f>
        <v>0</v>
      </c>
      <c r="U282" s="60" t="n">
        <f aca="false">IF(AND(S282=1,ISNUMBER(R282)),I282*R282,0)</f>
        <v>0</v>
      </c>
      <c r="V282" s="30" t="n">
        <f aca="false">IF(AND(F282="Big4(국영)",K282="고정",N282="N",I282&lt;&gt;""),1,0)</f>
        <v>0</v>
      </c>
      <c r="W282" s="59" t="n">
        <f aca="false">IF(V282=1,I282*L282,0)</f>
        <v>0</v>
      </c>
      <c r="X282" s="60" t="n">
        <f aca="false">IF(AND(V282=1,ISNUMBER(R282)),I282*R282,0)</f>
        <v>0</v>
      </c>
      <c r="Y282" s="61" t="n">
        <f aca="false">IF(AND(S282=1,ISNUMBER(R282)),I282,0)</f>
        <v>0</v>
      </c>
      <c r="Z282" s="61" t="n">
        <f aca="false">IF(AND(V282=1,ISNUMBER(R282)),I282,0)</f>
        <v>0</v>
      </c>
    </row>
    <row r="283" customFormat="false" ht="15" hidden="false" customHeight="false" outlineLevel="0" collapsed="false">
      <c r="A283" s="47" t="s">
        <v>614</v>
      </c>
      <c r="B283" s="52" t="n">
        <v>45491</v>
      </c>
      <c r="C283" s="53" t="n">
        <f aca="false">DATE(YEAR(B283),MONTH(B283),1)</f>
        <v>45474</v>
      </c>
      <c r="D283" s="5" t="str">
        <f aca="false">YEAR(B283)&amp;"Q"&amp;ROUNDUP(MONTH(B283)/3,0)</f>
        <v>2024Q3</v>
      </c>
      <c r="E283" s="47" t="s">
        <v>181</v>
      </c>
      <c r="F283" s="54" t="s">
        <v>139</v>
      </c>
      <c r="G283" s="47" t="s">
        <v>182</v>
      </c>
      <c r="H283" s="47" t="s">
        <v>637</v>
      </c>
      <c r="I283" s="55" t="n">
        <v>1000</v>
      </c>
      <c r="J283" s="56" t="n">
        <v>3</v>
      </c>
      <c r="K283" s="54" t="s">
        <v>142</v>
      </c>
      <c r="L283" s="57" t="n">
        <v>0.054</v>
      </c>
      <c r="N283" s="47" t="s">
        <v>148</v>
      </c>
      <c r="O283" s="47" t="s">
        <v>575</v>
      </c>
      <c r="P283" s="47"/>
      <c r="Q283" s="48" t="n">
        <f aca="false">IF($J283="","",IFERROR(IF($J283&lt;=1,INDEX(VN_국채일별!$B$4:$B$1436,MATCH($B283,VN_국채일별!$A$4:$A$1436,1)),IF($J283&lt;=2,INDEX(VN_국채일별!$B$4:$B$1436,MATCH($B283,VN_국채일별!$A$4:$A$1436,1))+(INDEX(VN_국채일별!$C$4:$C$1436,MATCH($B283,VN_국채일별!$A$4:$A$1436,1))-INDEX(VN_국채일별!$B$4:$B$1436,MATCH($B283,VN_국채일별!$A$4:$A$1436,1)))*($J283-1),IF($J283&lt;=3,INDEX(VN_국채일별!$C$4:$C$1436,MATCH($B283,VN_국채일별!$A$4:$A$1436,1))+(INDEX(VN_국채일별!$D$4:$D$1436,MATCH($B283,VN_국채일별!$A$4:$A$1436,1))-INDEX(VN_국채일별!$C$4:$C$1436,MATCH($B283,VN_국채일별!$A$4:$A$1436,1)))*($J283-2),IF($J283&lt;=5,INDEX(VN_국채일별!$D$4:$D$1436,MATCH($B283,VN_국채일별!$A$4:$A$1436,1))+(INDEX(VN_국채일별!$E$4:$E$1436,MATCH($B283,VN_국채일별!$A$4:$A$1436,1))-INDEX(VN_국채일별!$D$4:$D$1436,MATCH($B283,VN_국채일별!$A$4:$A$1436,1)))*($J283-3)/2,IF($J283&lt;=7,INDEX(VN_국채일별!$E$4:$E$1436,MATCH($B283,VN_국채일별!$A$4:$A$1436,1))+(INDEX(VN_국채일별!$F$4:$F$1436,MATCH($B283,VN_국채일별!$A$4:$A$1436,1))-INDEX(VN_국채일별!$E$4:$E$1436,MATCH($B283,VN_국채일별!$A$4:$A$1436,1)))*($J283-5)/2,IF($J283&lt;=10,INDEX(VN_국채일별!$F$4:$F$1436,MATCH($B283,VN_국채일별!$A$4:$A$1436,1))+(INDEX(VN_국채일별!$G$4:$G$1436,MATCH($B283,VN_국채일별!$A$4:$A$1436,1))-INDEX(VN_국채일별!$F$4:$F$1436,MATCH($B283,VN_국채일별!$A$4:$A$1436,1)))*($J283-7)/3,INDEX(VN_국채일별!$G$4:$G$1436,MATCH($B283,VN_국채일별!$A$4:$A$1436,1)))))))),""))</f>
        <v>0.02</v>
      </c>
      <c r="R283" s="58" t="n">
        <f aca="false">IF(OR(L283="",Q283=""),"",(L283-Q283)*10000)</f>
        <v>340</v>
      </c>
      <c r="S283" s="30" t="n">
        <f aca="false">IF(AND(K283="고정",N283="N",J283&gt;=2,J283&lt;=4,I283&lt;&gt;""),1,0)</f>
        <v>1</v>
      </c>
      <c r="T283" s="59" t="n">
        <f aca="false">IF(S283=1,I283*L283,0)</f>
        <v>54</v>
      </c>
      <c r="U283" s="60" t="n">
        <f aca="false">IF(AND(S283=1,ISNUMBER(R283)),I283*R283,0)</f>
        <v>340000</v>
      </c>
      <c r="V283" s="30" t="n">
        <f aca="false">IF(AND(F283="Big4(국영)",K283="고정",N283="N",I283&lt;&gt;""),1,0)</f>
        <v>0</v>
      </c>
      <c r="W283" s="59" t="n">
        <f aca="false">IF(V283=1,I283*L283,0)</f>
        <v>0</v>
      </c>
      <c r="X283" s="60" t="n">
        <f aca="false">IF(AND(V283=1,ISNUMBER(R283)),I283*R283,0)</f>
        <v>0</v>
      </c>
      <c r="Y283" s="61" t="n">
        <f aca="false">IF(AND(S283=1,ISNUMBER(R283)),I283,0)</f>
        <v>1000</v>
      </c>
      <c r="Z283" s="61" t="n">
        <f aca="false">IF(AND(V283=1,ISNUMBER(R283)),I283,0)</f>
        <v>0</v>
      </c>
    </row>
    <row r="284" customFormat="false" ht="15" hidden="false" customHeight="false" outlineLevel="0" collapsed="false">
      <c r="A284" s="47" t="s">
        <v>614</v>
      </c>
      <c r="B284" s="52" t="n">
        <v>45496</v>
      </c>
      <c r="C284" s="53" t="n">
        <f aca="false">DATE(YEAR(B284),MONTH(B284),1)</f>
        <v>45474</v>
      </c>
      <c r="D284" s="5" t="str">
        <f aca="false">YEAR(B284)&amp;"Q"&amp;ROUNDUP(MONTH(B284)/3,0)</f>
        <v>2024Q3</v>
      </c>
      <c r="E284" s="47" t="s">
        <v>160</v>
      </c>
      <c r="F284" s="54" t="s">
        <v>139</v>
      </c>
      <c r="G284" s="47" t="s">
        <v>161</v>
      </c>
      <c r="H284" s="47" t="s">
        <v>638</v>
      </c>
      <c r="I284" s="55" t="n">
        <v>2000</v>
      </c>
      <c r="J284" s="56" t="n">
        <v>3</v>
      </c>
      <c r="K284" s="54" t="s">
        <v>142</v>
      </c>
      <c r="L284" s="57" t="n">
        <v>0.0545</v>
      </c>
      <c r="N284" s="47" t="s">
        <v>148</v>
      </c>
      <c r="O284" s="47" t="s">
        <v>639</v>
      </c>
      <c r="P284" s="47"/>
      <c r="Q284" s="48" t="n">
        <f aca="false">IF($J284="","",IFERROR(IF($J284&lt;=1,INDEX(VN_국채일별!$B$4:$B$1436,MATCH($B284,VN_국채일별!$A$4:$A$1436,1)),IF($J284&lt;=2,INDEX(VN_국채일별!$B$4:$B$1436,MATCH($B284,VN_국채일별!$A$4:$A$1436,1))+(INDEX(VN_국채일별!$C$4:$C$1436,MATCH($B284,VN_국채일별!$A$4:$A$1436,1))-INDEX(VN_국채일별!$B$4:$B$1436,MATCH($B284,VN_국채일별!$A$4:$A$1436,1)))*($J284-1),IF($J284&lt;=3,INDEX(VN_국채일별!$C$4:$C$1436,MATCH($B284,VN_국채일별!$A$4:$A$1436,1))+(INDEX(VN_국채일별!$D$4:$D$1436,MATCH($B284,VN_국채일별!$A$4:$A$1436,1))-INDEX(VN_국채일별!$C$4:$C$1436,MATCH($B284,VN_국채일별!$A$4:$A$1436,1)))*($J284-2),IF($J284&lt;=5,INDEX(VN_국채일별!$D$4:$D$1436,MATCH($B284,VN_국채일별!$A$4:$A$1436,1))+(INDEX(VN_국채일별!$E$4:$E$1436,MATCH($B284,VN_국채일별!$A$4:$A$1436,1))-INDEX(VN_국채일별!$D$4:$D$1436,MATCH($B284,VN_국채일별!$A$4:$A$1436,1)))*($J284-3)/2,IF($J284&lt;=7,INDEX(VN_국채일별!$E$4:$E$1436,MATCH($B284,VN_국채일별!$A$4:$A$1436,1))+(INDEX(VN_국채일별!$F$4:$F$1436,MATCH($B284,VN_국채일별!$A$4:$A$1436,1))-INDEX(VN_국채일별!$E$4:$E$1436,MATCH($B284,VN_국채일별!$A$4:$A$1436,1)))*($J284-5)/2,IF($J284&lt;=10,INDEX(VN_국채일별!$F$4:$F$1436,MATCH($B284,VN_국채일별!$A$4:$A$1436,1))+(INDEX(VN_국채일별!$G$4:$G$1436,MATCH($B284,VN_국채일별!$A$4:$A$1436,1))-INDEX(VN_국채일별!$F$4:$F$1436,MATCH($B284,VN_국채일별!$A$4:$A$1436,1)))*($J284-7)/3,INDEX(VN_국채일별!$G$4:$G$1436,MATCH($B284,VN_국채일별!$A$4:$A$1436,1)))))))),""))</f>
        <v>0.01999</v>
      </c>
      <c r="R284" s="58" t="n">
        <f aca="false">IF(OR(L284="",Q284=""),"",(L284-Q284)*10000)</f>
        <v>345.1</v>
      </c>
      <c r="S284" s="30" t="n">
        <f aca="false">IF(AND(K284="고정",N284="N",J284&gt;=2,J284&lt;=4,I284&lt;&gt;""),1,0)</f>
        <v>1</v>
      </c>
      <c r="T284" s="59" t="n">
        <f aca="false">IF(S284=1,I284*L284,0)</f>
        <v>109</v>
      </c>
      <c r="U284" s="60" t="n">
        <f aca="false">IF(AND(S284=1,ISNUMBER(R284)),I284*R284,0)</f>
        <v>690200</v>
      </c>
      <c r="V284" s="30" t="n">
        <f aca="false">IF(AND(F284="Big4(국영)",K284="고정",N284="N",I284&lt;&gt;""),1,0)</f>
        <v>0</v>
      </c>
      <c r="W284" s="59" t="n">
        <f aca="false">IF(V284=1,I284*L284,0)</f>
        <v>0</v>
      </c>
      <c r="X284" s="60" t="n">
        <f aca="false">IF(AND(V284=1,ISNUMBER(R284)),I284*R284,0)</f>
        <v>0</v>
      </c>
      <c r="Y284" s="61" t="n">
        <f aca="false">IF(AND(S284=1,ISNUMBER(R284)),I284,0)</f>
        <v>2000</v>
      </c>
      <c r="Z284" s="61" t="n">
        <f aca="false">IF(AND(V284=1,ISNUMBER(R284)),I284,0)</f>
        <v>0</v>
      </c>
    </row>
    <row r="285" customFormat="false" ht="15" hidden="false" customHeight="false" outlineLevel="0" collapsed="false">
      <c r="A285" s="47" t="s">
        <v>614</v>
      </c>
      <c r="B285" s="52" t="n">
        <v>45497</v>
      </c>
      <c r="C285" s="53" t="n">
        <f aca="false">DATE(YEAR(B285),MONTH(B285),1)</f>
        <v>45474</v>
      </c>
      <c r="D285" s="5" t="str">
        <f aca="false">YEAR(B285)&amp;"Q"&amp;ROUNDUP(MONTH(B285)/3,0)</f>
        <v>2024Q3</v>
      </c>
      <c r="E285" s="47" t="s">
        <v>254</v>
      </c>
      <c r="F285" s="54" t="s">
        <v>139</v>
      </c>
      <c r="G285" s="47" t="s">
        <v>339</v>
      </c>
      <c r="H285" s="47" t="s">
        <v>640</v>
      </c>
      <c r="I285" s="55" t="n">
        <v>500</v>
      </c>
      <c r="J285" s="56" t="n">
        <v>5</v>
      </c>
      <c r="K285" s="54" t="s">
        <v>142</v>
      </c>
      <c r="L285" s="57" t="n">
        <v>0.061</v>
      </c>
      <c r="N285" s="47" t="s">
        <v>148</v>
      </c>
      <c r="O285" s="47" t="s">
        <v>467</v>
      </c>
      <c r="P285" s="47"/>
      <c r="Q285" s="48" t="n">
        <f aca="false">IF($J285="","",IFERROR(IF($J285&lt;=1,INDEX(VN_국채일별!$B$4:$B$1436,MATCH($B285,VN_국채일별!$A$4:$A$1436,1)),IF($J285&lt;=2,INDEX(VN_국채일별!$B$4:$B$1436,MATCH($B285,VN_국채일별!$A$4:$A$1436,1))+(INDEX(VN_국채일별!$C$4:$C$1436,MATCH($B285,VN_국채일별!$A$4:$A$1436,1))-INDEX(VN_국채일별!$B$4:$B$1436,MATCH($B285,VN_국채일별!$A$4:$A$1436,1)))*($J285-1),IF($J285&lt;=3,INDEX(VN_국채일별!$C$4:$C$1436,MATCH($B285,VN_국채일별!$A$4:$A$1436,1))+(INDEX(VN_국채일별!$D$4:$D$1436,MATCH($B285,VN_국채일별!$A$4:$A$1436,1))-INDEX(VN_국채일별!$C$4:$C$1436,MATCH($B285,VN_국채일별!$A$4:$A$1436,1)))*($J285-2),IF($J285&lt;=5,INDEX(VN_국채일별!$D$4:$D$1436,MATCH($B285,VN_국채일별!$A$4:$A$1436,1))+(INDEX(VN_국채일별!$E$4:$E$1436,MATCH($B285,VN_국채일별!$A$4:$A$1436,1))-INDEX(VN_국채일별!$D$4:$D$1436,MATCH($B285,VN_국채일별!$A$4:$A$1436,1)))*($J285-3)/2,IF($J285&lt;=7,INDEX(VN_국채일별!$E$4:$E$1436,MATCH($B285,VN_국채일별!$A$4:$A$1436,1))+(INDEX(VN_국채일별!$F$4:$F$1436,MATCH($B285,VN_국채일별!$A$4:$A$1436,1))-INDEX(VN_국채일별!$E$4:$E$1436,MATCH($B285,VN_국채일별!$A$4:$A$1436,1)))*($J285-5)/2,IF($J285&lt;=10,INDEX(VN_국채일별!$F$4:$F$1436,MATCH($B285,VN_국채일별!$A$4:$A$1436,1))+(INDEX(VN_국채일별!$G$4:$G$1436,MATCH($B285,VN_국채일별!$A$4:$A$1436,1))-INDEX(VN_국채일별!$F$4:$F$1436,MATCH($B285,VN_국채일별!$A$4:$A$1436,1)))*($J285-7)/3,INDEX(VN_국채일별!$G$4:$G$1436,MATCH($B285,VN_국채일별!$A$4:$A$1436,1)))))))),""))</f>
        <v>0.02056</v>
      </c>
      <c r="R285" s="58" t="n">
        <f aca="false">IF(OR(L285="",Q285=""),"",(L285-Q285)*10000)</f>
        <v>404.4</v>
      </c>
      <c r="S285" s="30" t="n">
        <f aca="false">IF(AND(K285="고정",N285="N",J285&gt;=2,J285&lt;=4,I285&lt;&gt;""),1,0)</f>
        <v>0</v>
      </c>
      <c r="T285" s="59" t="n">
        <f aca="false">IF(S285=1,I285*L285,0)</f>
        <v>0</v>
      </c>
      <c r="U285" s="60" t="n">
        <f aca="false">IF(AND(S285=1,ISNUMBER(R285)),I285*R285,0)</f>
        <v>0</v>
      </c>
      <c r="V285" s="30" t="n">
        <f aca="false">IF(AND(F285="Big4(국영)",K285="고정",N285="N",I285&lt;&gt;""),1,0)</f>
        <v>0</v>
      </c>
      <c r="W285" s="59" t="n">
        <f aca="false">IF(V285=1,I285*L285,0)</f>
        <v>0</v>
      </c>
      <c r="X285" s="60" t="n">
        <f aca="false">IF(AND(V285=1,ISNUMBER(R285)),I285*R285,0)</f>
        <v>0</v>
      </c>
      <c r="Y285" s="61" t="n">
        <f aca="false">IF(AND(S285=1,ISNUMBER(R285)),I285,0)</f>
        <v>0</v>
      </c>
      <c r="Z285" s="61" t="n">
        <f aca="false">IF(AND(V285=1,ISNUMBER(R285)),I285,0)</f>
        <v>0</v>
      </c>
    </row>
    <row r="286" customFormat="false" ht="15" hidden="false" customHeight="false" outlineLevel="0" collapsed="false">
      <c r="A286" s="47" t="s">
        <v>614</v>
      </c>
      <c r="B286" s="52" t="n">
        <v>45497</v>
      </c>
      <c r="C286" s="53" t="n">
        <f aca="false">DATE(YEAR(B286),MONTH(B286),1)</f>
        <v>45474</v>
      </c>
      <c r="D286" s="5" t="str">
        <f aca="false">YEAR(B286)&amp;"Q"&amp;ROUNDUP(MONTH(B286)/3,0)</f>
        <v>2024Q3</v>
      </c>
      <c r="E286" s="47" t="s">
        <v>160</v>
      </c>
      <c r="F286" s="54" t="s">
        <v>139</v>
      </c>
      <c r="G286" s="47" t="s">
        <v>161</v>
      </c>
      <c r="H286" s="47" t="s">
        <v>641</v>
      </c>
      <c r="I286" s="55" t="n">
        <v>2000</v>
      </c>
      <c r="J286" s="56" t="n">
        <v>3</v>
      </c>
      <c r="K286" s="54" t="s">
        <v>142</v>
      </c>
      <c r="L286" s="57" t="n">
        <v>0.0545</v>
      </c>
      <c r="N286" s="47" t="s">
        <v>148</v>
      </c>
      <c r="O286" s="47" t="s">
        <v>639</v>
      </c>
      <c r="P286" s="47"/>
      <c r="Q286" s="48" t="n">
        <f aca="false">IF($J286="","",IFERROR(IF($J286&lt;=1,INDEX(VN_국채일별!$B$4:$B$1436,MATCH($B286,VN_국채일별!$A$4:$A$1436,1)),IF($J286&lt;=2,INDEX(VN_국채일별!$B$4:$B$1436,MATCH($B286,VN_국채일별!$A$4:$A$1436,1))+(INDEX(VN_국채일별!$C$4:$C$1436,MATCH($B286,VN_국채일별!$A$4:$A$1436,1))-INDEX(VN_국채일별!$B$4:$B$1436,MATCH($B286,VN_국채일별!$A$4:$A$1436,1)))*($J286-1),IF($J286&lt;=3,INDEX(VN_국채일별!$C$4:$C$1436,MATCH($B286,VN_국채일별!$A$4:$A$1436,1))+(INDEX(VN_국채일별!$D$4:$D$1436,MATCH($B286,VN_국채일별!$A$4:$A$1436,1))-INDEX(VN_국채일별!$C$4:$C$1436,MATCH($B286,VN_국채일별!$A$4:$A$1436,1)))*($J286-2),IF($J286&lt;=5,INDEX(VN_국채일별!$D$4:$D$1436,MATCH($B286,VN_국채일별!$A$4:$A$1436,1))+(INDEX(VN_국채일별!$E$4:$E$1436,MATCH($B286,VN_국채일별!$A$4:$A$1436,1))-INDEX(VN_국채일별!$D$4:$D$1436,MATCH($B286,VN_국채일별!$A$4:$A$1436,1)))*($J286-3)/2,IF($J286&lt;=7,INDEX(VN_국채일별!$E$4:$E$1436,MATCH($B286,VN_국채일별!$A$4:$A$1436,1))+(INDEX(VN_국채일별!$F$4:$F$1436,MATCH($B286,VN_국채일별!$A$4:$A$1436,1))-INDEX(VN_국채일별!$E$4:$E$1436,MATCH($B286,VN_국채일별!$A$4:$A$1436,1)))*($J286-5)/2,IF($J286&lt;=10,INDEX(VN_국채일별!$F$4:$F$1436,MATCH($B286,VN_국채일별!$A$4:$A$1436,1))+(INDEX(VN_국채일별!$G$4:$G$1436,MATCH($B286,VN_국채일별!$A$4:$A$1436,1))-INDEX(VN_국채일별!$F$4:$F$1436,MATCH($B286,VN_국채일별!$A$4:$A$1436,1)))*($J286-7)/3,INDEX(VN_국채일별!$G$4:$G$1436,MATCH($B286,VN_국채일별!$A$4:$A$1436,1)))))))),""))</f>
        <v>0.02003</v>
      </c>
      <c r="R286" s="58" t="n">
        <f aca="false">IF(OR(L286="",Q286=""),"",(L286-Q286)*10000)</f>
        <v>344.7</v>
      </c>
      <c r="S286" s="30" t="n">
        <f aca="false">IF(AND(K286="고정",N286="N",J286&gt;=2,J286&lt;=4,I286&lt;&gt;""),1,0)</f>
        <v>1</v>
      </c>
      <c r="T286" s="59" t="n">
        <f aca="false">IF(S286=1,I286*L286,0)</f>
        <v>109</v>
      </c>
      <c r="U286" s="60" t="n">
        <f aca="false">IF(AND(S286=1,ISNUMBER(R286)),I286*R286,0)</f>
        <v>689400</v>
      </c>
      <c r="V286" s="30" t="n">
        <f aca="false">IF(AND(F286="Big4(국영)",K286="고정",N286="N",I286&lt;&gt;""),1,0)</f>
        <v>0</v>
      </c>
      <c r="W286" s="59" t="n">
        <f aca="false">IF(V286=1,I286*L286,0)</f>
        <v>0</v>
      </c>
      <c r="X286" s="60" t="n">
        <f aca="false">IF(AND(V286=1,ISNUMBER(R286)),I286*R286,0)</f>
        <v>0</v>
      </c>
      <c r="Y286" s="61" t="n">
        <f aca="false">IF(AND(S286=1,ISNUMBER(R286)),I286,0)</f>
        <v>2000</v>
      </c>
      <c r="Z286" s="61" t="n">
        <f aca="false">IF(AND(V286=1,ISNUMBER(R286)),I286,0)</f>
        <v>0</v>
      </c>
    </row>
    <row r="287" customFormat="false" ht="15" hidden="false" customHeight="false" outlineLevel="0" collapsed="false">
      <c r="A287" s="47" t="s">
        <v>614</v>
      </c>
      <c r="B287" s="52" t="n">
        <v>45497</v>
      </c>
      <c r="C287" s="53" t="n">
        <f aca="false">DATE(YEAR(B287),MONTH(B287),1)</f>
        <v>45474</v>
      </c>
      <c r="D287" s="5" t="str">
        <f aca="false">YEAR(B287)&amp;"Q"&amp;ROUNDUP(MONTH(B287)/3,0)</f>
        <v>2024Q3</v>
      </c>
      <c r="E287" s="62" t="s">
        <v>173</v>
      </c>
      <c r="F287" s="62" t="s">
        <v>156</v>
      </c>
      <c r="G287" s="47" t="s">
        <v>174</v>
      </c>
      <c r="H287" s="47" t="s">
        <v>642</v>
      </c>
      <c r="I287" s="55" t="n">
        <v>320</v>
      </c>
      <c r="J287" s="56" t="n">
        <v>10</v>
      </c>
      <c r="K287" s="54" t="s">
        <v>153</v>
      </c>
      <c r="N287" s="47" t="s">
        <v>143</v>
      </c>
      <c r="O287" s="47" t="s">
        <v>618</v>
      </c>
      <c r="P287" s="47"/>
      <c r="Q287" s="48" t="n">
        <f aca="false">IF($J287="","",IFERROR(IF($J287&lt;=1,INDEX(VN_국채일별!$B$4:$B$1436,MATCH($B287,VN_국채일별!$A$4:$A$1436,1)),IF($J287&lt;=2,INDEX(VN_국채일별!$B$4:$B$1436,MATCH($B287,VN_국채일별!$A$4:$A$1436,1))+(INDEX(VN_국채일별!$C$4:$C$1436,MATCH($B287,VN_국채일별!$A$4:$A$1436,1))-INDEX(VN_국채일별!$B$4:$B$1436,MATCH($B287,VN_국채일별!$A$4:$A$1436,1)))*($J287-1),IF($J287&lt;=3,INDEX(VN_국채일별!$C$4:$C$1436,MATCH($B287,VN_국채일별!$A$4:$A$1436,1))+(INDEX(VN_국채일별!$D$4:$D$1436,MATCH($B287,VN_국채일별!$A$4:$A$1436,1))-INDEX(VN_국채일별!$C$4:$C$1436,MATCH($B287,VN_국채일별!$A$4:$A$1436,1)))*($J287-2),IF($J287&lt;=5,INDEX(VN_국채일별!$D$4:$D$1436,MATCH($B287,VN_국채일별!$A$4:$A$1436,1))+(INDEX(VN_국채일별!$E$4:$E$1436,MATCH($B287,VN_국채일별!$A$4:$A$1436,1))-INDEX(VN_국채일별!$D$4:$D$1436,MATCH($B287,VN_국채일별!$A$4:$A$1436,1)))*($J287-3)/2,IF($J287&lt;=7,INDEX(VN_국채일별!$E$4:$E$1436,MATCH($B287,VN_국채일별!$A$4:$A$1436,1))+(INDEX(VN_국채일별!$F$4:$F$1436,MATCH($B287,VN_국채일별!$A$4:$A$1436,1))-INDEX(VN_국채일별!$E$4:$E$1436,MATCH($B287,VN_국채일별!$A$4:$A$1436,1)))*($J287-5)/2,IF($J287&lt;=10,INDEX(VN_국채일별!$F$4:$F$1436,MATCH($B287,VN_국채일별!$A$4:$A$1436,1))+(INDEX(VN_국채일별!$G$4:$G$1436,MATCH($B287,VN_국채일별!$A$4:$A$1436,1))-INDEX(VN_국채일별!$F$4:$F$1436,MATCH($B287,VN_국채일별!$A$4:$A$1436,1)))*($J287-7)/3,INDEX(VN_국채일별!$G$4:$G$1436,MATCH($B287,VN_국채일별!$A$4:$A$1436,1)))))))),""))</f>
        <v>0.02833</v>
      </c>
      <c r="R287" s="58" t="str">
        <f aca="false">IF(OR(L287="",Q287=""),"",(L287-Q287)*10000)</f>
        <v/>
      </c>
      <c r="S287" s="30" t="n">
        <f aca="false">IF(AND(K287="고정",N287="N",J287&gt;=2,J287&lt;=4,I287&lt;&gt;""),1,0)</f>
        <v>0</v>
      </c>
      <c r="T287" s="59" t="n">
        <f aca="false">IF(S287=1,I287*L287,0)</f>
        <v>0</v>
      </c>
      <c r="U287" s="60" t="n">
        <f aca="false">IF(AND(S287=1,ISNUMBER(R287)),I287*R287,0)</f>
        <v>0</v>
      </c>
      <c r="V287" s="30" t="n">
        <f aca="false">IF(AND(F287="Big4(국영)",K287="고정",N287="N",I287&lt;&gt;""),1,0)</f>
        <v>0</v>
      </c>
      <c r="W287" s="59" t="n">
        <f aca="false">IF(V287=1,I287*L287,0)</f>
        <v>0</v>
      </c>
      <c r="X287" s="60" t="n">
        <f aca="false">IF(AND(V287=1,ISNUMBER(R287)),I287*R287,0)</f>
        <v>0</v>
      </c>
      <c r="Y287" s="61" t="n">
        <f aca="false">IF(AND(S287=1,ISNUMBER(R287)),I287,0)</f>
        <v>0</v>
      </c>
      <c r="Z287" s="61" t="n">
        <f aca="false">IF(AND(V287=1,ISNUMBER(R287)),I287,0)</f>
        <v>0</v>
      </c>
    </row>
    <row r="288" customFormat="false" ht="15" hidden="false" customHeight="false" outlineLevel="0" collapsed="false">
      <c r="A288" s="47" t="s">
        <v>614</v>
      </c>
      <c r="B288" s="52" t="n">
        <v>45497</v>
      </c>
      <c r="C288" s="53" t="n">
        <f aca="false">DATE(YEAR(B288),MONTH(B288),1)</f>
        <v>45474</v>
      </c>
      <c r="D288" s="5" t="str">
        <f aca="false">YEAR(B288)&amp;"Q"&amp;ROUNDUP(MONTH(B288)/3,0)</f>
        <v>2024Q3</v>
      </c>
      <c r="E288" s="47" t="s">
        <v>150</v>
      </c>
      <c r="F288" s="54" t="s">
        <v>139</v>
      </c>
      <c r="G288" s="47" t="s">
        <v>170</v>
      </c>
      <c r="H288" s="47" t="s">
        <v>643</v>
      </c>
      <c r="I288" s="55" t="n">
        <v>2000</v>
      </c>
      <c r="J288" s="56" t="n">
        <v>3</v>
      </c>
      <c r="K288" s="54" t="s">
        <v>142</v>
      </c>
      <c r="L288" s="57" t="n">
        <v>0.058</v>
      </c>
      <c r="N288" s="47" t="s">
        <v>148</v>
      </c>
      <c r="O288" s="47" t="s">
        <v>451</v>
      </c>
      <c r="P288" s="47"/>
      <c r="Q288" s="48" t="n">
        <f aca="false">IF($J288="","",IFERROR(IF($J288&lt;=1,INDEX(VN_국채일별!$B$4:$B$1436,MATCH($B288,VN_국채일별!$A$4:$A$1436,1)),IF($J288&lt;=2,INDEX(VN_국채일별!$B$4:$B$1436,MATCH($B288,VN_국채일별!$A$4:$A$1436,1))+(INDEX(VN_국채일별!$C$4:$C$1436,MATCH($B288,VN_국채일별!$A$4:$A$1436,1))-INDEX(VN_국채일별!$B$4:$B$1436,MATCH($B288,VN_국채일별!$A$4:$A$1436,1)))*($J288-1),IF($J288&lt;=3,INDEX(VN_국채일별!$C$4:$C$1436,MATCH($B288,VN_국채일별!$A$4:$A$1436,1))+(INDEX(VN_국채일별!$D$4:$D$1436,MATCH($B288,VN_국채일별!$A$4:$A$1436,1))-INDEX(VN_국채일별!$C$4:$C$1436,MATCH($B288,VN_국채일별!$A$4:$A$1436,1)))*($J288-2),IF($J288&lt;=5,INDEX(VN_국채일별!$D$4:$D$1436,MATCH($B288,VN_국채일별!$A$4:$A$1436,1))+(INDEX(VN_국채일별!$E$4:$E$1436,MATCH($B288,VN_국채일별!$A$4:$A$1436,1))-INDEX(VN_국채일별!$D$4:$D$1436,MATCH($B288,VN_국채일별!$A$4:$A$1436,1)))*($J288-3)/2,IF($J288&lt;=7,INDEX(VN_국채일별!$E$4:$E$1436,MATCH($B288,VN_국채일별!$A$4:$A$1436,1))+(INDEX(VN_국채일별!$F$4:$F$1436,MATCH($B288,VN_국채일별!$A$4:$A$1436,1))-INDEX(VN_국채일별!$E$4:$E$1436,MATCH($B288,VN_국채일별!$A$4:$A$1436,1)))*($J288-5)/2,IF($J288&lt;=10,INDEX(VN_국채일별!$F$4:$F$1436,MATCH($B288,VN_국채일별!$A$4:$A$1436,1))+(INDEX(VN_국채일별!$G$4:$G$1436,MATCH($B288,VN_국채일별!$A$4:$A$1436,1))-INDEX(VN_국채일별!$F$4:$F$1436,MATCH($B288,VN_국채일별!$A$4:$A$1436,1)))*($J288-7)/3,INDEX(VN_국채일별!$G$4:$G$1436,MATCH($B288,VN_국채일별!$A$4:$A$1436,1)))))))),""))</f>
        <v>0.02003</v>
      </c>
      <c r="R288" s="58" t="n">
        <f aca="false">IF(OR(L288="",Q288=""),"",(L288-Q288)*10000)</f>
        <v>379.7</v>
      </c>
      <c r="S288" s="30" t="n">
        <f aca="false">IF(AND(K288="고정",N288="N",J288&gt;=2,J288&lt;=4,I288&lt;&gt;""),1,0)</f>
        <v>1</v>
      </c>
      <c r="T288" s="59" t="n">
        <f aca="false">IF(S288=1,I288*L288,0)</f>
        <v>116</v>
      </c>
      <c r="U288" s="60" t="n">
        <f aca="false">IF(AND(S288=1,ISNUMBER(R288)),I288*R288,0)</f>
        <v>759400</v>
      </c>
      <c r="V288" s="30" t="n">
        <f aca="false">IF(AND(F288="Big4(국영)",K288="고정",N288="N",I288&lt;&gt;""),1,0)</f>
        <v>0</v>
      </c>
      <c r="W288" s="59" t="n">
        <f aca="false">IF(V288=1,I288*L288,0)</f>
        <v>0</v>
      </c>
      <c r="X288" s="60" t="n">
        <f aca="false">IF(AND(V288=1,ISNUMBER(R288)),I288*R288,0)</f>
        <v>0</v>
      </c>
      <c r="Y288" s="61" t="n">
        <f aca="false">IF(AND(S288=1,ISNUMBER(R288)),I288,0)</f>
        <v>2000</v>
      </c>
      <c r="Z288" s="61" t="n">
        <f aca="false">IF(AND(V288=1,ISNUMBER(R288)),I288,0)</f>
        <v>0</v>
      </c>
    </row>
    <row r="289" customFormat="false" ht="15" hidden="false" customHeight="false" outlineLevel="0" collapsed="false">
      <c r="A289" s="47" t="s">
        <v>614</v>
      </c>
      <c r="B289" s="52" t="n">
        <v>45498</v>
      </c>
      <c r="C289" s="53" t="n">
        <f aca="false">DATE(YEAR(B289),MONTH(B289),1)</f>
        <v>45474</v>
      </c>
      <c r="D289" s="5" t="str">
        <f aca="false">YEAR(B289)&amp;"Q"&amp;ROUNDUP(MONTH(B289)/3,0)</f>
        <v>2024Q3</v>
      </c>
      <c r="E289" s="47" t="s">
        <v>160</v>
      </c>
      <c r="F289" s="54" t="s">
        <v>139</v>
      </c>
      <c r="G289" s="47" t="s">
        <v>161</v>
      </c>
      <c r="H289" s="47" t="s">
        <v>644</v>
      </c>
      <c r="I289" s="55" t="n">
        <v>2000</v>
      </c>
      <c r="J289" s="56" t="n">
        <v>2</v>
      </c>
      <c r="K289" s="54" t="s">
        <v>142</v>
      </c>
      <c r="L289" s="57" t="n">
        <v>0.0545</v>
      </c>
      <c r="N289" s="47" t="s">
        <v>148</v>
      </c>
      <c r="O289" s="47" t="s">
        <v>639</v>
      </c>
      <c r="P289" s="47"/>
      <c r="Q289" s="48" t="n">
        <f aca="false">IF($J289="","",IFERROR(IF($J289&lt;=1,INDEX(VN_국채일별!$B$4:$B$1436,MATCH($B289,VN_국채일별!$A$4:$A$1436,1)),IF($J289&lt;=2,INDEX(VN_국채일별!$B$4:$B$1436,MATCH($B289,VN_국채일별!$A$4:$A$1436,1))+(INDEX(VN_국채일별!$C$4:$C$1436,MATCH($B289,VN_국채일별!$A$4:$A$1436,1))-INDEX(VN_국채일별!$B$4:$B$1436,MATCH($B289,VN_국채일별!$A$4:$A$1436,1)))*($J289-1),IF($J289&lt;=3,INDEX(VN_국채일별!$C$4:$C$1436,MATCH($B289,VN_국채일별!$A$4:$A$1436,1))+(INDEX(VN_국채일별!$D$4:$D$1436,MATCH($B289,VN_국채일별!$A$4:$A$1436,1))-INDEX(VN_국채일별!$C$4:$C$1436,MATCH($B289,VN_국채일별!$A$4:$A$1436,1)))*($J289-2),IF($J289&lt;=5,INDEX(VN_국채일별!$D$4:$D$1436,MATCH($B289,VN_국채일별!$A$4:$A$1436,1))+(INDEX(VN_국채일별!$E$4:$E$1436,MATCH($B289,VN_국채일별!$A$4:$A$1436,1))-INDEX(VN_국채일별!$D$4:$D$1436,MATCH($B289,VN_국채일별!$A$4:$A$1436,1)))*($J289-3)/2,IF($J289&lt;=7,INDEX(VN_국채일별!$E$4:$E$1436,MATCH($B289,VN_국채일별!$A$4:$A$1436,1))+(INDEX(VN_국채일별!$F$4:$F$1436,MATCH($B289,VN_국채일별!$A$4:$A$1436,1))-INDEX(VN_국채일별!$E$4:$E$1436,MATCH($B289,VN_국채일별!$A$4:$A$1436,1)))*($J289-5)/2,IF($J289&lt;=10,INDEX(VN_국채일별!$F$4:$F$1436,MATCH($B289,VN_국채일별!$A$4:$A$1436,1))+(INDEX(VN_국채일별!$G$4:$G$1436,MATCH($B289,VN_국채일별!$A$4:$A$1436,1))-INDEX(VN_국채일별!$F$4:$F$1436,MATCH($B289,VN_국채일별!$A$4:$A$1436,1)))*($J289-7)/3,INDEX(VN_국채일별!$G$4:$G$1436,MATCH($B289,VN_국채일별!$A$4:$A$1436,1)))))))),""))</f>
        <v>0.01979</v>
      </c>
      <c r="R289" s="58" t="n">
        <f aca="false">IF(OR(L289="",Q289=""),"",(L289-Q289)*10000)</f>
        <v>347.1</v>
      </c>
      <c r="S289" s="30" t="n">
        <f aca="false">IF(AND(K289="고정",N289="N",J289&gt;=2,J289&lt;=4,I289&lt;&gt;""),1,0)</f>
        <v>1</v>
      </c>
      <c r="T289" s="59" t="n">
        <f aca="false">IF(S289=1,I289*L289,0)</f>
        <v>109</v>
      </c>
      <c r="U289" s="60" t="n">
        <f aca="false">IF(AND(S289=1,ISNUMBER(R289)),I289*R289,0)</f>
        <v>694200</v>
      </c>
      <c r="V289" s="30" t="n">
        <f aca="false">IF(AND(F289="Big4(국영)",K289="고정",N289="N",I289&lt;&gt;""),1,0)</f>
        <v>0</v>
      </c>
      <c r="W289" s="59" t="n">
        <f aca="false">IF(V289=1,I289*L289,0)</f>
        <v>0</v>
      </c>
      <c r="X289" s="60" t="n">
        <f aca="false">IF(AND(V289=1,ISNUMBER(R289)),I289*R289,0)</f>
        <v>0</v>
      </c>
      <c r="Y289" s="61" t="n">
        <f aca="false">IF(AND(S289=1,ISNUMBER(R289)),I289,0)</f>
        <v>2000</v>
      </c>
      <c r="Z289" s="61" t="n">
        <f aca="false">IF(AND(V289=1,ISNUMBER(R289)),I289,0)</f>
        <v>0</v>
      </c>
    </row>
    <row r="290" customFormat="false" ht="15" hidden="false" customHeight="false" outlineLevel="0" collapsed="false">
      <c r="A290" s="47" t="s">
        <v>614</v>
      </c>
      <c r="B290" s="52" t="n">
        <v>45498</v>
      </c>
      <c r="C290" s="53" t="n">
        <f aca="false">DATE(YEAR(B290),MONTH(B290),1)</f>
        <v>45474</v>
      </c>
      <c r="D290" s="5" t="str">
        <f aca="false">YEAR(B290)&amp;"Q"&amp;ROUNDUP(MONTH(B290)/3,0)</f>
        <v>2024Q3</v>
      </c>
      <c r="E290" s="47" t="s">
        <v>160</v>
      </c>
      <c r="F290" s="54" t="s">
        <v>139</v>
      </c>
      <c r="G290" s="47" t="s">
        <v>161</v>
      </c>
      <c r="H290" s="47" t="s">
        <v>645</v>
      </c>
      <c r="I290" s="55" t="n">
        <v>2000</v>
      </c>
      <c r="J290" s="56" t="n">
        <v>3</v>
      </c>
      <c r="K290" s="54" t="s">
        <v>142</v>
      </c>
      <c r="L290" s="57" t="n">
        <v>0.0545</v>
      </c>
      <c r="N290" s="47" t="s">
        <v>148</v>
      </c>
      <c r="O290" s="47" t="s">
        <v>639</v>
      </c>
      <c r="P290" s="47"/>
      <c r="Q290" s="48" t="n">
        <f aca="false">IF($J290="","",IFERROR(IF($J290&lt;=1,INDEX(VN_국채일별!$B$4:$B$1436,MATCH($B290,VN_국채일별!$A$4:$A$1436,1)),IF($J290&lt;=2,INDEX(VN_국채일별!$B$4:$B$1436,MATCH($B290,VN_국채일별!$A$4:$A$1436,1))+(INDEX(VN_국채일별!$C$4:$C$1436,MATCH($B290,VN_국채일별!$A$4:$A$1436,1))-INDEX(VN_국채일별!$B$4:$B$1436,MATCH($B290,VN_국채일별!$A$4:$A$1436,1)))*($J290-1),IF($J290&lt;=3,INDEX(VN_국채일별!$C$4:$C$1436,MATCH($B290,VN_국채일별!$A$4:$A$1436,1))+(INDEX(VN_국채일별!$D$4:$D$1436,MATCH($B290,VN_국채일별!$A$4:$A$1436,1))-INDEX(VN_국채일별!$C$4:$C$1436,MATCH($B290,VN_국채일별!$A$4:$A$1436,1)))*($J290-2),IF($J290&lt;=5,INDEX(VN_국채일별!$D$4:$D$1436,MATCH($B290,VN_국채일별!$A$4:$A$1436,1))+(INDEX(VN_국채일별!$E$4:$E$1436,MATCH($B290,VN_국채일별!$A$4:$A$1436,1))-INDEX(VN_국채일별!$D$4:$D$1436,MATCH($B290,VN_국채일별!$A$4:$A$1436,1)))*($J290-3)/2,IF($J290&lt;=7,INDEX(VN_국채일별!$E$4:$E$1436,MATCH($B290,VN_국채일별!$A$4:$A$1436,1))+(INDEX(VN_국채일별!$F$4:$F$1436,MATCH($B290,VN_국채일별!$A$4:$A$1436,1))-INDEX(VN_국채일별!$E$4:$E$1436,MATCH($B290,VN_국채일별!$A$4:$A$1436,1)))*($J290-5)/2,IF($J290&lt;=10,INDEX(VN_국채일별!$F$4:$F$1436,MATCH($B290,VN_국채일별!$A$4:$A$1436,1))+(INDEX(VN_국채일별!$G$4:$G$1436,MATCH($B290,VN_국채일별!$A$4:$A$1436,1))-INDEX(VN_국채일별!$F$4:$F$1436,MATCH($B290,VN_국채일별!$A$4:$A$1436,1)))*($J290-7)/3,INDEX(VN_국채일별!$G$4:$G$1436,MATCH($B290,VN_국채일별!$A$4:$A$1436,1)))))))),""))</f>
        <v>0.02003</v>
      </c>
      <c r="R290" s="58" t="n">
        <f aca="false">IF(OR(L290="",Q290=""),"",(L290-Q290)*10000)</f>
        <v>344.7</v>
      </c>
      <c r="S290" s="30" t="n">
        <f aca="false">IF(AND(K290="고정",N290="N",J290&gt;=2,J290&lt;=4,I290&lt;&gt;""),1,0)</f>
        <v>1</v>
      </c>
      <c r="T290" s="59" t="n">
        <f aca="false">IF(S290=1,I290*L290,0)</f>
        <v>109</v>
      </c>
      <c r="U290" s="60" t="n">
        <f aca="false">IF(AND(S290=1,ISNUMBER(R290)),I290*R290,0)</f>
        <v>689400</v>
      </c>
      <c r="V290" s="30" t="n">
        <f aca="false">IF(AND(F290="Big4(국영)",K290="고정",N290="N",I290&lt;&gt;""),1,0)</f>
        <v>0</v>
      </c>
      <c r="W290" s="59" t="n">
        <f aca="false">IF(V290=1,I290*L290,0)</f>
        <v>0</v>
      </c>
      <c r="X290" s="60" t="n">
        <f aca="false">IF(AND(V290=1,ISNUMBER(R290)),I290*R290,0)</f>
        <v>0</v>
      </c>
      <c r="Y290" s="61" t="n">
        <f aca="false">IF(AND(S290=1,ISNUMBER(R290)),I290,0)</f>
        <v>2000</v>
      </c>
      <c r="Z290" s="61" t="n">
        <f aca="false">IF(AND(V290=1,ISNUMBER(R290)),I290,0)</f>
        <v>0</v>
      </c>
    </row>
    <row r="291" customFormat="false" ht="15" hidden="false" customHeight="false" outlineLevel="0" collapsed="false">
      <c r="A291" s="47" t="s">
        <v>614</v>
      </c>
      <c r="B291" s="52" t="n">
        <v>45499</v>
      </c>
      <c r="C291" s="53" t="n">
        <f aca="false">DATE(YEAR(B291),MONTH(B291),1)</f>
        <v>45474</v>
      </c>
      <c r="D291" s="5" t="str">
        <f aca="false">YEAR(B291)&amp;"Q"&amp;ROUNDUP(MONTH(B291)/3,0)</f>
        <v>2024Q3</v>
      </c>
      <c r="E291" s="47" t="s">
        <v>160</v>
      </c>
      <c r="F291" s="54" t="s">
        <v>139</v>
      </c>
      <c r="G291" s="47" t="s">
        <v>161</v>
      </c>
      <c r="H291" s="47" t="s">
        <v>646</v>
      </c>
      <c r="I291" s="55" t="n">
        <v>2000</v>
      </c>
      <c r="J291" s="56" t="n">
        <v>2</v>
      </c>
      <c r="K291" s="54" t="s">
        <v>142</v>
      </c>
      <c r="L291" s="57" t="n">
        <v>0.0545</v>
      </c>
      <c r="N291" s="47" t="s">
        <v>148</v>
      </c>
      <c r="O291" s="47" t="s">
        <v>639</v>
      </c>
      <c r="P291" s="47"/>
      <c r="Q291" s="48" t="n">
        <f aca="false">IF($J291="","",IFERROR(IF($J291&lt;=1,INDEX(VN_국채일별!$B$4:$B$1436,MATCH($B291,VN_국채일별!$A$4:$A$1436,1)),IF($J291&lt;=2,INDEX(VN_국채일별!$B$4:$B$1436,MATCH($B291,VN_국채일별!$A$4:$A$1436,1))+(INDEX(VN_국채일별!$C$4:$C$1436,MATCH($B291,VN_국채일별!$A$4:$A$1436,1))-INDEX(VN_국채일별!$B$4:$B$1436,MATCH($B291,VN_국채일별!$A$4:$A$1436,1)))*($J291-1),IF($J291&lt;=3,INDEX(VN_국채일별!$C$4:$C$1436,MATCH($B291,VN_국채일별!$A$4:$A$1436,1))+(INDEX(VN_국채일별!$D$4:$D$1436,MATCH($B291,VN_국채일별!$A$4:$A$1436,1))-INDEX(VN_국채일별!$C$4:$C$1436,MATCH($B291,VN_국채일별!$A$4:$A$1436,1)))*($J291-2),IF($J291&lt;=5,INDEX(VN_국채일별!$D$4:$D$1436,MATCH($B291,VN_국채일별!$A$4:$A$1436,1))+(INDEX(VN_국채일별!$E$4:$E$1436,MATCH($B291,VN_국채일별!$A$4:$A$1436,1))-INDEX(VN_국채일별!$D$4:$D$1436,MATCH($B291,VN_국채일별!$A$4:$A$1436,1)))*($J291-3)/2,IF($J291&lt;=7,INDEX(VN_국채일별!$E$4:$E$1436,MATCH($B291,VN_국채일별!$A$4:$A$1436,1))+(INDEX(VN_국채일별!$F$4:$F$1436,MATCH($B291,VN_국채일별!$A$4:$A$1436,1))-INDEX(VN_국채일별!$E$4:$E$1436,MATCH($B291,VN_국채일별!$A$4:$A$1436,1)))*($J291-5)/2,IF($J291&lt;=10,INDEX(VN_국채일별!$F$4:$F$1436,MATCH($B291,VN_국채일별!$A$4:$A$1436,1))+(INDEX(VN_국채일별!$G$4:$G$1436,MATCH($B291,VN_국채일별!$A$4:$A$1436,1))-INDEX(VN_국채일별!$F$4:$F$1436,MATCH($B291,VN_국채일별!$A$4:$A$1436,1)))*($J291-7)/3,INDEX(VN_국채일별!$G$4:$G$1436,MATCH($B291,VN_국채일별!$A$4:$A$1436,1)))))))),""))</f>
        <v>0.01983</v>
      </c>
      <c r="R291" s="58" t="n">
        <f aca="false">IF(OR(L291="",Q291=""),"",(L291-Q291)*10000)</f>
        <v>346.7</v>
      </c>
      <c r="S291" s="30" t="n">
        <f aca="false">IF(AND(K291="고정",N291="N",J291&gt;=2,J291&lt;=4,I291&lt;&gt;""),1,0)</f>
        <v>1</v>
      </c>
      <c r="T291" s="59" t="n">
        <f aca="false">IF(S291=1,I291*L291,0)</f>
        <v>109</v>
      </c>
      <c r="U291" s="60" t="n">
        <f aca="false">IF(AND(S291=1,ISNUMBER(R291)),I291*R291,0)</f>
        <v>693400</v>
      </c>
      <c r="V291" s="30" t="n">
        <f aca="false">IF(AND(F291="Big4(국영)",K291="고정",N291="N",I291&lt;&gt;""),1,0)</f>
        <v>0</v>
      </c>
      <c r="W291" s="59" t="n">
        <f aca="false">IF(V291=1,I291*L291,0)</f>
        <v>0</v>
      </c>
      <c r="X291" s="60" t="n">
        <f aca="false">IF(AND(V291=1,ISNUMBER(R291)),I291*R291,0)</f>
        <v>0</v>
      </c>
      <c r="Y291" s="61" t="n">
        <f aca="false">IF(AND(S291=1,ISNUMBER(R291)),I291,0)</f>
        <v>2000</v>
      </c>
      <c r="Z291" s="61" t="n">
        <f aca="false">IF(AND(V291=1,ISNUMBER(R291)),I291,0)</f>
        <v>0</v>
      </c>
    </row>
    <row r="292" customFormat="false" ht="15" hidden="false" customHeight="false" outlineLevel="0" collapsed="false">
      <c r="A292" s="47" t="s">
        <v>614</v>
      </c>
      <c r="B292" s="52" t="n">
        <v>45499</v>
      </c>
      <c r="C292" s="53" t="n">
        <f aca="false">DATE(YEAR(B292),MONTH(B292),1)</f>
        <v>45474</v>
      </c>
      <c r="D292" s="5" t="str">
        <f aca="false">YEAR(B292)&amp;"Q"&amp;ROUNDUP(MONTH(B292)/3,0)</f>
        <v>2024Q3</v>
      </c>
      <c r="E292" s="47" t="s">
        <v>248</v>
      </c>
      <c r="F292" s="54" t="s">
        <v>139</v>
      </c>
      <c r="G292" s="47" t="s">
        <v>361</v>
      </c>
      <c r="H292" s="47" t="s">
        <v>647</v>
      </c>
      <c r="I292" s="55" t="n">
        <v>500</v>
      </c>
      <c r="J292" s="56" t="n">
        <v>8</v>
      </c>
      <c r="K292" s="54" t="s">
        <v>153</v>
      </c>
      <c r="N292" s="47" t="s">
        <v>143</v>
      </c>
      <c r="O292" s="47" t="s">
        <v>494</v>
      </c>
      <c r="P292" s="47"/>
      <c r="Q292" s="48" t="n">
        <f aca="false">IF($J292="","",IFERROR(IF($J292&lt;=1,INDEX(VN_국채일별!$B$4:$B$1436,MATCH($B292,VN_국채일별!$A$4:$A$1436,1)),IF($J292&lt;=2,INDEX(VN_국채일별!$B$4:$B$1436,MATCH($B292,VN_국채일별!$A$4:$A$1436,1))+(INDEX(VN_국채일별!$C$4:$C$1436,MATCH($B292,VN_국채일별!$A$4:$A$1436,1))-INDEX(VN_국채일별!$B$4:$B$1436,MATCH($B292,VN_국채일별!$A$4:$A$1436,1)))*($J292-1),IF($J292&lt;=3,INDEX(VN_국채일별!$C$4:$C$1436,MATCH($B292,VN_국채일별!$A$4:$A$1436,1))+(INDEX(VN_국채일별!$D$4:$D$1436,MATCH($B292,VN_국채일별!$A$4:$A$1436,1))-INDEX(VN_국채일별!$C$4:$C$1436,MATCH($B292,VN_국채일별!$A$4:$A$1436,1)))*($J292-2),IF($J292&lt;=5,INDEX(VN_국채일별!$D$4:$D$1436,MATCH($B292,VN_국채일별!$A$4:$A$1436,1))+(INDEX(VN_국채일별!$E$4:$E$1436,MATCH($B292,VN_국채일별!$A$4:$A$1436,1))-INDEX(VN_국채일별!$D$4:$D$1436,MATCH($B292,VN_국채일별!$A$4:$A$1436,1)))*($J292-3)/2,IF($J292&lt;=7,INDEX(VN_국채일별!$E$4:$E$1436,MATCH($B292,VN_국채일별!$A$4:$A$1436,1))+(INDEX(VN_국채일별!$F$4:$F$1436,MATCH($B292,VN_국채일별!$A$4:$A$1436,1))-INDEX(VN_국채일별!$E$4:$E$1436,MATCH($B292,VN_국채일별!$A$4:$A$1436,1)))*($J292-5)/2,IF($J292&lt;=10,INDEX(VN_국채일별!$F$4:$F$1436,MATCH($B292,VN_국채일별!$A$4:$A$1436,1))+(INDEX(VN_국채일별!$G$4:$G$1436,MATCH($B292,VN_국채일별!$A$4:$A$1436,1))-INDEX(VN_국채일별!$F$4:$F$1436,MATCH($B292,VN_국채일별!$A$4:$A$1436,1)))*($J292-7)/3,INDEX(VN_국채일별!$G$4:$G$1436,MATCH($B292,VN_국채일별!$A$4:$A$1436,1)))))))),""))</f>
        <v>0.0249466666666667</v>
      </c>
      <c r="R292" s="58" t="str">
        <f aca="false">IF(OR(L292="",Q292=""),"",(L292-Q292)*10000)</f>
        <v/>
      </c>
      <c r="S292" s="30" t="n">
        <f aca="false">IF(AND(K292="고정",N292="N",J292&gt;=2,J292&lt;=4,I292&lt;&gt;""),1,0)</f>
        <v>0</v>
      </c>
      <c r="T292" s="59" t="n">
        <f aca="false">IF(S292=1,I292*L292,0)</f>
        <v>0</v>
      </c>
      <c r="U292" s="60" t="n">
        <f aca="false">IF(AND(S292=1,ISNUMBER(R292)),I292*R292,0)</f>
        <v>0</v>
      </c>
      <c r="V292" s="30" t="n">
        <f aca="false">IF(AND(F292="Big4(국영)",K292="고정",N292="N",I292&lt;&gt;""),1,0)</f>
        <v>0</v>
      </c>
      <c r="W292" s="59" t="n">
        <f aca="false">IF(V292=1,I292*L292,0)</f>
        <v>0</v>
      </c>
      <c r="X292" s="60" t="n">
        <f aca="false">IF(AND(V292=1,ISNUMBER(R292)),I292*R292,0)</f>
        <v>0</v>
      </c>
      <c r="Y292" s="61" t="n">
        <f aca="false">IF(AND(S292=1,ISNUMBER(R292)),I292,0)</f>
        <v>0</v>
      </c>
      <c r="Z292" s="61" t="n">
        <f aca="false">IF(AND(V292=1,ISNUMBER(R292)),I292,0)</f>
        <v>0</v>
      </c>
    </row>
    <row r="293" customFormat="false" ht="15" hidden="false" customHeight="false" outlineLevel="0" collapsed="false">
      <c r="A293" s="47" t="s">
        <v>614</v>
      </c>
      <c r="B293" s="52" t="n">
        <v>45503</v>
      </c>
      <c r="C293" s="53" t="n">
        <f aca="false">DATE(YEAR(B293),MONTH(B293),1)</f>
        <v>45474</v>
      </c>
      <c r="D293" s="5" t="str">
        <f aca="false">YEAR(B293)&amp;"Q"&amp;ROUNDUP(MONTH(B293)/3,0)</f>
        <v>2024Q3</v>
      </c>
      <c r="E293" s="47" t="s">
        <v>248</v>
      </c>
      <c r="F293" s="54" t="s">
        <v>139</v>
      </c>
      <c r="G293" s="47" t="s">
        <v>361</v>
      </c>
      <c r="H293" s="47" t="s">
        <v>648</v>
      </c>
      <c r="I293" s="55" t="n">
        <v>1000</v>
      </c>
      <c r="J293" s="56" t="n">
        <v>3</v>
      </c>
      <c r="K293" s="54" t="s">
        <v>142</v>
      </c>
      <c r="L293" s="57" t="n">
        <v>0.057</v>
      </c>
      <c r="N293" s="47" t="s">
        <v>148</v>
      </c>
      <c r="O293" s="47" t="s">
        <v>649</v>
      </c>
      <c r="P293" s="47"/>
      <c r="Q293" s="48" t="n">
        <f aca="false">IF($J293="","",IFERROR(IF($J293&lt;=1,INDEX(VN_국채일별!$B$4:$B$1436,MATCH($B293,VN_국채일별!$A$4:$A$1436,1)),IF($J293&lt;=2,INDEX(VN_국채일별!$B$4:$B$1436,MATCH($B293,VN_국채일별!$A$4:$A$1436,1))+(INDEX(VN_국채일별!$C$4:$C$1436,MATCH($B293,VN_국채일별!$A$4:$A$1436,1))-INDEX(VN_국채일별!$B$4:$B$1436,MATCH($B293,VN_국채일별!$A$4:$A$1436,1)))*($J293-1),IF($J293&lt;=3,INDEX(VN_국채일별!$C$4:$C$1436,MATCH($B293,VN_국채일별!$A$4:$A$1436,1))+(INDEX(VN_국채일별!$D$4:$D$1436,MATCH($B293,VN_국채일별!$A$4:$A$1436,1))-INDEX(VN_국채일별!$C$4:$C$1436,MATCH($B293,VN_국채일별!$A$4:$A$1436,1)))*($J293-2),IF($J293&lt;=5,INDEX(VN_국채일별!$D$4:$D$1436,MATCH($B293,VN_국채일별!$A$4:$A$1436,1))+(INDEX(VN_국채일별!$E$4:$E$1436,MATCH($B293,VN_국채일별!$A$4:$A$1436,1))-INDEX(VN_국채일별!$D$4:$D$1436,MATCH($B293,VN_국채일별!$A$4:$A$1436,1)))*($J293-3)/2,IF($J293&lt;=7,INDEX(VN_국채일별!$E$4:$E$1436,MATCH($B293,VN_국채일별!$A$4:$A$1436,1))+(INDEX(VN_국채일별!$F$4:$F$1436,MATCH($B293,VN_국채일별!$A$4:$A$1436,1))-INDEX(VN_국채일별!$E$4:$E$1436,MATCH($B293,VN_국채일별!$A$4:$A$1436,1)))*($J293-5)/2,IF($J293&lt;=10,INDEX(VN_국채일별!$F$4:$F$1436,MATCH($B293,VN_국채일별!$A$4:$A$1436,1))+(INDEX(VN_국채일별!$G$4:$G$1436,MATCH($B293,VN_국채일별!$A$4:$A$1436,1))-INDEX(VN_국채일별!$F$4:$F$1436,MATCH($B293,VN_국채일별!$A$4:$A$1436,1)))*($J293-7)/3,INDEX(VN_국채일별!$G$4:$G$1436,MATCH($B293,VN_국채일별!$A$4:$A$1436,1)))))))),""))</f>
        <v>0.02007</v>
      </c>
      <c r="R293" s="58" t="n">
        <f aca="false">IF(OR(L293="",Q293=""),"",(L293-Q293)*10000)</f>
        <v>369.3</v>
      </c>
      <c r="S293" s="30" t="n">
        <f aca="false">IF(AND(K293="고정",N293="N",J293&gt;=2,J293&lt;=4,I293&lt;&gt;""),1,0)</f>
        <v>1</v>
      </c>
      <c r="T293" s="59" t="n">
        <f aca="false">IF(S293=1,I293*L293,0)</f>
        <v>57</v>
      </c>
      <c r="U293" s="60" t="n">
        <f aca="false">IF(AND(S293=1,ISNUMBER(R293)),I293*R293,0)</f>
        <v>369300</v>
      </c>
      <c r="V293" s="30" t="n">
        <f aca="false">IF(AND(F293="Big4(국영)",K293="고정",N293="N",I293&lt;&gt;""),1,0)</f>
        <v>0</v>
      </c>
      <c r="W293" s="59" t="n">
        <f aca="false">IF(V293=1,I293*L293,0)</f>
        <v>0</v>
      </c>
      <c r="X293" s="60" t="n">
        <f aca="false">IF(AND(V293=1,ISNUMBER(R293)),I293*R293,0)</f>
        <v>0</v>
      </c>
      <c r="Y293" s="61" t="n">
        <f aca="false">IF(AND(S293=1,ISNUMBER(R293)),I293,0)</f>
        <v>1000</v>
      </c>
      <c r="Z293" s="61" t="n">
        <f aca="false">IF(AND(V293=1,ISNUMBER(R293)),I293,0)</f>
        <v>0</v>
      </c>
    </row>
    <row r="294" customFormat="false" ht="15" hidden="false" customHeight="false" outlineLevel="0" collapsed="false">
      <c r="A294" s="47" t="s">
        <v>650</v>
      </c>
      <c r="B294" s="52" t="n">
        <v>45505</v>
      </c>
      <c r="C294" s="53" t="n">
        <f aca="false">DATE(YEAR(B294),MONTH(B294),1)</f>
        <v>45505</v>
      </c>
      <c r="D294" s="5" t="str">
        <f aca="false">YEAR(B294)&amp;"Q"&amp;ROUNDUP(MONTH(B294)/3,0)</f>
        <v>2024Q3</v>
      </c>
      <c r="E294" s="47" t="s">
        <v>160</v>
      </c>
      <c r="F294" s="54" t="s">
        <v>139</v>
      </c>
      <c r="G294" s="47" t="s">
        <v>161</v>
      </c>
      <c r="H294" s="47" t="s">
        <v>651</v>
      </c>
      <c r="I294" s="55" t="n">
        <v>2000</v>
      </c>
      <c r="J294" s="56" t="n">
        <v>3</v>
      </c>
      <c r="K294" s="54" t="s">
        <v>142</v>
      </c>
      <c r="L294" s="57" t="n">
        <v>0.0545</v>
      </c>
      <c r="N294" s="47" t="s">
        <v>148</v>
      </c>
      <c r="O294" s="47" t="s">
        <v>639</v>
      </c>
      <c r="P294" s="47"/>
      <c r="Q294" s="48" t="n">
        <f aca="false">IF($J294="","",IFERROR(IF($J294&lt;=1,INDEX(VN_국채일별!$B$4:$B$1436,MATCH($B294,VN_국채일별!$A$4:$A$1436,1)),IF($J294&lt;=2,INDEX(VN_국채일별!$B$4:$B$1436,MATCH($B294,VN_국채일별!$A$4:$A$1436,1))+(INDEX(VN_국채일별!$C$4:$C$1436,MATCH($B294,VN_국채일별!$A$4:$A$1436,1))-INDEX(VN_국채일별!$B$4:$B$1436,MATCH($B294,VN_국채일별!$A$4:$A$1436,1)))*($J294-1),IF($J294&lt;=3,INDEX(VN_국채일별!$C$4:$C$1436,MATCH($B294,VN_국채일별!$A$4:$A$1436,1))+(INDEX(VN_국채일별!$D$4:$D$1436,MATCH($B294,VN_국채일별!$A$4:$A$1436,1))-INDEX(VN_국채일별!$C$4:$C$1436,MATCH($B294,VN_국채일별!$A$4:$A$1436,1)))*($J294-2),IF($J294&lt;=5,INDEX(VN_국채일별!$D$4:$D$1436,MATCH($B294,VN_국채일별!$A$4:$A$1436,1))+(INDEX(VN_국채일별!$E$4:$E$1436,MATCH($B294,VN_국채일별!$A$4:$A$1436,1))-INDEX(VN_국채일별!$D$4:$D$1436,MATCH($B294,VN_국채일별!$A$4:$A$1436,1)))*($J294-3)/2,IF($J294&lt;=7,INDEX(VN_국채일별!$E$4:$E$1436,MATCH($B294,VN_국채일별!$A$4:$A$1436,1))+(INDEX(VN_국채일별!$F$4:$F$1436,MATCH($B294,VN_국채일별!$A$4:$A$1436,1))-INDEX(VN_국채일별!$E$4:$E$1436,MATCH($B294,VN_국채일별!$A$4:$A$1436,1)))*($J294-5)/2,IF($J294&lt;=10,INDEX(VN_국채일별!$F$4:$F$1436,MATCH($B294,VN_국채일별!$A$4:$A$1436,1))+(INDEX(VN_국채일별!$G$4:$G$1436,MATCH($B294,VN_국채일별!$A$4:$A$1436,1))-INDEX(VN_국채일별!$F$4:$F$1436,MATCH($B294,VN_국채일별!$A$4:$A$1436,1)))*($J294-7)/3,INDEX(VN_국채일별!$G$4:$G$1436,MATCH($B294,VN_국채일별!$A$4:$A$1436,1)))))))),""))</f>
        <v>0.02014</v>
      </c>
      <c r="R294" s="58" t="n">
        <f aca="false">IF(OR(L294="",Q294=""),"",(L294-Q294)*10000)</f>
        <v>343.6</v>
      </c>
      <c r="S294" s="30" t="n">
        <f aca="false">IF(AND(K294="고정",N294="N",J294&gt;=2,J294&lt;=4,I294&lt;&gt;""),1,0)</f>
        <v>1</v>
      </c>
      <c r="T294" s="59" t="n">
        <f aca="false">IF(S294=1,I294*L294,0)</f>
        <v>109</v>
      </c>
      <c r="U294" s="60" t="n">
        <f aca="false">IF(AND(S294=1,ISNUMBER(R294)),I294*R294,0)</f>
        <v>687200</v>
      </c>
      <c r="V294" s="30" t="n">
        <f aca="false">IF(AND(F294="Big4(국영)",K294="고정",N294="N",I294&lt;&gt;""),1,0)</f>
        <v>0</v>
      </c>
      <c r="W294" s="59" t="n">
        <f aca="false">IF(V294=1,I294*L294,0)</f>
        <v>0</v>
      </c>
      <c r="X294" s="60" t="n">
        <f aca="false">IF(AND(V294=1,ISNUMBER(R294)),I294*R294,0)</f>
        <v>0</v>
      </c>
      <c r="Y294" s="61" t="n">
        <f aca="false">IF(AND(S294=1,ISNUMBER(R294)),I294,0)</f>
        <v>2000</v>
      </c>
      <c r="Z294" s="61" t="n">
        <f aca="false">IF(AND(V294=1,ISNUMBER(R294)),I294,0)</f>
        <v>0</v>
      </c>
    </row>
    <row r="295" customFormat="false" ht="15" hidden="false" customHeight="false" outlineLevel="0" collapsed="false">
      <c r="A295" s="47" t="s">
        <v>650</v>
      </c>
      <c r="B295" s="52" t="n">
        <v>45505</v>
      </c>
      <c r="C295" s="53" t="n">
        <f aca="false">DATE(YEAR(B295),MONTH(B295),1)</f>
        <v>45505</v>
      </c>
      <c r="D295" s="5" t="str">
        <f aca="false">YEAR(B295)&amp;"Q"&amp;ROUNDUP(MONTH(B295)/3,0)</f>
        <v>2024Q3</v>
      </c>
      <c r="E295" s="47" t="s">
        <v>248</v>
      </c>
      <c r="F295" s="54" t="s">
        <v>139</v>
      </c>
      <c r="G295" s="47" t="s">
        <v>361</v>
      </c>
      <c r="H295" s="47" t="s">
        <v>652</v>
      </c>
      <c r="I295" s="55" t="n">
        <v>2000</v>
      </c>
      <c r="J295" s="56" t="n">
        <v>2</v>
      </c>
      <c r="K295" s="54" t="s">
        <v>142</v>
      </c>
      <c r="L295" s="57" t="n">
        <v>0.057</v>
      </c>
      <c r="N295" s="47" t="s">
        <v>148</v>
      </c>
      <c r="O295" s="47" t="s">
        <v>649</v>
      </c>
      <c r="P295" s="47"/>
      <c r="Q295" s="48" t="n">
        <f aca="false">IF($J295="","",IFERROR(IF($J295&lt;=1,INDEX(VN_국채일별!$B$4:$B$1436,MATCH($B295,VN_국채일별!$A$4:$A$1436,1)),IF($J295&lt;=2,INDEX(VN_국채일별!$B$4:$B$1436,MATCH($B295,VN_국채일별!$A$4:$A$1436,1))+(INDEX(VN_국채일별!$C$4:$C$1436,MATCH($B295,VN_국채일별!$A$4:$A$1436,1))-INDEX(VN_국채일별!$B$4:$B$1436,MATCH($B295,VN_국채일별!$A$4:$A$1436,1)))*($J295-1),IF($J295&lt;=3,INDEX(VN_국채일별!$C$4:$C$1436,MATCH($B295,VN_국채일별!$A$4:$A$1436,1))+(INDEX(VN_국채일별!$D$4:$D$1436,MATCH($B295,VN_국채일별!$A$4:$A$1436,1))-INDEX(VN_국채일별!$C$4:$C$1436,MATCH($B295,VN_국채일별!$A$4:$A$1436,1)))*($J295-2),IF($J295&lt;=5,INDEX(VN_국채일별!$D$4:$D$1436,MATCH($B295,VN_국채일별!$A$4:$A$1436,1))+(INDEX(VN_국채일별!$E$4:$E$1436,MATCH($B295,VN_국채일별!$A$4:$A$1436,1))-INDEX(VN_국채일별!$D$4:$D$1436,MATCH($B295,VN_국채일별!$A$4:$A$1436,1)))*($J295-3)/2,IF($J295&lt;=7,INDEX(VN_국채일별!$E$4:$E$1436,MATCH($B295,VN_국채일별!$A$4:$A$1436,1))+(INDEX(VN_국채일별!$F$4:$F$1436,MATCH($B295,VN_국채일별!$A$4:$A$1436,1))-INDEX(VN_국채일별!$E$4:$E$1436,MATCH($B295,VN_국채일별!$A$4:$A$1436,1)))*($J295-5)/2,IF($J295&lt;=10,INDEX(VN_국채일별!$F$4:$F$1436,MATCH($B295,VN_국채일별!$A$4:$A$1436,1))+(INDEX(VN_국채일별!$G$4:$G$1436,MATCH($B295,VN_국채일별!$A$4:$A$1436,1))-INDEX(VN_국채일별!$F$4:$F$1436,MATCH($B295,VN_국채일별!$A$4:$A$1436,1)))*($J295-7)/3,INDEX(VN_국채일별!$G$4:$G$1436,MATCH($B295,VN_국채일별!$A$4:$A$1436,1)))))))),""))</f>
        <v>0.01937</v>
      </c>
      <c r="R295" s="58" t="n">
        <f aca="false">IF(OR(L295="",Q295=""),"",(L295-Q295)*10000)</f>
        <v>376.3</v>
      </c>
      <c r="S295" s="30" t="n">
        <f aca="false">IF(AND(K295="고정",N295="N",J295&gt;=2,J295&lt;=4,I295&lt;&gt;""),1,0)</f>
        <v>1</v>
      </c>
      <c r="T295" s="59" t="n">
        <f aca="false">IF(S295=1,I295*L295,0)</f>
        <v>114</v>
      </c>
      <c r="U295" s="60" t="n">
        <f aca="false">IF(AND(S295=1,ISNUMBER(R295)),I295*R295,0)</f>
        <v>752600</v>
      </c>
      <c r="V295" s="30" t="n">
        <f aca="false">IF(AND(F295="Big4(국영)",K295="고정",N295="N",I295&lt;&gt;""),1,0)</f>
        <v>0</v>
      </c>
      <c r="W295" s="59" t="n">
        <f aca="false">IF(V295=1,I295*L295,0)</f>
        <v>0</v>
      </c>
      <c r="X295" s="60" t="n">
        <f aca="false">IF(AND(V295=1,ISNUMBER(R295)),I295*R295,0)</f>
        <v>0</v>
      </c>
      <c r="Y295" s="61" t="n">
        <f aca="false">IF(AND(S295=1,ISNUMBER(R295)),I295,0)</f>
        <v>2000</v>
      </c>
      <c r="Z295" s="61" t="n">
        <f aca="false">IF(AND(V295=1,ISNUMBER(R295)),I295,0)</f>
        <v>0</v>
      </c>
    </row>
    <row r="296" customFormat="false" ht="15" hidden="false" customHeight="false" outlineLevel="0" collapsed="false">
      <c r="A296" s="47" t="s">
        <v>650</v>
      </c>
      <c r="B296" s="52" t="n">
        <v>45506</v>
      </c>
      <c r="C296" s="53" t="n">
        <f aca="false">DATE(YEAR(B296),MONTH(B296),1)</f>
        <v>45505</v>
      </c>
      <c r="D296" s="5" t="str">
        <f aca="false">YEAR(B296)&amp;"Q"&amp;ROUNDUP(MONTH(B296)/3,0)</f>
        <v>2024Q3</v>
      </c>
      <c r="E296" s="62" t="s">
        <v>173</v>
      </c>
      <c r="F296" s="62" t="s">
        <v>156</v>
      </c>
      <c r="G296" s="47" t="s">
        <v>174</v>
      </c>
      <c r="H296" s="47" t="s">
        <v>653</v>
      </c>
      <c r="I296" s="55" t="n">
        <v>150</v>
      </c>
      <c r="J296" s="56" t="n">
        <v>8</v>
      </c>
      <c r="K296" s="54" t="s">
        <v>153</v>
      </c>
      <c r="N296" s="47" t="s">
        <v>143</v>
      </c>
      <c r="O296" s="47" t="s">
        <v>654</v>
      </c>
      <c r="P296" s="47"/>
      <c r="Q296" s="48" t="n">
        <f aca="false">IF($J296="","",IFERROR(IF($J296&lt;=1,INDEX(VN_국채일별!$B$4:$B$1436,MATCH($B296,VN_국채일별!$A$4:$A$1436,1)),IF($J296&lt;=2,INDEX(VN_국채일별!$B$4:$B$1436,MATCH($B296,VN_국채일별!$A$4:$A$1436,1))+(INDEX(VN_국채일별!$C$4:$C$1436,MATCH($B296,VN_국채일별!$A$4:$A$1436,1))-INDEX(VN_국채일별!$B$4:$B$1436,MATCH($B296,VN_국채일별!$A$4:$A$1436,1)))*($J296-1),IF($J296&lt;=3,INDEX(VN_국채일별!$C$4:$C$1436,MATCH($B296,VN_국채일별!$A$4:$A$1436,1))+(INDEX(VN_국채일별!$D$4:$D$1436,MATCH($B296,VN_국채일별!$A$4:$A$1436,1))-INDEX(VN_국채일별!$C$4:$C$1436,MATCH($B296,VN_국채일별!$A$4:$A$1436,1)))*($J296-2),IF($J296&lt;=5,INDEX(VN_국채일별!$D$4:$D$1436,MATCH($B296,VN_국채일별!$A$4:$A$1436,1))+(INDEX(VN_국채일별!$E$4:$E$1436,MATCH($B296,VN_국채일별!$A$4:$A$1436,1))-INDEX(VN_국채일별!$D$4:$D$1436,MATCH($B296,VN_국채일별!$A$4:$A$1436,1)))*($J296-3)/2,IF($J296&lt;=7,INDEX(VN_국채일별!$E$4:$E$1436,MATCH($B296,VN_국채일별!$A$4:$A$1436,1))+(INDEX(VN_국채일별!$F$4:$F$1436,MATCH($B296,VN_국채일별!$A$4:$A$1436,1))-INDEX(VN_국채일별!$E$4:$E$1436,MATCH($B296,VN_국채일별!$A$4:$A$1436,1)))*($J296-5)/2,IF($J296&lt;=10,INDEX(VN_국채일별!$F$4:$F$1436,MATCH($B296,VN_국채일별!$A$4:$A$1436,1))+(INDEX(VN_국채일별!$G$4:$G$1436,MATCH($B296,VN_국채일별!$A$4:$A$1436,1))-INDEX(VN_국채일별!$F$4:$F$1436,MATCH($B296,VN_국채일별!$A$4:$A$1436,1)))*($J296-7)/3,INDEX(VN_국채일별!$G$4:$G$1436,MATCH($B296,VN_국채일별!$A$4:$A$1436,1)))))))),""))</f>
        <v>0.0250066666666667</v>
      </c>
      <c r="R296" s="58" t="str">
        <f aca="false">IF(OR(L296="",Q296=""),"",(L296-Q296)*10000)</f>
        <v/>
      </c>
      <c r="S296" s="30" t="n">
        <f aca="false">IF(AND(K296="고정",N296="N",J296&gt;=2,J296&lt;=4,I296&lt;&gt;""),1,0)</f>
        <v>0</v>
      </c>
      <c r="T296" s="59" t="n">
        <f aca="false">IF(S296=1,I296*L296,0)</f>
        <v>0</v>
      </c>
      <c r="U296" s="60" t="n">
        <f aca="false">IF(AND(S296=1,ISNUMBER(R296)),I296*R296,0)</f>
        <v>0</v>
      </c>
      <c r="V296" s="30" t="n">
        <f aca="false">IF(AND(F296="Big4(국영)",K296="고정",N296="N",I296&lt;&gt;""),1,0)</f>
        <v>0</v>
      </c>
      <c r="W296" s="59" t="n">
        <f aca="false">IF(V296=1,I296*L296,0)</f>
        <v>0</v>
      </c>
      <c r="X296" s="60" t="n">
        <f aca="false">IF(AND(V296=1,ISNUMBER(R296)),I296*R296,0)</f>
        <v>0</v>
      </c>
      <c r="Y296" s="61" t="n">
        <f aca="false">IF(AND(S296=1,ISNUMBER(R296)),I296,0)</f>
        <v>0</v>
      </c>
      <c r="Z296" s="61" t="n">
        <f aca="false">IF(AND(V296=1,ISNUMBER(R296)),I296,0)</f>
        <v>0</v>
      </c>
    </row>
    <row r="297" customFormat="false" ht="15" hidden="false" customHeight="false" outlineLevel="0" collapsed="false">
      <c r="A297" s="47" t="s">
        <v>650</v>
      </c>
      <c r="B297" s="52" t="n">
        <v>45509</v>
      </c>
      <c r="C297" s="53" t="n">
        <f aca="false">DATE(YEAR(B297),MONTH(B297),1)</f>
        <v>45505</v>
      </c>
      <c r="D297" s="5" t="str">
        <f aca="false">YEAR(B297)&amp;"Q"&amp;ROUNDUP(MONTH(B297)/3,0)</f>
        <v>2024Q3</v>
      </c>
      <c r="E297" s="47" t="s">
        <v>160</v>
      </c>
      <c r="F297" s="54" t="s">
        <v>139</v>
      </c>
      <c r="G297" s="47" t="s">
        <v>161</v>
      </c>
      <c r="H297" s="47" t="s">
        <v>655</v>
      </c>
      <c r="I297" s="55" t="n">
        <v>2000</v>
      </c>
      <c r="J297" s="56" t="n">
        <v>3</v>
      </c>
      <c r="K297" s="54" t="s">
        <v>142</v>
      </c>
      <c r="L297" s="57" t="n">
        <v>0.0545</v>
      </c>
      <c r="N297" s="47" t="s">
        <v>148</v>
      </c>
      <c r="O297" s="47" t="s">
        <v>639</v>
      </c>
      <c r="P297" s="47"/>
      <c r="Q297" s="48" t="n">
        <f aca="false">IF($J297="","",IFERROR(IF($J297&lt;=1,INDEX(VN_국채일별!$B$4:$B$1436,MATCH($B297,VN_국채일별!$A$4:$A$1436,1)),IF($J297&lt;=2,INDEX(VN_국채일별!$B$4:$B$1436,MATCH($B297,VN_국채일별!$A$4:$A$1436,1))+(INDEX(VN_국채일별!$C$4:$C$1436,MATCH($B297,VN_국채일별!$A$4:$A$1436,1))-INDEX(VN_국채일별!$B$4:$B$1436,MATCH($B297,VN_국채일별!$A$4:$A$1436,1)))*($J297-1),IF($J297&lt;=3,INDEX(VN_국채일별!$C$4:$C$1436,MATCH($B297,VN_국채일별!$A$4:$A$1436,1))+(INDEX(VN_국채일별!$D$4:$D$1436,MATCH($B297,VN_국채일별!$A$4:$A$1436,1))-INDEX(VN_국채일별!$C$4:$C$1436,MATCH($B297,VN_국채일별!$A$4:$A$1436,1)))*($J297-2),IF($J297&lt;=5,INDEX(VN_국채일별!$D$4:$D$1436,MATCH($B297,VN_국채일별!$A$4:$A$1436,1))+(INDEX(VN_국채일별!$E$4:$E$1436,MATCH($B297,VN_국채일별!$A$4:$A$1436,1))-INDEX(VN_국채일별!$D$4:$D$1436,MATCH($B297,VN_국채일별!$A$4:$A$1436,1)))*($J297-3)/2,IF($J297&lt;=7,INDEX(VN_국채일별!$E$4:$E$1436,MATCH($B297,VN_국채일별!$A$4:$A$1436,1))+(INDEX(VN_국채일별!$F$4:$F$1436,MATCH($B297,VN_국채일별!$A$4:$A$1436,1))-INDEX(VN_국채일별!$E$4:$E$1436,MATCH($B297,VN_국채일별!$A$4:$A$1436,1)))*($J297-5)/2,IF($J297&lt;=10,INDEX(VN_국채일별!$F$4:$F$1436,MATCH($B297,VN_국채일별!$A$4:$A$1436,1))+(INDEX(VN_국채일별!$G$4:$G$1436,MATCH($B297,VN_국채일별!$A$4:$A$1436,1))-INDEX(VN_국채일별!$F$4:$F$1436,MATCH($B297,VN_국채일별!$A$4:$A$1436,1)))*($J297-7)/3,INDEX(VN_국채일별!$G$4:$G$1436,MATCH($B297,VN_국채일별!$A$4:$A$1436,1)))))))),""))</f>
        <v>0.02014</v>
      </c>
      <c r="R297" s="58" t="n">
        <f aca="false">IF(OR(L297="",Q297=""),"",(L297-Q297)*10000)</f>
        <v>343.6</v>
      </c>
      <c r="S297" s="30" t="n">
        <f aca="false">IF(AND(K297="고정",N297="N",J297&gt;=2,J297&lt;=4,I297&lt;&gt;""),1,0)</f>
        <v>1</v>
      </c>
      <c r="T297" s="59" t="n">
        <f aca="false">IF(S297=1,I297*L297,0)</f>
        <v>109</v>
      </c>
      <c r="U297" s="60" t="n">
        <f aca="false">IF(AND(S297=1,ISNUMBER(R297)),I297*R297,0)</f>
        <v>687200</v>
      </c>
      <c r="V297" s="30" t="n">
        <f aca="false">IF(AND(F297="Big4(국영)",K297="고정",N297="N",I297&lt;&gt;""),1,0)</f>
        <v>0</v>
      </c>
      <c r="W297" s="59" t="n">
        <f aca="false">IF(V297=1,I297*L297,0)</f>
        <v>0</v>
      </c>
      <c r="X297" s="60" t="n">
        <f aca="false">IF(AND(V297=1,ISNUMBER(R297)),I297*R297,0)</f>
        <v>0</v>
      </c>
      <c r="Y297" s="61" t="n">
        <f aca="false">IF(AND(S297=1,ISNUMBER(R297)),I297,0)</f>
        <v>2000</v>
      </c>
      <c r="Z297" s="61" t="n">
        <f aca="false">IF(AND(V297=1,ISNUMBER(R297)),I297,0)</f>
        <v>0</v>
      </c>
    </row>
    <row r="298" customFormat="false" ht="15" hidden="false" customHeight="false" outlineLevel="0" collapsed="false">
      <c r="A298" s="47" t="s">
        <v>650</v>
      </c>
      <c r="B298" s="52" t="n">
        <v>45509</v>
      </c>
      <c r="C298" s="53" t="n">
        <f aca="false">DATE(YEAR(B298),MONTH(B298),1)</f>
        <v>45505</v>
      </c>
      <c r="D298" s="5" t="str">
        <f aca="false">YEAR(B298)&amp;"Q"&amp;ROUNDUP(MONTH(B298)/3,0)</f>
        <v>2024Q3</v>
      </c>
      <c r="E298" s="47" t="s">
        <v>191</v>
      </c>
      <c r="F298" s="54" t="s">
        <v>139</v>
      </c>
      <c r="G298" s="47" t="s">
        <v>622</v>
      </c>
      <c r="H298" s="47" t="s">
        <v>656</v>
      </c>
      <c r="I298" s="55" t="n">
        <v>1000</v>
      </c>
      <c r="J298" s="56" t="n">
        <v>3</v>
      </c>
      <c r="K298" s="54" t="s">
        <v>142</v>
      </c>
      <c r="L298" s="57" t="n">
        <v>0.063</v>
      </c>
      <c r="N298" s="47" t="s">
        <v>148</v>
      </c>
      <c r="O298" s="47" t="s">
        <v>439</v>
      </c>
      <c r="P298" s="47"/>
      <c r="Q298" s="48" t="n">
        <f aca="false">IF($J298="","",IFERROR(IF($J298&lt;=1,INDEX(VN_국채일별!$B$4:$B$1436,MATCH($B298,VN_국채일별!$A$4:$A$1436,1)),IF($J298&lt;=2,INDEX(VN_국채일별!$B$4:$B$1436,MATCH($B298,VN_국채일별!$A$4:$A$1436,1))+(INDEX(VN_국채일별!$C$4:$C$1436,MATCH($B298,VN_국채일별!$A$4:$A$1436,1))-INDEX(VN_국채일별!$B$4:$B$1436,MATCH($B298,VN_국채일별!$A$4:$A$1436,1)))*($J298-1),IF($J298&lt;=3,INDEX(VN_국채일별!$C$4:$C$1436,MATCH($B298,VN_국채일별!$A$4:$A$1436,1))+(INDEX(VN_국채일별!$D$4:$D$1436,MATCH($B298,VN_국채일별!$A$4:$A$1436,1))-INDEX(VN_국채일별!$C$4:$C$1436,MATCH($B298,VN_국채일별!$A$4:$A$1436,1)))*($J298-2),IF($J298&lt;=5,INDEX(VN_국채일별!$D$4:$D$1436,MATCH($B298,VN_국채일별!$A$4:$A$1436,1))+(INDEX(VN_국채일별!$E$4:$E$1436,MATCH($B298,VN_국채일별!$A$4:$A$1436,1))-INDEX(VN_국채일별!$D$4:$D$1436,MATCH($B298,VN_국채일별!$A$4:$A$1436,1)))*($J298-3)/2,IF($J298&lt;=7,INDEX(VN_국채일별!$E$4:$E$1436,MATCH($B298,VN_국채일별!$A$4:$A$1436,1))+(INDEX(VN_국채일별!$F$4:$F$1436,MATCH($B298,VN_국채일별!$A$4:$A$1436,1))-INDEX(VN_국채일별!$E$4:$E$1436,MATCH($B298,VN_국채일별!$A$4:$A$1436,1)))*($J298-5)/2,IF($J298&lt;=10,INDEX(VN_국채일별!$F$4:$F$1436,MATCH($B298,VN_국채일별!$A$4:$A$1436,1))+(INDEX(VN_국채일별!$G$4:$G$1436,MATCH($B298,VN_국채일별!$A$4:$A$1436,1))-INDEX(VN_국채일별!$F$4:$F$1436,MATCH($B298,VN_국채일별!$A$4:$A$1436,1)))*($J298-7)/3,INDEX(VN_국채일별!$G$4:$G$1436,MATCH($B298,VN_국채일별!$A$4:$A$1436,1)))))))),""))</f>
        <v>0.02014</v>
      </c>
      <c r="R298" s="58" t="n">
        <f aca="false">IF(OR(L298="",Q298=""),"",(L298-Q298)*10000)</f>
        <v>428.6</v>
      </c>
      <c r="S298" s="30" t="n">
        <f aca="false">IF(AND(K298="고정",N298="N",J298&gt;=2,J298&lt;=4,I298&lt;&gt;""),1,0)</f>
        <v>1</v>
      </c>
      <c r="T298" s="59" t="n">
        <f aca="false">IF(S298=1,I298*L298,0)</f>
        <v>63</v>
      </c>
      <c r="U298" s="60" t="n">
        <f aca="false">IF(AND(S298=1,ISNUMBER(R298)),I298*R298,0)</f>
        <v>428600</v>
      </c>
      <c r="V298" s="30" t="n">
        <f aca="false">IF(AND(F298="Big4(국영)",K298="고정",N298="N",I298&lt;&gt;""),1,0)</f>
        <v>0</v>
      </c>
      <c r="W298" s="59" t="n">
        <f aca="false">IF(V298=1,I298*L298,0)</f>
        <v>0</v>
      </c>
      <c r="X298" s="60" t="n">
        <f aca="false">IF(AND(V298=1,ISNUMBER(R298)),I298*R298,0)</f>
        <v>0</v>
      </c>
      <c r="Y298" s="61" t="n">
        <f aca="false">IF(AND(S298=1,ISNUMBER(R298)),I298,0)</f>
        <v>1000</v>
      </c>
      <c r="Z298" s="61" t="n">
        <f aca="false">IF(AND(V298=1,ISNUMBER(R298)),I298,0)</f>
        <v>0</v>
      </c>
    </row>
    <row r="299" customFormat="false" ht="15" hidden="false" customHeight="false" outlineLevel="0" collapsed="false">
      <c r="A299" s="47" t="s">
        <v>650</v>
      </c>
      <c r="B299" s="52" t="n">
        <v>45510</v>
      </c>
      <c r="C299" s="53" t="n">
        <f aca="false">DATE(YEAR(B299),MONTH(B299),1)</f>
        <v>45505</v>
      </c>
      <c r="D299" s="5" t="str">
        <f aca="false">YEAR(B299)&amp;"Q"&amp;ROUNDUP(MONTH(B299)/3,0)</f>
        <v>2024Q3</v>
      </c>
      <c r="E299" s="62" t="s">
        <v>173</v>
      </c>
      <c r="F299" s="62" t="s">
        <v>156</v>
      </c>
      <c r="G299" s="47" t="s">
        <v>174</v>
      </c>
      <c r="H299" s="47" t="s">
        <v>657</v>
      </c>
      <c r="I299" s="55" t="n">
        <v>100</v>
      </c>
      <c r="J299" s="56" t="n">
        <v>15</v>
      </c>
      <c r="K299" s="54" t="s">
        <v>142</v>
      </c>
      <c r="L299" s="57" t="n">
        <v>0.065</v>
      </c>
      <c r="N299" s="47" t="s">
        <v>143</v>
      </c>
      <c r="O299" s="47" t="s">
        <v>417</v>
      </c>
      <c r="P299" s="47"/>
      <c r="Q299" s="48" t="n">
        <f aca="false">IF($J299="","",IFERROR(IF($J299&lt;=1,INDEX(VN_국채일별!$B$4:$B$1436,MATCH($B299,VN_국채일별!$A$4:$A$1436,1)),IF($J299&lt;=2,INDEX(VN_국채일별!$B$4:$B$1436,MATCH($B299,VN_국채일별!$A$4:$A$1436,1))+(INDEX(VN_국채일별!$C$4:$C$1436,MATCH($B299,VN_국채일별!$A$4:$A$1436,1))-INDEX(VN_국채일별!$B$4:$B$1436,MATCH($B299,VN_국채일별!$A$4:$A$1436,1)))*($J299-1),IF($J299&lt;=3,INDEX(VN_국채일별!$C$4:$C$1436,MATCH($B299,VN_국채일별!$A$4:$A$1436,1))+(INDEX(VN_국채일별!$D$4:$D$1436,MATCH($B299,VN_국채일별!$A$4:$A$1436,1))-INDEX(VN_국채일별!$C$4:$C$1436,MATCH($B299,VN_국채일별!$A$4:$A$1436,1)))*($J299-2),IF($J299&lt;=5,INDEX(VN_국채일별!$D$4:$D$1436,MATCH($B299,VN_국채일별!$A$4:$A$1436,1))+(INDEX(VN_국채일별!$E$4:$E$1436,MATCH($B299,VN_국채일별!$A$4:$A$1436,1))-INDEX(VN_국채일별!$D$4:$D$1436,MATCH($B299,VN_국채일별!$A$4:$A$1436,1)))*($J299-3)/2,IF($J299&lt;=7,INDEX(VN_국채일별!$E$4:$E$1436,MATCH($B299,VN_국채일별!$A$4:$A$1436,1))+(INDEX(VN_국채일별!$F$4:$F$1436,MATCH($B299,VN_국채일별!$A$4:$A$1436,1))-INDEX(VN_국채일별!$E$4:$E$1436,MATCH($B299,VN_국채일별!$A$4:$A$1436,1)))*($J299-5)/2,IF($J299&lt;=10,INDEX(VN_국채일별!$F$4:$F$1436,MATCH($B299,VN_국채일별!$A$4:$A$1436,1))+(INDEX(VN_국채일별!$G$4:$G$1436,MATCH($B299,VN_국채일별!$A$4:$A$1436,1))-INDEX(VN_국채일별!$F$4:$F$1436,MATCH($B299,VN_국채일별!$A$4:$A$1436,1)))*($J299-7)/3,INDEX(VN_국채일별!$G$4:$G$1436,MATCH($B299,VN_국채일별!$A$4:$A$1436,1)))))))),""))</f>
        <v>0.02793</v>
      </c>
      <c r="R299" s="58" t="n">
        <f aca="false">IF(OR(L299="",Q299=""),"",(L299-Q299)*10000)</f>
        <v>370.7</v>
      </c>
      <c r="S299" s="30" t="n">
        <f aca="false">IF(AND(K299="고정",N299="N",J299&gt;=2,J299&lt;=4,I299&lt;&gt;""),1,0)</f>
        <v>0</v>
      </c>
      <c r="T299" s="59" t="n">
        <f aca="false">IF(S299=1,I299*L299,0)</f>
        <v>0</v>
      </c>
      <c r="U299" s="60" t="n">
        <f aca="false">IF(AND(S299=1,ISNUMBER(R299)),I299*R299,0)</f>
        <v>0</v>
      </c>
      <c r="V299" s="30" t="n">
        <f aca="false">IF(AND(F299="Big4(국영)",K299="고정",N299="N",I299&lt;&gt;""),1,0)</f>
        <v>0</v>
      </c>
      <c r="W299" s="59" t="n">
        <f aca="false">IF(V299=1,I299*L299,0)</f>
        <v>0</v>
      </c>
      <c r="X299" s="60" t="n">
        <f aca="false">IF(AND(V299=1,ISNUMBER(R299)),I299*R299,0)</f>
        <v>0</v>
      </c>
      <c r="Y299" s="61" t="n">
        <f aca="false">IF(AND(S299=1,ISNUMBER(R299)),I299,0)</f>
        <v>0</v>
      </c>
      <c r="Z299" s="61" t="n">
        <f aca="false">IF(AND(V299=1,ISNUMBER(R299)),I299,0)</f>
        <v>0</v>
      </c>
    </row>
    <row r="300" customFormat="false" ht="15" hidden="false" customHeight="false" outlineLevel="0" collapsed="false">
      <c r="A300" s="47" t="s">
        <v>650</v>
      </c>
      <c r="B300" s="52" t="n">
        <v>45511</v>
      </c>
      <c r="C300" s="53" t="n">
        <f aca="false">DATE(YEAR(B300),MONTH(B300),1)</f>
        <v>45505</v>
      </c>
      <c r="D300" s="5" t="str">
        <f aca="false">YEAR(B300)&amp;"Q"&amp;ROUNDUP(MONTH(B300)/3,0)</f>
        <v>2024Q3</v>
      </c>
      <c r="E300" s="47" t="s">
        <v>248</v>
      </c>
      <c r="F300" s="54" t="s">
        <v>139</v>
      </c>
      <c r="G300" s="47" t="s">
        <v>361</v>
      </c>
      <c r="H300" s="47" t="s">
        <v>658</v>
      </c>
      <c r="I300" s="55" t="n">
        <v>1000</v>
      </c>
      <c r="J300" s="56" t="n">
        <v>7</v>
      </c>
      <c r="K300" s="54" t="s">
        <v>153</v>
      </c>
      <c r="N300" s="47" t="s">
        <v>143</v>
      </c>
      <c r="O300" s="47" t="s">
        <v>494</v>
      </c>
      <c r="P300" s="47"/>
      <c r="Q300" s="48" t="n">
        <f aca="false">IF($J300="","",IFERROR(IF($J300&lt;=1,INDEX(VN_국채일별!$B$4:$B$1436,MATCH($B300,VN_국채일별!$A$4:$A$1436,1)),IF($J300&lt;=2,INDEX(VN_국채일별!$B$4:$B$1436,MATCH($B300,VN_국채일별!$A$4:$A$1436,1))+(INDEX(VN_국채일별!$C$4:$C$1436,MATCH($B300,VN_국채일별!$A$4:$A$1436,1))-INDEX(VN_국채일별!$B$4:$B$1436,MATCH($B300,VN_국채일별!$A$4:$A$1436,1)))*($J300-1),IF($J300&lt;=3,INDEX(VN_국채일별!$C$4:$C$1436,MATCH($B300,VN_국채일별!$A$4:$A$1436,1))+(INDEX(VN_국채일별!$D$4:$D$1436,MATCH($B300,VN_국채일별!$A$4:$A$1436,1))-INDEX(VN_국채일별!$C$4:$C$1436,MATCH($B300,VN_국채일별!$A$4:$A$1436,1)))*($J300-2),IF($J300&lt;=5,INDEX(VN_국채일별!$D$4:$D$1436,MATCH($B300,VN_국채일별!$A$4:$A$1436,1))+(INDEX(VN_국채일별!$E$4:$E$1436,MATCH($B300,VN_국채일별!$A$4:$A$1436,1))-INDEX(VN_국채일별!$D$4:$D$1436,MATCH($B300,VN_국채일별!$A$4:$A$1436,1)))*($J300-3)/2,IF($J300&lt;=7,INDEX(VN_국채일별!$E$4:$E$1436,MATCH($B300,VN_국채일별!$A$4:$A$1436,1))+(INDEX(VN_국채일별!$F$4:$F$1436,MATCH($B300,VN_국채일별!$A$4:$A$1436,1))-INDEX(VN_국채일별!$E$4:$E$1436,MATCH($B300,VN_국채일별!$A$4:$A$1436,1)))*($J300-5)/2,IF($J300&lt;=10,INDEX(VN_국채일별!$F$4:$F$1436,MATCH($B300,VN_국채일별!$A$4:$A$1436,1))+(INDEX(VN_국채일별!$G$4:$G$1436,MATCH($B300,VN_국채일별!$A$4:$A$1436,1))-INDEX(VN_국채일별!$F$4:$F$1436,MATCH($B300,VN_국채일별!$A$4:$A$1436,1)))*($J300-7)/3,INDEX(VN_국채일별!$G$4:$G$1436,MATCH($B300,VN_국채일별!$A$4:$A$1436,1)))))))),""))</f>
        <v>0.02303</v>
      </c>
      <c r="R300" s="58" t="str">
        <f aca="false">IF(OR(L300="",Q300=""),"",(L300-Q300)*10000)</f>
        <v/>
      </c>
      <c r="S300" s="30" t="n">
        <f aca="false">IF(AND(K300="고정",N300="N",J300&gt;=2,J300&lt;=4,I300&lt;&gt;""),1,0)</f>
        <v>0</v>
      </c>
      <c r="T300" s="59" t="n">
        <f aca="false">IF(S300=1,I300*L300,0)</f>
        <v>0</v>
      </c>
      <c r="U300" s="60" t="n">
        <f aca="false">IF(AND(S300=1,ISNUMBER(R300)),I300*R300,0)</f>
        <v>0</v>
      </c>
      <c r="V300" s="30" t="n">
        <f aca="false">IF(AND(F300="Big4(국영)",K300="고정",N300="N",I300&lt;&gt;""),1,0)</f>
        <v>0</v>
      </c>
      <c r="W300" s="59" t="n">
        <f aca="false">IF(V300=1,I300*L300,0)</f>
        <v>0</v>
      </c>
      <c r="X300" s="60" t="n">
        <f aca="false">IF(AND(V300=1,ISNUMBER(R300)),I300*R300,0)</f>
        <v>0</v>
      </c>
      <c r="Y300" s="61" t="n">
        <f aca="false">IF(AND(S300=1,ISNUMBER(R300)),I300,0)</f>
        <v>0</v>
      </c>
      <c r="Z300" s="61" t="n">
        <f aca="false">IF(AND(V300=1,ISNUMBER(R300)),I300,0)</f>
        <v>0</v>
      </c>
    </row>
    <row r="301" customFormat="false" ht="15" hidden="false" customHeight="false" outlineLevel="0" collapsed="false">
      <c r="A301" s="47" t="s">
        <v>650</v>
      </c>
      <c r="B301" s="52" t="n">
        <v>45511</v>
      </c>
      <c r="C301" s="53" t="n">
        <f aca="false">DATE(YEAR(B301),MONTH(B301),1)</f>
        <v>45505</v>
      </c>
      <c r="D301" s="5" t="str">
        <f aca="false">YEAR(B301)&amp;"Q"&amp;ROUNDUP(MONTH(B301)/3,0)</f>
        <v>2024Q3</v>
      </c>
      <c r="E301" s="47" t="s">
        <v>181</v>
      </c>
      <c r="F301" s="54" t="s">
        <v>139</v>
      </c>
      <c r="G301" s="47" t="s">
        <v>182</v>
      </c>
      <c r="H301" s="47" t="s">
        <v>659</v>
      </c>
      <c r="I301" s="55" t="n">
        <v>1000</v>
      </c>
      <c r="J301" s="56" t="n">
        <v>2</v>
      </c>
      <c r="K301" s="54" t="s">
        <v>142</v>
      </c>
      <c r="L301" s="57" t="n">
        <v>0.056</v>
      </c>
      <c r="N301" s="47" t="s">
        <v>148</v>
      </c>
      <c r="O301" s="47" t="s">
        <v>660</v>
      </c>
      <c r="P301" s="47"/>
      <c r="Q301" s="48" t="n">
        <f aca="false">IF($J301="","",IFERROR(IF($J301&lt;=1,INDEX(VN_국채일별!$B$4:$B$1436,MATCH($B301,VN_국채일별!$A$4:$A$1436,1)),IF($J301&lt;=2,INDEX(VN_국채일별!$B$4:$B$1436,MATCH($B301,VN_국채일별!$A$4:$A$1436,1))+(INDEX(VN_국채일별!$C$4:$C$1436,MATCH($B301,VN_국채일별!$A$4:$A$1436,1))-INDEX(VN_국채일별!$B$4:$B$1436,MATCH($B301,VN_국채일별!$A$4:$A$1436,1)))*($J301-1),IF($J301&lt;=3,INDEX(VN_국채일별!$C$4:$C$1436,MATCH($B301,VN_국채일별!$A$4:$A$1436,1))+(INDEX(VN_국채일별!$D$4:$D$1436,MATCH($B301,VN_국채일별!$A$4:$A$1436,1))-INDEX(VN_국채일별!$C$4:$C$1436,MATCH($B301,VN_국채일별!$A$4:$A$1436,1)))*($J301-2),IF($J301&lt;=5,INDEX(VN_국채일별!$D$4:$D$1436,MATCH($B301,VN_국채일별!$A$4:$A$1436,1))+(INDEX(VN_국채일별!$E$4:$E$1436,MATCH($B301,VN_국채일별!$A$4:$A$1436,1))-INDEX(VN_국채일별!$D$4:$D$1436,MATCH($B301,VN_국채일별!$A$4:$A$1436,1)))*($J301-3)/2,IF($J301&lt;=7,INDEX(VN_국채일별!$E$4:$E$1436,MATCH($B301,VN_국채일별!$A$4:$A$1436,1))+(INDEX(VN_국채일별!$F$4:$F$1436,MATCH($B301,VN_국채일별!$A$4:$A$1436,1))-INDEX(VN_국채일별!$E$4:$E$1436,MATCH($B301,VN_국채일별!$A$4:$A$1436,1)))*($J301-5)/2,IF($J301&lt;=10,INDEX(VN_국채일별!$F$4:$F$1436,MATCH($B301,VN_국채일별!$A$4:$A$1436,1))+(INDEX(VN_국채일별!$G$4:$G$1436,MATCH($B301,VN_국채일별!$A$4:$A$1436,1))-INDEX(VN_국채일별!$F$4:$F$1436,MATCH($B301,VN_국채일별!$A$4:$A$1436,1)))*($J301-7)/3,INDEX(VN_국채일별!$G$4:$G$1436,MATCH($B301,VN_국채일별!$A$4:$A$1436,1)))))))),""))</f>
        <v>0.01936</v>
      </c>
      <c r="R301" s="58" t="n">
        <f aca="false">IF(OR(L301="",Q301=""),"",(L301-Q301)*10000)</f>
        <v>366.4</v>
      </c>
      <c r="S301" s="30" t="n">
        <f aca="false">IF(AND(K301="고정",N301="N",J301&gt;=2,J301&lt;=4,I301&lt;&gt;""),1,0)</f>
        <v>1</v>
      </c>
      <c r="T301" s="59" t="n">
        <f aca="false">IF(S301=1,I301*L301,0)</f>
        <v>56</v>
      </c>
      <c r="U301" s="60" t="n">
        <f aca="false">IF(AND(S301=1,ISNUMBER(R301)),I301*R301,0)</f>
        <v>366400</v>
      </c>
      <c r="V301" s="30" t="n">
        <f aca="false">IF(AND(F301="Big4(국영)",K301="고정",N301="N",I301&lt;&gt;""),1,0)</f>
        <v>0</v>
      </c>
      <c r="W301" s="59" t="n">
        <f aca="false">IF(V301=1,I301*L301,0)</f>
        <v>0</v>
      </c>
      <c r="X301" s="60" t="n">
        <f aca="false">IF(AND(V301=1,ISNUMBER(R301)),I301*R301,0)</f>
        <v>0</v>
      </c>
      <c r="Y301" s="61" t="n">
        <f aca="false">IF(AND(S301=1,ISNUMBER(R301)),I301,0)</f>
        <v>1000</v>
      </c>
      <c r="Z301" s="61" t="n">
        <f aca="false">IF(AND(V301=1,ISNUMBER(R301)),I301,0)</f>
        <v>0</v>
      </c>
    </row>
    <row r="302" customFormat="false" ht="15" hidden="false" customHeight="false" outlineLevel="0" collapsed="false">
      <c r="A302" s="47" t="s">
        <v>650</v>
      </c>
      <c r="B302" s="52" t="n">
        <v>45512</v>
      </c>
      <c r="C302" s="53" t="n">
        <f aca="false">DATE(YEAR(B302),MONTH(B302),1)</f>
        <v>45505</v>
      </c>
      <c r="D302" s="5" t="str">
        <f aca="false">YEAR(B302)&amp;"Q"&amp;ROUNDUP(MONTH(B302)/3,0)</f>
        <v>2024Q3</v>
      </c>
      <c r="E302" s="47" t="s">
        <v>181</v>
      </c>
      <c r="F302" s="54" t="s">
        <v>139</v>
      </c>
      <c r="G302" s="47" t="s">
        <v>182</v>
      </c>
      <c r="H302" s="47" t="s">
        <v>661</v>
      </c>
      <c r="I302" s="55" t="n">
        <v>1000</v>
      </c>
      <c r="J302" s="56" t="n">
        <v>3</v>
      </c>
      <c r="K302" s="54" t="s">
        <v>142</v>
      </c>
      <c r="L302" s="57" t="n">
        <v>0.056</v>
      </c>
      <c r="N302" s="47" t="s">
        <v>148</v>
      </c>
      <c r="O302" s="47" t="s">
        <v>660</v>
      </c>
      <c r="P302" s="47"/>
      <c r="Q302" s="48" t="n">
        <f aca="false">IF($J302="","",IFERROR(IF($J302&lt;=1,INDEX(VN_국채일별!$B$4:$B$1436,MATCH($B302,VN_국채일별!$A$4:$A$1436,1)),IF($J302&lt;=2,INDEX(VN_국채일별!$B$4:$B$1436,MATCH($B302,VN_국채일별!$A$4:$A$1436,1))+(INDEX(VN_국채일별!$C$4:$C$1436,MATCH($B302,VN_국채일별!$A$4:$A$1436,1))-INDEX(VN_국채일별!$B$4:$B$1436,MATCH($B302,VN_국채일별!$A$4:$A$1436,1)))*($J302-1),IF($J302&lt;=3,INDEX(VN_국채일별!$C$4:$C$1436,MATCH($B302,VN_국채일별!$A$4:$A$1436,1))+(INDEX(VN_국채일별!$D$4:$D$1436,MATCH($B302,VN_국채일별!$A$4:$A$1436,1))-INDEX(VN_국채일별!$C$4:$C$1436,MATCH($B302,VN_국채일별!$A$4:$A$1436,1)))*($J302-2),IF($J302&lt;=5,INDEX(VN_국채일별!$D$4:$D$1436,MATCH($B302,VN_국채일별!$A$4:$A$1436,1))+(INDEX(VN_국채일별!$E$4:$E$1436,MATCH($B302,VN_국채일별!$A$4:$A$1436,1))-INDEX(VN_국채일별!$D$4:$D$1436,MATCH($B302,VN_국채일별!$A$4:$A$1436,1)))*($J302-3)/2,IF($J302&lt;=7,INDEX(VN_국채일별!$E$4:$E$1436,MATCH($B302,VN_국채일별!$A$4:$A$1436,1))+(INDEX(VN_국채일별!$F$4:$F$1436,MATCH($B302,VN_국채일별!$A$4:$A$1436,1))-INDEX(VN_국채일별!$E$4:$E$1436,MATCH($B302,VN_국채일별!$A$4:$A$1436,1)))*($J302-5)/2,IF($J302&lt;=10,INDEX(VN_국채일별!$F$4:$F$1436,MATCH($B302,VN_국채일별!$A$4:$A$1436,1))+(INDEX(VN_국채일별!$G$4:$G$1436,MATCH($B302,VN_국채일별!$A$4:$A$1436,1))-INDEX(VN_국채일별!$F$4:$F$1436,MATCH($B302,VN_국채일별!$A$4:$A$1436,1)))*($J302-7)/3,INDEX(VN_국채일별!$G$4:$G$1436,MATCH($B302,VN_국채일별!$A$4:$A$1436,1)))))))),""))</f>
        <v>0.02013</v>
      </c>
      <c r="R302" s="58" t="n">
        <f aca="false">IF(OR(L302="",Q302=""),"",(L302-Q302)*10000)</f>
        <v>358.7</v>
      </c>
      <c r="S302" s="30" t="n">
        <f aca="false">IF(AND(K302="고정",N302="N",J302&gt;=2,J302&lt;=4,I302&lt;&gt;""),1,0)</f>
        <v>1</v>
      </c>
      <c r="T302" s="59" t="n">
        <f aca="false">IF(S302=1,I302*L302,0)</f>
        <v>56</v>
      </c>
      <c r="U302" s="60" t="n">
        <f aca="false">IF(AND(S302=1,ISNUMBER(R302)),I302*R302,0)</f>
        <v>358700</v>
      </c>
      <c r="V302" s="30" t="n">
        <f aca="false">IF(AND(F302="Big4(국영)",K302="고정",N302="N",I302&lt;&gt;""),1,0)</f>
        <v>0</v>
      </c>
      <c r="W302" s="59" t="n">
        <f aca="false">IF(V302=1,I302*L302,0)</f>
        <v>0</v>
      </c>
      <c r="X302" s="60" t="n">
        <f aca="false">IF(AND(V302=1,ISNUMBER(R302)),I302*R302,0)</f>
        <v>0</v>
      </c>
      <c r="Y302" s="61" t="n">
        <f aca="false">IF(AND(S302=1,ISNUMBER(R302)),I302,0)</f>
        <v>1000</v>
      </c>
      <c r="Z302" s="61" t="n">
        <f aca="false">IF(AND(V302=1,ISNUMBER(R302)),I302,0)</f>
        <v>0</v>
      </c>
    </row>
    <row r="303" customFormat="false" ht="15" hidden="false" customHeight="false" outlineLevel="0" collapsed="false">
      <c r="A303" s="47" t="s">
        <v>650</v>
      </c>
      <c r="B303" s="52" t="n">
        <v>45512</v>
      </c>
      <c r="C303" s="53" t="n">
        <f aca="false">DATE(YEAR(B303),MONTH(B303),1)</f>
        <v>45505</v>
      </c>
      <c r="D303" s="5" t="str">
        <f aca="false">YEAR(B303)&amp;"Q"&amp;ROUNDUP(MONTH(B303)/3,0)</f>
        <v>2024Q3</v>
      </c>
      <c r="E303" s="62" t="s">
        <v>155</v>
      </c>
      <c r="F303" s="62" t="s">
        <v>156</v>
      </c>
      <c r="G303" s="47" t="s">
        <v>157</v>
      </c>
      <c r="H303" s="47" t="s">
        <v>662</v>
      </c>
      <c r="I303" s="55" t="n">
        <v>1000</v>
      </c>
      <c r="J303" s="56" t="n">
        <v>6</v>
      </c>
      <c r="K303" s="54" t="s">
        <v>153</v>
      </c>
      <c r="N303" s="47" t="s">
        <v>148</v>
      </c>
      <c r="O303" s="47" t="s">
        <v>663</v>
      </c>
      <c r="P303" s="47"/>
      <c r="Q303" s="48" t="n">
        <f aca="false">IF($J303="","",IFERROR(IF($J303&lt;=1,INDEX(VN_국채일별!$B$4:$B$1436,MATCH($B303,VN_국채일별!$A$4:$A$1436,1)),IF($J303&lt;=2,INDEX(VN_국채일별!$B$4:$B$1436,MATCH($B303,VN_국채일별!$A$4:$A$1436,1))+(INDEX(VN_국채일별!$C$4:$C$1436,MATCH($B303,VN_국채일별!$A$4:$A$1436,1))-INDEX(VN_국채일별!$B$4:$B$1436,MATCH($B303,VN_국채일별!$A$4:$A$1436,1)))*($J303-1),IF($J303&lt;=3,INDEX(VN_국채일별!$C$4:$C$1436,MATCH($B303,VN_국채일별!$A$4:$A$1436,1))+(INDEX(VN_국채일별!$D$4:$D$1436,MATCH($B303,VN_국채일별!$A$4:$A$1436,1))-INDEX(VN_국채일별!$C$4:$C$1436,MATCH($B303,VN_국채일별!$A$4:$A$1436,1)))*($J303-2),IF($J303&lt;=5,INDEX(VN_국채일별!$D$4:$D$1436,MATCH($B303,VN_국채일별!$A$4:$A$1436,1))+(INDEX(VN_국채일별!$E$4:$E$1436,MATCH($B303,VN_국채일별!$A$4:$A$1436,1))-INDEX(VN_국채일별!$D$4:$D$1436,MATCH($B303,VN_국채일별!$A$4:$A$1436,1)))*($J303-3)/2,IF($J303&lt;=7,INDEX(VN_국채일별!$E$4:$E$1436,MATCH($B303,VN_국채일별!$A$4:$A$1436,1))+(INDEX(VN_국채일별!$F$4:$F$1436,MATCH($B303,VN_국채일별!$A$4:$A$1436,1))-INDEX(VN_국채일별!$E$4:$E$1436,MATCH($B303,VN_국채일별!$A$4:$A$1436,1)))*($J303-5)/2,IF($J303&lt;=10,INDEX(VN_국채일별!$F$4:$F$1436,MATCH($B303,VN_국채일별!$A$4:$A$1436,1))+(INDEX(VN_국채일별!$G$4:$G$1436,MATCH($B303,VN_국채일별!$A$4:$A$1436,1))-INDEX(VN_국채일별!$F$4:$F$1436,MATCH($B303,VN_국채일별!$A$4:$A$1436,1)))*($J303-7)/3,INDEX(VN_국채일별!$G$4:$G$1436,MATCH($B303,VN_국채일별!$A$4:$A$1436,1)))))))),""))</f>
        <v>0.021865</v>
      </c>
      <c r="R303" s="58" t="str">
        <f aca="false">IF(OR(L303="",Q303=""),"",(L303-Q303)*10000)</f>
        <v/>
      </c>
      <c r="S303" s="30" t="n">
        <f aca="false">IF(AND(K303="고정",N303="N",J303&gt;=2,J303&lt;=4,I303&lt;&gt;""),1,0)</f>
        <v>0</v>
      </c>
      <c r="T303" s="59" t="n">
        <f aca="false">IF(S303=1,I303*L303,0)</f>
        <v>0</v>
      </c>
      <c r="U303" s="60" t="n">
        <f aca="false">IF(AND(S303=1,ISNUMBER(R303)),I303*R303,0)</f>
        <v>0</v>
      </c>
      <c r="V303" s="30" t="n">
        <f aca="false">IF(AND(F303="Big4(국영)",K303="고정",N303="N",I303&lt;&gt;""),1,0)</f>
        <v>0</v>
      </c>
      <c r="W303" s="59" t="n">
        <f aca="false">IF(V303=1,I303*L303,0)</f>
        <v>0</v>
      </c>
      <c r="X303" s="60" t="n">
        <f aca="false">IF(AND(V303=1,ISNUMBER(R303)),I303*R303,0)</f>
        <v>0</v>
      </c>
      <c r="Y303" s="61" t="n">
        <f aca="false">IF(AND(S303=1,ISNUMBER(R303)),I303,0)</f>
        <v>0</v>
      </c>
      <c r="Z303" s="61" t="n">
        <f aca="false">IF(AND(V303=1,ISNUMBER(R303)),I303,0)</f>
        <v>0</v>
      </c>
    </row>
    <row r="304" customFormat="false" ht="15" hidden="false" customHeight="false" outlineLevel="0" collapsed="false">
      <c r="A304" s="47" t="s">
        <v>650</v>
      </c>
      <c r="B304" s="52" t="n">
        <v>45512</v>
      </c>
      <c r="C304" s="53" t="n">
        <f aca="false">DATE(YEAR(B304),MONTH(B304),1)</f>
        <v>45505</v>
      </c>
      <c r="D304" s="5" t="str">
        <f aca="false">YEAR(B304)&amp;"Q"&amp;ROUNDUP(MONTH(B304)/3,0)</f>
        <v>2024Q3</v>
      </c>
      <c r="E304" s="47" t="s">
        <v>181</v>
      </c>
      <c r="F304" s="54" t="s">
        <v>139</v>
      </c>
      <c r="G304" s="47" t="s">
        <v>182</v>
      </c>
      <c r="H304" s="47" t="s">
        <v>664</v>
      </c>
      <c r="I304" s="55" t="n">
        <v>1000</v>
      </c>
      <c r="J304" s="56" t="n">
        <v>3</v>
      </c>
      <c r="K304" s="54" t="s">
        <v>142</v>
      </c>
      <c r="L304" s="57" t="n">
        <v>0.056</v>
      </c>
      <c r="N304" s="47" t="s">
        <v>148</v>
      </c>
      <c r="O304" s="47" t="s">
        <v>660</v>
      </c>
      <c r="P304" s="47"/>
      <c r="Q304" s="48" t="n">
        <f aca="false">IF($J304="","",IFERROR(IF($J304&lt;=1,INDEX(VN_국채일별!$B$4:$B$1436,MATCH($B304,VN_국채일별!$A$4:$A$1436,1)),IF($J304&lt;=2,INDEX(VN_국채일별!$B$4:$B$1436,MATCH($B304,VN_국채일별!$A$4:$A$1436,1))+(INDEX(VN_국채일별!$C$4:$C$1436,MATCH($B304,VN_국채일별!$A$4:$A$1436,1))-INDEX(VN_국채일별!$B$4:$B$1436,MATCH($B304,VN_국채일별!$A$4:$A$1436,1)))*($J304-1),IF($J304&lt;=3,INDEX(VN_국채일별!$C$4:$C$1436,MATCH($B304,VN_국채일별!$A$4:$A$1436,1))+(INDEX(VN_국채일별!$D$4:$D$1436,MATCH($B304,VN_국채일별!$A$4:$A$1436,1))-INDEX(VN_국채일별!$C$4:$C$1436,MATCH($B304,VN_국채일별!$A$4:$A$1436,1)))*($J304-2),IF($J304&lt;=5,INDEX(VN_국채일별!$D$4:$D$1436,MATCH($B304,VN_국채일별!$A$4:$A$1436,1))+(INDEX(VN_국채일별!$E$4:$E$1436,MATCH($B304,VN_국채일별!$A$4:$A$1436,1))-INDEX(VN_국채일별!$D$4:$D$1436,MATCH($B304,VN_국채일별!$A$4:$A$1436,1)))*($J304-3)/2,IF($J304&lt;=7,INDEX(VN_국채일별!$E$4:$E$1436,MATCH($B304,VN_국채일별!$A$4:$A$1436,1))+(INDEX(VN_국채일별!$F$4:$F$1436,MATCH($B304,VN_국채일별!$A$4:$A$1436,1))-INDEX(VN_국채일별!$E$4:$E$1436,MATCH($B304,VN_국채일별!$A$4:$A$1436,1)))*($J304-5)/2,IF($J304&lt;=10,INDEX(VN_국채일별!$F$4:$F$1436,MATCH($B304,VN_국채일별!$A$4:$A$1436,1))+(INDEX(VN_국채일별!$G$4:$G$1436,MATCH($B304,VN_국채일별!$A$4:$A$1436,1))-INDEX(VN_국채일별!$F$4:$F$1436,MATCH($B304,VN_국채일별!$A$4:$A$1436,1)))*($J304-7)/3,INDEX(VN_국채일별!$G$4:$G$1436,MATCH($B304,VN_국채일별!$A$4:$A$1436,1)))))))),""))</f>
        <v>0.02013</v>
      </c>
      <c r="R304" s="58" t="n">
        <f aca="false">IF(OR(L304="",Q304=""),"",(L304-Q304)*10000)</f>
        <v>358.7</v>
      </c>
      <c r="S304" s="30" t="n">
        <f aca="false">IF(AND(K304="고정",N304="N",J304&gt;=2,J304&lt;=4,I304&lt;&gt;""),1,0)</f>
        <v>1</v>
      </c>
      <c r="T304" s="59" t="n">
        <f aca="false">IF(S304=1,I304*L304,0)</f>
        <v>56</v>
      </c>
      <c r="U304" s="60" t="n">
        <f aca="false">IF(AND(S304=1,ISNUMBER(R304)),I304*R304,0)</f>
        <v>358700</v>
      </c>
      <c r="V304" s="30" t="n">
        <f aca="false">IF(AND(F304="Big4(국영)",K304="고정",N304="N",I304&lt;&gt;""),1,0)</f>
        <v>0</v>
      </c>
      <c r="W304" s="59" t="n">
        <f aca="false">IF(V304=1,I304*L304,0)</f>
        <v>0</v>
      </c>
      <c r="X304" s="60" t="n">
        <f aca="false">IF(AND(V304=1,ISNUMBER(R304)),I304*R304,0)</f>
        <v>0</v>
      </c>
      <c r="Y304" s="61" t="n">
        <f aca="false">IF(AND(S304=1,ISNUMBER(R304)),I304,0)</f>
        <v>1000</v>
      </c>
      <c r="Z304" s="61" t="n">
        <f aca="false">IF(AND(V304=1,ISNUMBER(R304)),I304,0)</f>
        <v>0</v>
      </c>
    </row>
    <row r="305" customFormat="false" ht="15" hidden="false" customHeight="false" outlineLevel="0" collapsed="false">
      <c r="A305" s="47" t="s">
        <v>650</v>
      </c>
      <c r="B305" s="52" t="n">
        <v>45513</v>
      </c>
      <c r="C305" s="53" t="n">
        <f aca="false">DATE(YEAR(B305),MONTH(B305),1)</f>
        <v>45505</v>
      </c>
      <c r="D305" s="5" t="str">
        <f aca="false">YEAR(B305)&amp;"Q"&amp;ROUNDUP(MONTH(B305)/3,0)</f>
        <v>2024Q3</v>
      </c>
      <c r="E305" s="47" t="s">
        <v>365</v>
      </c>
      <c r="F305" s="54" t="s">
        <v>139</v>
      </c>
      <c r="G305" s="47" t="s">
        <v>366</v>
      </c>
      <c r="H305" s="47" t="s">
        <v>665</v>
      </c>
      <c r="I305" s="55" t="n">
        <v>64.5</v>
      </c>
      <c r="J305" s="56" t="n">
        <v>10</v>
      </c>
      <c r="K305" s="54" t="s">
        <v>153</v>
      </c>
      <c r="N305" s="47" t="s">
        <v>143</v>
      </c>
      <c r="O305" s="47" t="s">
        <v>666</v>
      </c>
      <c r="P305" s="47"/>
      <c r="Q305" s="48" t="n">
        <f aca="false">IF($J305="","",IFERROR(IF($J305&lt;=1,INDEX(VN_국채일별!$B$4:$B$1436,MATCH($B305,VN_국채일별!$A$4:$A$1436,1)),IF($J305&lt;=2,INDEX(VN_국채일별!$B$4:$B$1436,MATCH($B305,VN_국채일별!$A$4:$A$1436,1))+(INDEX(VN_국채일별!$C$4:$C$1436,MATCH($B305,VN_국채일별!$A$4:$A$1436,1))-INDEX(VN_국채일별!$B$4:$B$1436,MATCH($B305,VN_국채일별!$A$4:$A$1436,1)))*($J305-1),IF($J305&lt;=3,INDEX(VN_국채일별!$C$4:$C$1436,MATCH($B305,VN_국채일별!$A$4:$A$1436,1))+(INDEX(VN_국채일별!$D$4:$D$1436,MATCH($B305,VN_국채일별!$A$4:$A$1436,1))-INDEX(VN_국채일별!$C$4:$C$1436,MATCH($B305,VN_국채일별!$A$4:$A$1436,1)))*($J305-2),IF($J305&lt;=5,INDEX(VN_국채일별!$D$4:$D$1436,MATCH($B305,VN_국채일별!$A$4:$A$1436,1))+(INDEX(VN_국채일별!$E$4:$E$1436,MATCH($B305,VN_국채일별!$A$4:$A$1436,1))-INDEX(VN_국채일별!$D$4:$D$1436,MATCH($B305,VN_국채일별!$A$4:$A$1436,1)))*($J305-3)/2,IF($J305&lt;=7,INDEX(VN_국채일별!$E$4:$E$1436,MATCH($B305,VN_국채일별!$A$4:$A$1436,1))+(INDEX(VN_국채일별!$F$4:$F$1436,MATCH($B305,VN_국채일별!$A$4:$A$1436,1))-INDEX(VN_국채일별!$E$4:$E$1436,MATCH($B305,VN_국채일별!$A$4:$A$1436,1)))*($J305-5)/2,IF($J305&lt;=10,INDEX(VN_국채일별!$F$4:$F$1436,MATCH($B305,VN_국채일별!$A$4:$A$1436,1))+(INDEX(VN_국채일별!$G$4:$G$1436,MATCH($B305,VN_국채일별!$A$4:$A$1436,1))-INDEX(VN_국채일별!$F$4:$F$1436,MATCH($B305,VN_국채일별!$A$4:$A$1436,1)))*($J305-7)/3,INDEX(VN_국채일별!$G$4:$G$1436,MATCH($B305,VN_국채일별!$A$4:$A$1436,1)))))))),""))</f>
        <v>0.02793</v>
      </c>
      <c r="R305" s="58" t="str">
        <f aca="false">IF(OR(L305="",Q305=""),"",(L305-Q305)*10000)</f>
        <v/>
      </c>
      <c r="S305" s="30" t="n">
        <f aca="false">IF(AND(K305="고정",N305="N",J305&gt;=2,J305&lt;=4,I305&lt;&gt;""),1,0)</f>
        <v>0</v>
      </c>
      <c r="T305" s="59" t="n">
        <f aca="false">IF(S305=1,I305*L305,0)</f>
        <v>0</v>
      </c>
      <c r="U305" s="60" t="n">
        <f aca="false">IF(AND(S305=1,ISNUMBER(R305)),I305*R305,0)</f>
        <v>0</v>
      </c>
      <c r="V305" s="30" t="n">
        <f aca="false">IF(AND(F305="Big4(국영)",K305="고정",N305="N",I305&lt;&gt;""),1,0)</f>
        <v>0</v>
      </c>
      <c r="W305" s="59" t="n">
        <f aca="false">IF(V305=1,I305*L305,0)</f>
        <v>0</v>
      </c>
      <c r="X305" s="60" t="n">
        <f aca="false">IF(AND(V305=1,ISNUMBER(R305)),I305*R305,0)</f>
        <v>0</v>
      </c>
      <c r="Y305" s="61" t="n">
        <f aca="false">IF(AND(S305=1,ISNUMBER(R305)),I305,0)</f>
        <v>0</v>
      </c>
      <c r="Z305" s="61" t="n">
        <f aca="false">IF(AND(V305=1,ISNUMBER(R305)),I305,0)</f>
        <v>0</v>
      </c>
    </row>
    <row r="306" customFormat="false" ht="15" hidden="false" customHeight="false" outlineLevel="0" collapsed="false">
      <c r="A306" s="47" t="s">
        <v>650</v>
      </c>
      <c r="B306" s="52" t="n">
        <v>45516</v>
      </c>
      <c r="C306" s="53" t="n">
        <f aca="false">DATE(YEAR(B306),MONTH(B306),1)</f>
        <v>45505</v>
      </c>
      <c r="D306" s="5" t="str">
        <f aca="false">YEAR(B306)&amp;"Q"&amp;ROUNDUP(MONTH(B306)/3,0)</f>
        <v>2024Q3</v>
      </c>
      <c r="E306" s="47" t="s">
        <v>215</v>
      </c>
      <c r="F306" s="54" t="s">
        <v>139</v>
      </c>
      <c r="G306" s="47" t="s">
        <v>391</v>
      </c>
      <c r="H306" s="47" t="s">
        <v>667</v>
      </c>
      <c r="I306" s="55" t="n">
        <v>500</v>
      </c>
      <c r="J306" s="56" t="n">
        <v>3</v>
      </c>
      <c r="K306" s="54" t="s">
        <v>142</v>
      </c>
      <c r="L306" s="57" t="n">
        <v>0.058</v>
      </c>
      <c r="N306" s="47" t="s">
        <v>148</v>
      </c>
      <c r="O306" s="47" t="s">
        <v>451</v>
      </c>
      <c r="P306" s="47"/>
      <c r="Q306" s="48" t="n">
        <f aca="false">IF($J306="","",IFERROR(IF($J306&lt;=1,INDEX(VN_국채일별!$B$4:$B$1436,MATCH($B306,VN_국채일별!$A$4:$A$1436,1)),IF($J306&lt;=2,INDEX(VN_국채일별!$B$4:$B$1436,MATCH($B306,VN_국채일별!$A$4:$A$1436,1))+(INDEX(VN_국채일별!$C$4:$C$1436,MATCH($B306,VN_국채일별!$A$4:$A$1436,1))-INDEX(VN_국채일별!$B$4:$B$1436,MATCH($B306,VN_국채일별!$A$4:$A$1436,1)))*($J306-1),IF($J306&lt;=3,INDEX(VN_국채일별!$C$4:$C$1436,MATCH($B306,VN_국채일별!$A$4:$A$1436,1))+(INDEX(VN_국채일별!$D$4:$D$1436,MATCH($B306,VN_국채일별!$A$4:$A$1436,1))-INDEX(VN_국채일별!$C$4:$C$1436,MATCH($B306,VN_국채일별!$A$4:$A$1436,1)))*($J306-2),IF($J306&lt;=5,INDEX(VN_국채일별!$D$4:$D$1436,MATCH($B306,VN_국채일별!$A$4:$A$1436,1))+(INDEX(VN_국채일별!$E$4:$E$1436,MATCH($B306,VN_국채일별!$A$4:$A$1436,1))-INDEX(VN_국채일별!$D$4:$D$1436,MATCH($B306,VN_국채일별!$A$4:$A$1436,1)))*($J306-3)/2,IF($J306&lt;=7,INDEX(VN_국채일별!$E$4:$E$1436,MATCH($B306,VN_국채일별!$A$4:$A$1436,1))+(INDEX(VN_국채일별!$F$4:$F$1436,MATCH($B306,VN_국채일별!$A$4:$A$1436,1))-INDEX(VN_국채일별!$E$4:$E$1436,MATCH($B306,VN_국채일별!$A$4:$A$1436,1)))*($J306-5)/2,IF($J306&lt;=10,INDEX(VN_국채일별!$F$4:$F$1436,MATCH($B306,VN_국채일별!$A$4:$A$1436,1))+(INDEX(VN_국채일별!$G$4:$G$1436,MATCH($B306,VN_국채일별!$A$4:$A$1436,1))-INDEX(VN_국채일별!$F$4:$F$1436,MATCH($B306,VN_국채일별!$A$4:$A$1436,1)))*($J306-7)/3,INDEX(VN_국채일별!$G$4:$G$1436,MATCH($B306,VN_국채일별!$A$4:$A$1436,1)))))))),""))</f>
        <v>0.02012</v>
      </c>
      <c r="R306" s="58" t="n">
        <f aca="false">IF(OR(L306="",Q306=""),"",(L306-Q306)*10000)</f>
        <v>378.8</v>
      </c>
      <c r="S306" s="30" t="n">
        <f aca="false">IF(AND(K306="고정",N306="N",J306&gt;=2,J306&lt;=4,I306&lt;&gt;""),1,0)</f>
        <v>1</v>
      </c>
      <c r="T306" s="59" t="n">
        <f aca="false">IF(S306=1,I306*L306,0)</f>
        <v>29</v>
      </c>
      <c r="U306" s="60" t="n">
        <f aca="false">IF(AND(S306=1,ISNUMBER(R306)),I306*R306,0)</f>
        <v>189400</v>
      </c>
      <c r="V306" s="30" t="n">
        <f aca="false">IF(AND(F306="Big4(국영)",K306="고정",N306="N",I306&lt;&gt;""),1,0)</f>
        <v>0</v>
      </c>
      <c r="W306" s="59" t="n">
        <f aca="false">IF(V306=1,I306*L306,0)</f>
        <v>0</v>
      </c>
      <c r="X306" s="60" t="n">
        <f aca="false">IF(AND(V306=1,ISNUMBER(R306)),I306*R306,0)</f>
        <v>0</v>
      </c>
      <c r="Y306" s="61" t="n">
        <f aca="false">IF(AND(S306=1,ISNUMBER(R306)),I306,0)</f>
        <v>500</v>
      </c>
      <c r="Z306" s="61" t="n">
        <f aca="false">IF(AND(V306=1,ISNUMBER(R306)),I306,0)</f>
        <v>0</v>
      </c>
    </row>
    <row r="307" customFormat="false" ht="15" hidden="false" customHeight="false" outlineLevel="0" collapsed="false">
      <c r="A307" s="47" t="s">
        <v>650</v>
      </c>
      <c r="B307" s="52" t="n">
        <v>45517</v>
      </c>
      <c r="C307" s="53" t="n">
        <f aca="false">DATE(YEAR(B307),MONTH(B307),1)</f>
        <v>45505</v>
      </c>
      <c r="D307" s="5" t="str">
        <f aca="false">YEAR(B307)&amp;"Q"&amp;ROUNDUP(MONTH(B307)/3,0)</f>
        <v>2024Q3</v>
      </c>
      <c r="E307" s="47" t="s">
        <v>181</v>
      </c>
      <c r="F307" s="54" t="s">
        <v>139</v>
      </c>
      <c r="G307" s="47" t="s">
        <v>182</v>
      </c>
      <c r="H307" s="47" t="s">
        <v>668</v>
      </c>
      <c r="I307" s="55" t="n">
        <v>2000</v>
      </c>
      <c r="J307" s="56" t="n">
        <v>2</v>
      </c>
      <c r="K307" s="54" t="s">
        <v>142</v>
      </c>
      <c r="L307" s="57" t="n">
        <v>0.056</v>
      </c>
      <c r="N307" s="47" t="s">
        <v>148</v>
      </c>
      <c r="O307" s="47" t="s">
        <v>660</v>
      </c>
      <c r="P307" s="47"/>
      <c r="Q307" s="48" t="n">
        <f aca="false">IF($J307="","",IFERROR(IF($J307&lt;=1,INDEX(VN_국채일별!$B$4:$B$1436,MATCH($B307,VN_국채일별!$A$4:$A$1436,1)),IF($J307&lt;=2,INDEX(VN_국채일별!$B$4:$B$1436,MATCH($B307,VN_국채일별!$A$4:$A$1436,1))+(INDEX(VN_국채일별!$C$4:$C$1436,MATCH($B307,VN_국채일별!$A$4:$A$1436,1))-INDEX(VN_국채일별!$B$4:$B$1436,MATCH($B307,VN_국채일별!$A$4:$A$1436,1)))*($J307-1),IF($J307&lt;=3,INDEX(VN_국채일별!$C$4:$C$1436,MATCH($B307,VN_국채일별!$A$4:$A$1436,1))+(INDEX(VN_국채일별!$D$4:$D$1436,MATCH($B307,VN_국채일별!$A$4:$A$1436,1))-INDEX(VN_국채일별!$C$4:$C$1436,MATCH($B307,VN_국채일별!$A$4:$A$1436,1)))*($J307-2),IF($J307&lt;=5,INDEX(VN_국채일별!$D$4:$D$1436,MATCH($B307,VN_국채일별!$A$4:$A$1436,1))+(INDEX(VN_국채일별!$E$4:$E$1436,MATCH($B307,VN_국채일별!$A$4:$A$1436,1))-INDEX(VN_국채일별!$D$4:$D$1436,MATCH($B307,VN_국채일별!$A$4:$A$1436,1)))*($J307-3)/2,IF($J307&lt;=7,INDEX(VN_국채일별!$E$4:$E$1436,MATCH($B307,VN_국채일별!$A$4:$A$1436,1))+(INDEX(VN_국채일별!$F$4:$F$1436,MATCH($B307,VN_국채일별!$A$4:$A$1436,1))-INDEX(VN_국채일별!$E$4:$E$1436,MATCH($B307,VN_국채일별!$A$4:$A$1436,1)))*($J307-5)/2,IF($J307&lt;=10,INDEX(VN_국채일별!$F$4:$F$1436,MATCH($B307,VN_국채일별!$A$4:$A$1436,1))+(INDEX(VN_국채일별!$G$4:$G$1436,MATCH($B307,VN_국채일별!$A$4:$A$1436,1))-INDEX(VN_국채일별!$F$4:$F$1436,MATCH($B307,VN_국채일별!$A$4:$A$1436,1)))*($J307-7)/3,INDEX(VN_국채일별!$G$4:$G$1436,MATCH($B307,VN_국채일별!$A$4:$A$1436,1)))))))),""))</f>
        <v>0.01936</v>
      </c>
      <c r="R307" s="58" t="n">
        <f aca="false">IF(OR(L307="",Q307=""),"",(L307-Q307)*10000)</f>
        <v>366.4</v>
      </c>
      <c r="S307" s="30" t="n">
        <f aca="false">IF(AND(K307="고정",N307="N",J307&gt;=2,J307&lt;=4,I307&lt;&gt;""),1,0)</f>
        <v>1</v>
      </c>
      <c r="T307" s="59" t="n">
        <f aca="false">IF(S307=1,I307*L307,0)</f>
        <v>112</v>
      </c>
      <c r="U307" s="60" t="n">
        <f aca="false">IF(AND(S307=1,ISNUMBER(R307)),I307*R307,0)</f>
        <v>732800</v>
      </c>
      <c r="V307" s="30" t="n">
        <f aca="false">IF(AND(F307="Big4(국영)",K307="고정",N307="N",I307&lt;&gt;""),1,0)</f>
        <v>0</v>
      </c>
      <c r="W307" s="59" t="n">
        <f aca="false">IF(V307=1,I307*L307,0)</f>
        <v>0</v>
      </c>
      <c r="X307" s="60" t="n">
        <f aca="false">IF(AND(V307=1,ISNUMBER(R307)),I307*R307,0)</f>
        <v>0</v>
      </c>
      <c r="Y307" s="61" t="n">
        <f aca="false">IF(AND(S307=1,ISNUMBER(R307)),I307,0)</f>
        <v>2000</v>
      </c>
      <c r="Z307" s="61" t="n">
        <f aca="false">IF(AND(V307=1,ISNUMBER(R307)),I307,0)</f>
        <v>0</v>
      </c>
    </row>
    <row r="308" customFormat="false" ht="15" hidden="false" customHeight="false" outlineLevel="0" collapsed="false">
      <c r="A308" s="47" t="s">
        <v>650</v>
      </c>
      <c r="B308" s="52" t="n">
        <v>45518</v>
      </c>
      <c r="C308" s="53" t="n">
        <f aca="false">DATE(YEAR(B308),MONTH(B308),1)</f>
        <v>45505</v>
      </c>
      <c r="D308" s="5" t="str">
        <f aca="false">YEAR(B308)&amp;"Q"&amp;ROUNDUP(MONTH(B308)/3,0)</f>
        <v>2024Q3</v>
      </c>
      <c r="E308" s="62" t="s">
        <v>285</v>
      </c>
      <c r="F308" s="62" t="s">
        <v>156</v>
      </c>
      <c r="G308" s="47" t="s">
        <v>348</v>
      </c>
      <c r="H308" s="47" t="s">
        <v>669</v>
      </c>
      <c r="I308" s="55" t="n">
        <v>10000</v>
      </c>
      <c r="J308" s="56" t="n">
        <v>10</v>
      </c>
      <c r="K308" s="54" t="s">
        <v>153</v>
      </c>
      <c r="N308" s="47" t="s">
        <v>143</v>
      </c>
      <c r="O308" s="47" t="s">
        <v>670</v>
      </c>
      <c r="P308" s="47"/>
      <c r="Q308" s="48" t="n">
        <f aca="false">IF($J308="","",IFERROR(IF($J308&lt;=1,INDEX(VN_국채일별!$B$4:$B$1436,MATCH($B308,VN_국채일별!$A$4:$A$1436,1)),IF($J308&lt;=2,INDEX(VN_국채일별!$B$4:$B$1436,MATCH($B308,VN_국채일별!$A$4:$A$1436,1))+(INDEX(VN_국채일별!$C$4:$C$1436,MATCH($B308,VN_국채일별!$A$4:$A$1436,1))-INDEX(VN_국채일별!$B$4:$B$1436,MATCH($B308,VN_국채일별!$A$4:$A$1436,1)))*($J308-1),IF($J308&lt;=3,INDEX(VN_국채일별!$C$4:$C$1436,MATCH($B308,VN_국채일별!$A$4:$A$1436,1))+(INDEX(VN_국채일별!$D$4:$D$1436,MATCH($B308,VN_국채일별!$A$4:$A$1436,1))-INDEX(VN_국채일별!$C$4:$C$1436,MATCH($B308,VN_국채일별!$A$4:$A$1436,1)))*($J308-2),IF($J308&lt;=5,INDEX(VN_국채일별!$D$4:$D$1436,MATCH($B308,VN_국채일별!$A$4:$A$1436,1))+(INDEX(VN_국채일별!$E$4:$E$1436,MATCH($B308,VN_국채일별!$A$4:$A$1436,1))-INDEX(VN_국채일별!$D$4:$D$1436,MATCH($B308,VN_국채일별!$A$4:$A$1436,1)))*($J308-3)/2,IF($J308&lt;=7,INDEX(VN_국채일별!$E$4:$E$1436,MATCH($B308,VN_국채일별!$A$4:$A$1436,1))+(INDEX(VN_국채일별!$F$4:$F$1436,MATCH($B308,VN_국채일별!$A$4:$A$1436,1))-INDEX(VN_국채일별!$E$4:$E$1436,MATCH($B308,VN_국채일별!$A$4:$A$1436,1)))*($J308-5)/2,IF($J308&lt;=10,INDEX(VN_국채일별!$F$4:$F$1436,MATCH($B308,VN_국채일별!$A$4:$A$1436,1))+(INDEX(VN_국채일별!$G$4:$G$1436,MATCH($B308,VN_국채일별!$A$4:$A$1436,1))-INDEX(VN_국채일별!$F$4:$F$1436,MATCH($B308,VN_국채일별!$A$4:$A$1436,1)))*($J308-7)/3,INDEX(VN_국채일별!$G$4:$G$1436,MATCH($B308,VN_국채일별!$A$4:$A$1436,1)))))))),""))</f>
        <v>0.02768</v>
      </c>
      <c r="R308" s="58" t="str">
        <f aca="false">IF(OR(L308="",Q308=""),"",(L308-Q308)*10000)</f>
        <v/>
      </c>
      <c r="S308" s="30" t="n">
        <f aca="false">IF(AND(K308="고정",N308="N",J308&gt;=2,J308&lt;=4,I308&lt;&gt;""),1,0)</f>
        <v>0</v>
      </c>
      <c r="T308" s="59" t="n">
        <f aca="false">IF(S308=1,I308*L308,0)</f>
        <v>0</v>
      </c>
      <c r="U308" s="60" t="n">
        <f aca="false">IF(AND(S308=1,ISNUMBER(R308)),I308*R308,0)</f>
        <v>0</v>
      </c>
      <c r="V308" s="30" t="n">
        <f aca="false">IF(AND(F308="Big4(국영)",K308="고정",N308="N",I308&lt;&gt;""),1,0)</f>
        <v>0</v>
      </c>
      <c r="W308" s="59" t="n">
        <f aca="false">IF(V308=1,I308*L308,0)</f>
        <v>0</v>
      </c>
      <c r="X308" s="60" t="n">
        <f aca="false">IF(AND(V308=1,ISNUMBER(R308)),I308*R308,0)</f>
        <v>0</v>
      </c>
      <c r="Y308" s="61" t="n">
        <f aca="false">IF(AND(S308=1,ISNUMBER(R308)),I308,0)</f>
        <v>0</v>
      </c>
      <c r="Z308" s="61" t="n">
        <f aca="false">IF(AND(V308=1,ISNUMBER(R308)),I308,0)</f>
        <v>0</v>
      </c>
    </row>
    <row r="309" customFormat="false" ht="15" hidden="false" customHeight="false" outlineLevel="0" collapsed="false">
      <c r="A309" s="47" t="s">
        <v>650</v>
      </c>
      <c r="B309" s="52" t="n">
        <v>45519</v>
      </c>
      <c r="C309" s="53" t="n">
        <f aca="false">DATE(YEAR(B309),MONTH(B309),1)</f>
        <v>45505</v>
      </c>
      <c r="D309" s="5" t="str">
        <f aca="false">YEAR(B309)&amp;"Q"&amp;ROUNDUP(MONTH(B309)/3,0)</f>
        <v>2024Q3</v>
      </c>
      <c r="E309" s="62" t="s">
        <v>173</v>
      </c>
      <c r="F309" s="62" t="s">
        <v>156</v>
      </c>
      <c r="G309" s="47" t="s">
        <v>174</v>
      </c>
      <c r="H309" s="47" t="s">
        <v>671</v>
      </c>
      <c r="I309" s="55" t="n">
        <v>250</v>
      </c>
      <c r="J309" s="56" t="n">
        <v>8</v>
      </c>
      <c r="K309" s="54" t="s">
        <v>153</v>
      </c>
      <c r="N309" s="47" t="s">
        <v>143</v>
      </c>
      <c r="O309" s="47" t="s">
        <v>672</v>
      </c>
      <c r="P309" s="47"/>
      <c r="Q309" s="48" t="n">
        <f aca="false">IF($J309="","",IFERROR(IF($J309&lt;=1,INDEX(VN_국채일별!$B$4:$B$1436,MATCH($B309,VN_국채일별!$A$4:$A$1436,1)),IF($J309&lt;=2,INDEX(VN_국채일별!$B$4:$B$1436,MATCH($B309,VN_국채일별!$A$4:$A$1436,1))+(INDEX(VN_국채일별!$C$4:$C$1436,MATCH($B309,VN_국채일별!$A$4:$A$1436,1))-INDEX(VN_국채일별!$B$4:$B$1436,MATCH($B309,VN_국채일별!$A$4:$A$1436,1)))*($J309-1),IF($J309&lt;=3,INDEX(VN_국채일별!$C$4:$C$1436,MATCH($B309,VN_국채일별!$A$4:$A$1436,1))+(INDEX(VN_국채일별!$D$4:$D$1436,MATCH($B309,VN_국채일별!$A$4:$A$1436,1))-INDEX(VN_국채일별!$C$4:$C$1436,MATCH($B309,VN_국채일별!$A$4:$A$1436,1)))*($J309-2),IF($J309&lt;=5,INDEX(VN_국채일별!$D$4:$D$1436,MATCH($B309,VN_국채일별!$A$4:$A$1436,1))+(INDEX(VN_국채일별!$E$4:$E$1436,MATCH($B309,VN_국채일별!$A$4:$A$1436,1))-INDEX(VN_국채일별!$D$4:$D$1436,MATCH($B309,VN_국채일별!$A$4:$A$1436,1)))*($J309-3)/2,IF($J309&lt;=7,INDEX(VN_국채일별!$E$4:$E$1436,MATCH($B309,VN_국채일별!$A$4:$A$1436,1))+(INDEX(VN_국채일별!$F$4:$F$1436,MATCH($B309,VN_국채일별!$A$4:$A$1436,1))-INDEX(VN_국채일별!$E$4:$E$1436,MATCH($B309,VN_국채일별!$A$4:$A$1436,1)))*($J309-5)/2,IF($J309&lt;=10,INDEX(VN_국채일별!$F$4:$F$1436,MATCH($B309,VN_국채일별!$A$4:$A$1436,1))+(INDEX(VN_국채일별!$G$4:$G$1436,MATCH($B309,VN_국채일별!$A$4:$A$1436,1))-INDEX(VN_국채일별!$F$4:$F$1436,MATCH($B309,VN_국채일별!$A$4:$A$1436,1)))*($J309-7)/3,INDEX(VN_국채일별!$G$4:$G$1436,MATCH($B309,VN_국채일별!$A$4:$A$1436,1)))))))),""))</f>
        <v>0.0244466666666667</v>
      </c>
      <c r="R309" s="58" t="str">
        <f aca="false">IF(OR(L309="",Q309=""),"",(L309-Q309)*10000)</f>
        <v/>
      </c>
      <c r="S309" s="30" t="n">
        <f aca="false">IF(AND(K309="고정",N309="N",J309&gt;=2,J309&lt;=4,I309&lt;&gt;""),1,0)</f>
        <v>0</v>
      </c>
      <c r="T309" s="59" t="n">
        <f aca="false">IF(S309=1,I309*L309,0)</f>
        <v>0</v>
      </c>
      <c r="U309" s="60" t="n">
        <f aca="false">IF(AND(S309=1,ISNUMBER(R309)),I309*R309,0)</f>
        <v>0</v>
      </c>
      <c r="V309" s="30" t="n">
        <f aca="false">IF(AND(F309="Big4(국영)",K309="고정",N309="N",I309&lt;&gt;""),1,0)</f>
        <v>0</v>
      </c>
      <c r="W309" s="59" t="n">
        <f aca="false">IF(V309=1,I309*L309,0)</f>
        <v>0</v>
      </c>
      <c r="X309" s="60" t="n">
        <f aca="false">IF(AND(V309=1,ISNUMBER(R309)),I309*R309,0)</f>
        <v>0</v>
      </c>
      <c r="Y309" s="61" t="n">
        <f aca="false">IF(AND(S309=1,ISNUMBER(R309)),I309,0)</f>
        <v>0</v>
      </c>
      <c r="Z309" s="61" t="n">
        <f aca="false">IF(AND(V309=1,ISNUMBER(R309)),I309,0)</f>
        <v>0</v>
      </c>
    </row>
    <row r="310" customFormat="false" ht="15" hidden="false" customHeight="false" outlineLevel="0" collapsed="false">
      <c r="A310" s="47" t="s">
        <v>650</v>
      </c>
      <c r="B310" s="52" t="n">
        <v>45520</v>
      </c>
      <c r="C310" s="53" t="n">
        <f aca="false">DATE(YEAR(B310),MONTH(B310),1)</f>
        <v>45505</v>
      </c>
      <c r="D310" s="5" t="str">
        <f aca="false">YEAR(B310)&amp;"Q"&amp;ROUNDUP(MONTH(B310)/3,0)</f>
        <v>2024Q3</v>
      </c>
      <c r="E310" s="47" t="s">
        <v>196</v>
      </c>
      <c r="F310" s="54" t="s">
        <v>139</v>
      </c>
      <c r="G310" s="47" t="s">
        <v>673</v>
      </c>
      <c r="H310" s="47" t="s">
        <v>674</v>
      </c>
      <c r="I310" s="55" t="n">
        <v>4000</v>
      </c>
      <c r="J310" s="56" t="n">
        <v>3</v>
      </c>
      <c r="K310" s="54" t="s">
        <v>142</v>
      </c>
      <c r="L310" s="57" t="n">
        <v>0.055</v>
      </c>
      <c r="N310" s="47" t="s">
        <v>148</v>
      </c>
      <c r="O310" s="47" t="s">
        <v>591</v>
      </c>
      <c r="P310" s="47"/>
      <c r="Q310" s="48" t="n">
        <f aca="false">IF($J310="","",IFERROR(IF($J310&lt;=1,INDEX(VN_국채일별!$B$4:$B$1436,MATCH($B310,VN_국채일별!$A$4:$A$1436,1)),IF($J310&lt;=2,INDEX(VN_국채일별!$B$4:$B$1436,MATCH($B310,VN_국채일별!$A$4:$A$1436,1))+(INDEX(VN_국채일별!$C$4:$C$1436,MATCH($B310,VN_국채일별!$A$4:$A$1436,1))-INDEX(VN_국채일별!$B$4:$B$1436,MATCH($B310,VN_국채일별!$A$4:$A$1436,1)))*($J310-1),IF($J310&lt;=3,INDEX(VN_국채일별!$C$4:$C$1436,MATCH($B310,VN_국채일별!$A$4:$A$1436,1))+(INDEX(VN_국채일별!$D$4:$D$1436,MATCH($B310,VN_국채일별!$A$4:$A$1436,1))-INDEX(VN_국채일별!$C$4:$C$1436,MATCH($B310,VN_국채일별!$A$4:$A$1436,1)))*($J310-2),IF($J310&lt;=5,INDEX(VN_국채일별!$D$4:$D$1436,MATCH($B310,VN_국채일별!$A$4:$A$1436,1))+(INDEX(VN_국채일별!$E$4:$E$1436,MATCH($B310,VN_국채일별!$A$4:$A$1436,1))-INDEX(VN_국채일별!$D$4:$D$1436,MATCH($B310,VN_국채일별!$A$4:$A$1436,1)))*($J310-3)/2,IF($J310&lt;=7,INDEX(VN_국채일별!$E$4:$E$1436,MATCH($B310,VN_국채일별!$A$4:$A$1436,1))+(INDEX(VN_국채일별!$F$4:$F$1436,MATCH($B310,VN_국채일별!$A$4:$A$1436,1))-INDEX(VN_국채일별!$E$4:$E$1436,MATCH($B310,VN_국채일별!$A$4:$A$1436,1)))*($J310-5)/2,IF($J310&lt;=10,INDEX(VN_국채일별!$F$4:$F$1436,MATCH($B310,VN_국채일별!$A$4:$A$1436,1))+(INDEX(VN_국채일별!$G$4:$G$1436,MATCH($B310,VN_국채일별!$A$4:$A$1436,1))-INDEX(VN_국채일별!$F$4:$F$1436,MATCH($B310,VN_국채일별!$A$4:$A$1436,1)))*($J310-7)/3,INDEX(VN_국채일별!$G$4:$G$1436,MATCH($B310,VN_국채일별!$A$4:$A$1436,1)))))))),""))</f>
        <v>0.02011</v>
      </c>
      <c r="R310" s="58" t="n">
        <f aca="false">IF(OR(L310="",Q310=""),"",(L310-Q310)*10000)</f>
        <v>348.9</v>
      </c>
      <c r="S310" s="30" t="n">
        <f aca="false">IF(AND(K310="고정",N310="N",J310&gt;=2,J310&lt;=4,I310&lt;&gt;""),1,0)</f>
        <v>1</v>
      </c>
      <c r="T310" s="59" t="n">
        <f aca="false">IF(S310=1,I310*L310,0)</f>
        <v>220</v>
      </c>
      <c r="U310" s="60" t="n">
        <f aca="false">IF(AND(S310=1,ISNUMBER(R310)),I310*R310,0)</f>
        <v>1395600</v>
      </c>
      <c r="V310" s="30" t="n">
        <f aca="false">IF(AND(F310="Big4(국영)",K310="고정",N310="N",I310&lt;&gt;""),1,0)</f>
        <v>0</v>
      </c>
      <c r="W310" s="59" t="n">
        <f aca="false">IF(V310=1,I310*L310,0)</f>
        <v>0</v>
      </c>
      <c r="X310" s="60" t="n">
        <f aca="false">IF(AND(V310=1,ISNUMBER(R310)),I310*R310,0)</f>
        <v>0</v>
      </c>
      <c r="Y310" s="61" t="n">
        <f aca="false">IF(AND(S310=1,ISNUMBER(R310)),I310,0)</f>
        <v>4000</v>
      </c>
      <c r="Z310" s="61" t="n">
        <f aca="false">IF(AND(V310=1,ISNUMBER(R310)),I310,0)</f>
        <v>0</v>
      </c>
    </row>
    <row r="311" customFormat="false" ht="15" hidden="false" customHeight="false" outlineLevel="0" collapsed="false">
      <c r="A311" s="47" t="s">
        <v>650</v>
      </c>
      <c r="B311" s="52" t="n">
        <v>45520</v>
      </c>
      <c r="C311" s="53" t="n">
        <f aca="false">DATE(YEAR(B311),MONTH(B311),1)</f>
        <v>45505</v>
      </c>
      <c r="D311" s="5" t="str">
        <f aca="false">YEAR(B311)&amp;"Q"&amp;ROUNDUP(MONTH(B311)/3,0)</f>
        <v>2024Q3</v>
      </c>
      <c r="E311" s="62" t="s">
        <v>155</v>
      </c>
      <c r="F311" s="62" t="s">
        <v>156</v>
      </c>
      <c r="G311" s="47" t="s">
        <v>157</v>
      </c>
      <c r="H311" s="47" t="s">
        <v>675</v>
      </c>
      <c r="I311" s="55" t="n">
        <v>540</v>
      </c>
      <c r="J311" s="56" t="n">
        <v>5</v>
      </c>
      <c r="K311" s="54" t="s">
        <v>142</v>
      </c>
      <c r="L311" s="57" t="n">
        <v>0.0568</v>
      </c>
      <c r="N311" s="47" t="s">
        <v>148</v>
      </c>
      <c r="O311" s="47" t="s">
        <v>676</v>
      </c>
      <c r="P311" s="47"/>
      <c r="Q311" s="48" t="n">
        <f aca="false">IF($J311="","",IFERROR(IF($J311&lt;=1,INDEX(VN_국채일별!$B$4:$B$1436,MATCH($B311,VN_국채일별!$A$4:$A$1436,1)),IF($J311&lt;=2,INDEX(VN_국채일별!$B$4:$B$1436,MATCH($B311,VN_국채일별!$A$4:$A$1436,1))+(INDEX(VN_국채일별!$C$4:$C$1436,MATCH($B311,VN_국채일별!$A$4:$A$1436,1))-INDEX(VN_국채일별!$B$4:$B$1436,MATCH($B311,VN_국채일별!$A$4:$A$1436,1)))*($J311-1),IF($J311&lt;=3,INDEX(VN_국채일별!$C$4:$C$1436,MATCH($B311,VN_국채일별!$A$4:$A$1436,1))+(INDEX(VN_국채일별!$D$4:$D$1436,MATCH($B311,VN_국채일별!$A$4:$A$1436,1))-INDEX(VN_국채일별!$C$4:$C$1436,MATCH($B311,VN_국채일별!$A$4:$A$1436,1)))*($J311-2),IF($J311&lt;=5,INDEX(VN_국채일별!$D$4:$D$1436,MATCH($B311,VN_국채일별!$A$4:$A$1436,1))+(INDEX(VN_국채일별!$E$4:$E$1436,MATCH($B311,VN_국채일별!$A$4:$A$1436,1))-INDEX(VN_국채일별!$D$4:$D$1436,MATCH($B311,VN_국채일별!$A$4:$A$1436,1)))*($J311-3)/2,IF($J311&lt;=7,INDEX(VN_국채일별!$E$4:$E$1436,MATCH($B311,VN_국채일별!$A$4:$A$1436,1))+(INDEX(VN_국채일별!$F$4:$F$1436,MATCH($B311,VN_국채일별!$A$4:$A$1436,1))-INDEX(VN_국채일별!$E$4:$E$1436,MATCH($B311,VN_국채일별!$A$4:$A$1436,1)))*($J311-5)/2,IF($J311&lt;=10,INDEX(VN_국채일별!$F$4:$F$1436,MATCH($B311,VN_국채일별!$A$4:$A$1436,1))+(INDEX(VN_국채일별!$G$4:$G$1436,MATCH($B311,VN_국채일별!$A$4:$A$1436,1))-INDEX(VN_국채일별!$F$4:$F$1436,MATCH($B311,VN_국채일별!$A$4:$A$1436,1)))*($J311-7)/3,INDEX(VN_국채일별!$G$4:$G$1436,MATCH($B311,VN_국채일별!$A$4:$A$1436,1)))))))),""))</f>
        <v>0.02055</v>
      </c>
      <c r="R311" s="58" t="n">
        <f aca="false">IF(OR(L311="",Q311=""),"",(L311-Q311)*10000)</f>
        <v>362.5</v>
      </c>
      <c r="S311" s="30" t="n">
        <f aca="false">IF(AND(K311="고정",N311="N",J311&gt;=2,J311&lt;=4,I311&lt;&gt;""),1,0)</f>
        <v>0</v>
      </c>
      <c r="T311" s="59" t="n">
        <f aca="false">IF(S311=1,I311*L311,0)</f>
        <v>0</v>
      </c>
      <c r="U311" s="60" t="n">
        <f aca="false">IF(AND(S311=1,ISNUMBER(R311)),I311*R311,0)</f>
        <v>0</v>
      </c>
      <c r="V311" s="30" t="n">
        <f aca="false">IF(AND(F311="Big4(국영)",K311="고정",N311="N",I311&lt;&gt;""),1,0)</f>
        <v>1</v>
      </c>
      <c r="W311" s="59" t="n">
        <f aca="false">IF(V311=1,I311*L311,0)</f>
        <v>30.672</v>
      </c>
      <c r="X311" s="60" t="n">
        <f aca="false">IF(AND(V311=1,ISNUMBER(R311)),I311*R311,0)</f>
        <v>195750</v>
      </c>
      <c r="Y311" s="61" t="n">
        <f aca="false">IF(AND(S311=1,ISNUMBER(R311)),I311,0)</f>
        <v>0</v>
      </c>
      <c r="Z311" s="61" t="n">
        <f aca="false">IF(AND(V311=1,ISNUMBER(R311)),I311,0)</f>
        <v>540</v>
      </c>
    </row>
    <row r="312" customFormat="false" ht="15" hidden="false" customHeight="false" outlineLevel="0" collapsed="false">
      <c r="A312" s="47" t="s">
        <v>650</v>
      </c>
      <c r="B312" s="52" t="n">
        <v>45524</v>
      </c>
      <c r="C312" s="53" t="n">
        <f aca="false">DATE(YEAR(B312),MONTH(B312),1)</f>
        <v>45505</v>
      </c>
      <c r="D312" s="5" t="str">
        <f aca="false">YEAR(B312)&amp;"Q"&amp;ROUNDUP(MONTH(B312)/3,0)</f>
        <v>2024Q3</v>
      </c>
      <c r="E312" s="62" t="s">
        <v>173</v>
      </c>
      <c r="F312" s="62" t="s">
        <v>156</v>
      </c>
      <c r="G312" s="47" t="s">
        <v>174</v>
      </c>
      <c r="H312" s="47" t="s">
        <v>677</v>
      </c>
      <c r="I312" s="55" t="n">
        <v>1000</v>
      </c>
      <c r="J312" s="56" t="n">
        <v>8</v>
      </c>
      <c r="K312" s="54" t="s">
        <v>153</v>
      </c>
      <c r="N312" s="47" t="s">
        <v>143</v>
      </c>
      <c r="O312" s="47" t="s">
        <v>678</v>
      </c>
      <c r="P312" s="47"/>
      <c r="Q312" s="48" t="n">
        <f aca="false">IF($J312="","",IFERROR(IF($J312&lt;=1,INDEX(VN_국채일별!$B$4:$B$1436,MATCH($B312,VN_국채일별!$A$4:$A$1436,1)),IF($J312&lt;=2,INDEX(VN_국채일별!$B$4:$B$1436,MATCH($B312,VN_국채일별!$A$4:$A$1436,1))+(INDEX(VN_국채일별!$C$4:$C$1436,MATCH($B312,VN_국채일별!$A$4:$A$1436,1))-INDEX(VN_국채일별!$B$4:$B$1436,MATCH($B312,VN_국채일별!$A$4:$A$1436,1)))*($J312-1),IF($J312&lt;=3,INDEX(VN_국채일별!$C$4:$C$1436,MATCH($B312,VN_국채일별!$A$4:$A$1436,1))+(INDEX(VN_국채일별!$D$4:$D$1436,MATCH($B312,VN_국채일별!$A$4:$A$1436,1))-INDEX(VN_국채일별!$C$4:$C$1436,MATCH($B312,VN_국채일별!$A$4:$A$1436,1)))*($J312-2),IF($J312&lt;=5,INDEX(VN_국채일별!$D$4:$D$1436,MATCH($B312,VN_국채일별!$A$4:$A$1436,1))+(INDEX(VN_국채일별!$E$4:$E$1436,MATCH($B312,VN_국채일별!$A$4:$A$1436,1))-INDEX(VN_국채일별!$D$4:$D$1436,MATCH($B312,VN_국채일별!$A$4:$A$1436,1)))*($J312-3)/2,IF($J312&lt;=7,INDEX(VN_국채일별!$E$4:$E$1436,MATCH($B312,VN_국채일별!$A$4:$A$1436,1))+(INDEX(VN_국채일별!$F$4:$F$1436,MATCH($B312,VN_국채일별!$A$4:$A$1436,1))-INDEX(VN_국채일별!$E$4:$E$1436,MATCH($B312,VN_국채일별!$A$4:$A$1436,1)))*($J312-5)/2,IF($J312&lt;=10,INDEX(VN_국채일별!$F$4:$F$1436,MATCH($B312,VN_국채일별!$A$4:$A$1436,1))+(INDEX(VN_국채일별!$G$4:$G$1436,MATCH($B312,VN_국채일별!$A$4:$A$1436,1))-INDEX(VN_국채일별!$F$4:$F$1436,MATCH($B312,VN_국채일별!$A$4:$A$1436,1)))*($J312-7)/3,INDEX(VN_국채일별!$G$4:$G$1436,MATCH($B312,VN_국채일별!$A$4:$A$1436,1)))))))),""))</f>
        <v>0.0243166666666667</v>
      </c>
      <c r="R312" s="58" t="str">
        <f aca="false">IF(OR(L312="",Q312=""),"",(L312-Q312)*10000)</f>
        <v/>
      </c>
      <c r="S312" s="30" t="n">
        <f aca="false">IF(AND(K312="고정",N312="N",J312&gt;=2,J312&lt;=4,I312&lt;&gt;""),1,0)</f>
        <v>0</v>
      </c>
      <c r="T312" s="59" t="n">
        <f aca="false">IF(S312=1,I312*L312,0)</f>
        <v>0</v>
      </c>
      <c r="U312" s="60" t="n">
        <f aca="false">IF(AND(S312=1,ISNUMBER(R312)),I312*R312,0)</f>
        <v>0</v>
      </c>
      <c r="V312" s="30" t="n">
        <f aca="false">IF(AND(F312="Big4(국영)",K312="고정",N312="N",I312&lt;&gt;""),1,0)</f>
        <v>0</v>
      </c>
      <c r="W312" s="59" t="n">
        <f aca="false">IF(V312=1,I312*L312,0)</f>
        <v>0</v>
      </c>
      <c r="X312" s="60" t="n">
        <f aca="false">IF(AND(V312=1,ISNUMBER(R312)),I312*R312,0)</f>
        <v>0</v>
      </c>
      <c r="Y312" s="61" t="n">
        <f aca="false">IF(AND(S312=1,ISNUMBER(R312)),I312,0)</f>
        <v>0</v>
      </c>
      <c r="Z312" s="61" t="n">
        <f aca="false">IF(AND(V312=1,ISNUMBER(R312)),I312,0)</f>
        <v>0</v>
      </c>
    </row>
    <row r="313" customFormat="false" ht="15" hidden="false" customHeight="false" outlineLevel="0" collapsed="false">
      <c r="A313" s="47" t="s">
        <v>650</v>
      </c>
      <c r="B313" s="52" t="n">
        <v>45525</v>
      </c>
      <c r="C313" s="53" t="n">
        <f aca="false">DATE(YEAR(B313),MONTH(B313),1)</f>
        <v>45505</v>
      </c>
      <c r="D313" s="5" t="str">
        <f aca="false">YEAR(B313)&amp;"Q"&amp;ROUNDUP(MONTH(B313)/3,0)</f>
        <v>2024Q3</v>
      </c>
      <c r="E313" s="62" t="s">
        <v>155</v>
      </c>
      <c r="F313" s="62" t="s">
        <v>156</v>
      </c>
      <c r="G313" s="47" t="s">
        <v>157</v>
      </c>
      <c r="H313" s="47" t="s">
        <v>679</v>
      </c>
      <c r="I313" s="55" t="n">
        <v>95</v>
      </c>
      <c r="J313" s="56" t="n">
        <v>8</v>
      </c>
      <c r="K313" s="54" t="s">
        <v>153</v>
      </c>
      <c r="N313" s="47" t="s">
        <v>143</v>
      </c>
      <c r="O313" s="47" t="s">
        <v>604</v>
      </c>
      <c r="P313" s="47"/>
      <c r="Q313" s="48" t="n">
        <f aca="false">IF($J313="","",IFERROR(IF($J313&lt;=1,INDEX(VN_국채일별!$B$4:$B$1436,MATCH($B313,VN_국채일별!$A$4:$A$1436,1)),IF($J313&lt;=2,INDEX(VN_국채일별!$B$4:$B$1436,MATCH($B313,VN_국채일별!$A$4:$A$1436,1))+(INDEX(VN_국채일별!$C$4:$C$1436,MATCH($B313,VN_국채일별!$A$4:$A$1436,1))-INDEX(VN_국채일별!$B$4:$B$1436,MATCH($B313,VN_국채일별!$A$4:$A$1436,1)))*($J313-1),IF($J313&lt;=3,INDEX(VN_국채일별!$C$4:$C$1436,MATCH($B313,VN_국채일별!$A$4:$A$1436,1))+(INDEX(VN_국채일별!$D$4:$D$1436,MATCH($B313,VN_국채일별!$A$4:$A$1436,1))-INDEX(VN_국채일별!$C$4:$C$1436,MATCH($B313,VN_국채일별!$A$4:$A$1436,1)))*($J313-2),IF($J313&lt;=5,INDEX(VN_국채일별!$D$4:$D$1436,MATCH($B313,VN_국채일별!$A$4:$A$1436,1))+(INDEX(VN_국채일별!$E$4:$E$1436,MATCH($B313,VN_국채일별!$A$4:$A$1436,1))-INDEX(VN_국채일별!$D$4:$D$1436,MATCH($B313,VN_국채일별!$A$4:$A$1436,1)))*($J313-3)/2,IF($J313&lt;=7,INDEX(VN_국채일별!$E$4:$E$1436,MATCH($B313,VN_국채일별!$A$4:$A$1436,1))+(INDEX(VN_국채일별!$F$4:$F$1436,MATCH($B313,VN_국채일별!$A$4:$A$1436,1))-INDEX(VN_국채일별!$E$4:$E$1436,MATCH($B313,VN_국채일별!$A$4:$A$1436,1)))*($J313-5)/2,IF($J313&lt;=10,INDEX(VN_국채일별!$F$4:$F$1436,MATCH($B313,VN_국채일별!$A$4:$A$1436,1))+(INDEX(VN_국채일별!$G$4:$G$1436,MATCH($B313,VN_국채일별!$A$4:$A$1436,1))-INDEX(VN_국채일별!$F$4:$F$1436,MATCH($B313,VN_국채일별!$A$4:$A$1436,1)))*($J313-7)/3,INDEX(VN_국채일별!$G$4:$G$1436,MATCH($B313,VN_국채일별!$A$4:$A$1436,1)))))))),""))</f>
        <v>0.0242833333333333</v>
      </c>
      <c r="R313" s="58" t="str">
        <f aca="false">IF(OR(L313="",Q313=""),"",(L313-Q313)*10000)</f>
        <v/>
      </c>
      <c r="S313" s="30" t="n">
        <f aca="false">IF(AND(K313="고정",N313="N",J313&gt;=2,J313&lt;=4,I313&lt;&gt;""),1,0)</f>
        <v>0</v>
      </c>
      <c r="T313" s="59" t="n">
        <f aca="false">IF(S313=1,I313*L313,0)</f>
        <v>0</v>
      </c>
      <c r="U313" s="60" t="n">
        <f aca="false">IF(AND(S313=1,ISNUMBER(R313)),I313*R313,0)</f>
        <v>0</v>
      </c>
      <c r="V313" s="30" t="n">
        <f aca="false">IF(AND(F313="Big4(국영)",K313="고정",N313="N",I313&lt;&gt;""),1,0)</f>
        <v>0</v>
      </c>
      <c r="W313" s="59" t="n">
        <f aca="false">IF(V313=1,I313*L313,0)</f>
        <v>0</v>
      </c>
      <c r="X313" s="60" t="n">
        <f aca="false">IF(AND(V313=1,ISNUMBER(R313)),I313*R313,0)</f>
        <v>0</v>
      </c>
      <c r="Y313" s="61" t="n">
        <f aca="false">IF(AND(S313=1,ISNUMBER(R313)),I313,0)</f>
        <v>0</v>
      </c>
      <c r="Z313" s="61" t="n">
        <f aca="false">IF(AND(V313=1,ISNUMBER(R313)),I313,0)</f>
        <v>0</v>
      </c>
    </row>
    <row r="314" customFormat="false" ht="15" hidden="false" customHeight="false" outlineLevel="0" collapsed="false">
      <c r="A314" s="47" t="s">
        <v>650</v>
      </c>
      <c r="B314" s="52" t="n">
        <v>45525</v>
      </c>
      <c r="C314" s="53" t="n">
        <f aca="false">DATE(YEAR(B314),MONTH(B314),1)</f>
        <v>45505</v>
      </c>
      <c r="D314" s="5" t="str">
        <f aca="false">YEAR(B314)&amp;"Q"&amp;ROUNDUP(MONTH(B314)/3,0)</f>
        <v>2024Q3</v>
      </c>
      <c r="E314" s="62" t="s">
        <v>155</v>
      </c>
      <c r="F314" s="62" t="s">
        <v>156</v>
      </c>
      <c r="G314" s="47" t="s">
        <v>157</v>
      </c>
      <c r="H314" s="47" t="s">
        <v>680</v>
      </c>
      <c r="I314" s="55" t="n">
        <v>900</v>
      </c>
      <c r="J314" s="56" t="n">
        <v>7</v>
      </c>
      <c r="K314" s="54" t="s">
        <v>153</v>
      </c>
      <c r="N314" s="47" t="s">
        <v>143</v>
      </c>
      <c r="O314" s="47" t="s">
        <v>602</v>
      </c>
      <c r="P314" s="47"/>
      <c r="Q314" s="48" t="n">
        <f aca="false">IF($J314="","",IFERROR(IF($J314&lt;=1,INDEX(VN_국채일별!$B$4:$B$1436,MATCH($B314,VN_국채일별!$A$4:$A$1436,1)),IF($J314&lt;=2,INDEX(VN_국채일별!$B$4:$B$1436,MATCH($B314,VN_국채일별!$A$4:$A$1436,1))+(INDEX(VN_국채일별!$C$4:$C$1436,MATCH($B314,VN_국채일별!$A$4:$A$1436,1))-INDEX(VN_국채일별!$B$4:$B$1436,MATCH($B314,VN_국채일별!$A$4:$A$1436,1)))*($J314-1),IF($J314&lt;=3,INDEX(VN_국채일별!$C$4:$C$1436,MATCH($B314,VN_국채일별!$A$4:$A$1436,1))+(INDEX(VN_국채일별!$D$4:$D$1436,MATCH($B314,VN_국채일별!$A$4:$A$1436,1))-INDEX(VN_국채일별!$C$4:$C$1436,MATCH($B314,VN_국채일별!$A$4:$A$1436,1)))*($J314-2),IF($J314&lt;=5,INDEX(VN_국채일별!$D$4:$D$1436,MATCH($B314,VN_국채일별!$A$4:$A$1436,1))+(INDEX(VN_국채일별!$E$4:$E$1436,MATCH($B314,VN_국채일별!$A$4:$A$1436,1))-INDEX(VN_국채일별!$D$4:$D$1436,MATCH($B314,VN_국채일별!$A$4:$A$1436,1)))*($J314-3)/2,IF($J314&lt;=7,INDEX(VN_국채일별!$E$4:$E$1436,MATCH($B314,VN_국채일별!$A$4:$A$1436,1))+(INDEX(VN_국채일별!$F$4:$F$1436,MATCH($B314,VN_국채일별!$A$4:$A$1436,1))-INDEX(VN_국채일별!$E$4:$E$1436,MATCH($B314,VN_국채일별!$A$4:$A$1436,1)))*($J314-5)/2,IF($J314&lt;=10,INDEX(VN_국채일별!$F$4:$F$1436,MATCH($B314,VN_국채일별!$A$4:$A$1436,1))+(INDEX(VN_국채일별!$G$4:$G$1436,MATCH($B314,VN_국채일별!$A$4:$A$1436,1))-INDEX(VN_국채일별!$F$4:$F$1436,MATCH($B314,VN_국채일별!$A$4:$A$1436,1)))*($J314-7)/3,INDEX(VN_국채일별!$G$4:$G$1436,MATCH($B314,VN_국채일별!$A$4:$A$1436,1)))))))),""))</f>
        <v>0.02266</v>
      </c>
      <c r="R314" s="58" t="str">
        <f aca="false">IF(OR(L314="",Q314=""),"",(L314-Q314)*10000)</f>
        <v/>
      </c>
      <c r="S314" s="30" t="n">
        <f aca="false">IF(AND(K314="고정",N314="N",J314&gt;=2,J314&lt;=4,I314&lt;&gt;""),1,0)</f>
        <v>0</v>
      </c>
      <c r="T314" s="59" t="n">
        <f aca="false">IF(S314=1,I314*L314,0)</f>
        <v>0</v>
      </c>
      <c r="U314" s="60" t="n">
        <f aca="false">IF(AND(S314=1,ISNUMBER(R314)),I314*R314,0)</f>
        <v>0</v>
      </c>
      <c r="V314" s="30" t="n">
        <f aca="false">IF(AND(F314="Big4(국영)",K314="고정",N314="N",I314&lt;&gt;""),1,0)</f>
        <v>0</v>
      </c>
      <c r="W314" s="59" t="n">
        <f aca="false">IF(V314=1,I314*L314,0)</f>
        <v>0</v>
      </c>
      <c r="X314" s="60" t="n">
        <f aca="false">IF(AND(V314=1,ISNUMBER(R314)),I314*R314,0)</f>
        <v>0</v>
      </c>
      <c r="Y314" s="61" t="n">
        <f aca="false">IF(AND(S314=1,ISNUMBER(R314)),I314,0)</f>
        <v>0</v>
      </c>
      <c r="Z314" s="61" t="n">
        <f aca="false">IF(AND(V314=1,ISNUMBER(R314)),I314,0)</f>
        <v>0</v>
      </c>
    </row>
    <row r="315" customFormat="false" ht="15" hidden="false" customHeight="false" outlineLevel="0" collapsed="false">
      <c r="A315" s="47" t="s">
        <v>650</v>
      </c>
      <c r="B315" s="52" t="n">
        <v>45525</v>
      </c>
      <c r="C315" s="53" t="n">
        <f aca="false">DATE(YEAR(B315),MONTH(B315),1)</f>
        <v>45505</v>
      </c>
      <c r="D315" s="5" t="str">
        <f aca="false">YEAR(B315)&amp;"Q"&amp;ROUNDUP(MONTH(B315)/3,0)</f>
        <v>2024Q3</v>
      </c>
      <c r="E315" s="47" t="s">
        <v>181</v>
      </c>
      <c r="F315" s="54" t="s">
        <v>139</v>
      </c>
      <c r="G315" s="47" t="s">
        <v>182</v>
      </c>
      <c r="H315" s="47" t="s">
        <v>681</v>
      </c>
      <c r="I315" s="55" t="n">
        <v>1000</v>
      </c>
      <c r="J315" s="56" t="n">
        <v>3</v>
      </c>
      <c r="K315" s="54" t="s">
        <v>142</v>
      </c>
      <c r="L315" s="57" t="n">
        <v>0.055</v>
      </c>
      <c r="N315" s="47" t="s">
        <v>148</v>
      </c>
      <c r="O315" s="47" t="s">
        <v>591</v>
      </c>
      <c r="P315" s="47"/>
      <c r="Q315" s="48" t="n">
        <f aca="false">IF($J315="","",IFERROR(IF($J315&lt;=1,INDEX(VN_국채일별!$B$4:$B$1436,MATCH($B315,VN_국채일별!$A$4:$A$1436,1)),IF($J315&lt;=2,INDEX(VN_국채일별!$B$4:$B$1436,MATCH($B315,VN_국채일별!$A$4:$A$1436,1))+(INDEX(VN_국채일별!$C$4:$C$1436,MATCH($B315,VN_국채일별!$A$4:$A$1436,1))-INDEX(VN_국채일별!$B$4:$B$1436,MATCH($B315,VN_국채일별!$A$4:$A$1436,1)))*($J315-1),IF($J315&lt;=3,INDEX(VN_국채일별!$C$4:$C$1436,MATCH($B315,VN_국채일별!$A$4:$A$1436,1))+(INDEX(VN_국채일별!$D$4:$D$1436,MATCH($B315,VN_국채일별!$A$4:$A$1436,1))-INDEX(VN_국채일별!$C$4:$C$1436,MATCH($B315,VN_국채일별!$A$4:$A$1436,1)))*($J315-2),IF($J315&lt;=5,INDEX(VN_국채일별!$D$4:$D$1436,MATCH($B315,VN_국채일별!$A$4:$A$1436,1))+(INDEX(VN_국채일별!$E$4:$E$1436,MATCH($B315,VN_국채일별!$A$4:$A$1436,1))-INDEX(VN_국채일별!$D$4:$D$1436,MATCH($B315,VN_국채일별!$A$4:$A$1436,1)))*($J315-3)/2,IF($J315&lt;=7,INDEX(VN_국채일별!$E$4:$E$1436,MATCH($B315,VN_국채일별!$A$4:$A$1436,1))+(INDEX(VN_국채일별!$F$4:$F$1436,MATCH($B315,VN_국채일별!$A$4:$A$1436,1))-INDEX(VN_국채일별!$E$4:$E$1436,MATCH($B315,VN_국채일별!$A$4:$A$1436,1)))*($J315-5)/2,IF($J315&lt;=10,INDEX(VN_국채일별!$F$4:$F$1436,MATCH($B315,VN_국채일별!$A$4:$A$1436,1))+(INDEX(VN_국채일별!$G$4:$G$1436,MATCH($B315,VN_국채일별!$A$4:$A$1436,1))-INDEX(VN_국채일별!$F$4:$F$1436,MATCH($B315,VN_국채일별!$A$4:$A$1436,1)))*($J315-7)/3,INDEX(VN_국채일별!$G$4:$G$1436,MATCH($B315,VN_국채일별!$A$4:$A$1436,1)))))))),""))</f>
        <v>0.02011</v>
      </c>
      <c r="R315" s="58" t="n">
        <f aca="false">IF(OR(L315="",Q315=""),"",(L315-Q315)*10000)</f>
        <v>348.9</v>
      </c>
      <c r="S315" s="30" t="n">
        <f aca="false">IF(AND(K315="고정",N315="N",J315&gt;=2,J315&lt;=4,I315&lt;&gt;""),1,0)</f>
        <v>1</v>
      </c>
      <c r="T315" s="59" t="n">
        <f aca="false">IF(S315=1,I315*L315,0)</f>
        <v>55</v>
      </c>
      <c r="U315" s="60" t="n">
        <f aca="false">IF(AND(S315=1,ISNUMBER(R315)),I315*R315,0)</f>
        <v>348900</v>
      </c>
      <c r="V315" s="30" t="n">
        <f aca="false">IF(AND(F315="Big4(국영)",K315="고정",N315="N",I315&lt;&gt;""),1,0)</f>
        <v>0</v>
      </c>
      <c r="W315" s="59" t="n">
        <f aca="false">IF(V315=1,I315*L315,0)</f>
        <v>0</v>
      </c>
      <c r="X315" s="60" t="n">
        <f aca="false">IF(AND(V315=1,ISNUMBER(R315)),I315*R315,0)</f>
        <v>0</v>
      </c>
      <c r="Y315" s="61" t="n">
        <f aca="false">IF(AND(S315=1,ISNUMBER(R315)),I315,0)</f>
        <v>1000</v>
      </c>
      <c r="Z315" s="61" t="n">
        <f aca="false">IF(AND(V315=1,ISNUMBER(R315)),I315,0)</f>
        <v>0</v>
      </c>
    </row>
    <row r="316" customFormat="false" ht="15" hidden="false" customHeight="false" outlineLevel="0" collapsed="false">
      <c r="A316" s="47" t="s">
        <v>650</v>
      </c>
      <c r="B316" s="52" t="n">
        <v>45525</v>
      </c>
      <c r="C316" s="53" t="n">
        <f aca="false">DATE(YEAR(B316),MONTH(B316),1)</f>
        <v>45505</v>
      </c>
      <c r="D316" s="5" t="str">
        <f aca="false">YEAR(B316)&amp;"Q"&amp;ROUNDUP(MONTH(B316)/3,0)</f>
        <v>2024Q3</v>
      </c>
      <c r="E316" s="47" t="s">
        <v>248</v>
      </c>
      <c r="F316" s="54" t="s">
        <v>139</v>
      </c>
      <c r="G316" s="47" t="s">
        <v>361</v>
      </c>
      <c r="H316" s="47" t="s">
        <v>682</v>
      </c>
      <c r="I316" s="55" t="n">
        <v>200</v>
      </c>
      <c r="J316" s="56" t="n">
        <v>7</v>
      </c>
      <c r="K316" s="54" t="s">
        <v>153</v>
      </c>
      <c r="N316" s="47" t="s">
        <v>143</v>
      </c>
      <c r="O316" s="47" t="s">
        <v>494</v>
      </c>
      <c r="P316" s="47"/>
      <c r="Q316" s="48" t="n">
        <f aca="false">IF($J316="","",IFERROR(IF($J316&lt;=1,INDEX(VN_국채일별!$B$4:$B$1436,MATCH($B316,VN_국채일별!$A$4:$A$1436,1)),IF($J316&lt;=2,INDEX(VN_국채일별!$B$4:$B$1436,MATCH($B316,VN_국채일별!$A$4:$A$1436,1))+(INDEX(VN_국채일별!$C$4:$C$1436,MATCH($B316,VN_국채일별!$A$4:$A$1436,1))-INDEX(VN_국채일별!$B$4:$B$1436,MATCH($B316,VN_국채일별!$A$4:$A$1436,1)))*($J316-1),IF($J316&lt;=3,INDEX(VN_국채일별!$C$4:$C$1436,MATCH($B316,VN_국채일별!$A$4:$A$1436,1))+(INDEX(VN_국채일별!$D$4:$D$1436,MATCH($B316,VN_국채일별!$A$4:$A$1436,1))-INDEX(VN_국채일별!$C$4:$C$1436,MATCH($B316,VN_국채일별!$A$4:$A$1436,1)))*($J316-2),IF($J316&lt;=5,INDEX(VN_국채일별!$D$4:$D$1436,MATCH($B316,VN_국채일별!$A$4:$A$1436,1))+(INDEX(VN_국채일별!$E$4:$E$1436,MATCH($B316,VN_국채일별!$A$4:$A$1436,1))-INDEX(VN_국채일별!$D$4:$D$1436,MATCH($B316,VN_국채일별!$A$4:$A$1436,1)))*($J316-3)/2,IF($J316&lt;=7,INDEX(VN_국채일별!$E$4:$E$1436,MATCH($B316,VN_국채일별!$A$4:$A$1436,1))+(INDEX(VN_국채일별!$F$4:$F$1436,MATCH($B316,VN_국채일별!$A$4:$A$1436,1))-INDEX(VN_국채일별!$E$4:$E$1436,MATCH($B316,VN_국채일별!$A$4:$A$1436,1)))*($J316-5)/2,IF($J316&lt;=10,INDEX(VN_국채일별!$F$4:$F$1436,MATCH($B316,VN_국채일별!$A$4:$A$1436,1))+(INDEX(VN_국채일별!$G$4:$G$1436,MATCH($B316,VN_국채일별!$A$4:$A$1436,1))-INDEX(VN_국채일별!$F$4:$F$1436,MATCH($B316,VN_국채일별!$A$4:$A$1436,1)))*($J316-7)/3,INDEX(VN_국채일별!$G$4:$G$1436,MATCH($B316,VN_국채일별!$A$4:$A$1436,1)))))))),""))</f>
        <v>0.02266</v>
      </c>
      <c r="R316" s="58" t="str">
        <f aca="false">IF(OR(L316="",Q316=""),"",(L316-Q316)*10000)</f>
        <v/>
      </c>
      <c r="S316" s="30" t="n">
        <f aca="false">IF(AND(K316="고정",N316="N",J316&gt;=2,J316&lt;=4,I316&lt;&gt;""),1,0)</f>
        <v>0</v>
      </c>
      <c r="T316" s="59" t="n">
        <f aca="false">IF(S316=1,I316*L316,0)</f>
        <v>0</v>
      </c>
      <c r="U316" s="60" t="n">
        <f aca="false">IF(AND(S316=1,ISNUMBER(R316)),I316*R316,0)</f>
        <v>0</v>
      </c>
      <c r="V316" s="30" t="n">
        <f aca="false">IF(AND(F316="Big4(국영)",K316="고정",N316="N",I316&lt;&gt;""),1,0)</f>
        <v>0</v>
      </c>
      <c r="W316" s="59" t="n">
        <f aca="false">IF(V316=1,I316*L316,0)</f>
        <v>0</v>
      </c>
      <c r="X316" s="60" t="n">
        <f aca="false">IF(AND(V316=1,ISNUMBER(R316)),I316*R316,0)</f>
        <v>0</v>
      </c>
      <c r="Y316" s="61" t="n">
        <f aca="false">IF(AND(S316=1,ISNUMBER(R316)),I316,0)</f>
        <v>0</v>
      </c>
      <c r="Z316" s="61" t="n">
        <f aca="false">IF(AND(V316=1,ISNUMBER(R316)),I316,0)</f>
        <v>0</v>
      </c>
    </row>
    <row r="317" customFormat="false" ht="15" hidden="false" customHeight="false" outlineLevel="0" collapsed="false">
      <c r="A317" s="47" t="s">
        <v>650</v>
      </c>
      <c r="B317" s="52" t="n">
        <v>45526</v>
      </c>
      <c r="C317" s="53" t="n">
        <f aca="false">DATE(YEAR(B317),MONTH(B317),1)</f>
        <v>45505</v>
      </c>
      <c r="D317" s="5" t="str">
        <f aca="false">YEAR(B317)&amp;"Q"&amp;ROUNDUP(MONTH(B317)/3,0)</f>
        <v>2024Q3</v>
      </c>
      <c r="E317" s="47" t="s">
        <v>150</v>
      </c>
      <c r="F317" s="54" t="s">
        <v>139</v>
      </c>
      <c r="G317" s="47" t="s">
        <v>170</v>
      </c>
      <c r="H317" s="47" t="s">
        <v>683</v>
      </c>
      <c r="I317" s="55" t="n">
        <v>1000</v>
      </c>
      <c r="J317" s="56" t="n">
        <v>3</v>
      </c>
      <c r="K317" s="54" t="s">
        <v>142</v>
      </c>
      <c r="L317" s="57" t="n">
        <v>0.052</v>
      </c>
      <c r="N317" s="47" t="s">
        <v>148</v>
      </c>
      <c r="O317" s="47" t="s">
        <v>538</v>
      </c>
      <c r="P317" s="47"/>
      <c r="Q317" s="48" t="n">
        <f aca="false">IF($J317="","",IFERROR(IF($J317&lt;=1,INDEX(VN_국채일별!$B$4:$B$1436,MATCH($B317,VN_국채일별!$A$4:$A$1436,1)),IF($J317&lt;=2,INDEX(VN_국채일별!$B$4:$B$1436,MATCH($B317,VN_국채일별!$A$4:$A$1436,1))+(INDEX(VN_국채일별!$C$4:$C$1436,MATCH($B317,VN_국채일별!$A$4:$A$1436,1))-INDEX(VN_국채일별!$B$4:$B$1436,MATCH($B317,VN_국채일별!$A$4:$A$1436,1)))*($J317-1),IF($J317&lt;=3,INDEX(VN_국채일별!$C$4:$C$1436,MATCH($B317,VN_국채일별!$A$4:$A$1436,1))+(INDEX(VN_국채일별!$D$4:$D$1436,MATCH($B317,VN_국채일별!$A$4:$A$1436,1))-INDEX(VN_국채일별!$C$4:$C$1436,MATCH($B317,VN_국채일별!$A$4:$A$1436,1)))*($J317-2),IF($J317&lt;=5,INDEX(VN_국채일별!$D$4:$D$1436,MATCH($B317,VN_국채일별!$A$4:$A$1436,1))+(INDEX(VN_국채일별!$E$4:$E$1436,MATCH($B317,VN_국채일별!$A$4:$A$1436,1))-INDEX(VN_국채일별!$D$4:$D$1436,MATCH($B317,VN_국채일별!$A$4:$A$1436,1)))*($J317-3)/2,IF($J317&lt;=7,INDEX(VN_국채일별!$E$4:$E$1436,MATCH($B317,VN_국채일별!$A$4:$A$1436,1))+(INDEX(VN_국채일별!$F$4:$F$1436,MATCH($B317,VN_국채일별!$A$4:$A$1436,1))-INDEX(VN_국채일별!$E$4:$E$1436,MATCH($B317,VN_국채일별!$A$4:$A$1436,1)))*($J317-5)/2,IF($J317&lt;=10,INDEX(VN_국채일별!$F$4:$F$1436,MATCH($B317,VN_국채일별!$A$4:$A$1436,1))+(INDEX(VN_국채일별!$G$4:$G$1436,MATCH($B317,VN_국채일별!$A$4:$A$1436,1))-INDEX(VN_국채일별!$F$4:$F$1436,MATCH($B317,VN_국채일별!$A$4:$A$1436,1)))*($J317-7)/3,INDEX(VN_국채일별!$G$4:$G$1436,MATCH($B317,VN_국채일별!$A$4:$A$1436,1)))))))),""))</f>
        <v>0.02004</v>
      </c>
      <c r="R317" s="58" t="n">
        <f aca="false">IF(OR(L317="",Q317=""),"",(L317-Q317)*10000)</f>
        <v>319.6</v>
      </c>
      <c r="S317" s="30" t="n">
        <f aca="false">IF(AND(K317="고정",N317="N",J317&gt;=2,J317&lt;=4,I317&lt;&gt;""),1,0)</f>
        <v>1</v>
      </c>
      <c r="T317" s="59" t="n">
        <f aca="false">IF(S317=1,I317*L317,0)</f>
        <v>52</v>
      </c>
      <c r="U317" s="60" t="n">
        <f aca="false">IF(AND(S317=1,ISNUMBER(R317)),I317*R317,0)</f>
        <v>319600</v>
      </c>
      <c r="V317" s="30" t="n">
        <f aca="false">IF(AND(F317="Big4(국영)",K317="고정",N317="N",I317&lt;&gt;""),1,0)</f>
        <v>0</v>
      </c>
      <c r="W317" s="59" t="n">
        <f aca="false">IF(V317=1,I317*L317,0)</f>
        <v>0</v>
      </c>
      <c r="X317" s="60" t="n">
        <f aca="false">IF(AND(V317=1,ISNUMBER(R317)),I317*R317,0)</f>
        <v>0</v>
      </c>
      <c r="Y317" s="61" t="n">
        <f aca="false">IF(AND(S317=1,ISNUMBER(R317)),I317,0)</f>
        <v>1000</v>
      </c>
      <c r="Z317" s="61" t="n">
        <f aca="false">IF(AND(V317=1,ISNUMBER(R317)),I317,0)</f>
        <v>0</v>
      </c>
    </row>
    <row r="318" customFormat="false" ht="15" hidden="false" customHeight="false" outlineLevel="0" collapsed="false">
      <c r="A318" s="47" t="s">
        <v>650</v>
      </c>
      <c r="B318" s="52" t="n">
        <v>45526</v>
      </c>
      <c r="C318" s="53" t="n">
        <f aca="false">DATE(YEAR(B318),MONTH(B318),1)</f>
        <v>45505</v>
      </c>
      <c r="D318" s="5" t="str">
        <f aca="false">YEAR(B318)&amp;"Q"&amp;ROUNDUP(MONTH(B318)/3,0)</f>
        <v>2024Q3</v>
      </c>
      <c r="E318" s="47" t="s">
        <v>254</v>
      </c>
      <c r="F318" s="54" t="s">
        <v>139</v>
      </c>
      <c r="G318" s="47" t="s">
        <v>339</v>
      </c>
      <c r="H318" s="47" t="s">
        <v>684</v>
      </c>
      <c r="I318" s="55" t="n">
        <v>1500</v>
      </c>
      <c r="J318" s="56" t="n">
        <v>2</v>
      </c>
      <c r="K318" s="54" t="s">
        <v>142</v>
      </c>
      <c r="L318" s="57" t="n">
        <v>0.055</v>
      </c>
      <c r="N318" s="47" t="s">
        <v>148</v>
      </c>
      <c r="O318" s="47" t="s">
        <v>591</v>
      </c>
      <c r="P318" s="47"/>
      <c r="Q318" s="48" t="n">
        <f aca="false">IF($J318="","",IFERROR(IF($J318&lt;=1,INDEX(VN_국채일별!$B$4:$B$1436,MATCH($B318,VN_국채일별!$A$4:$A$1436,1)),IF($J318&lt;=2,INDEX(VN_국채일별!$B$4:$B$1436,MATCH($B318,VN_국채일별!$A$4:$A$1436,1))+(INDEX(VN_국채일별!$C$4:$C$1436,MATCH($B318,VN_국채일별!$A$4:$A$1436,1))-INDEX(VN_국채일별!$B$4:$B$1436,MATCH($B318,VN_국채일별!$A$4:$A$1436,1)))*($J318-1),IF($J318&lt;=3,INDEX(VN_국채일별!$C$4:$C$1436,MATCH($B318,VN_국채일별!$A$4:$A$1436,1))+(INDEX(VN_국채일별!$D$4:$D$1436,MATCH($B318,VN_국채일별!$A$4:$A$1436,1))-INDEX(VN_국채일별!$C$4:$C$1436,MATCH($B318,VN_국채일별!$A$4:$A$1436,1)))*($J318-2),IF($J318&lt;=5,INDEX(VN_국채일별!$D$4:$D$1436,MATCH($B318,VN_국채일별!$A$4:$A$1436,1))+(INDEX(VN_국채일별!$E$4:$E$1436,MATCH($B318,VN_국채일별!$A$4:$A$1436,1))-INDEX(VN_국채일별!$D$4:$D$1436,MATCH($B318,VN_국채일별!$A$4:$A$1436,1)))*($J318-3)/2,IF($J318&lt;=7,INDEX(VN_국채일별!$E$4:$E$1436,MATCH($B318,VN_국채일별!$A$4:$A$1436,1))+(INDEX(VN_국채일별!$F$4:$F$1436,MATCH($B318,VN_국채일별!$A$4:$A$1436,1))-INDEX(VN_국채일별!$E$4:$E$1436,MATCH($B318,VN_국채일별!$A$4:$A$1436,1)))*($J318-5)/2,IF($J318&lt;=10,INDEX(VN_국채일별!$F$4:$F$1436,MATCH($B318,VN_국채일별!$A$4:$A$1436,1))+(INDEX(VN_국채일별!$G$4:$G$1436,MATCH($B318,VN_국채일별!$A$4:$A$1436,1))-INDEX(VN_국채일별!$F$4:$F$1436,MATCH($B318,VN_국채일별!$A$4:$A$1436,1)))*($J318-7)/3,INDEX(VN_국채일별!$G$4:$G$1436,MATCH($B318,VN_국채일별!$A$4:$A$1436,1)))))))),""))</f>
        <v>0.01924</v>
      </c>
      <c r="R318" s="58" t="n">
        <f aca="false">IF(OR(L318="",Q318=""),"",(L318-Q318)*10000)</f>
        <v>357.6</v>
      </c>
      <c r="S318" s="30" t="n">
        <f aca="false">IF(AND(K318="고정",N318="N",J318&gt;=2,J318&lt;=4,I318&lt;&gt;""),1,0)</f>
        <v>1</v>
      </c>
      <c r="T318" s="59" t="n">
        <f aca="false">IF(S318=1,I318*L318,0)</f>
        <v>82.5</v>
      </c>
      <c r="U318" s="60" t="n">
        <f aca="false">IF(AND(S318=1,ISNUMBER(R318)),I318*R318,0)</f>
        <v>536400</v>
      </c>
      <c r="V318" s="30" t="n">
        <f aca="false">IF(AND(F318="Big4(국영)",K318="고정",N318="N",I318&lt;&gt;""),1,0)</f>
        <v>0</v>
      </c>
      <c r="W318" s="59" t="n">
        <f aca="false">IF(V318=1,I318*L318,0)</f>
        <v>0</v>
      </c>
      <c r="X318" s="60" t="n">
        <f aca="false">IF(AND(V318=1,ISNUMBER(R318)),I318*R318,0)</f>
        <v>0</v>
      </c>
      <c r="Y318" s="61" t="n">
        <f aca="false">IF(AND(S318=1,ISNUMBER(R318)),I318,0)</f>
        <v>1500</v>
      </c>
      <c r="Z318" s="61" t="n">
        <f aca="false">IF(AND(V318=1,ISNUMBER(R318)),I318,0)</f>
        <v>0</v>
      </c>
    </row>
    <row r="319" customFormat="false" ht="15" hidden="false" customHeight="false" outlineLevel="0" collapsed="false">
      <c r="A319" s="47" t="s">
        <v>650</v>
      </c>
      <c r="B319" s="52" t="n">
        <v>45527</v>
      </c>
      <c r="C319" s="53" t="n">
        <f aca="false">DATE(YEAR(B319),MONTH(B319),1)</f>
        <v>45505</v>
      </c>
      <c r="D319" s="5" t="str">
        <f aca="false">YEAR(B319)&amp;"Q"&amp;ROUNDUP(MONTH(B319)/3,0)</f>
        <v>2024Q3</v>
      </c>
      <c r="E319" s="47" t="s">
        <v>365</v>
      </c>
      <c r="F319" s="54" t="s">
        <v>139</v>
      </c>
      <c r="G319" s="47" t="s">
        <v>366</v>
      </c>
      <c r="H319" s="47" t="s">
        <v>685</v>
      </c>
      <c r="I319" s="55" t="n">
        <v>384</v>
      </c>
      <c r="J319" s="56" t="n">
        <v>10</v>
      </c>
      <c r="K319" s="54" t="s">
        <v>153</v>
      </c>
      <c r="N319" s="47" t="s">
        <v>143</v>
      </c>
      <c r="O319" s="47" t="s">
        <v>666</v>
      </c>
      <c r="P319" s="47"/>
      <c r="Q319" s="48" t="n">
        <f aca="false">IF($J319="","",IFERROR(IF($J319&lt;=1,INDEX(VN_국채일별!$B$4:$B$1436,MATCH($B319,VN_국채일별!$A$4:$A$1436,1)),IF($J319&lt;=2,INDEX(VN_국채일별!$B$4:$B$1436,MATCH($B319,VN_국채일별!$A$4:$A$1436,1))+(INDEX(VN_국채일별!$C$4:$C$1436,MATCH($B319,VN_국채일별!$A$4:$A$1436,1))-INDEX(VN_국채일별!$B$4:$B$1436,MATCH($B319,VN_국채일별!$A$4:$A$1436,1)))*($J319-1),IF($J319&lt;=3,INDEX(VN_국채일별!$C$4:$C$1436,MATCH($B319,VN_국채일별!$A$4:$A$1436,1))+(INDEX(VN_국채일별!$D$4:$D$1436,MATCH($B319,VN_국채일별!$A$4:$A$1436,1))-INDEX(VN_국채일별!$C$4:$C$1436,MATCH($B319,VN_국채일별!$A$4:$A$1436,1)))*($J319-2),IF($J319&lt;=5,INDEX(VN_국채일별!$D$4:$D$1436,MATCH($B319,VN_국채일별!$A$4:$A$1436,1))+(INDEX(VN_국채일별!$E$4:$E$1436,MATCH($B319,VN_국채일별!$A$4:$A$1436,1))-INDEX(VN_국채일별!$D$4:$D$1436,MATCH($B319,VN_국채일별!$A$4:$A$1436,1)))*($J319-3)/2,IF($J319&lt;=7,INDEX(VN_국채일별!$E$4:$E$1436,MATCH($B319,VN_국채일별!$A$4:$A$1436,1))+(INDEX(VN_국채일별!$F$4:$F$1436,MATCH($B319,VN_국채일별!$A$4:$A$1436,1))-INDEX(VN_국채일별!$E$4:$E$1436,MATCH($B319,VN_국채일별!$A$4:$A$1436,1)))*($J319-5)/2,IF($J319&lt;=10,INDEX(VN_국채일별!$F$4:$F$1436,MATCH($B319,VN_국채일별!$A$4:$A$1436,1))+(INDEX(VN_국채일별!$G$4:$G$1436,MATCH($B319,VN_국채일별!$A$4:$A$1436,1))-INDEX(VN_국채일별!$F$4:$F$1436,MATCH($B319,VN_국채일별!$A$4:$A$1436,1)))*($J319-7)/3,INDEX(VN_국채일별!$G$4:$G$1436,MATCH($B319,VN_국채일별!$A$4:$A$1436,1)))))))),""))</f>
        <v>0.02749</v>
      </c>
      <c r="R319" s="58" t="str">
        <f aca="false">IF(OR(L319="",Q319=""),"",(L319-Q319)*10000)</f>
        <v/>
      </c>
      <c r="S319" s="30" t="n">
        <f aca="false">IF(AND(K319="고정",N319="N",J319&gt;=2,J319&lt;=4,I319&lt;&gt;""),1,0)</f>
        <v>0</v>
      </c>
      <c r="T319" s="59" t="n">
        <f aca="false">IF(S319=1,I319*L319,0)</f>
        <v>0</v>
      </c>
      <c r="U319" s="60" t="n">
        <f aca="false">IF(AND(S319=1,ISNUMBER(R319)),I319*R319,0)</f>
        <v>0</v>
      </c>
      <c r="V319" s="30" t="n">
        <f aca="false">IF(AND(F319="Big4(국영)",K319="고정",N319="N",I319&lt;&gt;""),1,0)</f>
        <v>0</v>
      </c>
      <c r="W319" s="59" t="n">
        <f aca="false">IF(V319=1,I319*L319,0)</f>
        <v>0</v>
      </c>
      <c r="X319" s="60" t="n">
        <f aca="false">IF(AND(V319=1,ISNUMBER(R319)),I319*R319,0)</f>
        <v>0</v>
      </c>
      <c r="Y319" s="61" t="n">
        <f aca="false">IF(AND(S319=1,ISNUMBER(R319)),I319,0)</f>
        <v>0</v>
      </c>
      <c r="Z319" s="61" t="n">
        <f aca="false">IF(AND(V319=1,ISNUMBER(R319)),I319,0)</f>
        <v>0</v>
      </c>
    </row>
    <row r="320" customFormat="false" ht="15" hidden="false" customHeight="false" outlineLevel="0" collapsed="false">
      <c r="A320" s="47" t="s">
        <v>650</v>
      </c>
      <c r="B320" s="52" t="n">
        <v>45527</v>
      </c>
      <c r="C320" s="53" t="n">
        <f aca="false">DATE(YEAR(B320),MONTH(B320),1)</f>
        <v>45505</v>
      </c>
      <c r="D320" s="5" t="str">
        <f aca="false">YEAR(B320)&amp;"Q"&amp;ROUNDUP(MONTH(B320)/3,0)</f>
        <v>2024Q3</v>
      </c>
      <c r="E320" s="47" t="s">
        <v>242</v>
      </c>
      <c r="F320" s="54" t="s">
        <v>139</v>
      </c>
      <c r="G320" s="47" t="s">
        <v>686</v>
      </c>
      <c r="H320" s="47" t="s">
        <v>687</v>
      </c>
      <c r="I320" s="55" t="n">
        <v>400</v>
      </c>
      <c r="J320" s="56" t="n">
        <v>7</v>
      </c>
      <c r="K320" s="54" t="s">
        <v>153</v>
      </c>
      <c r="N320" s="47" t="s">
        <v>143</v>
      </c>
      <c r="O320" s="47" t="s">
        <v>688</v>
      </c>
      <c r="P320" s="47"/>
      <c r="Q320" s="48" t="n">
        <f aca="false">IF($J320="","",IFERROR(IF($J320&lt;=1,INDEX(VN_국채일별!$B$4:$B$1436,MATCH($B320,VN_국채일별!$A$4:$A$1436,1)),IF($J320&lt;=2,INDEX(VN_국채일별!$B$4:$B$1436,MATCH($B320,VN_국채일별!$A$4:$A$1436,1))+(INDEX(VN_국채일별!$C$4:$C$1436,MATCH($B320,VN_국채일별!$A$4:$A$1436,1))-INDEX(VN_국채일별!$B$4:$B$1436,MATCH($B320,VN_국채일별!$A$4:$A$1436,1)))*($J320-1),IF($J320&lt;=3,INDEX(VN_국채일별!$C$4:$C$1436,MATCH($B320,VN_국채일별!$A$4:$A$1436,1))+(INDEX(VN_국채일별!$D$4:$D$1436,MATCH($B320,VN_국채일별!$A$4:$A$1436,1))-INDEX(VN_국채일별!$C$4:$C$1436,MATCH($B320,VN_국채일별!$A$4:$A$1436,1)))*($J320-2),IF($J320&lt;=5,INDEX(VN_국채일별!$D$4:$D$1436,MATCH($B320,VN_국채일별!$A$4:$A$1436,1))+(INDEX(VN_국채일별!$E$4:$E$1436,MATCH($B320,VN_국채일별!$A$4:$A$1436,1))-INDEX(VN_국채일별!$D$4:$D$1436,MATCH($B320,VN_국채일별!$A$4:$A$1436,1)))*($J320-3)/2,IF($J320&lt;=7,INDEX(VN_국채일별!$E$4:$E$1436,MATCH($B320,VN_국채일별!$A$4:$A$1436,1))+(INDEX(VN_국채일별!$F$4:$F$1436,MATCH($B320,VN_국채일별!$A$4:$A$1436,1))-INDEX(VN_국채일별!$E$4:$E$1436,MATCH($B320,VN_국채일별!$A$4:$A$1436,1)))*($J320-5)/2,IF($J320&lt;=10,INDEX(VN_국채일별!$F$4:$F$1436,MATCH($B320,VN_국채일별!$A$4:$A$1436,1))+(INDEX(VN_국채일별!$G$4:$G$1436,MATCH($B320,VN_국채일별!$A$4:$A$1436,1))-INDEX(VN_국채일별!$F$4:$F$1436,MATCH($B320,VN_국채일별!$A$4:$A$1436,1)))*($J320-7)/3,INDEX(VN_국채일별!$G$4:$G$1436,MATCH($B320,VN_국채일별!$A$4:$A$1436,1)))))))),""))</f>
        <v>0.02269</v>
      </c>
      <c r="R320" s="58" t="str">
        <f aca="false">IF(OR(L320="",Q320=""),"",(L320-Q320)*10000)</f>
        <v/>
      </c>
      <c r="S320" s="30" t="n">
        <f aca="false">IF(AND(K320="고정",N320="N",J320&gt;=2,J320&lt;=4,I320&lt;&gt;""),1,0)</f>
        <v>0</v>
      </c>
      <c r="T320" s="59" t="n">
        <f aca="false">IF(S320=1,I320*L320,0)</f>
        <v>0</v>
      </c>
      <c r="U320" s="60" t="n">
        <f aca="false">IF(AND(S320=1,ISNUMBER(R320)),I320*R320,0)</f>
        <v>0</v>
      </c>
      <c r="V320" s="30" t="n">
        <f aca="false">IF(AND(F320="Big4(국영)",K320="고정",N320="N",I320&lt;&gt;""),1,0)</f>
        <v>0</v>
      </c>
      <c r="W320" s="59" t="n">
        <f aca="false">IF(V320=1,I320*L320,0)</f>
        <v>0</v>
      </c>
      <c r="X320" s="60" t="n">
        <f aca="false">IF(AND(V320=1,ISNUMBER(R320)),I320*R320,0)</f>
        <v>0</v>
      </c>
      <c r="Y320" s="61" t="n">
        <f aca="false">IF(AND(S320=1,ISNUMBER(R320)),I320,0)</f>
        <v>0</v>
      </c>
      <c r="Z320" s="61" t="n">
        <f aca="false">IF(AND(V320=1,ISNUMBER(R320)),I320,0)</f>
        <v>0</v>
      </c>
    </row>
    <row r="321" customFormat="false" ht="15" hidden="false" customHeight="false" outlineLevel="0" collapsed="false">
      <c r="A321" s="47" t="s">
        <v>650</v>
      </c>
      <c r="B321" s="52" t="n">
        <v>45527</v>
      </c>
      <c r="C321" s="53" t="n">
        <f aca="false">DATE(YEAR(B321),MONTH(B321),1)</f>
        <v>45505</v>
      </c>
      <c r="D321" s="5" t="str">
        <f aca="false">YEAR(B321)&amp;"Q"&amp;ROUNDUP(MONTH(B321)/3,0)</f>
        <v>2024Q3</v>
      </c>
      <c r="E321" s="62" t="s">
        <v>173</v>
      </c>
      <c r="F321" s="62" t="s">
        <v>156</v>
      </c>
      <c r="G321" s="47" t="s">
        <v>174</v>
      </c>
      <c r="H321" s="47" t="s">
        <v>689</v>
      </c>
      <c r="I321" s="55" t="n">
        <v>125</v>
      </c>
      <c r="J321" s="56" t="n">
        <v>5</v>
      </c>
      <c r="K321" s="54" t="s">
        <v>142</v>
      </c>
      <c r="L321" s="57" t="n">
        <v>0.065</v>
      </c>
      <c r="N321" s="47" t="s">
        <v>148</v>
      </c>
      <c r="O321" s="47" t="s">
        <v>417</v>
      </c>
      <c r="P321" s="47"/>
      <c r="Q321" s="48" t="n">
        <f aca="false">IF($J321="","",IFERROR(IF($J321&lt;=1,INDEX(VN_국채일별!$B$4:$B$1436,MATCH($B321,VN_국채일별!$A$4:$A$1436,1)),IF($J321&lt;=2,INDEX(VN_국채일별!$B$4:$B$1436,MATCH($B321,VN_국채일별!$A$4:$A$1436,1))+(INDEX(VN_국채일별!$C$4:$C$1436,MATCH($B321,VN_국채일별!$A$4:$A$1436,1))-INDEX(VN_국채일별!$B$4:$B$1436,MATCH($B321,VN_국채일별!$A$4:$A$1436,1)))*($J321-1),IF($J321&lt;=3,INDEX(VN_국채일별!$C$4:$C$1436,MATCH($B321,VN_국채일별!$A$4:$A$1436,1))+(INDEX(VN_국채일별!$D$4:$D$1436,MATCH($B321,VN_국채일별!$A$4:$A$1436,1))-INDEX(VN_국채일별!$C$4:$C$1436,MATCH($B321,VN_국채일별!$A$4:$A$1436,1)))*($J321-2),IF($J321&lt;=5,INDEX(VN_국채일별!$D$4:$D$1436,MATCH($B321,VN_국채일별!$A$4:$A$1436,1))+(INDEX(VN_국채일별!$E$4:$E$1436,MATCH($B321,VN_국채일별!$A$4:$A$1436,1))-INDEX(VN_국채일별!$D$4:$D$1436,MATCH($B321,VN_국채일별!$A$4:$A$1436,1)))*($J321-3)/2,IF($J321&lt;=7,INDEX(VN_국채일별!$E$4:$E$1436,MATCH($B321,VN_국채일별!$A$4:$A$1436,1))+(INDEX(VN_국채일별!$F$4:$F$1436,MATCH($B321,VN_국채일별!$A$4:$A$1436,1))-INDEX(VN_국채일별!$E$4:$E$1436,MATCH($B321,VN_국채일별!$A$4:$A$1436,1)))*($J321-5)/2,IF($J321&lt;=10,INDEX(VN_국채일별!$F$4:$F$1436,MATCH($B321,VN_국채일별!$A$4:$A$1436,1))+(INDEX(VN_국채일별!$G$4:$G$1436,MATCH($B321,VN_국채일별!$A$4:$A$1436,1))-INDEX(VN_국채일별!$F$4:$F$1436,MATCH($B321,VN_국채일별!$A$4:$A$1436,1)))*($J321-7)/3,INDEX(VN_국채일별!$G$4:$G$1436,MATCH($B321,VN_국채일별!$A$4:$A$1436,1)))))))),""))</f>
        <v>0.02052</v>
      </c>
      <c r="R321" s="58" t="n">
        <f aca="false">IF(OR(L321="",Q321=""),"",(L321-Q321)*10000)</f>
        <v>444.8</v>
      </c>
      <c r="S321" s="30" t="n">
        <f aca="false">IF(AND(K321="고정",N321="N",J321&gt;=2,J321&lt;=4,I321&lt;&gt;""),1,0)</f>
        <v>0</v>
      </c>
      <c r="T321" s="59" t="n">
        <f aca="false">IF(S321=1,I321*L321,0)</f>
        <v>0</v>
      </c>
      <c r="U321" s="60" t="n">
        <f aca="false">IF(AND(S321=1,ISNUMBER(R321)),I321*R321,0)</f>
        <v>0</v>
      </c>
      <c r="V321" s="30" t="n">
        <f aca="false">IF(AND(F321="Big4(국영)",K321="고정",N321="N",I321&lt;&gt;""),1,0)</f>
        <v>1</v>
      </c>
      <c r="W321" s="59" t="n">
        <f aca="false">IF(V321=1,I321*L321,0)</f>
        <v>8.125</v>
      </c>
      <c r="X321" s="60" t="n">
        <f aca="false">IF(AND(V321=1,ISNUMBER(R321)),I321*R321,0)</f>
        <v>55600</v>
      </c>
      <c r="Y321" s="61" t="n">
        <f aca="false">IF(AND(S321=1,ISNUMBER(R321)),I321,0)</f>
        <v>0</v>
      </c>
      <c r="Z321" s="61" t="n">
        <f aca="false">IF(AND(V321=1,ISNUMBER(R321)),I321,0)</f>
        <v>125</v>
      </c>
    </row>
    <row r="322" customFormat="false" ht="15" hidden="false" customHeight="false" outlineLevel="0" collapsed="false">
      <c r="A322" s="47" t="s">
        <v>650</v>
      </c>
      <c r="B322" s="52" t="n">
        <v>45527</v>
      </c>
      <c r="C322" s="53" t="n">
        <f aca="false">DATE(YEAR(B322),MONTH(B322),1)</f>
        <v>45505</v>
      </c>
      <c r="D322" s="5" t="str">
        <f aca="false">YEAR(B322)&amp;"Q"&amp;ROUNDUP(MONTH(B322)/3,0)</f>
        <v>2024Q3</v>
      </c>
      <c r="E322" s="47" t="s">
        <v>690</v>
      </c>
      <c r="F322" s="54" t="s">
        <v>139</v>
      </c>
      <c r="G322" s="47" t="s">
        <v>691</v>
      </c>
      <c r="H322" s="47" t="s">
        <v>692</v>
      </c>
      <c r="I322" s="55" t="n">
        <v>800</v>
      </c>
      <c r="J322" s="56" t="n">
        <v>7</v>
      </c>
      <c r="K322" s="54" t="s">
        <v>153</v>
      </c>
      <c r="N322" s="47" t="s">
        <v>143</v>
      </c>
      <c r="O322" s="47" t="s">
        <v>693</v>
      </c>
      <c r="P322" s="47"/>
      <c r="Q322" s="48" t="n">
        <f aca="false">IF($J322="","",IFERROR(IF($J322&lt;=1,INDEX(VN_국채일별!$B$4:$B$1436,MATCH($B322,VN_국채일별!$A$4:$A$1436,1)),IF($J322&lt;=2,INDEX(VN_국채일별!$B$4:$B$1436,MATCH($B322,VN_국채일별!$A$4:$A$1436,1))+(INDEX(VN_국채일별!$C$4:$C$1436,MATCH($B322,VN_국채일별!$A$4:$A$1436,1))-INDEX(VN_국채일별!$B$4:$B$1436,MATCH($B322,VN_국채일별!$A$4:$A$1436,1)))*($J322-1),IF($J322&lt;=3,INDEX(VN_국채일별!$C$4:$C$1436,MATCH($B322,VN_국채일별!$A$4:$A$1436,1))+(INDEX(VN_국채일별!$D$4:$D$1436,MATCH($B322,VN_국채일별!$A$4:$A$1436,1))-INDEX(VN_국채일별!$C$4:$C$1436,MATCH($B322,VN_국채일별!$A$4:$A$1436,1)))*($J322-2),IF($J322&lt;=5,INDEX(VN_국채일별!$D$4:$D$1436,MATCH($B322,VN_국채일별!$A$4:$A$1436,1))+(INDEX(VN_국채일별!$E$4:$E$1436,MATCH($B322,VN_국채일별!$A$4:$A$1436,1))-INDEX(VN_국채일별!$D$4:$D$1436,MATCH($B322,VN_국채일별!$A$4:$A$1436,1)))*($J322-3)/2,IF($J322&lt;=7,INDEX(VN_국채일별!$E$4:$E$1436,MATCH($B322,VN_국채일별!$A$4:$A$1436,1))+(INDEX(VN_국채일별!$F$4:$F$1436,MATCH($B322,VN_국채일별!$A$4:$A$1436,1))-INDEX(VN_국채일별!$E$4:$E$1436,MATCH($B322,VN_국채일별!$A$4:$A$1436,1)))*($J322-5)/2,IF($J322&lt;=10,INDEX(VN_국채일별!$F$4:$F$1436,MATCH($B322,VN_국채일별!$A$4:$A$1436,1))+(INDEX(VN_국채일별!$G$4:$G$1436,MATCH($B322,VN_국채일별!$A$4:$A$1436,1))-INDEX(VN_국채일별!$F$4:$F$1436,MATCH($B322,VN_국채일별!$A$4:$A$1436,1)))*($J322-7)/3,INDEX(VN_국채일별!$G$4:$G$1436,MATCH($B322,VN_국채일별!$A$4:$A$1436,1)))))))),""))</f>
        <v>0.02269</v>
      </c>
      <c r="R322" s="58" t="str">
        <f aca="false">IF(OR(L322="",Q322=""),"",(L322-Q322)*10000)</f>
        <v/>
      </c>
      <c r="S322" s="30" t="n">
        <f aca="false">IF(AND(K322="고정",N322="N",J322&gt;=2,J322&lt;=4,I322&lt;&gt;""),1,0)</f>
        <v>0</v>
      </c>
      <c r="T322" s="59" t="n">
        <f aca="false">IF(S322=1,I322*L322,0)</f>
        <v>0</v>
      </c>
      <c r="U322" s="60" t="n">
        <f aca="false">IF(AND(S322=1,ISNUMBER(R322)),I322*R322,0)</f>
        <v>0</v>
      </c>
      <c r="V322" s="30" t="n">
        <f aca="false">IF(AND(F322="Big4(국영)",K322="고정",N322="N",I322&lt;&gt;""),1,0)</f>
        <v>0</v>
      </c>
      <c r="W322" s="59" t="n">
        <f aca="false">IF(V322=1,I322*L322,0)</f>
        <v>0</v>
      </c>
      <c r="X322" s="60" t="n">
        <f aca="false">IF(AND(V322=1,ISNUMBER(R322)),I322*R322,0)</f>
        <v>0</v>
      </c>
      <c r="Y322" s="61" t="n">
        <f aca="false">IF(AND(S322=1,ISNUMBER(R322)),I322,0)</f>
        <v>0</v>
      </c>
      <c r="Z322" s="61" t="n">
        <f aca="false">IF(AND(V322=1,ISNUMBER(R322)),I322,0)</f>
        <v>0</v>
      </c>
    </row>
    <row r="323" customFormat="false" ht="15" hidden="false" customHeight="false" outlineLevel="0" collapsed="false">
      <c r="A323" s="47" t="s">
        <v>650</v>
      </c>
      <c r="B323" s="52" t="n">
        <v>45530</v>
      </c>
      <c r="C323" s="53" t="n">
        <f aca="false">DATE(YEAR(B323),MONTH(B323),1)</f>
        <v>45505</v>
      </c>
      <c r="D323" s="5" t="str">
        <f aca="false">YEAR(B323)&amp;"Q"&amp;ROUNDUP(MONTH(B323)/3,0)</f>
        <v>2024Q3</v>
      </c>
      <c r="E323" s="47" t="s">
        <v>365</v>
      </c>
      <c r="F323" s="54" t="s">
        <v>139</v>
      </c>
      <c r="G323" s="47" t="s">
        <v>366</v>
      </c>
      <c r="H323" s="47" t="s">
        <v>694</v>
      </c>
      <c r="I323" s="55" t="n">
        <v>2000</v>
      </c>
      <c r="J323" s="56" t="n">
        <v>3</v>
      </c>
      <c r="K323" s="54" t="s">
        <v>142</v>
      </c>
      <c r="L323" s="57" t="n">
        <v>0.051</v>
      </c>
      <c r="N323" s="47" t="s">
        <v>148</v>
      </c>
      <c r="O323" s="47" t="s">
        <v>510</v>
      </c>
      <c r="P323" s="47"/>
      <c r="Q323" s="48" t="n">
        <f aca="false">IF($J323="","",IFERROR(IF($J323&lt;=1,INDEX(VN_국채일별!$B$4:$B$1436,MATCH($B323,VN_국채일별!$A$4:$A$1436,1)),IF($J323&lt;=2,INDEX(VN_국채일별!$B$4:$B$1436,MATCH($B323,VN_국채일별!$A$4:$A$1436,1))+(INDEX(VN_국채일별!$C$4:$C$1436,MATCH($B323,VN_국채일별!$A$4:$A$1436,1))-INDEX(VN_국채일별!$B$4:$B$1436,MATCH($B323,VN_국채일별!$A$4:$A$1436,1)))*($J323-1),IF($J323&lt;=3,INDEX(VN_국채일별!$C$4:$C$1436,MATCH($B323,VN_국채일별!$A$4:$A$1436,1))+(INDEX(VN_국채일별!$D$4:$D$1436,MATCH($B323,VN_국채일별!$A$4:$A$1436,1))-INDEX(VN_국채일별!$C$4:$C$1436,MATCH($B323,VN_국채일별!$A$4:$A$1436,1)))*($J323-2),IF($J323&lt;=5,INDEX(VN_국채일별!$D$4:$D$1436,MATCH($B323,VN_국채일별!$A$4:$A$1436,1))+(INDEX(VN_국채일별!$E$4:$E$1436,MATCH($B323,VN_국채일별!$A$4:$A$1436,1))-INDEX(VN_국채일별!$D$4:$D$1436,MATCH($B323,VN_국채일별!$A$4:$A$1436,1)))*($J323-3)/2,IF($J323&lt;=7,INDEX(VN_국채일별!$E$4:$E$1436,MATCH($B323,VN_국채일별!$A$4:$A$1436,1))+(INDEX(VN_국채일별!$F$4:$F$1436,MATCH($B323,VN_국채일별!$A$4:$A$1436,1))-INDEX(VN_국채일별!$E$4:$E$1436,MATCH($B323,VN_국채일별!$A$4:$A$1436,1)))*($J323-5)/2,IF($J323&lt;=10,INDEX(VN_국채일별!$F$4:$F$1436,MATCH($B323,VN_국채일별!$A$4:$A$1436,1))+(INDEX(VN_국채일별!$G$4:$G$1436,MATCH($B323,VN_국채일별!$A$4:$A$1436,1))-INDEX(VN_국채일별!$F$4:$F$1436,MATCH($B323,VN_국채일별!$A$4:$A$1436,1)))*($J323-7)/3,INDEX(VN_국채일별!$G$4:$G$1436,MATCH($B323,VN_국채일별!$A$4:$A$1436,1)))))))),""))</f>
        <v>0.02003</v>
      </c>
      <c r="R323" s="58" t="n">
        <f aca="false">IF(OR(L323="",Q323=""),"",(L323-Q323)*10000)</f>
        <v>309.7</v>
      </c>
      <c r="S323" s="30" t="n">
        <f aca="false">IF(AND(K323="고정",N323="N",J323&gt;=2,J323&lt;=4,I323&lt;&gt;""),1,0)</f>
        <v>1</v>
      </c>
      <c r="T323" s="59" t="n">
        <f aca="false">IF(S323=1,I323*L323,0)</f>
        <v>102</v>
      </c>
      <c r="U323" s="60" t="n">
        <f aca="false">IF(AND(S323=1,ISNUMBER(R323)),I323*R323,0)</f>
        <v>619400</v>
      </c>
      <c r="V323" s="30" t="n">
        <f aca="false">IF(AND(F323="Big4(국영)",K323="고정",N323="N",I323&lt;&gt;""),1,0)</f>
        <v>0</v>
      </c>
      <c r="W323" s="59" t="n">
        <f aca="false">IF(V323=1,I323*L323,0)</f>
        <v>0</v>
      </c>
      <c r="X323" s="60" t="n">
        <f aca="false">IF(AND(V323=1,ISNUMBER(R323)),I323*R323,0)</f>
        <v>0</v>
      </c>
      <c r="Y323" s="61" t="n">
        <f aca="false">IF(AND(S323=1,ISNUMBER(R323)),I323,0)</f>
        <v>2000</v>
      </c>
      <c r="Z323" s="61" t="n">
        <f aca="false">IF(AND(V323=1,ISNUMBER(R323)),I323,0)</f>
        <v>0</v>
      </c>
    </row>
    <row r="324" customFormat="false" ht="15" hidden="false" customHeight="false" outlineLevel="0" collapsed="false">
      <c r="A324" s="47" t="s">
        <v>650</v>
      </c>
      <c r="B324" s="52" t="n">
        <v>45532</v>
      </c>
      <c r="C324" s="53" t="n">
        <f aca="false">DATE(YEAR(B324),MONTH(B324),1)</f>
        <v>45505</v>
      </c>
      <c r="D324" s="5" t="str">
        <f aca="false">YEAR(B324)&amp;"Q"&amp;ROUNDUP(MONTH(B324)/3,0)</f>
        <v>2024Q3</v>
      </c>
      <c r="E324" s="47" t="s">
        <v>145</v>
      </c>
      <c r="F324" s="54" t="s">
        <v>139</v>
      </c>
      <c r="G324" s="47" t="s">
        <v>146</v>
      </c>
      <c r="H324" s="47" t="s">
        <v>695</v>
      </c>
      <c r="I324" s="55" t="n">
        <v>1000</v>
      </c>
      <c r="J324" s="56" t="n">
        <v>3</v>
      </c>
      <c r="K324" s="54" t="s">
        <v>142</v>
      </c>
      <c r="L324" s="57" t="n">
        <v>0.053</v>
      </c>
      <c r="N324" s="47" t="s">
        <v>148</v>
      </c>
      <c r="O324" s="47" t="s">
        <v>582</v>
      </c>
      <c r="P324" s="47"/>
      <c r="Q324" s="48" t="n">
        <f aca="false">IF($J324="","",IFERROR(IF($J324&lt;=1,INDEX(VN_국채일별!$B$4:$B$1436,MATCH($B324,VN_국채일별!$A$4:$A$1436,1)),IF($J324&lt;=2,INDEX(VN_국채일별!$B$4:$B$1436,MATCH($B324,VN_국채일별!$A$4:$A$1436,1))+(INDEX(VN_국채일별!$C$4:$C$1436,MATCH($B324,VN_국채일별!$A$4:$A$1436,1))-INDEX(VN_국채일별!$B$4:$B$1436,MATCH($B324,VN_국채일별!$A$4:$A$1436,1)))*($J324-1),IF($J324&lt;=3,INDEX(VN_국채일별!$C$4:$C$1436,MATCH($B324,VN_국채일별!$A$4:$A$1436,1))+(INDEX(VN_국채일별!$D$4:$D$1436,MATCH($B324,VN_국채일별!$A$4:$A$1436,1))-INDEX(VN_국채일별!$C$4:$C$1436,MATCH($B324,VN_국채일별!$A$4:$A$1436,1)))*($J324-2),IF($J324&lt;=5,INDEX(VN_국채일별!$D$4:$D$1436,MATCH($B324,VN_국채일별!$A$4:$A$1436,1))+(INDEX(VN_국채일별!$E$4:$E$1436,MATCH($B324,VN_국채일별!$A$4:$A$1436,1))-INDEX(VN_국채일별!$D$4:$D$1436,MATCH($B324,VN_국채일별!$A$4:$A$1436,1)))*($J324-3)/2,IF($J324&lt;=7,INDEX(VN_국채일별!$E$4:$E$1436,MATCH($B324,VN_국채일별!$A$4:$A$1436,1))+(INDEX(VN_국채일별!$F$4:$F$1436,MATCH($B324,VN_국채일별!$A$4:$A$1436,1))-INDEX(VN_국채일별!$E$4:$E$1436,MATCH($B324,VN_국채일별!$A$4:$A$1436,1)))*($J324-5)/2,IF($J324&lt;=10,INDEX(VN_국채일별!$F$4:$F$1436,MATCH($B324,VN_국채일별!$A$4:$A$1436,1))+(INDEX(VN_국채일별!$G$4:$G$1436,MATCH($B324,VN_국채일별!$A$4:$A$1436,1))-INDEX(VN_국채일별!$F$4:$F$1436,MATCH($B324,VN_국채일별!$A$4:$A$1436,1)))*($J324-7)/3,INDEX(VN_국채일별!$G$4:$G$1436,MATCH($B324,VN_국채일별!$A$4:$A$1436,1)))))))),""))</f>
        <v>0.02003</v>
      </c>
      <c r="R324" s="58" t="n">
        <f aca="false">IF(OR(L324="",Q324=""),"",(L324-Q324)*10000)</f>
        <v>329.7</v>
      </c>
      <c r="S324" s="30" t="n">
        <f aca="false">IF(AND(K324="고정",N324="N",J324&gt;=2,J324&lt;=4,I324&lt;&gt;""),1,0)</f>
        <v>1</v>
      </c>
      <c r="T324" s="59" t="n">
        <f aca="false">IF(S324=1,I324*L324,0)</f>
        <v>53</v>
      </c>
      <c r="U324" s="60" t="n">
        <f aca="false">IF(AND(S324=1,ISNUMBER(R324)),I324*R324,0)</f>
        <v>329700</v>
      </c>
      <c r="V324" s="30" t="n">
        <f aca="false">IF(AND(F324="Big4(국영)",K324="고정",N324="N",I324&lt;&gt;""),1,0)</f>
        <v>0</v>
      </c>
      <c r="W324" s="59" t="n">
        <f aca="false">IF(V324=1,I324*L324,0)</f>
        <v>0</v>
      </c>
      <c r="X324" s="60" t="n">
        <f aca="false">IF(AND(V324=1,ISNUMBER(R324)),I324*R324,0)</f>
        <v>0</v>
      </c>
      <c r="Y324" s="61" t="n">
        <f aca="false">IF(AND(S324=1,ISNUMBER(R324)),I324,0)</f>
        <v>1000</v>
      </c>
      <c r="Z324" s="61" t="n">
        <f aca="false">IF(AND(V324=1,ISNUMBER(R324)),I324,0)</f>
        <v>0</v>
      </c>
    </row>
    <row r="325" customFormat="false" ht="15" hidden="false" customHeight="false" outlineLevel="0" collapsed="false">
      <c r="A325" s="47" t="s">
        <v>650</v>
      </c>
      <c r="B325" s="52" t="n">
        <v>45532</v>
      </c>
      <c r="C325" s="53" t="n">
        <f aca="false">DATE(YEAR(B325),MONTH(B325),1)</f>
        <v>45505</v>
      </c>
      <c r="D325" s="5" t="str">
        <f aca="false">YEAR(B325)&amp;"Q"&amp;ROUNDUP(MONTH(B325)/3,0)</f>
        <v>2024Q3</v>
      </c>
      <c r="E325" s="47" t="s">
        <v>181</v>
      </c>
      <c r="F325" s="54" t="s">
        <v>139</v>
      </c>
      <c r="G325" s="47" t="s">
        <v>182</v>
      </c>
      <c r="H325" s="47" t="s">
        <v>696</v>
      </c>
      <c r="I325" s="55" t="n">
        <v>600</v>
      </c>
      <c r="J325" s="56" t="n">
        <v>3</v>
      </c>
      <c r="K325" s="54" t="s">
        <v>142</v>
      </c>
      <c r="L325" s="57" t="n">
        <v>0.055</v>
      </c>
      <c r="N325" s="47" t="s">
        <v>148</v>
      </c>
      <c r="O325" s="47" t="s">
        <v>591</v>
      </c>
      <c r="P325" s="47"/>
      <c r="Q325" s="48" t="n">
        <f aca="false">IF($J325="","",IFERROR(IF($J325&lt;=1,INDEX(VN_국채일별!$B$4:$B$1436,MATCH($B325,VN_국채일별!$A$4:$A$1436,1)),IF($J325&lt;=2,INDEX(VN_국채일별!$B$4:$B$1436,MATCH($B325,VN_국채일별!$A$4:$A$1436,1))+(INDEX(VN_국채일별!$C$4:$C$1436,MATCH($B325,VN_국채일별!$A$4:$A$1436,1))-INDEX(VN_국채일별!$B$4:$B$1436,MATCH($B325,VN_국채일별!$A$4:$A$1436,1)))*($J325-1),IF($J325&lt;=3,INDEX(VN_국채일별!$C$4:$C$1436,MATCH($B325,VN_국채일별!$A$4:$A$1436,1))+(INDEX(VN_국채일별!$D$4:$D$1436,MATCH($B325,VN_국채일별!$A$4:$A$1436,1))-INDEX(VN_국채일별!$C$4:$C$1436,MATCH($B325,VN_국채일별!$A$4:$A$1436,1)))*($J325-2),IF($J325&lt;=5,INDEX(VN_국채일별!$D$4:$D$1436,MATCH($B325,VN_국채일별!$A$4:$A$1436,1))+(INDEX(VN_국채일별!$E$4:$E$1436,MATCH($B325,VN_국채일별!$A$4:$A$1436,1))-INDEX(VN_국채일별!$D$4:$D$1436,MATCH($B325,VN_국채일별!$A$4:$A$1436,1)))*($J325-3)/2,IF($J325&lt;=7,INDEX(VN_국채일별!$E$4:$E$1436,MATCH($B325,VN_국채일별!$A$4:$A$1436,1))+(INDEX(VN_국채일별!$F$4:$F$1436,MATCH($B325,VN_국채일별!$A$4:$A$1436,1))-INDEX(VN_국채일별!$E$4:$E$1436,MATCH($B325,VN_국채일별!$A$4:$A$1436,1)))*($J325-5)/2,IF($J325&lt;=10,INDEX(VN_국채일별!$F$4:$F$1436,MATCH($B325,VN_국채일별!$A$4:$A$1436,1))+(INDEX(VN_국채일별!$G$4:$G$1436,MATCH($B325,VN_국채일별!$A$4:$A$1436,1))-INDEX(VN_국채일별!$F$4:$F$1436,MATCH($B325,VN_국채일별!$A$4:$A$1436,1)))*($J325-7)/3,INDEX(VN_국채일별!$G$4:$G$1436,MATCH($B325,VN_국채일별!$A$4:$A$1436,1)))))))),""))</f>
        <v>0.02003</v>
      </c>
      <c r="R325" s="58" t="n">
        <f aca="false">IF(OR(L325="",Q325=""),"",(L325-Q325)*10000)</f>
        <v>349.7</v>
      </c>
      <c r="S325" s="30" t="n">
        <f aca="false">IF(AND(K325="고정",N325="N",J325&gt;=2,J325&lt;=4,I325&lt;&gt;""),1,0)</f>
        <v>1</v>
      </c>
      <c r="T325" s="59" t="n">
        <f aca="false">IF(S325=1,I325*L325,0)</f>
        <v>33</v>
      </c>
      <c r="U325" s="60" t="n">
        <f aca="false">IF(AND(S325=1,ISNUMBER(R325)),I325*R325,0)</f>
        <v>209820</v>
      </c>
      <c r="V325" s="30" t="n">
        <f aca="false">IF(AND(F325="Big4(국영)",K325="고정",N325="N",I325&lt;&gt;""),1,0)</f>
        <v>0</v>
      </c>
      <c r="W325" s="59" t="n">
        <f aca="false">IF(V325=1,I325*L325,0)</f>
        <v>0</v>
      </c>
      <c r="X325" s="60" t="n">
        <f aca="false">IF(AND(V325=1,ISNUMBER(R325)),I325*R325,0)</f>
        <v>0</v>
      </c>
      <c r="Y325" s="61" t="n">
        <f aca="false">IF(AND(S325=1,ISNUMBER(R325)),I325,0)</f>
        <v>600</v>
      </c>
      <c r="Z325" s="61" t="n">
        <f aca="false">IF(AND(V325=1,ISNUMBER(R325)),I325,0)</f>
        <v>0</v>
      </c>
    </row>
    <row r="326" customFormat="false" ht="15" hidden="false" customHeight="false" outlineLevel="0" collapsed="false">
      <c r="A326" s="47" t="s">
        <v>650</v>
      </c>
      <c r="B326" s="52" t="n">
        <v>45532</v>
      </c>
      <c r="C326" s="53" t="n">
        <f aca="false">DATE(YEAR(B326),MONTH(B326),1)</f>
        <v>45505</v>
      </c>
      <c r="D326" s="5" t="str">
        <f aca="false">YEAR(B326)&amp;"Q"&amp;ROUNDUP(MONTH(B326)/3,0)</f>
        <v>2024Q3</v>
      </c>
      <c r="E326" s="47" t="s">
        <v>150</v>
      </c>
      <c r="F326" s="54" t="s">
        <v>139</v>
      </c>
      <c r="G326" s="47" t="s">
        <v>170</v>
      </c>
      <c r="H326" s="47" t="s">
        <v>697</v>
      </c>
      <c r="I326" s="55" t="n">
        <v>2000</v>
      </c>
      <c r="J326" s="56" t="n">
        <v>3</v>
      </c>
      <c r="K326" s="54" t="s">
        <v>142</v>
      </c>
      <c r="L326" s="57" t="n">
        <v>0.052</v>
      </c>
      <c r="N326" s="47" t="s">
        <v>148</v>
      </c>
      <c r="O326" s="47" t="s">
        <v>538</v>
      </c>
      <c r="P326" s="47"/>
      <c r="Q326" s="48" t="n">
        <f aca="false">IF($J326="","",IFERROR(IF($J326&lt;=1,INDEX(VN_국채일별!$B$4:$B$1436,MATCH($B326,VN_국채일별!$A$4:$A$1436,1)),IF($J326&lt;=2,INDEX(VN_국채일별!$B$4:$B$1436,MATCH($B326,VN_국채일별!$A$4:$A$1436,1))+(INDEX(VN_국채일별!$C$4:$C$1436,MATCH($B326,VN_국채일별!$A$4:$A$1436,1))-INDEX(VN_국채일별!$B$4:$B$1436,MATCH($B326,VN_국채일별!$A$4:$A$1436,1)))*($J326-1),IF($J326&lt;=3,INDEX(VN_국채일별!$C$4:$C$1436,MATCH($B326,VN_국채일별!$A$4:$A$1436,1))+(INDEX(VN_국채일별!$D$4:$D$1436,MATCH($B326,VN_국채일별!$A$4:$A$1436,1))-INDEX(VN_국채일별!$C$4:$C$1436,MATCH($B326,VN_국채일별!$A$4:$A$1436,1)))*($J326-2),IF($J326&lt;=5,INDEX(VN_국채일별!$D$4:$D$1436,MATCH($B326,VN_국채일별!$A$4:$A$1436,1))+(INDEX(VN_국채일별!$E$4:$E$1436,MATCH($B326,VN_국채일별!$A$4:$A$1436,1))-INDEX(VN_국채일별!$D$4:$D$1436,MATCH($B326,VN_국채일별!$A$4:$A$1436,1)))*($J326-3)/2,IF($J326&lt;=7,INDEX(VN_국채일별!$E$4:$E$1436,MATCH($B326,VN_국채일별!$A$4:$A$1436,1))+(INDEX(VN_국채일별!$F$4:$F$1436,MATCH($B326,VN_국채일별!$A$4:$A$1436,1))-INDEX(VN_국채일별!$E$4:$E$1436,MATCH($B326,VN_국채일별!$A$4:$A$1436,1)))*($J326-5)/2,IF($J326&lt;=10,INDEX(VN_국채일별!$F$4:$F$1436,MATCH($B326,VN_국채일별!$A$4:$A$1436,1))+(INDEX(VN_국채일별!$G$4:$G$1436,MATCH($B326,VN_국채일별!$A$4:$A$1436,1))-INDEX(VN_국채일별!$F$4:$F$1436,MATCH($B326,VN_국채일별!$A$4:$A$1436,1)))*($J326-7)/3,INDEX(VN_국채일별!$G$4:$G$1436,MATCH($B326,VN_국채일별!$A$4:$A$1436,1)))))))),""))</f>
        <v>0.02003</v>
      </c>
      <c r="R326" s="58" t="n">
        <f aca="false">IF(OR(L326="",Q326=""),"",(L326-Q326)*10000)</f>
        <v>319.7</v>
      </c>
      <c r="S326" s="30" t="n">
        <f aca="false">IF(AND(K326="고정",N326="N",J326&gt;=2,J326&lt;=4,I326&lt;&gt;""),1,0)</f>
        <v>1</v>
      </c>
      <c r="T326" s="59" t="n">
        <f aca="false">IF(S326=1,I326*L326,0)</f>
        <v>104</v>
      </c>
      <c r="U326" s="60" t="n">
        <f aca="false">IF(AND(S326=1,ISNUMBER(R326)),I326*R326,0)</f>
        <v>639400</v>
      </c>
      <c r="V326" s="30" t="n">
        <f aca="false">IF(AND(F326="Big4(국영)",K326="고정",N326="N",I326&lt;&gt;""),1,0)</f>
        <v>0</v>
      </c>
      <c r="W326" s="59" t="n">
        <f aca="false">IF(V326=1,I326*L326,0)</f>
        <v>0</v>
      </c>
      <c r="X326" s="60" t="n">
        <f aca="false">IF(AND(V326=1,ISNUMBER(R326)),I326*R326,0)</f>
        <v>0</v>
      </c>
      <c r="Y326" s="61" t="n">
        <f aca="false">IF(AND(S326=1,ISNUMBER(R326)),I326,0)</f>
        <v>2000</v>
      </c>
      <c r="Z326" s="61" t="n">
        <f aca="false">IF(AND(V326=1,ISNUMBER(R326)),I326,0)</f>
        <v>0</v>
      </c>
    </row>
    <row r="327" customFormat="false" ht="15" hidden="false" customHeight="false" outlineLevel="0" collapsed="false">
      <c r="A327" s="47" t="s">
        <v>698</v>
      </c>
      <c r="B327" s="52" t="n">
        <v>45540</v>
      </c>
      <c r="C327" s="53" t="n">
        <f aca="false">DATE(YEAR(B327),MONTH(B327),1)</f>
        <v>45536</v>
      </c>
      <c r="D327" s="5" t="str">
        <f aca="false">YEAR(B327)&amp;"Q"&amp;ROUNDUP(MONTH(B327)/3,0)</f>
        <v>2024Q3</v>
      </c>
      <c r="E327" s="47" t="s">
        <v>365</v>
      </c>
      <c r="F327" s="54" t="s">
        <v>139</v>
      </c>
      <c r="G327" s="47" t="s">
        <v>366</v>
      </c>
      <c r="H327" s="47" t="s">
        <v>699</v>
      </c>
      <c r="I327" s="55" t="n">
        <v>230</v>
      </c>
      <c r="J327" s="56" t="n">
        <v>10</v>
      </c>
      <c r="K327" s="54" t="s">
        <v>153</v>
      </c>
      <c r="N327" s="47" t="s">
        <v>143</v>
      </c>
      <c r="O327" s="47" t="s">
        <v>666</v>
      </c>
      <c r="P327" s="47"/>
      <c r="Q327" s="48" t="n">
        <f aca="false">IF($J327="","",IFERROR(IF($J327&lt;=1,INDEX(VN_국채일별!$B$4:$B$1436,MATCH($B327,VN_국채일별!$A$4:$A$1436,1)),IF($J327&lt;=2,INDEX(VN_국채일별!$B$4:$B$1436,MATCH($B327,VN_국채일별!$A$4:$A$1436,1))+(INDEX(VN_국채일별!$C$4:$C$1436,MATCH($B327,VN_국채일별!$A$4:$A$1436,1))-INDEX(VN_국채일별!$B$4:$B$1436,MATCH($B327,VN_국채일별!$A$4:$A$1436,1)))*($J327-1),IF($J327&lt;=3,INDEX(VN_국채일별!$C$4:$C$1436,MATCH($B327,VN_국채일별!$A$4:$A$1436,1))+(INDEX(VN_국채일별!$D$4:$D$1436,MATCH($B327,VN_국채일별!$A$4:$A$1436,1))-INDEX(VN_국채일별!$C$4:$C$1436,MATCH($B327,VN_국채일별!$A$4:$A$1436,1)))*($J327-2),IF($J327&lt;=5,INDEX(VN_국채일별!$D$4:$D$1436,MATCH($B327,VN_국채일별!$A$4:$A$1436,1))+(INDEX(VN_국채일별!$E$4:$E$1436,MATCH($B327,VN_국채일별!$A$4:$A$1436,1))-INDEX(VN_국채일별!$D$4:$D$1436,MATCH($B327,VN_국채일별!$A$4:$A$1436,1)))*($J327-3)/2,IF($J327&lt;=7,INDEX(VN_국채일별!$E$4:$E$1436,MATCH($B327,VN_국채일별!$A$4:$A$1436,1))+(INDEX(VN_국채일별!$F$4:$F$1436,MATCH($B327,VN_국채일별!$A$4:$A$1436,1))-INDEX(VN_국채일별!$E$4:$E$1436,MATCH($B327,VN_국채일별!$A$4:$A$1436,1)))*($J327-5)/2,IF($J327&lt;=10,INDEX(VN_국채일별!$F$4:$F$1436,MATCH($B327,VN_국채일별!$A$4:$A$1436,1))+(INDEX(VN_국채일별!$G$4:$G$1436,MATCH($B327,VN_국채일별!$A$4:$A$1436,1))-INDEX(VN_국채일별!$F$4:$F$1436,MATCH($B327,VN_국채일별!$A$4:$A$1436,1)))*($J327-7)/3,INDEX(VN_국채일별!$G$4:$G$1436,MATCH($B327,VN_국채일별!$A$4:$A$1436,1)))))))),""))</f>
        <v>0.02761</v>
      </c>
      <c r="R327" s="58" t="str">
        <f aca="false">IF(OR(L327="",Q327=""),"",(L327-Q327)*10000)</f>
        <v/>
      </c>
      <c r="S327" s="30" t="n">
        <f aca="false">IF(AND(K327="고정",N327="N",J327&gt;=2,J327&lt;=4,I327&lt;&gt;""),1,0)</f>
        <v>0</v>
      </c>
      <c r="T327" s="59" t="n">
        <f aca="false">IF(S327=1,I327*L327,0)</f>
        <v>0</v>
      </c>
      <c r="U327" s="60" t="n">
        <f aca="false">IF(AND(S327=1,ISNUMBER(R327)),I327*R327,0)</f>
        <v>0</v>
      </c>
      <c r="V327" s="30" t="n">
        <f aca="false">IF(AND(F327="Big4(국영)",K327="고정",N327="N",I327&lt;&gt;""),1,0)</f>
        <v>0</v>
      </c>
      <c r="W327" s="59" t="n">
        <f aca="false">IF(V327=1,I327*L327,0)</f>
        <v>0</v>
      </c>
      <c r="X327" s="60" t="n">
        <f aca="false">IF(AND(V327=1,ISNUMBER(R327)),I327*R327,0)</f>
        <v>0</v>
      </c>
      <c r="Y327" s="61" t="n">
        <f aca="false">IF(AND(S327=1,ISNUMBER(R327)),I327,0)</f>
        <v>0</v>
      </c>
      <c r="Z327" s="61" t="n">
        <f aca="false">IF(AND(V327=1,ISNUMBER(R327)),I327,0)</f>
        <v>0</v>
      </c>
    </row>
    <row r="328" customFormat="false" ht="15" hidden="false" customHeight="false" outlineLevel="0" collapsed="false">
      <c r="A328" s="47" t="s">
        <v>698</v>
      </c>
      <c r="B328" s="52" t="n">
        <v>45544</v>
      </c>
      <c r="C328" s="53" t="n">
        <f aca="false">DATE(YEAR(B328),MONTH(B328),1)</f>
        <v>45536</v>
      </c>
      <c r="D328" s="5" t="str">
        <f aca="false">YEAR(B328)&amp;"Q"&amp;ROUNDUP(MONTH(B328)/3,0)</f>
        <v>2024Q3</v>
      </c>
      <c r="E328" s="62" t="s">
        <v>155</v>
      </c>
      <c r="F328" s="62" t="s">
        <v>156</v>
      </c>
      <c r="G328" s="47" t="s">
        <v>157</v>
      </c>
      <c r="H328" s="47" t="s">
        <v>700</v>
      </c>
      <c r="I328" s="55" t="n">
        <v>13</v>
      </c>
      <c r="J328" s="56" t="n">
        <v>8</v>
      </c>
      <c r="K328" s="54" t="s">
        <v>153</v>
      </c>
      <c r="N328" s="47" t="s">
        <v>143</v>
      </c>
      <c r="O328" s="47" t="s">
        <v>604</v>
      </c>
      <c r="P328" s="47"/>
      <c r="Q328" s="48" t="n">
        <f aca="false">IF($J328="","",IFERROR(IF($J328&lt;=1,INDEX(VN_국채일별!$B$4:$B$1436,MATCH($B328,VN_국채일별!$A$4:$A$1436,1)),IF($J328&lt;=2,INDEX(VN_국채일별!$B$4:$B$1436,MATCH($B328,VN_국채일별!$A$4:$A$1436,1))+(INDEX(VN_국채일별!$C$4:$C$1436,MATCH($B328,VN_국채일별!$A$4:$A$1436,1))-INDEX(VN_국채일별!$B$4:$B$1436,MATCH($B328,VN_국채일별!$A$4:$A$1436,1)))*($J328-1),IF($J328&lt;=3,INDEX(VN_국채일별!$C$4:$C$1436,MATCH($B328,VN_국채일별!$A$4:$A$1436,1))+(INDEX(VN_국채일별!$D$4:$D$1436,MATCH($B328,VN_국채일별!$A$4:$A$1436,1))-INDEX(VN_국채일별!$C$4:$C$1436,MATCH($B328,VN_국채일별!$A$4:$A$1436,1)))*($J328-2),IF($J328&lt;=5,INDEX(VN_국채일별!$D$4:$D$1436,MATCH($B328,VN_국채일별!$A$4:$A$1436,1))+(INDEX(VN_국채일별!$E$4:$E$1436,MATCH($B328,VN_국채일별!$A$4:$A$1436,1))-INDEX(VN_국채일별!$D$4:$D$1436,MATCH($B328,VN_국채일별!$A$4:$A$1436,1)))*($J328-3)/2,IF($J328&lt;=7,INDEX(VN_국채일별!$E$4:$E$1436,MATCH($B328,VN_국채일별!$A$4:$A$1436,1))+(INDEX(VN_국채일별!$F$4:$F$1436,MATCH($B328,VN_국채일별!$A$4:$A$1436,1))-INDEX(VN_국채일별!$E$4:$E$1436,MATCH($B328,VN_국채일별!$A$4:$A$1436,1)))*($J328-5)/2,IF($J328&lt;=10,INDEX(VN_국채일별!$F$4:$F$1436,MATCH($B328,VN_국채일별!$A$4:$A$1436,1))+(INDEX(VN_국채일별!$G$4:$G$1436,MATCH($B328,VN_국채일별!$A$4:$A$1436,1))-INDEX(VN_국채일별!$F$4:$F$1436,MATCH($B328,VN_국채일별!$A$4:$A$1436,1)))*($J328-7)/3,INDEX(VN_국채일별!$G$4:$G$1436,MATCH($B328,VN_국채일별!$A$4:$A$1436,1)))))))),""))</f>
        <v>0.0242033333333333</v>
      </c>
      <c r="R328" s="58" t="str">
        <f aca="false">IF(OR(L328="",Q328=""),"",(L328-Q328)*10000)</f>
        <v/>
      </c>
      <c r="S328" s="30" t="n">
        <f aca="false">IF(AND(K328="고정",N328="N",J328&gt;=2,J328&lt;=4,I328&lt;&gt;""),1,0)</f>
        <v>0</v>
      </c>
      <c r="T328" s="59" t="n">
        <f aca="false">IF(S328=1,I328*L328,0)</f>
        <v>0</v>
      </c>
      <c r="U328" s="60" t="n">
        <f aca="false">IF(AND(S328=1,ISNUMBER(R328)),I328*R328,0)</f>
        <v>0</v>
      </c>
      <c r="V328" s="30" t="n">
        <f aca="false">IF(AND(F328="Big4(국영)",K328="고정",N328="N",I328&lt;&gt;""),1,0)</f>
        <v>0</v>
      </c>
      <c r="W328" s="59" t="n">
        <f aca="false">IF(V328=1,I328*L328,0)</f>
        <v>0</v>
      </c>
      <c r="X328" s="60" t="n">
        <f aca="false">IF(AND(V328=1,ISNUMBER(R328)),I328*R328,0)</f>
        <v>0</v>
      </c>
      <c r="Y328" s="61" t="n">
        <f aca="false">IF(AND(S328=1,ISNUMBER(R328)),I328,0)</f>
        <v>0</v>
      </c>
      <c r="Z328" s="61" t="n">
        <f aca="false">IF(AND(V328=1,ISNUMBER(R328)),I328,0)</f>
        <v>0</v>
      </c>
    </row>
    <row r="329" customFormat="false" ht="15" hidden="false" customHeight="false" outlineLevel="0" collapsed="false">
      <c r="A329" s="47" t="s">
        <v>698</v>
      </c>
      <c r="B329" s="52" t="n">
        <v>45544</v>
      </c>
      <c r="C329" s="53" t="n">
        <f aca="false">DATE(YEAR(B329),MONTH(B329),1)</f>
        <v>45536</v>
      </c>
      <c r="D329" s="5" t="str">
        <f aca="false">YEAR(B329)&amp;"Q"&amp;ROUNDUP(MONTH(B329)/3,0)</f>
        <v>2024Q3</v>
      </c>
      <c r="E329" s="47" t="s">
        <v>365</v>
      </c>
      <c r="F329" s="54" t="s">
        <v>139</v>
      </c>
      <c r="G329" s="47" t="s">
        <v>366</v>
      </c>
      <c r="H329" s="47" t="s">
        <v>701</v>
      </c>
      <c r="I329" s="55" t="n">
        <v>230</v>
      </c>
      <c r="J329" s="56" t="n">
        <v>10</v>
      </c>
      <c r="K329" s="54" t="s">
        <v>153</v>
      </c>
      <c r="N329" s="47" t="s">
        <v>143</v>
      </c>
      <c r="O329" s="47" t="s">
        <v>666</v>
      </c>
      <c r="P329" s="47"/>
      <c r="Q329" s="48" t="n">
        <f aca="false">IF($J329="","",IFERROR(IF($J329&lt;=1,INDEX(VN_국채일별!$B$4:$B$1436,MATCH($B329,VN_국채일별!$A$4:$A$1436,1)),IF($J329&lt;=2,INDEX(VN_국채일별!$B$4:$B$1436,MATCH($B329,VN_국채일별!$A$4:$A$1436,1))+(INDEX(VN_국채일별!$C$4:$C$1436,MATCH($B329,VN_국채일별!$A$4:$A$1436,1))-INDEX(VN_국채일별!$B$4:$B$1436,MATCH($B329,VN_국채일별!$A$4:$A$1436,1)))*($J329-1),IF($J329&lt;=3,INDEX(VN_국채일별!$C$4:$C$1436,MATCH($B329,VN_국채일별!$A$4:$A$1436,1))+(INDEX(VN_국채일별!$D$4:$D$1436,MATCH($B329,VN_국채일별!$A$4:$A$1436,1))-INDEX(VN_국채일별!$C$4:$C$1436,MATCH($B329,VN_국채일별!$A$4:$A$1436,1)))*($J329-2),IF($J329&lt;=5,INDEX(VN_국채일별!$D$4:$D$1436,MATCH($B329,VN_국채일별!$A$4:$A$1436,1))+(INDEX(VN_국채일별!$E$4:$E$1436,MATCH($B329,VN_국채일별!$A$4:$A$1436,1))-INDEX(VN_국채일별!$D$4:$D$1436,MATCH($B329,VN_국채일별!$A$4:$A$1436,1)))*($J329-3)/2,IF($J329&lt;=7,INDEX(VN_국채일별!$E$4:$E$1436,MATCH($B329,VN_국채일별!$A$4:$A$1436,1))+(INDEX(VN_국채일별!$F$4:$F$1436,MATCH($B329,VN_국채일별!$A$4:$A$1436,1))-INDEX(VN_국채일별!$E$4:$E$1436,MATCH($B329,VN_국채일별!$A$4:$A$1436,1)))*($J329-5)/2,IF($J329&lt;=10,INDEX(VN_국채일별!$F$4:$F$1436,MATCH($B329,VN_국채일별!$A$4:$A$1436,1))+(INDEX(VN_국채일별!$G$4:$G$1436,MATCH($B329,VN_국채일별!$A$4:$A$1436,1))-INDEX(VN_국채일별!$F$4:$F$1436,MATCH($B329,VN_국채일별!$A$4:$A$1436,1)))*($J329-7)/3,INDEX(VN_국채일별!$G$4:$G$1436,MATCH($B329,VN_국채일별!$A$4:$A$1436,1)))))))),""))</f>
        <v>0.02733</v>
      </c>
      <c r="R329" s="58" t="str">
        <f aca="false">IF(OR(L329="",Q329=""),"",(L329-Q329)*10000)</f>
        <v/>
      </c>
      <c r="S329" s="30" t="n">
        <f aca="false">IF(AND(K329="고정",N329="N",J329&gt;=2,J329&lt;=4,I329&lt;&gt;""),1,0)</f>
        <v>0</v>
      </c>
      <c r="T329" s="59" t="n">
        <f aca="false">IF(S329=1,I329*L329,0)</f>
        <v>0</v>
      </c>
      <c r="U329" s="60" t="n">
        <f aca="false">IF(AND(S329=1,ISNUMBER(R329)),I329*R329,0)</f>
        <v>0</v>
      </c>
      <c r="V329" s="30" t="n">
        <f aca="false">IF(AND(F329="Big4(국영)",K329="고정",N329="N",I329&lt;&gt;""),1,0)</f>
        <v>0</v>
      </c>
      <c r="W329" s="59" t="n">
        <f aca="false">IF(V329=1,I329*L329,0)</f>
        <v>0</v>
      </c>
      <c r="X329" s="60" t="n">
        <f aca="false">IF(AND(V329=1,ISNUMBER(R329)),I329*R329,0)</f>
        <v>0</v>
      </c>
      <c r="Y329" s="61" t="n">
        <f aca="false">IF(AND(S329=1,ISNUMBER(R329)),I329,0)</f>
        <v>0</v>
      </c>
      <c r="Z329" s="61" t="n">
        <f aca="false">IF(AND(V329=1,ISNUMBER(R329)),I329,0)</f>
        <v>0</v>
      </c>
    </row>
    <row r="330" customFormat="false" ht="15" hidden="false" customHeight="false" outlineLevel="0" collapsed="false">
      <c r="A330" s="47" t="s">
        <v>698</v>
      </c>
      <c r="B330" s="52" t="n">
        <v>45544</v>
      </c>
      <c r="C330" s="53" t="n">
        <f aca="false">DATE(YEAR(B330),MONTH(B330),1)</f>
        <v>45536</v>
      </c>
      <c r="D330" s="5" t="str">
        <f aca="false">YEAR(B330)&amp;"Q"&amp;ROUNDUP(MONTH(B330)/3,0)</f>
        <v>2024Q3</v>
      </c>
      <c r="E330" s="47" t="s">
        <v>254</v>
      </c>
      <c r="F330" s="54" t="s">
        <v>139</v>
      </c>
      <c r="G330" s="47" t="s">
        <v>339</v>
      </c>
      <c r="H330" s="47" t="s">
        <v>702</v>
      </c>
      <c r="I330" s="55" t="n">
        <v>500</v>
      </c>
      <c r="J330" s="56" t="n">
        <v>3</v>
      </c>
      <c r="K330" s="54" t="s">
        <v>142</v>
      </c>
      <c r="L330" s="57" t="n">
        <v>0.057</v>
      </c>
      <c r="N330" s="47" t="s">
        <v>148</v>
      </c>
      <c r="O330" s="47" t="s">
        <v>649</v>
      </c>
      <c r="P330" s="47"/>
      <c r="Q330" s="48" t="n">
        <f aca="false">IF($J330="","",IFERROR(IF($J330&lt;=1,INDEX(VN_국채일별!$B$4:$B$1436,MATCH($B330,VN_국채일별!$A$4:$A$1436,1)),IF($J330&lt;=2,INDEX(VN_국채일별!$B$4:$B$1436,MATCH($B330,VN_국채일별!$A$4:$A$1436,1))+(INDEX(VN_국채일별!$C$4:$C$1436,MATCH($B330,VN_국채일별!$A$4:$A$1436,1))-INDEX(VN_국채일별!$B$4:$B$1436,MATCH($B330,VN_국채일별!$A$4:$A$1436,1)))*($J330-1),IF($J330&lt;=3,INDEX(VN_국채일별!$C$4:$C$1436,MATCH($B330,VN_국채일별!$A$4:$A$1436,1))+(INDEX(VN_국채일별!$D$4:$D$1436,MATCH($B330,VN_국채일별!$A$4:$A$1436,1))-INDEX(VN_국채일별!$C$4:$C$1436,MATCH($B330,VN_국채일별!$A$4:$A$1436,1)))*($J330-2),IF($J330&lt;=5,INDEX(VN_국채일별!$D$4:$D$1436,MATCH($B330,VN_국채일별!$A$4:$A$1436,1))+(INDEX(VN_국채일별!$E$4:$E$1436,MATCH($B330,VN_국채일별!$A$4:$A$1436,1))-INDEX(VN_국채일별!$D$4:$D$1436,MATCH($B330,VN_국채일별!$A$4:$A$1436,1)))*($J330-3)/2,IF($J330&lt;=7,INDEX(VN_국채일별!$E$4:$E$1436,MATCH($B330,VN_국채일별!$A$4:$A$1436,1))+(INDEX(VN_국채일별!$F$4:$F$1436,MATCH($B330,VN_국채일별!$A$4:$A$1436,1))-INDEX(VN_국채일별!$E$4:$E$1436,MATCH($B330,VN_국채일별!$A$4:$A$1436,1)))*($J330-5)/2,IF($J330&lt;=10,INDEX(VN_국채일별!$F$4:$F$1436,MATCH($B330,VN_국채일별!$A$4:$A$1436,1))+(INDEX(VN_국채일별!$G$4:$G$1436,MATCH($B330,VN_국채일별!$A$4:$A$1436,1))-INDEX(VN_국채일별!$F$4:$F$1436,MATCH($B330,VN_국채일별!$A$4:$A$1436,1)))*($J330-7)/3,INDEX(VN_국채일별!$G$4:$G$1436,MATCH($B330,VN_국채일별!$A$4:$A$1436,1)))))))),""))</f>
        <v>0.02001</v>
      </c>
      <c r="R330" s="58" t="n">
        <f aca="false">IF(OR(L330="",Q330=""),"",(L330-Q330)*10000)</f>
        <v>369.9</v>
      </c>
      <c r="S330" s="30" t="n">
        <f aca="false">IF(AND(K330="고정",N330="N",J330&gt;=2,J330&lt;=4,I330&lt;&gt;""),1,0)</f>
        <v>1</v>
      </c>
      <c r="T330" s="59" t="n">
        <f aca="false">IF(S330=1,I330*L330,0)</f>
        <v>28.5</v>
      </c>
      <c r="U330" s="60" t="n">
        <f aca="false">IF(AND(S330=1,ISNUMBER(R330)),I330*R330,0)</f>
        <v>184950</v>
      </c>
      <c r="V330" s="30" t="n">
        <f aca="false">IF(AND(F330="Big4(국영)",K330="고정",N330="N",I330&lt;&gt;""),1,0)</f>
        <v>0</v>
      </c>
      <c r="W330" s="59" t="n">
        <f aca="false">IF(V330=1,I330*L330,0)</f>
        <v>0</v>
      </c>
      <c r="X330" s="60" t="n">
        <f aca="false">IF(AND(V330=1,ISNUMBER(R330)),I330*R330,0)</f>
        <v>0</v>
      </c>
      <c r="Y330" s="61" t="n">
        <f aca="false">IF(AND(S330=1,ISNUMBER(R330)),I330,0)</f>
        <v>500</v>
      </c>
      <c r="Z330" s="61" t="n">
        <f aca="false">IF(AND(V330=1,ISNUMBER(R330)),I330,0)</f>
        <v>0</v>
      </c>
    </row>
    <row r="331" customFormat="false" ht="15" hidden="false" customHeight="false" outlineLevel="0" collapsed="false">
      <c r="A331" s="47" t="s">
        <v>698</v>
      </c>
      <c r="B331" s="52" t="n">
        <v>45544</v>
      </c>
      <c r="C331" s="53" t="n">
        <f aca="false">DATE(YEAR(B331),MONTH(B331),1)</f>
        <v>45536</v>
      </c>
      <c r="D331" s="5" t="str">
        <f aca="false">YEAR(B331)&amp;"Q"&amp;ROUNDUP(MONTH(B331)/3,0)</f>
        <v>2024Q3</v>
      </c>
      <c r="E331" s="62" t="s">
        <v>155</v>
      </c>
      <c r="F331" s="62" t="s">
        <v>156</v>
      </c>
      <c r="G331" s="47" t="s">
        <v>157</v>
      </c>
      <c r="H331" s="47" t="s">
        <v>703</v>
      </c>
      <c r="I331" s="55" t="n">
        <v>100</v>
      </c>
      <c r="J331" s="56" t="n">
        <v>7</v>
      </c>
      <c r="K331" s="54" t="s">
        <v>153</v>
      </c>
      <c r="N331" s="47" t="s">
        <v>143</v>
      </c>
      <c r="O331" s="47" t="s">
        <v>602</v>
      </c>
      <c r="P331" s="47"/>
      <c r="Q331" s="48" t="n">
        <f aca="false">IF($J331="","",IFERROR(IF($J331&lt;=1,INDEX(VN_국채일별!$B$4:$B$1436,MATCH($B331,VN_국채일별!$A$4:$A$1436,1)),IF($J331&lt;=2,INDEX(VN_국채일별!$B$4:$B$1436,MATCH($B331,VN_국채일별!$A$4:$A$1436,1))+(INDEX(VN_국채일별!$C$4:$C$1436,MATCH($B331,VN_국채일별!$A$4:$A$1436,1))-INDEX(VN_국채일별!$B$4:$B$1436,MATCH($B331,VN_국채일별!$A$4:$A$1436,1)))*($J331-1),IF($J331&lt;=3,INDEX(VN_국채일별!$C$4:$C$1436,MATCH($B331,VN_국채일별!$A$4:$A$1436,1))+(INDEX(VN_국채일별!$D$4:$D$1436,MATCH($B331,VN_국채일별!$A$4:$A$1436,1))-INDEX(VN_국채일별!$C$4:$C$1436,MATCH($B331,VN_국채일별!$A$4:$A$1436,1)))*($J331-2),IF($J331&lt;=5,INDEX(VN_국채일별!$D$4:$D$1436,MATCH($B331,VN_국채일별!$A$4:$A$1436,1))+(INDEX(VN_국채일별!$E$4:$E$1436,MATCH($B331,VN_국채일별!$A$4:$A$1436,1))-INDEX(VN_국채일별!$D$4:$D$1436,MATCH($B331,VN_국채일별!$A$4:$A$1436,1)))*($J331-3)/2,IF($J331&lt;=7,INDEX(VN_국채일별!$E$4:$E$1436,MATCH($B331,VN_국채일별!$A$4:$A$1436,1))+(INDEX(VN_국채일별!$F$4:$F$1436,MATCH($B331,VN_국채일별!$A$4:$A$1436,1))-INDEX(VN_국채일별!$E$4:$E$1436,MATCH($B331,VN_국채일별!$A$4:$A$1436,1)))*($J331-5)/2,IF($J331&lt;=10,INDEX(VN_국채일별!$F$4:$F$1436,MATCH($B331,VN_국채일별!$A$4:$A$1436,1))+(INDEX(VN_국채일별!$G$4:$G$1436,MATCH($B331,VN_국채일별!$A$4:$A$1436,1))-INDEX(VN_국채일별!$F$4:$F$1436,MATCH($B331,VN_국채일별!$A$4:$A$1436,1)))*($J331-7)/3,INDEX(VN_국채일별!$G$4:$G$1436,MATCH($B331,VN_국채일별!$A$4:$A$1436,1)))))))),""))</f>
        <v>0.02264</v>
      </c>
      <c r="R331" s="58" t="str">
        <f aca="false">IF(OR(L331="",Q331=""),"",(L331-Q331)*10000)</f>
        <v/>
      </c>
      <c r="S331" s="30" t="n">
        <f aca="false">IF(AND(K331="고정",N331="N",J331&gt;=2,J331&lt;=4,I331&lt;&gt;""),1,0)</f>
        <v>0</v>
      </c>
      <c r="T331" s="59" t="n">
        <f aca="false">IF(S331=1,I331*L331,0)</f>
        <v>0</v>
      </c>
      <c r="U331" s="60" t="n">
        <f aca="false">IF(AND(S331=1,ISNUMBER(R331)),I331*R331,0)</f>
        <v>0</v>
      </c>
      <c r="V331" s="30" t="n">
        <f aca="false">IF(AND(F331="Big4(국영)",K331="고정",N331="N",I331&lt;&gt;""),1,0)</f>
        <v>0</v>
      </c>
      <c r="W331" s="59" t="n">
        <f aca="false">IF(V331=1,I331*L331,0)</f>
        <v>0</v>
      </c>
      <c r="X331" s="60" t="n">
        <f aca="false">IF(AND(V331=1,ISNUMBER(R331)),I331*R331,0)</f>
        <v>0</v>
      </c>
      <c r="Y331" s="61" t="n">
        <f aca="false">IF(AND(S331=1,ISNUMBER(R331)),I331,0)</f>
        <v>0</v>
      </c>
      <c r="Z331" s="61" t="n">
        <f aca="false">IF(AND(V331=1,ISNUMBER(R331)),I331,0)</f>
        <v>0</v>
      </c>
    </row>
    <row r="332" customFormat="false" ht="15" hidden="false" customHeight="false" outlineLevel="0" collapsed="false">
      <c r="A332" s="47" t="s">
        <v>698</v>
      </c>
      <c r="B332" s="52" t="n">
        <v>45544</v>
      </c>
      <c r="C332" s="53" t="n">
        <f aca="false">DATE(YEAR(B332),MONTH(B332),1)</f>
        <v>45536</v>
      </c>
      <c r="D332" s="5" t="str">
        <f aca="false">YEAR(B332)&amp;"Q"&amp;ROUNDUP(MONTH(B332)/3,0)</f>
        <v>2024Q3</v>
      </c>
      <c r="E332" s="47" t="s">
        <v>353</v>
      </c>
      <c r="F332" s="54" t="s">
        <v>139</v>
      </c>
      <c r="G332" s="47" t="s">
        <v>354</v>
      </c>
      <c r="H332" s="47" t="s">
        <v>704</v>
      </c>
      <c r="I332" s="55" t="n">
        <v>2000</v>
      </c>
      <c r="J332" s="56" t="n">
        <v>2</v>
      </c>
      <c r="K332" s="54" t="s">
        <v>153</v>
      </c>
      <c r="M332" s="57" t="n">
        <v>0.06</v>
      </c>
      <c r="N332" s="47" t="s">
        <v>148</v>
      </c>
      <c r="O332" s="47" t="s">
        <v>705</v>
      </c>
      <c r="P332" s="47"/>
      <c r="Q332" s="48" t="n">
        <f aca="false">IF($J332="","",IFERROR(IF($J332&lt;=1,INDEX(VN_국채일별!$B$4:$B$1436,MATCH($B332,VN_국채일별!$A$4:$A$1436,1)),IF($J332&lt;=2,INDEX(VN_국채일별!$B$4:$B$1436,MATCH($B332,VN_국채일별!$A$4:$A$1436,1))+(INDEX(VN_국채일별!$C$4:$C$1436,MATCH($B332,VN_국채일별!$A$4:$A$1436,1))-INDEX(VN_국채일별!$B$4:$B$1436,MATCH($B332,VN_국채일별!$A$4:$A$1436,1)))*($J332-1),IF($J332&lt;=3,INDEX(VN_국채일별!$C$4:$C$1436,MATCH($B332,VN_국채일별!$A$4:$A$1436,1))+(INDEX(VN_국채일별!$D$4:$D$1436,MATCH($B332,VN_국채일별!$A$4:$A$1436,1))-INDEX(VN_국채일별!$C$4:$C$1436,MATCH($B332,VN_국채일별!$A$4:$A$1436,1)))*($J332-2),IF($J332&lt;=5,INDEX(VN_국채일별!$D$4:$D$1436,MATCH($B332,VN_국채일별!$A$4:$A$1436,1))+(INDEX(VN_국채일별!$E$4:$E$1436,MATCH($B332,VN_국채일별!$A$4:$A$1436,1))-INDEX(VN_국채일별!$D$4:$D$1436,MATCH($B332,VN_국채일별!$A$4:$A$1436,1)))*($J332-3)/2,IF($J332&lt;=7,INDEX(VN_국채일별!$E$4:$E$1436,MATCH($B332,VN_국채일별!$A$4:$A$1436,1))+(INDEX(VN_국채일별!$F$4:$F$1436,MATCH($B332,VN_국채일별!$A$4:$A$1436,1))-INDEX(VN_국채일별!$E$4:$E$1436,MATCH($B332,VN_국채일별!$A$4:$A$1436,1)))*($J332-5)/2,IF($J332&lt;=10,INDEX(VN_국채일별!$F$4:$F$1436,MATCH($B332,VN_국채일별!$A$4:$A$1436,1))+(INDEX(VN_국채일별!$G$4:$G$1436,MATCH($B332,VN_국채일별!$A$4:$A$1436,1))-INDEX(VN_국채일별!$F$4:$F$1436,MATCH($B332,VN_국채일별!$A$4:$A$1436,1)))*($J332-7)/3,INDEX(VN_국채일별!$G$4:$G$1436,MATCH($B332,VN_국채일별!$A$4:$A$1436,1)))))))),""))</f>
        <v>0.01922</v>
      </c>
      <c r="R332" s="58" t="str">
        <f aca="false">IF(OR(L332="",Q332=""),"",(L332-Q332)*10000)</f>
        <v/>
      </c>
      <c r="S332" s="30" t="n">
        <f aca="false">IF(AND(K332="고정",N332="N",J332&gt;=2,J332&lt;=4,I332&lt;&gt;""),1,0)</f>
        <v>0</v>
      </c>
      <c r="T332" s="59" t="n">
        <f aca="false">IF(S332=1,I332*L332,0)</f>
        <v>0</v>
      </c>
      <c r="U332" s="60" t="n">
        <f aca="false">IF(AND(S332=1,ISNUMBER(R332)),I332*R332,0)</f>
        <v>0</v>
      </c>
      <c r="V332" s="30" t="n">
        <f aca="false">IF(AND(F332="Big4(국영)",K332="고정",N332="N",I332&lt;&gt;""),1,0)</f>
        <v>0</v>
      </c>
      <c r="W332" s="59" t="n">
        <f aca="false">IF(V332=1,I332*L332,0)</f>
        <v>0</v>
      </c>
      <c r="X332" s="60" t="n">
        <f aca="false">IF(AND(V332=1,ISNUMBER(R332)),I332*R332,0)</f>
        <v>0</v>
      </c>
      <c r="Y332" s="61" t="n">
        <f aca="false">IF(AND(S332=1,ISNUMBER(R332)),I332,0)</f>
        <v>0</v>
      </c>
      <c r="Z332" s="61" t="n">
        <f aca="false">IF(AND(V332=1,ISNUMBER(R332)),I332,0)</f>
        <v>0</v>
      </c>
    </row>
    <row r="333" customFormat="false" ht="15" hidden="false" customHeight="false" outlineLevel="0" collapsed="false">
      <c r="A333" s="47" t="s">
        <v>698</v>
      </c>
      <c r="B333" s="52" t="n">
        <v>45545</v>
      </c>
      <c r="C333" s="53" t="n">
        <f aca="false">DATE(YEAR(B333),MONTH(B333),1)</f>
        <v>45536</v>
      </c>
      <c r="D333" s="5" t="str">
        <f aca="false">YEAR(B333)&amp;"Q"&amp;ROUNDUP(MONTH(B333)/3,0)</f>
        <v>2024Q3</v>
      </c>
      <c r="E333" s="47" t="s">
        <v>145</v>
      </c>
      <c r="F333" s="54" t="s">
        <v>139</v>
      </c>
      <c r="G333" s="47" t="s">
        <v>146</v>
      </c>
      <c r="H333" s="47" t="s">
        <v>706</v>
      </c>
      <c r="I333" s="55" t="n">
        <v>1000</v>
      </c>
      <c r="J333" s="56" t="n">
        <v>3</v>
      </c>
      <c r="K333" s="54" t="s">
        <v>142</v>
      </c>
      <c r="L333" s="57" t="n">
        <v>0.053</v>
      </c>
      <c r="N333" s="47" t="s">
        <v>148</v>
      </c>
      <c r="O333" s="47" t="s">
        <v>582</v>
      </c>
      <c r="P333" s="47"/>
      <c r="Q333" s="48" t="n">
        <f aca="false">IF($J333="","",IFERROR(IF($J333&lt;=1,INDEX(VN_국채일별!$B$4:$B$1436,MATCH($B333,VN_국채일별!$A$4:$A$1436,1)),IF($J333&lt;=2,INDEX(VN_국채일별!$B$4:$B$1436,MATCH($B333,VN_국채일별!$A$4:$A$1436,1))+(INDEX(VN_국채일별!$C$4:$C$1436,MATCH($B333,VN_국채일별!$A$4:$A$1436,1))-INDEX(VN_국채일별!$B$4:$B$1436,MATCH($B333,VN_국채일별!$A$4:$A$1436,1)))*($J333-1),IF($J333&lt;=3,INDEX(VN_국채일별!$C$4:$C$1436,MATCH($B333,VN_국채일별!$A$4:$A$1436,1))+(INDEX(VN_국채일별!$D$4:$D$1436,MATCH($B333,VN_국채일별!$A$4:$A$1436,1))-INDEX(VN_국채일별!$C$4:$C$1436,MATCH($B333,VN_국채일별!$A$4:$A$1436,1)))*($J333-2),IF($J333&lt;=5,INDEX(VN_국채일별!$D$4:$D$1436,MATCH($B333,VN_국채일별!$A$4:$A$1436,1))+(INDEX(VN_국채일별!$E$4:$E$1436,MATCH($B333,VN_국채일별!$A$4:$A$1436,1))-INDEX(VN_국채일별!$D$4:$D$1436,MATCH($B333,VN_국채일별!$A$4:$A$1436,1)))*($J333-3)/2,IF($J333&lt;=7,INDEX(VN_국채일별!$E$4:$E$1436,MATCH($B333,VN_국채일별!$A$4:$A$1436,1))+(INDEX(VN_국채일별!$F$4:$F$1436,MATCH($B333,VN_국채일별!$A$4:$A$1436,1))-INDEX(VN_국채일별!$E$4:$E$1436,MATCH($B333,VN_국채일별!$A$4:$A$1436,1)))*($J333-5)/2,IF($J333&lt;=10,INDEX(VN_국채일별!$F$4:$F$1436,MATCH($B333,VN_국채일별!$A$4:$A$1436,1))+(INDEX(VN_국채일별!$G$4:$G$1436,MATCH($B333,VN_국채일별!$A$4:$A$1436,1))-INDEX(VN_국채일별!$F$4:$F$1436,MATCH($B333,VN_국채일별!$A$4:$A$1436,1)))*($J333-7)/3,INDEX(VN_국채일별!$G$4:$G$1436,MATCH($B333,VN_국채일별!$A$4:$A$1436,1)))))))),""))</f>
        <v>0.02002</v>
      </c>
      <c r="R333" s="58" t="n">
        <f aca="false">IF(OR(L333="",Q333=""),"",(L333-Q333)*10000)</f>
        <v>329.8</v>
      </c>
      <c r="S333" s="30" t="n">
        <f aca="false">IF(AND(K333="고정",N333="N",J333&gt;=2,J333&lt;=4,I333&lt;&gt;""),1,0)</f>
        <v>1</v>
      </c>
      <c r="T333" s="59" t="n">
        <f aca="false">IF(S333=1,I333*L333,0)</f>
        <v>53</v>
      </c>
      <c r="U333" s="60" t="n">
        <f aca="false">IF(AND(S333=1,ISNUMBER(R333)),I333*R333,0)</f>
        <v>329800</v>
      </c>
      <c r="V333" s="30" t="n">
        <f aca="false">IF(AND(F333="Big4(국영)",K333="고정",N333="N",I333&lt;&gt;""),1,0)</f>
        <v>0</v>
      </c>
      <c r="W333" s="59" t="n">
        <f aca="false">IF(V333=1,I333*L333,0)</f>
        <v>0</v>
      </c>
      <c r="X333" s="60" t="n">
        <f aca="false">IF(AND(V333=1,ISNUMBER(R333)),I333*R333,0)</f>
        <v>0</v>
      </c>
      <c r="Y333" s="61" t="n">
        <f aca="false">IF(AND(S333=1,ISNUMBER(R333)),I333,0)</f>
        <v>1000</v>
      </c>
      <c r="Z333" s="61" t="n">
        <f aca="false">IF(AND(V333=1,ISNUMBER(R333)),I333,0)</f>
        <v>0</v>
      </c>
    </row>
    <row r="334" customFormat="false" ht="15" hidden="false" customHeight="false" outlineLevel="0" collapsed="false">
      <c r="A334" s="47" t="s">
        <v>698</v>
      </c>
      <c r="B334" s="52" t="n">
        <v>45545</v>
      </c>
      <c r="C334" s="53" t="n">
        <f aca="false">DATE(YEAR(B334),MONTH(B334),1)</f>
        <v>45536</v>
      </c>
      <c r="D334" s="5" t="str">
        <f aca="false">YEAR(B334)&amp;"Q"&amp;ROUNDUP(MONTH(B334)/3,0)</f>
        <v>2024Q3</v>
      </c>
      <c r="E334" s="47" t="s">
        <v>365</v>
      </c>
      <c r="F334" s="54" t="s">
        <v>139</v>
      </c>
      <c r="G334" s="47" t="s">
        <v>366</v>
      </c>
      <c r="H334" s="47" t="s">
        <v>707</v>
      </c>
      <c r="I334" s="55" t="n">
        <v>22</v>
      </c>
      <c r="J334" s="56" t="n">
        <v>10</v>
      </c>
      <c r="K334" s="54" t="s">
        <v>153</v>
      </c>
      <c r="N334" s="47" t="s">
        <v>143</v>
      </c>
      <c r="O334" s="47" t="s">
        <v>666</v>
      </c>
      <c r="P334" s="47"/>
      <c r="Q334" s="48" t="n">
        <f aca="false">IF($J334="","",IFERROR(IF($J334&lt;=1,INDEX(VN_국채일별!$B$4:$B$1436,MATCH($B334,VN_국채일별!$A$4:$A$1436,1)),IF($J334&lt;=2,INDEX(VN_국채일별!$B$4:$B$1436,MATCH($B334,VN_국채일별!$A$4:$A$1436,1))+(INDEX(VN_국채일별!$C$4:$C$1436,MATCH($B334,VN_국채일별!$A$4:$A$1436,1))-INDEX(VN_국채일별!$B$4:$B$1436,MATCH($B334,VN_국채일별!$A$4:$A$1436,1)))*($J334-1),IF($J334&lt;=3,INDEX(VN_국채일별!$C$4:$C$1436,MATCH($B334,VN_국채일별!$A$4:$A$1436,1))+(INDEX(VN_국채일별!$D$4:$D$1436,MATCH($B334,VN_국채일별!$A$4:$A$1436,1))-INDEX(VN_국채일별!$C$4:$C$1436,MATCH($B334,VN_국채일별!$A$4:$A$1436,1)))*($J334-2),IF($J334&lt;=5,INDEX(VN_국채일별!$D$4:$D$1436,MATCH($B334,VN_국채일별!$A$4:$A$1436,1))+(INDEX(VN_국채일별!$E$4:$E$1436,MATCH($B334,VN_국채일별!$A$4:$A$1436,1))-INDEX(VN_국채일별!$D$4:$D$1436,MATCH($B334,VN_국채일별!$A$4:$A$1436,1)))*($J334-3)/2,IF($J334&lt;=7,INDEX(VN_국채일별!$E$4:$E$1436,MATCH($B334,VN_국채일별!$A$4:$A$1436,1))+(INDEX(VN_국채일별!$F$4:$F$1436,MATCH($B334,VN_국채일별!$A$4:$A$1436,1))-INDEX(VN_국채일별!$E$4:$E$1436,MATCH($B334,VN_국채일별!$A$4:$A$1436,1)))*($J334-5)/2,IF($J334&lt;=10,INDEX(VN_국채일별!$F$4:$F$1436,MATCH($B334,VN_국채일별!$A$4:$A$1436,1))+(INDEX(VN_국채일별!$G$4:$G$1436,MATCH($B334,VN_국채일별!$A$4:$A$1436,1))-INDEX(VN_국채일별!$F$4:$F$1436,MATCH($B334,VN_국채일별!$A$4:$A$1436,1)))*($J334-7)/3,INDEX(VN_국채일별!$G$4:$G$1436,MATCH($B334,VN_국채일별!$A$4:$A$1436,1)))))))),""))</f>
        <v>0.02733</v>
      </c>
      <c r="R334" s="58" t="str">
        <f aca="false">IF(OR(L334="",Q334=""),"",(L334-Q334)*10000)</f>
        <v/>
      </c>
      <c r="S334" s="30" t="n">
        <f aca="false">IF(AND(K334="고정",N334="N",J334&gt;=2,J334&lt;=4,I334&lt;&gt;""),1,0)</f>
        <v>0</v>
      </c>
      <c r="T334" s="59" t="n">
        <f aca="false">IF(S334=1,I334*L334,0)</f>
        <v>0</v>
      </c>
      <c r="U334" s="60" t="n">
        <f aca="false">IF(AND(S334=1,ISNUMBER(R334)),I334*R334,0)</f>
        <v>0</v>
      </c>
      <c r="V334" s="30" t="n">
        <f aca="false">IF(AND(F334="Big4(국영)",K334="고정",N334="N",I334&lt;&gt;""),1,0)</f>
        <v>0</v>
      </c>
      <c r="W334" s="59" t="n">
        <f aca="false">IF(V334=1,I334*L334,0)</f>
        <v>0</v>
      </c>
      <c r="X334" s="60" t="n">
        <f aca="false">IF(AND(V334=1,ISNUMBER(R334)),I334*R334,0)</f>
        <v>0</v>
      </c>
      <c r="Y334" s="61" t="n">
        <f aca="false">IF(AND(S334=1,ISNUMBER(R334)),I334,0)</f>
        <v>0</v>
      </c>
      <c r="Z334" s="61" t="n">
        <f aca="false">IF(AND(V334=1,ISNUMBER(R334)),I334,0)</f>
        <v>0</v>
      </c>
    </row>
    <row r="335" customFormat="false" ht="15" hidden="false" customHeight="false" outlineLevel="0" collapsed="false">
      <c r="A335" s="47" t="s">
        <v>698</v>
      </c>
      <c r="B335" s="52" t="n">
        <v>45545</v>
      </c>
      <c r="C335" s="53" t="n">
        <f aca="false">DATE(YEAR(B335),MONTH(B335),1)</f>
        <v>45536</v>
      </c>
      <c r="D335" s="5" t="str">
        <f aca="false">YEAR(B335)&amp;"Q"&amp;ROUNDUP(MONTH(B335)/3,0)</f>
        <v>2024Q3</v>
      </c>
      <c r="E335" s="47" t="s">
        <v>138</v>
      </c>
      <c r="F335" s="54" t="s">
        <v>139</v>
      </c>
      <c r="G335" s="47" t="s">
        <v>140</v>
      </c>
      <c r="H335" s="47"/>
      <c r="I335" s="55" t="n">
        <v>1468.55</v>
      </c>
      <c r="J335" s="56" t="n">
        <v>6</v>
      </c>
      <c r="K335" s="54" t="s">
        <v>153</v>
      </c>
      <c r="M335" s="57" t="n">
        <v>0.079</v>
      </c>
      <c r="N335" s="47" t="s">
        <v>148</v>
      </c>
      <c r="O335" s="47" t="s">
        <v>708</v>
      </c>
      <c r="P335" s="47"/>
      <c r="Q335" s="48" t="n">
        <f aca="false">IF($J335="","",IFERROR(IF($J335&lt;=1,INDEX(VN_국채일별!$B$4:$B$1436,MATCH($B335,VN_국채일별!$A$4:$A$1436,1)),IF($J335&lt;=2,INDEX(VN_국채일별!$B$4:$B$1436,MATCH($B335,VN_국채일별!$A$4:$A$1436,1))+(INDEX(VN_국채일별!$C$4:$C$1436,MATCH($B335,VN_국채일별!$A$4:$A$1436,1))-INDEX(VN_국채일별!$B$4:$B$1436,MATCH($B335,VN_국채일별!$A$4:$A$1436,1)))*($J335-1),IF($J335&lt;=3,INDEX(VN_국채일별!$C$4:$C$1436,MATCH($B335,VN_국채일별!$A$4:$A$1436,1))+(INDEX(VN_국채일별!$D$4:$D$1436,MATCH($B335,VN_국채일별!$A$4:$A$1436,1))-INDEX(VN_국채일별!$C$4:$C$1436,MATCH($B335,VN_국채일별!$A$4:$A$1436,1)))*($J335-2),IF($J335&lt;=5,INDEX(VN_국채일별!$D$4:$D$1436,MATCH($B335,VN_국채일별!$A$4:$A$1436,1))+(INDEX(VN_국채일별!$E$4:$E$1436,MATCH($B335,VN_국채일별!$A$4:$A$1436,1))-INDEX(VN_국채일별!$D$4:$D$1436,MATCH($B335,VN_국채일별!$A$4:$A$1436,1)))*($J335-3)/2,IF($J335&lt;=7,INDEX(VN_국채일별!$E$4:$E$1436,MATCH($B335,VN_국채일별!$A$4:$A$1436,1))+(INDEX(VN_국채일별!$F$4:$F$1436,MATCH($B335,VN_국채일별!$A$4:$A$1436,1))-INDEX(VN_국채일별!$E$4:$E$1436,MATCH($B335,VN_국채일별!$A$4:$A$1436,1)))*($J335-5)/2,IF($J335&lt;=10,INDEX(VN_국채일별!$F$4:$F$1436,MATCH($B335,VN_국채일별!$A$4:$A$1436,1))+(INDEX(VN_국채일별!$G$4:$G$1436,MATCH($B335,VN_국채일별!$A$4:$A$1436,1))-INDEX(VN_국채일별!$F$4:$F$1436,MATCH($B335,VN_국채일별!$A$4:$A$1436,1)))*($J335-7)/3,INDEX(VN_국채일별!$G$4:$G$1436,MATCH($B335,VN_국채일별!$A$4:$A$1436,1)))))))),""))</f>
        <v>0.021445</v>
      </c>
      <c r="R335" s="58" t="str">
        <f aca="false">IF(OR(L335="",Q335=""),"",(L335-Q335)*10000)</f>
        <v/>
      </c>
      <c r="S335" s="30" t="n">
        <f aca="false">IF(AND(K335="고정",N335="N",J335&gt;=2,J335&lt;=4,I335&lt;&gt;""),1,0)</f>
        <v>0</v>
      </c>
      <c r="T335" s="59" t="n">
        <f aca="false">IF(S335=1,I335*L335,0)</f>
        <v>0</v>
      </c>
      <c r="U335" s="60" t="n">
        <f aca="false">IF(AND(S335=1,ISNUMBER(R335)),I335*R335,0)</f>
        <v>0</v>
      </c>
      <c r="V335" s="30" t="n">
        <f aca="false">IF(AND(F335="Big4(국영)",K335="고정",N335="N",I335&lt;&gt;""),1,0)</f>
        <v>0</v>
      </c>
      <c r="W335" s="59" t="n">
        <f aca="false">IF(V335=1,I335*L335,0)</f>
        <v>0</v>
      </c>
      <c r="X335" s="60" t="n">
        <f aca="false">IF(AND(V335=1,ISNUMBER(R335)),I335*R335,0)</f>
        <v>0</v>
      </c>
      <c r="Y335" s="61" t="n">
        <f aca="false">IF(AND(S335=1,ISNUMBER(R335)),I335,0)</f>
        <v>0</v>
      </c>
      <c r="Z335" s="61" t="n">
        <f aca="false">IF(AND(V335=1,ISNUMBER(R335)),I335,0)</f>
        <v>0</v>
      </c>
    </row>
    <row r="336" customFormat="false" ht="15" hidden="false" customHeight="false" outlineLevel="0" collapsed="false">
      <c r="A336" s="47" t="s">
        <v>698</v>
      </c>
      <c r="B336" s="52" t="n">
        <v>45545</v>
      </c>
      <c r="C336" s="53" t="n">
        <f aca="false">DATE(YEAR(B336),MONTH(B336),1)</f>
        <v>45536</v>
      </c>
      <c r="D336" s="5" t="str">
        <f aca="false">YEAR(B336)&amp;"Q"&amp;ROUNDUP(MONTH(B336)/3,0)</f>
        <v>2024Q3</v>
      </c>
      <c r="E336" s="62" t="s">
        <v>173</v>
      </c>
      <c r="F336" s="62" t="s">
        <v>156</v>
      </c>
      <c r="G336" s="47" t="s">
        <v>174</v>
      </c>
      <c r="H336" s="47" t="s">
        <v>709</v>
      </c>
      <c r="I336" s="55" t="n">
        <v>850</v>
      </c>
      <c r="J336" s="56" t="n">
        <v>15</v>
      </c>
      <c r="K336" s="54" t="s">
        <v>142</v>
      </c>
      <c r="L336" s="57" t="n">
        <v>0.065</v>
      </c>
      <c r="N336" s="47" t="s">
        <v>143</v>
      </c>
      <c r="O336" s="47" t="s">
        <v>417</v>
      </c>
      <c r="P336" s="47"/>
      <c r="Q336" s="48" t="n">
        <f aca="false">IF($J336="","",IFERROR(IF($J336&lt;=1,INDEX(VN_국채일별!$B$4:$B$1436,MATCH($B336,VN_국채일별!$A$4:$A$1436,1)),IF($J336&lt;=2,INDEX(VN_국채일별!$B$4:$B$1436,MATCH($B336,VN_국채일별!$A$4:$A$1436,1))+(INDEX(VN_국채일별!$C$4:$C$1436,MATCH($B336,VN_국채일별!$A$4:$A$1436,1))-INDEX(VN_국채일별!$B$4:$B$1436,MATCH($B336,VN_국채일별!$A$4:$A$1436,1)))*($J336-1),IF($J336&lt;=3,INDEX(VN_국채일별!$C$4:$C$1436,MATCH($B336,VN_국채일별!$A$4:$A$1436,1))+(INDEX(VN_국채일별!$D$4:$D$1436,MATCH($B336,VN_국채일별!$A$4:$A$1436,1))-INDEX(VN_국채일별!$C$4:$C$1436,MATCH($B336,VN_국채일별!$A$4:$A$1436,1)))*($J336-2),IF($J336&lt;=5,INDEX(VN_국채일별!$D$4:$D$1436,MATCH($B336,VN_국채일별!$A$4:$A$1436,1))+(INDEX(VN_국채일별!$E$4:$E$1436,MATCH($B336,VN_국채일별!$A$4:$A$1436,1))-INDEX(VN_국채일별!$D$4:$D$1436,MATCH($B336,VN_국채일별!$A$4:$A$1436,1)))*($J336-3)/2,IF($J336&lt;=7,INDEX(VN_국채일별!$E$4:$E$1436,MATCH($B336,VN_국채일별!$A$4:$A$1436,1))+(INDEX(VN_국채일별!$F$4:$F$1436,MATCH($B336,VN_국채일별!$A$4:$A$1436,1))-INDEX(VN_국채일별!$E$4:$E$1436,MATCH($B336,VN_국채일별!$A$4:$A$1436,1)))*($J336-5)/2,IF($J336&lt;=10,INDEX(VN_국채일별!$F$4:$F$1436,MATCH($B336,VN_국채일별!$A$4:$A$1436,1))+(INDEX(VN_국채일별!$G$4:$G$1436,MATCH($B336,VN_국채일별!$A$4:$A$1436,1))-INDEX(VN_국채일별!$F$4:$F$1436,MATCH($B336,VN_국채일별!$A$4:$A$1436,1)))*($J336-7)/3,INDEX(VN_국채일별!$G$4:$G$1436,MATCH($B336,VN_국채일별!$A$4:$A$1436,1)))))))),""))</f>
        <v>0.02733</v>
      </c>
      <c r="R336" s="58" t="n">
        <f aca="false">IF(OR(L336="",Q336=""),"",(L336-Q336)*10000)</f>
        <v>376.7</v>
      </c>
      <c r="S336" s="30" t="n">
        <f aca="false">IF(AND(K336="고정",N336="N",J336&gt;=2,J336&lt;=4,I336&lt;&gt;""),1,0)</f>
        <v>0</v>
      </c>
      <c r="T336" s="59" t="n">
        <f aca="false">IF(S336=1,I336*L336,0)</f>
        <v>0</v>
      </c>
      <c r="U336" s="60" t="n">
        <f aca="false">IF(AND(S336=1,ISNUMBER(R336)),I336*R336,0)</f>
        <v>0</v>
      </c>
      <c r="V336" s="30" t="n">
        <f aca="false">IF(AND(F336="Big4(국영)",K336="고정",N336="N",I336&lt;&gt;""),1,0)</f>
        <v>0</v>
      </c>
      <c r="W336" s="59" t="n">
        <f aca="false">IF(V336=1,I336*L336,0)</f>
        <v>0</v>
      </c>
      <c r="X336" s="60" t="n">
        <f aca="false">IF(AND(V336=1,ISNUMBER(R336)),I336*R336,0)</f>
        <v>0</v>
      </c>
      <c r="Y336" s="61" t="n">
        <f aca="false">IF(AND(S336=1,ISNUMBER(R336)),I336,0)</f>
        <v>0</v>
      </c>
      <c r="Z336" s="61" t="n">
        <f aca="false">IF(AND(V336=1,ISNUMBER(R336)),I336,0)</f>
        <v>0</v>
      </c>
    </row>
    <row r="337" customFormat="false" ht="15" hidden="false" customHeight="false" outlineLevel="0" collapsed="false">
      <c r="A337" s="47" t="s">
        <v>698</v>
      </c>
      <c r="B337" s="52" t="n">
        <v>45545</v>
      </c>
      <c r="C337" s="53" t="n">
        <f aca="false">DATE(YEAR(B337),MONTH(B337),1)</f>
        <v>45536</v>
      </c>
      <c r="D337" s="5" t="str">
        <f aca="false">YEAR(B337)&amp;"Q"&amp;ROUNDUP(MONTH(B337)/3,0)</f>
        <v>2024Q3</v>
      </c>
      <c r="E337" s="47" t="s">
        <v>181</v>
      </c>
      <c r="F337" s="54" t="s">
        <v>139</v>
      </c>
      <c r="G337" s="47" t="s">
        <v>182</v>
      </c>
      <c r="H337" s="47" t="s">
        <v>710</v>
      </c>
      <c r="I337" s="55" t="n">
        <v>1000</v>
      </c>
      <c r="J337" s="56" t="n">
        <v>3</v>
      </c>
      <c r="K337" s="54" t="s">
        <v>142</v>
      </c>
      <c r="L337" s="57" t="n">
        <v>0.055</v>
      </c>
      <c r="N337" s="47" t="s">
        <v>148</v>
      </c>
      <c r="O337" s="47" t="s">
        <v>591</v>
      </c>
      <c r="P337" s="47"/>
      <c r="Q337" s="48" t="n">
        <f aca="false">IF($J337="","",IFERROR(IF($J337&lt;=1,INDEX(VN_국채일별!$B$4:$B$1436,MATCH($B337,VN_국채일별!$A$4:$A$1436,1)),IF($J337&lt;=2,INDEX(VN_국채일별!$B$4:$B$1436,MATCH($B337,VN_국채일별!$A$4:$A$1436,1))+(INDEX(VN_국채일별!$C$4:$C$1436,MATCH($B337,VN_국채일별!$A$4:$A$1436,1))-INDEX(VN_국채일별!$B$4:$B$1436,MATCH($B337,VN_국채일별!$A$4:$A$1436,1)))*($J337-1),IF($J337&lt;=3,INDEX(VN_국채일별!$C$4:$C$1436,MATCH($B337,VN_국채일별!$A$4:$A$1436,1))+(INDEX(VN_국채일별!$D$4:$D$1436,MATCH($B337,VN_국채일별!$A$4:$A$1436,1))-INDEX(VN_국채일별!$C$4:$C$1436,MATCH($B337,VN_국채일별!$A$4:$A$1436,1)))*($J337-2),IF($J337&lt;=5,INDEX(VN_국채일별!$D$4:$D$1436,MATCH($B337,VN_국채일별!$A$4:$A$1436,1))+(INDEX(VN_국채일별!$E$4:$E$1436,MATCH($B337,VN_국채일별!$A$4:$A$1436,1))-INDEX(VN_국채일별!$D$4:$D$1436,MATCH($B337,VN_국채일별!$A$4:$A$1436,1)))*($J337-3)/2,IF($J337&lt;=7,INDEX(VN_국채일별!$E$4:$E$1436,MATCH($B337,VN_국채일별!$A$4:$A$1436,1))+(INDEX(VN_국채일별!$F$4:$F$1436,MATCH($B337,VN_국채일별!$A$4:$A$1436,1))-INDEX(VN_국채일별!$E$4:$E$1436,MATCH($B337,VN_국채일별!$A$4:$A$1436,1)))*($J337-5)/2,IF($J337&lt;=10,INDEX(VN_국채일별!$F$4:$F$1436,MATCH($B337,VN_국채일별!$A$4:$A$1436,1))+(INDEX(VN_국채일별!$G$4:$G$1436,MATCH($B337,VN_국채일별!$A$4:$A$1436,1))-INDEX(VN_국채일별!$F$4:$F$1436,MATCH($B337,VN_국채일별!$A$4:$A$1436,1)))*($J337-7)/3,INDEX(VN_국채일별!$G$4:$G$1436,MATCH($B337,VN_국채일별!$A$4:$A$1436,1)))))))),""))</f>
        <v>0.02002</v>
      </c>
      <c r="R337" s="58" t="n">
        <f aca="false">IF(OR(L337="",Q337=""),"",(L337-Q337)*10000)</f>
        <v>349.8</v>
      </c>
      <c r="S337" s="30" t="n">
        <f aca="false">IF(AND(K337="고정",N337="N",J337&gt;=2,J337&lt;=4,I337&lt;&gt;""),1,0)</f>
        <v>1</v>
      </c>
      <c r="T337" s="59" t="n">
        <f aca="false">IF(S337=1,I337*L337,0)</f>
        <v>55</v>
      </c>
      <c r="U337" s="60" t="n">
        <f aca="false">IF(AND(S337=1,ISNUMBER(R337)),I337*R337,0)</f>
        <v>349800</v>
      </c>
      <c r="V337" s="30" t="n">
        <f aca="false">IF(AND(F337="Big4(국영)",K337="고정",N337="N",I337&lt;&gt;""),1,0)</f>
        <v>0</v>
      </c>
      <c r="W337" s="59" t="n">
        <f aca="false">IF(V337=1,I337*L337,0)</f>
        <v>0</v>
      </c>
      <c r="X337" s="60" t="n">
        <f aca="false">IF(AND(V337=1,ISNUMBER(R337)),I337*R337,0)</f>
        <v>0</v>
      </c>
      <c r="Y337" s="61" t="n">
        <f aca="false">IF(AND(S337=1,ISNUMBER(R337)),I337,0)</f>
        <v>1000</v>
      </c>
      <c r="Z337" s="61" t="n">
        <f aca="false">IF(AND(V337=1,ISNUMBER(R337)),I337,0)</f>
        <v>0</v>
      </c>
    </row>
    <row r="338" customFormat="false" ht="15" hidden="false" customHeight="false" outlineLevel="0" collapsed="false">
      <c r="A338" s="47" t="s">
        <v>698</v>
      </c>
      <c r="B338" s="52" t="n">
        <v>45546</v>
      </c>
      <c r="C338" s="53" t="n">
        <f aca="false">DATE(YEAR(B338),MONTH(B338),1)</f>
        <v>45536</v>
      </c>
      <c r="D338" s="5" t="str">
        <f aca="false">YEAR(B338)&amp;"Q"&amp;ROUNDUP(MONTH(B338)/3,0)</f>
        <v>2024Q3</v>
      </c>
      <c r="E338" s="47" t="s">
        <v>365</v>
      </c>
      <c r="F338" s="54" t="s">
        <v>139</v>
      </c>
      <c r="G338" s="47" t="s">
        <v>366</v>
      </c>
      <c r="H338" s="47" t="s">
        <v>711</v>
      </c>
      <c r="I338" s="55" t="n">
        <v>230</v>
      </c>
      <c r="J338" s="56" t="n">
        <v>10</v>
      </c>
      <c r="K338" s="54" t="s">
        <v>153</v>
      </c>
      <c r="N338" s="47" t="s">
        <v>143</v>
      </c>
      <c r="O338" s="47" t="s">
        <v>666</v>
      </c>
      <c r="P338" s="47"/>
      <c r="Q338" s="48" t="n">
        <f aca="false">IF($J338="","",IFERROR(IF($J338&lt;=1,INDEX(VN_국채일별!$B$4:$B$1436,MATCH($B338,VN_국채일별!$A$4:$A$1436,1)),IF($J338&lt;=2,INDEX(VN_국채일별!$B$4:$B$1436,MATCH($B338,VN_국채일별!$A$4:$A$1436,1))+(INDEX(VN_국채일별!$C$4:$C$1436,MATCH($B338,VN_국채일별!$A$4:$A$1436,1))-INDEX(VN_국채일별!$B$4:$B$1436,MATCH($B338,VN_국채일별!$A$4:$A$1436,1)))*($J338-1),IF($J338&lt;=3,INDEX(VN_국채일별!$C$4:$C$1436,MATCH($B338,VN_국채일별!$A$4:$A$1436,1))+(INDEX(VN_국채일별!$D$4:$D$1436,MATCH($B338,VN_국채일별!$A$4:$A$1436,1))-INDEX(VN_국채일별!$C$4:$C$1436,MATCH($B338,VN_국채일별!$A$4:$A$1436,1)))*($J338-2),IF($J338&lt;=5,INDEX(VN_국채일별!$D$4:$D$1436,MATCH($B338,VN_국채일별!$A$4:$A$1436,1))+(INDEX(VN_국채일별!$E$4:$E$1436,MATCH($B338,VN_국채일별!$A$4:$A$1436,1))-INDEX(VN_국채일별!$D$4:$D$1436,MATCH($B338,VN_국채일별!$A$4:$A$1436,1)))*($J338-3)/2,IF($J338&lt;=7,INDEX(VN_국채일별!$E$4:$E$1436,MATCH($B338,VN_국채일별!$A$4:$A$1436,1))+(INDEX(VN_국채일별!$F$4:$F$1436,MATCH($B338,VN_국채일별!$A$4:$A$1436,1))-INDEX(VN_국채일별!$E$4:$E$1436,MATCH($B338,VN_국채일별!$A$4:$A$1436,1)))*($J338-5)/2,IF($J338&lt;=10,INDEX(VN_국채일별!$F$4:$F$1436,MATCH($B338,VN_국채일별!$A$4:$A$1436,1))+(INDEX(VN_국채일별!$G$4:$G$1436,MATCH($B338,VN_국채일별!$A$4:$A$1436,1))-INDEX(VN_국채일별!$F$4:$F$1436,MATCH($B338,VN_국채일별!$A$4:$A$1436,1)))*($J338-7)/3,INDEX(VN_국채일별!$G$4:$G$1436,MATCH($B338,VN_국채일별!$A$4:$A$1436,1)))))))),""))</f>
        <v>0.02734</v>
      </c>
      <c r="R338" s="58" t="str">
        <f aca="false">IF(OR(L338="",Q338=""),"",(L338-Q338)*10000)</f>
        <v/>
      </c>
      <c r="S338" s="30" t="n">
        <f aca="false">IF(AND(K338="고정",N338="N",J338&gt;=2,J338&lt;=4,I338&lt;&gt;""),1,0)</f>
        <v>0</v>
      </c>
      <c r="T338" s="59" t="n">
        <f aca="false">IF(S338=1,I338*L338,0)</f>
        <v>0</v>
      </c>
      <c r="U338" s="60" t="n">
        <f aca="false">IF(AND(S338=1,ISNUMBER(R338)),I338*R338,0)</f>
        <v>0</v>
      </c>
      <c r="V338" s="30" t="n">
        <f aca="false">IF(AND(F338="Big4(국영)",K338="고정",N338="N",I338&lt;&gt;""),1,0)</f>
        <v>0</v>
      </c>
      <c r="W338" s="59" t="n">
        <f aca="false">IF(V338=1,I338*L338,0)</f>
        <v>0</v>
      </c>
      <c r="X338" s="60" t="n">
        <f aca="false">IF(AND(V338=1,ISNUMBER(R338)),I338*R338,0)</f>
        <v>0</v>
      </c>
      <c r="Y338" s="61" t="n">
        <f aca="false">IF(AND(S338=1,ISNUMBER(R338)),I338,0)</f>
        <v>0</v>
      </c>
      <c r="Z338" s="61" t="n">
        <f aca="false">IF(AND(V338=1,ISNUMBER(R338)),I338,0)</f>
        <v>0</v>
      </c>
    </row>
    <row r="339" customFormat="false" ht="15" hidden="false" customHeight="false" outlineLevel="0" collapsed="false">
      <c r="A339" s="47" t="s">
        <v>698</v>
      </c>
      <c r="B339" s="52" t="n">
        <v>45546</v>
      </c>
      <c r="C339" s="53" t="n">
        <f aca="false">DATE(YEAR(B339),MONTH(B339),1)</f>
        <v>45536</v>
      </c>
      <c r="D339" s="5" t="str">
        <f aca="false">YEAR(B339)&amp;"Q"&amp;ROUNDUP(MONTH(B339)/3,0)</f>
        <v>2024Q3</v>
      </c>
      <c r="E339" s="62" t="s">
        <v>173</v>
      </c>
      <c r="F339" s="62" t="s">
        <v>156</v>
      </c>
      <c r="G339" s="47" t="s">
        <v>174</v>
      </c>
      <c r="H339" s="47" t="s">
        <v>712</v>
      </c>
      <c r="I339" s="55" t="n">
        <v>2000</v>
      </c>
      <c r="J339" s="56" t="n">
        <v>10</v>
      </c>
      <c r="K339" s="54" t="s">
        <v>153</v>
      </c>
      <c r="N339" s="47" t="s">
        <v>143</v>
      </c>
      <c r="O339" s="47" t="s">
        <v>618</v>
      </c>
      <c r="P339" s="47"/>
      <c r="Q339" s="48" t="n">
        <f aca="false">IF($J339="","",IFERROR(IF($J339&lt;=1,INDEX(VN_국채일별!$B$4:$B$1436,MATCH($B339,VN_국채일별!$A$4:$A$1436,1)),IF($J339&lt;=2,INDEX(VN_국채일별!$B$4:$B$1436,MATCH($B339,VN_국채일별!$A$4:$A$1436,1))+(INDEX(VN_국채일별!$C$4:$C$1436,MATCH($B339,VN_국채일별!$A$4:$A$1436,1))-INDEX(VN_국채일별!$B$4:$B$1436,MATCH($B339,VN_국채일별!$A$4:$A$1436,1)))*($J339-1),IF($J339&lt;=3,INDEX(VN_국채일별!$C$4:$C$1436,MATCH($B339,VN_국채일별!$A$4:$A$1436,1))+(INDEX(VN_국채일별!$D$4:$D$1436,MATCH($B339,VN_국채일별!$A$4:$A$1436,1))-INDEX(VN_국채일별!$C$4:$C$1436,MATCH($B339,VN_국채일별!$A$4:$A$1436,1)))*($J339-2),IF($J339&lt;=5,INDEX(VN_국채일별!$D$4:$D$1436,MATCH($B339,VN_국채일별!$A$4:$A$1436,1))+(INDEX(VN_국채일별!$E$4:$E$1436,MATCH($B339,VN_국채일별!$A$4:$A$1436,1))-INDEX(VN_국채일별!$D$4:$D$1436,MATCH($B339,VN_국채일별!$A$4:$A$1436,1)))*($J339-3)/2,IF($J339&lt;=7,INDEX(VN_국채일별!$E$4:$E$1436,MATCH($B339,VN_국채일별!$A$4:$A$1436,1))+(INDEX(VN_국채일별!$F$4:$F$1436,MATCH($B339,VN_국채일별!$A$4:$A$1436,1))-INDEX(VN_국채일별!$E$4:$E$1436,MATCH($B339,VN_국채일별!$A$4:$A$1436,1)))*($J339-5)/2,IF($J339&lt;=10,INDEX(VN_국채일별!$F$4:$F$1436,MATCH($B339,VN_국채일별!$A$4:$A$1436,1))+(INDEX(VN_국채일별!$G$4:$G$1436,MATCH($B339,VN_국채일별!$A$4:$A$1436,1))-INDEX(VN_국채일별!$F$4:$F$1436,MATCH($B339,VN_국채일별!$A$4:$A$1436,1)))*($J339-7)/3,INDEX(VN_국채일별!$G$4:$G$1436,MATCH($B339,VN_국채일별!$A$4:$A$1436,1)))))))),""))</f>
        <v>0.02734</v>
      </c>
      <c r="R339" s="58" t="str">
        <f aca="false">IF(OR(L339="",Q339=""),"",(L339-Q339)*10000)</f>
        <v/>
      </c>
      <c r="S339" s="30" t="n">
        <f aca="false">IF(AND(K339="고정",N339="N",J339&gt;=2,J339&lt;=4,I339&lt;&gt;""),1,0)</f>
        <v>0</v>
      </c>
      <c r="T339" s="59" t="n">
        <f aca="false">IF(S339=1,I339*L339,0)</f>
        <v>0</v>
      </c>
      <c r="U339" s="60" t="n">
        <f aca="false">IF(AND(S339=1,ISNUMBER(R339)),I339*R339,0)</f>
        <v>0</v>
      </c>
      <c r="V339" s="30" t="n">
        <f aca="false">IF(AND(F339="Big4(국영)",K339="고정",N339="N",I339&lt;&gt;""),1,0)</f>
        <v>0</v>
      </c>
      <c r="W339" s="59" t="n">
        <f aca="false">IF(V339=1,I339*L339,0)</f>
        <v>0</v>
      </c>
      <c r="X339" s="60" t="n">
        <f aca="false">IF(AND(V339=1,ISNUMBER(R339)),I339*R339,0)</f>
        <v>0</v>
      </c>
      <c r="Y339" s="61" t="n">
        <f aca="false">IF(AND(S339=1,ISNUMBER(R339)),I339,0)</f>
        <v>0</v>
      </c>
      <c r="Z339" s="61" t="n">
        <f aca="false">IF(AND(V339=1,ISNUMBER(R339)),I339,0)</f>
        <v>0</v>
      </c>
    </row>
    <row r="340" customFormat="false" ht="15" hidden="false" customHeight="false" outlineLevel="0" collapsed="false">
      <c r="A340" s="47" t="s">
        <v>698</v>
      </c>
      <c r="B340" s="52" t="n">
        <v>45547</v>
      </c>
      <c r="C340" s="53" t="n">
        <f aca="false">DATE(YEAR(B340),MONTH(B340),1)</f>
        <v>45536</v>
      </c>
      <c r="D340" s="5" t="str">
        <f aca="false">YEAR(B340)&amp;"Q"&amp;ROUNDUP(MONTH(B340)/3,0)</f>
        <v>2024Q3</v>
      </c>
      <c r="E340" s="47" t="s">
        <v>181</v>
      </c>
      <c r="F340" s="54" t="s">
        <v>139</v>
      </c>
      <c r="G340" s="47" t="s">
        <v>182</v>
      </c>
      <c r="H340" s="47" t="s">
        <v>713</v>
      </c>
      <c r="I340" s="55" t="n">
        <v>2500</v>
      </c>
      <c r="J340" s="56" t="n">
        <v>3</v>
      </c>
      <c r="K340" s="54" t="s">
        <v>142</v>
      </c>
      <c r="L340" s="57" t="n">
        <v>0.055</v>
      </c>
      <c r="N340" s="47" t="s">
        <v>148</v>
      </c>
      <c r="O340" s="47" t="s">
        <v>591</v>
      </c>
      <c r="P340" s="47"/>
      <c r="Q340" s="48" t="n">
        <f aca="false">IF($J340="","",IFERROR(IF($J340&lt;=1,INDEX(VN_국채일별!$B$4:$B$1436,MATCH($B340,VN_국채일별!$A$4:$A$1436,1)),IF($J340&lt;=2,INDEX(VN_국채일별!$B$4:$B$1436,MATCH($B340,VN_국채일별!$A$4:$A$1436,1))+(INDEX(VN_국채일별!$C$4:$C$1436,MATCH($B340,VN_국채일별!$A$4:$A$1436,1))-INDEX(VN_국채일별!$B$4:$B$1436,MATCH($B340,VN_국채일별!$A$4:$A$1436,1)))*($J340-1),IF($J340&lt;=3,INDEX(VN_국채일별!$C$4:$C$1436,MATCH($B340,VN_국채일별!$A$4:$A$1436,1))+(INDEX(VN_국채일별!$D$4:$D$1436,MATCH($B340,VN_국채일별!$A$4:$A$1436,1))-INDEX(VN_국채일별!$C$4:$C$1436,MATCH($B340,VN_국채일별!$A$4:$A$1436,1)))*($J340-2),IF($J340&lt;=5,INDEX(VN_국채일별!$D$4:$D$1436,MATCH($B340,VN_국채일별!$A$4:$A$1436,1))+(INDEX(VN_국채일별!$E$4:$E$1436,MATCH($B340,VN_국채일별!$A$4:$A$1436,1))-INDEX(VN_국채일별!$D$4:$D$1436,MATCH($B340,VN_국채일별!$A$4:$A$1436,1)))*($J340-3)/2,IF($J340&lt;=7,INDEX(VN_국채일별!$E$4:$E$1436,MATCH($B340,VN_국채일별!$A$4:$A$1436,1))+(INDEX(VN_국채일별!$F$4:$F$1436,MATCH($B340,VN_국채일별!$A$4:$A$1436,1))-INDEX(VN_국채일별!$E$4:$E$1436,MATCH($B340,VN_국채일별!$A$4:$A$1436,1)))*($J340-5)/2,IF($J340&lt;=10,INDEX(VN_국채일별!$F$4:$F$1436,MATCH($B340,VN_국채일별!$A$4:$A$1436,1))+(INDEX(VN_국채일별!$G$4:$G$1436,MATCH($B340,VN_국채일별!$A$4:$A$1436,1))-INDEX(VN_국채일별!$F$4:$F$1436,MATCH($B340,VN_국채일별!$A$4:$A$1436,1)))*($J340-7)/3,INDEX(VN_국채일별!$G$4:$G$1436,MATCH($B340,VN_국채일별!$A$4:$A$1436,1)))))))),""))</f>
        <v>0.02002</v>
      </c>
      <c r="R340" s="58" t="n">
        <f aca="false">IF(OR(L340="",Q340=""),"",(L340-Q340)*10000)</f>
        <v>349.8</v>
      </c>
      <c r="S340" s="30" t="n">
        <f aca="false">IF(AND(K340="고정",N340="N",J340&gt;=2,J340&lt;=4,I340&lt;&gt;""),1,0)</f>
        <v>1</v>
      </c>
      <c r="T340" s="59" t="n">
        <f aca="false">IF(S340=1,I340*L340,0)</f>
        <v>137.5</v>
      </c>
      <c r="U340" s="60" t="n">
        <f aca="false">IF(AND(S340=1,ISNUMBER(R340)),I340*R340,0)</f>
        <v>874500</v>
      </c>
      <c r="V340" s="30" t="n">
        <f aca="false">IF(AND(F340="Big4(국영)",K340="고정",N340="N",I340&lt;&gt;""),1,0)</f>
        <v>0</v>
      </c>
      <c r="W340" s="59" t="n">
        <f aca="false">IF(V340=1,I340*L340,0)</f>
        <v>0</v>
      </c>
      <c r="X340" s="60" t="n">
        <f aca="false">IF(AND(V340=1,ISNUMBER(R340)),I340*R340,0)</f>
        <v>0</v>
      </c>
      <c r="Y340" s="61" t="n">
        <f aca="false">IF(AND(S340=1,ISNUMBER(R340)),I340,0)</f>
        <v>2500</v>
      </c>
      <c r="Z340" s="61" t="n">
        <f aca="false">IF(AND(V340=1,ISNUMBER(R340)),I340,0)</f>
        <v>0</v>
      </c>
    </row>
    <row r="341" customFormat="false" ht="15" hidden="false" customHeight="false" outlineLevel="0" collapsed="false">
      <c r="A341" s="47" t="s">
        <v>698</v>
      </c>
      <c r="B341" s="52" t="n">
        <v>45548</v>
      </c>
      <c r="C341" s="53" t="n">
        <f aca="false">DATE(YEAR(B341),MONTH(B341),1)</f>
        <v>45536</v>
      </c>
      <c r="D341" s="5" t="str">
        <f aca="false">YEAR(B341)&amp;"Q"&amp;ROUNDUP(MONTH(B341)/3,0)</f>
        <v>2024Q3</v>
      </c>
      <c r="E341" s="47" t="s">
        <v>242</v>
      </c>
      <c r="F341" s="54" t="s">
        <v>139</v>
      </c>
      <c r="G341" s="47" t="s">
        <v>686</v>
      </c>
      <c r="H341" s="47" t="s">
        <v>714</v>
      </c>
      <c r="I341" s="55" t="n">
        <v>420</v>
      </c>
      <c r="J341" s="56" t="n">
        <v>7</v>
      </c>
      <c r="K341" s="54" t="s">
        <v>153</v>
      </c>
      <c r="N341" s="47" t="s">
        <v>143</v>
      </c>
      <c r="O341" s="47" t="s">
        <v>688</v>
      </c>
      <c r="P341" s="47"/>
      <c r="Q341" s="48" t="n">
        <f aca="false">IF($J341="","",IFERROR(IF($J341&lt;=1,INDEX(VN_국채일별!$B$4:$B$1436,MATCH($B341,VN_국채일별!$A$4:$A$1436,1)),IF($J341&lt;=2,INDEX(VN_국채일별!$B$4:$B$1436,MATCH($B341,VN_국채일별!$A$4:$A$1436,1))+(INDEX(VN_국채일별!$C$4:$C$1436,MATCH($B341,VN_국채일별!$A$4:$A$1436,1))-INDEX(VN_국채일별!$B$4:$B$1436,MATCH($B341,VN_국채일별!$A$4:$A$1436,1)))*($J341-1),IF($J341&lt;=3,INDEX(VN_국채일별!$C$4:$C$1436,MATCH($B341,VN_국채일별!$A$4:$A$1436,1))+(INDEX(VN_국채일별!$D$4:$D$1436,MATCH($B341,VN_국채일별!$A$4:$A$1436,1))-INDEX(VN_국채일별!$C$4:$C$1436,MATCH($B341,VN_국채일별!$A$4:$A$1436,1)))*($J341-2),IF($J341&lt;=5,INDEX(VN_국채일별!$D$4:$D$1436,MATCH($B341,VN_국채일별!$A$4:$A$1436,1))+(INDEX(VN_국채일별!$E$4:$E$1436,MATCH($B341,VN_국채일별!$A$4:$A$1436,1))-INDEX(VN_국채일별!$D$4:$D$1436,MATCH($B341,VN_국채일별!$A$4:$A$1436,1)))*($J341-3)/2,IF($J341&lt;=7,INDEX(VN_국채일별!$E$4:$E$1436,MATCH($B341,VN_국채일별!$A$4:$A$1436,1))+(INDEX(VN_국채일별!$F$4:$F$1436,MATCH($B341,VN_국채일별!$A$4:$A$1436,1))-INDEX(VN_국채일별!$E$4:$E$1436,MATCH($B341,VN_국채일별!$A$4:$A$1436,1)))*($J341-5)/2,IF($J341&lt;=10,INDEX(VN_국채일별!$F$4:$F$1436,MATCH($B341,VN_국채일별!$A$4:$A$1436,1))+(INDEX(VN_국채일별!$G$4:$G$1436,MATCH($B341,VN_국채일별!$A$4:$A$1436,1))-INDEX(VN_국채일별!$F$4:$F$1436,MATCH($B341,VN_국채일별!$A$4:$A$1436,1)))*($J341-7)/3,INDEX(VN_국채일별!$G$4:$G$1436,MATCH($B341,VN_국채일별!$A$4:$A$1436,1)))))))),""))</f>
        <v>0.0226</v>
      </c>
      <c r="R341" s="58" t="str">
        <f aca="false">IF(OR(L341="",Q341=""),"",(L341-Q341)*10000)</f>
        <v/>
      </c>
      <c r="S341" s="30" t="n">
        <f aca="false">IF(AND(K341="고정",N341="N",J341&gt;=2,J341&lt;=4,I341&lt;&gt;""),1,0)</f>
        <v>0</v>
      </c>
      <c r="T341" s="59" t="n">
        <f aca="false">IF(S341=1,I341*L341,0)</f>
        <v>0</v>
      </c>
      <c r="U341" s="60" t="n">
        <f aca="false">IF(AND(S341=1,ISNUMBER(R341)),I341*R341,0)</f>
        <v>0</v>
      </c>
      <c r="V341" s="30" t="n">
        <f aca="false">IF(AND(F341="Big4(국영)",K341="고정",N341="N",I341&lt;&gt;""),1,0)</f>
        <v>0</v>
      </c>
      <c r="W341" s="59" t="n">
        <f aca="false">IF(V341=1,I341*L341,0)</f>
        <v>0</v>
      </c>
      <c r="X341" s="60" t="n">
        <f aca="false">IF(AND(V341=1,ISNUMBER(R341)),I341*R341,0)</f>
        <v>0</v>
      </c>
      <c r="Y341" s="61" t="n">
        <f aca="false">IF(AND(S341=1,ISNUMBER(R341)),I341,0)</f>
        <v>0</v>
      </c>
      <c r="Z341" s="61" t="n">
        <f aca="false">IF(AND(V341=1,ISNUMBER(R341)),I341,0)</f>
        <v>0</v>
      </c>
    </row>
    <row r="342" customFormat="false" ht="15" hidden="false" customHeight="false" outlineLevel="0" collapsed="false">
      <c r="A342" s="47" t="s">
        <v>698</v>
      </c>
      <c r="B342" s="52" t="n">
        <v>45548</v>
      </c>
      <c r="C342" s="53" t="n">
        <f aca="false">DATE(YEAR(B342),MONTH(B342),1)</f>
        <v>45536</v>
      </c>
      <c r="D342" s="5" t="str">
        <f aca="false">YEAR(B342)&amp;"Q"&amp;ROUNDUP(MONTH(B342)/3,0)</f>
        <v>2024Q3</v>
      </c>
      <c r="E342" s="47" t="s">
        <v>365</v>
      </c>
      <c r="F342" s="54" t="s">
        <v>139</v>
      </c>
      <c r="G342" s="47" t="s">
        <v>366</v>
      </c>
      <c r="H342" s="47" t="s">
        <v>715</v>
      </c>
      <c r="I342" s="55" t="n">
        <v>88.5</v>
      </c>
      <c r="J342" s="56" t="n">
        <v>10</v>
      </c>
      <c r="K342" s="54" t="s">
        <v>153</v>
      </c>
      <c r="N342" s="47" t="s">
        <v>143</v>
      </c>
      <c r="O342" s="47" t="s">
        <v>666</v>
      </c>
      <c r="P342" s="47"/>
      <c r="Q342" s="48" t="n">
        <f aca="false">IF($J342="","",IFERROR(IF($J342&lt;=1,INDEX(VN_국채일별!$B$4:$B$1436,MATCH($B342,VN_국채일별!$A$4:$A$1436,1)),IF($J342&lt;=2,INDEX(VN_국채일별!$B$4:$B$1436,MATCH($B342,VN_국채일별!$A$4:$A$1436,1))+(INDEX(VN_국채일별!$C$4:$C$1436,MATCH($B342,VN_국채일별!$A$4:$A$1436,1))-INDEX(VN_국채일별!$B$4:$B$1436,MATCH($B342,VN_국채일별!$A$4:$A$1436,1)))*($J342-1),IF($J342&lt;=3,INDEX(VN_국채일별!$C$4:$C$1436,MATCH($B342,VN_국채일별!$A$4:$A$1436,1))+(INDEX(VN_국채일별!$D$4:$D$1436,MATCH($B342,VN_국채일별!$A$4:$A$1436,1))-INDEX(VN_국채일별!$C$4:$C$1436,MATCH($B342,VN_국채일별!$A$4:$A$1436,1)))*($J342-2),IF($J342&lt;=5,INDEX(VN_국채일별!$D$4:$D$1436,MATCH($B342,VN_국채일별!$A$4:$A$1436,1))+(INDEX(VN_국채일별!$E$4:$E$1436,MATCH($B342,VN_국채일별!$A$4:$A$1436,1))-INDEX(VN_국채일별!$D$4:$D$1436,MATCH($B342,VN_국채일별!$A$4:$A$1436,1)))*($J342-3)/2,IF($J342&lt;=7,INDEX(VN_국채일별!$E$4:$E$1436,MATCH($B342,VN_국채일별!$A$4:$A$1436,1))+(INDEX(VN_국채일별!$F$4:$F$1436,MATCH($B342,VN_국채일별!$A$4:$A$1436,1))-INDEX(VN_국채일별!$E$4:$E$1436,MATCH($B342,VN_국채일별!$A$4:$A$1436,1)))*($J342-5)/2,IF($J342&lt;=10,INDEX(VN_국채일별!$F$4:$F$1436,MATCH($B342,VN_국채일별!$A$4:$A$1436,1))+(INDEX(VN_국채일별!$G$4:$G$1436,MATCH($B342,VN_국채일별!$A$4:$A$1436,1))-INDEX(VN_국채일별!$F$4:$F$1436,MATCH($B342,VN_국채일별!$A$4:$A$1436,1)))*($J342-7)/3,INDEX(VN_국채일별!$G$4:$G$1436,MATCH($B342,VN_국채일별!$A$4:$A$1436,1)))))))),""))</f>
        <v>0.02727</v>
      </c>
      <c r="R342" s="58" t="str">
        <f aca="false">IF(OR(L342="",Q342=""),"",(L342-Q342)*10000)</f>
        <v/>
      </c>
      <c r="S342" s="30" t="n">
        <f aca="false">IF(AND(K342="고정",N342="N",J342&gt;=2,J342&lt;=4,I342&lt;&gt;""),1,0)</f>
        <v>0</v>
      </c>
      <c r="T342" s="59" t="n">
        <f aca="false">IF(S342=1,I342*L342,0)</f>
        <v>0</v>
      </c>
      <c r="U342" s="60" t="n">
        <f aca="false">IF(AND(S342=1,ISNUMBER(R342)),I342*R342,0)</f>
        <v>0</v>
      </c>
      <c r="V342" s="30" t="n">
        <f aca="false">IF(AND(F342="Big4(국영)",K342="고정",N342="N",I342&lt;&gt;""),1,0)</f>
        <v>0</v>
      </c>
      <c r="W342" s="59" t="n">
        <f aca="false">IF(V342=1,I342*L342,0)</f>
        <v>0</v>
      </c>
      <c r="X342" s="60" t="n">
        <f aca="false">IF(AND(V342=1,ISNUMBER(R342)),I342*R342,0)</f>
        <v>0</v>
      </c>
      <c r="Y342" s="61" t="n">
        <f aca="false">IF(AND(S342=1,ISNUMBER(R342)),I342,0)</f>
        <v>0</v>
      </c>
      <c r="Z342" s="61" t="n">
        <f aca="false">IF(AND(V342=1,ISNUMBER(R342)),I342,0)</f>
        <v>0</v>
      </c>
    </row>
    <row r="343" customFormat="false" ht="15" hidden="false" customHeight="false" outlineLevel="0" collapsed="false">
      <c r="A343" s="47" t="s">
        <v>698</v>
      </c>
      <c r="B343" s="52" t="n">
        <v>45552</v>
      </c>
      <c r="C343" s="53" t="n">
        <f aca="false">DATE(YEAR(B343),MONTH(B343),1)</f>
        <v>45536</v>
      </c>
      <c r="D343" s="5" t="str">
        <f aca="false">YEAR(B343)&amp;"Q"&amp;ROUNDUP(MONTH(B343)/3,0)</f>
        <v>2024Q3</v>
      </c>
      <c r="E343" s="47" t="s">
        <v>150</v>
      </c>
      <c r="F343" s="54" t="s">
        <v>139</v>
      </c>
      <c r="G343" s="47" t="s">
        <v>170</v>
      </c>
      <c r="H343" s="47" t="s">
        <v>716</v>
      </c>
      <c r="I343" s="55" t="n">
        <v>2000</v>
      </c>
      <c r="J343" s="56" t="n">
        <v>3</v>
      </c>
      <c r="K343" s="54" t="s">
        <v>142</v>
      </c>
      <c r="L343" s="57" t="n">
        <v>0.052</v>
      </c>
      <c r="N343" s="47" t="s">
        <v>148</v>
      </c>
      <c r="O343" s="47" t="s">
        <v>538</v>
      </c>
      <c r="P343" s="47"/>
      <c r="Q343" s="48" t="n">
        <f aca="false">IF($J343="","",IFERROR(IF($J343&lt;=1,INDEX(VN_국채일별!$B$4:$B$1436,MATCH($B343,VN_국채일별!$A$4:$A$1436,1)),IF($J343&lt;=2,INDEX(VN_국채일별!$B$4:$B$1436,MATCH($B343,VN_국채일별!$A$4:$A$1436,1))+(INDEX(VN_국채일별!$C$4:$C$1436,MATCH($B343,VN_국채일별!$A$4:$A$1436,1))-INDEX(VN_국채일별!$B$4:$B$1436,MATCH($B343,VN_국채일별!$A$4:$A$1436,1)))*($J343-1),IF($J343&lt;=3,INDEX(VN_국채일별!$C$4:$C$1436,MATCH($B343,VN_국채일별!$A$4:$A$1436,1))+(INDEX(VN_국채일별!$D$4:$D$1436,MATCH($B343,VN_국채일별!$A$4:$A$1436,1))-INDEX(VN_국채일별!$C$4:$C$1436,MATCH($B343,VN_국채일별!$A$4:$A$1436,1)))*($J343-2),IF($J343&lt;=5,INDEX(VN_국채일별!$D$4:$D$1436,MATCH($B343,VN_국채일별!$A$4:$A$1436,1))+(INDEX(VN_국채일별!$E$4:$E$1436,MATCH($B343,VN_국채일별!$A$4:$A$1436,1))-INDEX(VN_국채일별!$D$4:$D$1436,MATCH($B343,VN_국채일별!$A$4:$A$1436,1)))*($J343-3)/2,IF($J343&lt;=7,INDEX(VN_국채일별!$E$4:$E$1436,MATCH($B343,VN_국채일별!$A$4:$A$1436,1))+(INDEX(VN_국채일별!$F$4:$F$1436,MATCH($B343,VN_국채일별!$A$4:$A$1436,1))-INDEX(VN_국채일별!$E$4:$E$1436,MATCH($B343,VN_국채일별!$A$4:$A$1436,1)))*($J343-5)/2,IF($J343&lt;=10,INDEX(VN_국채일별!$F$4:$F$1436,MATCH($B343,VN_국채일별!$A$4:$A$1436,1))+(INDEX(VN_국채일별!$G$4:$G$1436,MATCH($B343,VN_국채일별!$A$4:$A$1436,1))-INDEX(VN_국채일별!$F$4:$F$1436,MATCH($B343,VN_국채일별!$A$4:$A$1436,1)))*($J343-7)/3,INDEX(VN_국채일별!$G$4:$G$1436,MATCH($B343,VN_국채일별!$A$4:$A$1436,1)))))))),""))</f>
        <v>0.01997</v>
      </c>
      <c r="R343" s="58" t="n">
        <f aca="false">IF(OR(L343="",Q343=""),"",(L343-Q343)*10000)</f>
        <v>320.3</v>
      </c>
      <c r="S343" s="30" t="n">
        <f aca="false">IF(AND(K343="고정",N343="N",J343&gt;=2,J343&lt;=4,I343&lt;&gt;""),1,0)</f>
        <v>1</v>
      </c>
      <c r="T343" s="59" t="n">
        <f aca="false">IF(S343=1,I343*L343,0)</f>
        <v>104</v>
      </c>
      <c r="U343" s="60" t="n">
        <f aca="false">IF(AND(S343=1,ISNUMBER(R343)),I343*R343,0)</f>
        <v>640600</v>
      </c>
      <c r="V343" s="30" t="n">
        <f aca="false">IF(AND(F343="Big4(국영)",K343="고정",N343="N",I343&lt;&gt;""),1,0)</f>
        <v>0</v>
      </c>
      <c r="W343" s="59" t="n">
        <f aca="false">IF(V343=1,I343*L343,0)</f>
        <v>0</v>
      </c>
      <c r="X343" s="60" t="n">
        <f aca="false">IF(AND(V343=1,ISNUMBER(R343)),I343*R343,0)</f>
        <v>0</v>
      </c>
      <c r="Y343" s="61" t="n">
        <f aca="false">IF(AND(S343=1,ISNUMBER(R343)),I343,0)</f>
        <v>2000</v>
      </c>
      <c r="Z343" s="61" t="n">
        <f aca="false">IF(AND(V343=1,ISNUMBER(R343)),I343,0)</f>
        <v>0</v>
      </c>
    </row>
    <row r="344" customFormat="false" ht="15" hidden="false" customHeight="false" outlineLevel="0" collapsed="false">
      <c r="A344" s="47" t="s">
        <v>698</v>
      </c>
      <c r="B344" s="52" t="n">
        <v>45552</v>
      </c>
      <c r="C344" s="53" t="n">
        <f aca="false">DATE(YEAR(B344),MONTH(B344),1)</f>
        <v>45536</v>
      </c>
      <c r="D344" s="5" t="str">
        <f aca="false">YEAR(B344)&amp;"Q"&amp;ROUNDUP(MONTH(B344)/3,0)</f>
        <v>2024Q3</v>
      </c>
      <c r="E344" s="47" t="s">
        <v>248</v>
      </c>
      <c r="F344" s="54" t="s">
        <v>139</v>
      </c>
      <c r="G344" s="47" t="s">
        <v>361</v>
      </c>
      <c r="H344" s="47" t="s">
        <v>717</v>
      </c>
      <c r="I344" s="55" t="n">
        <v>500</v>
      </c>
      <c r="J344" s="56" t="n">
        <v>3</v>
      </c>
      <c r="K344" s="54" t="s">
        <v>142</v>
      </c>
      <c r="L344" s="57" t="n">
        <v>0.052</v>
      </c>
      <c r="N344" s="47" t="s">
        <v>148</v>
      </c>
      <c r="O344" s="47" t="s">
        <v>538</v>
      </c>
      <c r="P344" s="47"/>
      <c r="Q344" s="48" t="n">
        <f aca="false">IF($J344="","",IFERROR(IF($J344&lt;=1,INDEX(VN_국채일별!$B$4:$B$1436,MATCH($B344,VN_국채일별!$A$4:$A$1436,1)),IF($J344&lt;=2,INDEX(VN_국채일별!$B$4:$B$1436,MATCH($B344,VN_국채일별!$A$4:$A$1436,1))+(INDEX(VN_국채일별!$C$4:$C$1436,MATCH($B344,VN_국채일별!$A$4:$A$1436,1))-INDEX(VN_국채일별!$B$4:$B$1436,MATCH($B344,VN_국채일별!$A$4:$A$1436,1)))*($J344-1),IF($J344&lt;=3,INDEX(VN_국채일별!$C$4:$C$1436,MATCH($B344,VN_국채일별!$A$4:$A$1436,1))+(INDEX(VN_국채일별!$D$4:$D$1436,MATCH($B344,VN_국채일별!$A$4:$A$1436,1))-INDEX(VN_국채일별!$C$4:$C$1436,MATCH($B344,VN_국채일별!$A$4:$A$1436,1)))*($J344-2),IF($J344&lt;=5,INDEX(VN_국채일별!$D$4:$D$1436,MATCH($B344,VN_국채일별!$A$4:$A$1436,1))+(INDEX(VN_국채일별!$E$4:$E$1436,MATCH($B344,VN_국채일별!$A$4:$A$1436,1))-INDEX(VN_국채일별!$D$4:$D$1436,MATCH($B344,VN_국채일별!$A$4:$A$1436,1)))*($J344-3)/2,IF($J344&lt;=7,INDEX(VN_국채일별!$E$4:$E$1436,MATCH($B344,VN_국채일별!$A$4:$A$1436,1))+(INDEX(VN_국채일별!$F$4:$F$1436,MATCH($B344,VN_국채일별!$A$4:$A$1436,1))-INDEX(VN_국채일별!$E$4:$E$1436,MATCH($B344,VN_국채일별!$A$4:$A$1436,1)))*($J344-5)/2,IF($J344&lt;=10,INDEX(VN_국채일별!$F$4:$F$1436,MATCH($B344,VN_국채일별!$A$4:$A$1436,1))+(INDEX(VN_국채일별!$G$4:$G$1436,MATCH($B344,VN_국채일별!$A$4:$A$1436,1))-INDEX(VN_국채일별!$F$4:$F$1436,MATCH($B344,VN_국채일별!$A$4:$A$1436,1)))*($J344-7)/3,INDEX(VN_국채일별!$G$4:$G$1436,MATCH($B344,VN_국채일별!$A$4:$A$1436,1)))))))),""))</f>
        <v>0.01997</v>
      </c>
      <c r="R344" s="58" t="n">
        <f aca="false">IF(OR(L344="",Q344=""),"",(L344-Q344)*10000)</f>
        <v>320.3</v>
      </c>
      <c r="S344" s="30" t="n">
        <f aca="false">IF(AND(K344="고정",N344="N",J344&gt;=2,J344&lt;=4,I344&lt;&gt;""),1,0)</f>
        <v>1</v>
      </c>
      <c r="T344" s="59" t="n">
        <f aca="false">IF(S344=1,I344*L344,0)</f>
        <v>26</v>
      </c>
      <c r="U344" s="60" t="n">
        <f aca="false">IF(AND(S344=1,ISNUMBER(R344)),I344*R344,0)</f>
        <v>160150</v>
      </c>
      <c r="V344" s="30" t="n">
        <f aca="false">IF(AND(F344="Big4(국영)",K344="고정",N344="N",I344&lt;&gt;""),1,0)</f>
        <v>0</v>
      </c>
      <c r="W344" s="59" t="n">
        <f aca="false">IF(V344=1,I344*L344,0)</f>
        <v>0</v>
      </c>
      <c r="X344" s="60" t="n">
        <f aca="false">IF(AND(V344=1,ISNUMBER(R344)),I344*R344,0)</f>
        <v>0</v>
      </c>
      <c r="Y344" s="61" t="n">
        <f aca="false">IF(AND(S344=1,ISNUMBER(R344)),I344,0)</f>
        <v>500</v>
      </c>
      <c r="Z344" s="61" t="n">
        <f aca="false">IF(AND(V344=1,ISNUMBER(R344)),I344,0)</f>
        <v>0</v>
      </c>
    </row>
    <row r="345" customFormat="false" ht="15" hidden="false" customHeight="false" outlineLevel="0" collapsed="false">
      <c r="A345" s="47" t="s">
        <v>698</v>
      </c>
      <c r="B345" s="52" t="n">
        <v>45552</v>
      </c>
      <c r="C345" s="53" t="n">
        <f aca="false">DATE(YEAR(B345),MONTH(B345),1)</f>
        <v>45536</v>
      </c>
      <c r="D345" s="5" t="str">
        <f aca="false">YEAR(B345)&amp;"Q"&amp;ROUNDUP(MONTH(B345)/3,0)</f>
        <v>2024Q3</v>
      </c>
      <c r="E345" s="47" t="s">
        <v>248</v>
      </c>
      <c r="F345" s="54" t="s">
        <v>139</v>
      </c>
      <c r="G345" s="47" t="s">
        <v>361</v>
      </c>
      <c r="H345" s="47" t="s">
        <v>718</v>
      </c>
      <c r="I345" s="55" t="n">
        <v>1000</v>
      </c>
      <c r="J345" s="56" t="n">
        <v>8</v>
      </c>
      <c r="K345" s="54" t="s">
        <v>153</v>
      </c>
      <c r="N345" s="47" t="s">
        <v>143</v>
      </c>
      <c r="O345" s="47" t="s">
        <v>411</v>
      </c>
      <c r="P345" s="47"/>
      <c r="Q345" s="48" t="n">
        <f aca="false">IF($J345="","",IFERROR(IF($J345&lt;=1,INDEX(VN_국채일별!$B$4:$B$1436,MATCH($B345,VN_국채일별!$A$4:$A$1436,1)),IF($J345&lt;=2,INDEX(VN_국채일별!$B$4:$B$1436,MATCH($B345,VN_국채일별!$A$4:$A$1436,1))+(INDEX(VN_국채일별!$C$4:$C$1436,MATCH($B345,VN_국채일별!$A$4:$A$1436,1))-INDEX(VN_국채일별!$B$4:$B$1436,MATCH($B345,VN_국채일별!$A$4:$A$1436,1)))*($J345-1),IF($J345&lt;=3,INDEX(VN_국채일별!$C$4:$C$1436,MATCH($B345,VN_국채일별!$A$4:$A$1436,1))+(INDEX(VN_국채일별!$D$4:$D$1436,MATCH($B345,VN_국채일별!$A$4:$A$1436,1))-INDEX(VN_국채일별!$C$4:$C$1436,MATCH($B345,VN_국채일별!$A$4:$A$1436,1)))*($J345-2),IF($J345&lt;=5,INDEX(VN_국채일별!$D$4:$D$1436,MATCH($B345,VN_국채일별!$A$4:$A$1436,1))+(INDEX(VN_국채일별!$E$4:$E$1436,MATCH($B345,VN_국채일별!$A$4:$A$1436,1))-INDEX(VN_국채일별!$D$4:$D$1436,MATCH($B345,VN_국채일별!$A$4:$A$1436,1)))*($J345-3)/2,IF($J345&lt;=7,INDEX(VN_국채일별!$E$4:$E$1436,MATCH($B345,VN_국채일별!$A$4:$A$1436,1))+(INDEX(VN_국채일별!$F$4:$F$1436,MATCH($B345,VN_국채일별!$A$4:$A$1436,1))-INDEX(VN_국채일별!$E$4:$E$1436,MATCH($B345,VN_국채일별!$A$4:$A$1436,1)))*($J345-5)/2,IF($J345&lt;=10,INDEX(VN_국채일별!$F$4:$F$1436,MATCH($B345,VN_국채일별!$A$4:$A$1436,1))+(INDEX(VN_국채일별!$G$4:$G$1436,MATCH($B345,VN_국채일별!$A$4:$A$1436,1))-INDEX(VN_국채일별!$F$4:$F$1436,MATCH($B345,VN_국채일별!$A$4:$A$1436,1)))*($J345-7)/3,INDEX(VN_국채일별!$G$4:$G$1436,MATCH($B345,VN_국채일별!$A$4:$A$1436,1)))))))),""))</f>
        <v>0.0238666666666667</v>
      </c>
      <c r="R345" s="58" t="str">
        <f aca="false">IF(OR(L345="",Q345=""),"",(L345-Q345)*10000)</f>
        <v/>
      </c>
      <c r="S345" s="30" t="n">
        <f aca="false">IF(AND(K345="고정",N345="N",J345&gt;=2,J345&lt;=4,I345&lt;&gt;""),1,0)</f>
        <v>0</v>
      </c>
      <c r="T345" s="59" t="n">
        <f aca="false">IF(S345=1,I345*L345,0)</f>
        <v>0</v>
      </c>
      <c r="U345" s="60" t="n">
        <f aca="false">IF(AND(S345=1,ISNUMBER(R345)),I345*R345,0)</f>
        <v>0</v>
      </c>
      <c r="V345" s="30" t="n">
        <f aca="false">IF(AND(F345="Big4(국영)",K345="고정",N345="N",I345&lt;&gt;""),1,0)</f>
        <v>0</v>
      </c>
      <c r="W345" s="59" t="n">
        <f aca="false">IF(V345=1,I345*L345,0)</f>
        <v>0</v>
      </c>
      <c r="X345" s="60" t="n">
        <f aca="false">IF(AND(V345=1,ISNUMBER(R345)),I345*R345,0)</f>
        <v>0</v>
      </c>
      <c r="Y345" s="61" t="n">
        <f aca="false">IF(AND(S345=1,ISNUMBER(R345)),I345,0)</f>
        <v>0</v>
      </c>
      <c r="Z345" s="61" t="n">
        <f aca="false">IF(AND(V345=1,ISNUMBER(R345)),I345,0)</f>
        <v>0</v>
      </c>
    </row>
    <row r="346" customFormat="false" ht="15" hidden="false" customHeight="false" outlineLevel="0" collapsed="false">
      <c r="A346" s="47" t="s">
        <v>698</v>
      </c>
      <c r="B346" s="52" t="n">
        <v>45560</v>
      </c>
      <c r="C346" s="53" t="n">
        <f aca="false">DATE(YEAR(B346),MONTH(B346),1)</f>
        <v>45536</v>
      </c>
      <c r="D346" s="5" t="str">
        <f aca="false">YEAR(B346)&amp;"Q"&amp;ROUNDUP(MONTH(B346)/3,0)</f>
        <v>2024Q3</v>
      </c>
      <c r="E346" s="47" t="s">
        <v>248</v>
      </c>
      <c r="F346" s="54" t="s">
        <v>139</v>
      </c>
      <c r="G346" s="47" t="s">
        <v>361</v>
      </c>
      <c r="H346" s="47" t="s">
        <v>719</v>
      </c>
      <c r="I346" s="55" t="n">
        <v>1000</v>
      </c>
      <c r="J346" s="56" t="n">
        <v>3</v>
      </c>
      <c r="K346" s="54" t="s">
        <v>142</v>
      </c>
      <c r="L346" s="57" t="n">
        <v>0.056</v>
      </c>
      <c r="N346" s="47" t="s">
        <v>148</v>
      </c>
      <c r="O346" s="47" t="s">
        <v>660</v>
      </c>
      <c r="P346" s="47"/>
      <c r="Q346" s="48" t="n">
        <f aca="false">IF($J346="","",IFERROR(IF($J346&lt;=1,INDEX(VN_국채일별!$B$4:$B$1436,MATCH($B346,VN_국채일별!$A$4:$A$1436,1)),IF($J346&lt;=2,INDEX(VN_국채일별!$B$4:$B$1436,MATCH($B346,VN_국채일별!$A$4:$A$1436,1))+(INDEX(VN_국채일별!$C$4:$C$1436,MATCH($B346,VN_국채일별!$A$4:$A$1436,1))-INDEX(VN_국채일별!$B$4:$B$1436,MATCH($B346,VN_국채일별!$A$4:$A$1436,1)))*($J346-1),IF($J346&lt;=3,INDEX(VN_국채일별!$C$4:$C$1436,MATCH($B346,VN_국채일별!$A$4:$A$1436,1))+(INDEX(VN_국채일별!$D$4:$D$1436,MATCH($B346,VN_국채일별!$A$4:$A$1436,1))-INDEX(VN_국채일별!$C$4:$C$1436,MATCH($B346,VN_국채일별!$A$4:$A$1436,1)))*($J346-2),IF($J346&lt;=5,INDEX(VN_국채일별!$D$4:$D$1436,MATCH($B346,VN_국채일별!$A$4:$A$1436,1))+(INDEX(VN_국채일별!$E$4:$E$1436,MATCH($B346,VN_국채일별!$A$4:$A$1436,1))-INDEX(VN_국채일별!$D$4:$D$1436,MATCH($B346,VN_국채일별!$A$4:$A$1436,1)))*($J346-3)/2,IF($J346&lt;=7,INDEX(VN_국채일별!$E$4:$E$1436,MATCH($B346,VN_국채일별!$A$4:$A$1436,1))+(INDEX(VN_국채일별!$F$4:$F$1436,MATCH($B346,VN_국채일별!$A$4:$A$1436,1))-INDEX(VN_국채일별!$E$4:$E$1436,MATCH($B346,VN_국채일별!$A$4:$A$1436,1)))*($J346-5)/2,IF($J346&lt;=10,INDEX(VN_국채일별!$F$4:$F$1436,MATCH($B346,VN_국채일별!$A$4:$A$1436,1))+(INDEX(VN_국채일별!$G$4:$G$1436,MATCH($B346,VN_국채일별!$A$4:$A$1436,1))-INDEX(VN_국채일별!$F$4:$F$1436,MATCH($B346,VN_국채일별!$A$4:$A$1436,1)))*($J346-7)/3,INDEX(VN_국채일별!$G$4:$G$1436,MATCH($B346,VN_국채일별!$A$4:$A$1436,1)))))))),""))</f>
        <v>0.01975</v>
      </c>
      <c r="R346" s="58" t="n">
        <f aca="false">IF(OR(L346="",Q346=""),"",(L346-Q346)*10000)</f>
        <v>362.5</v>
      </c>
      <c r="S346" s="30" t="n">
        <f aca="false">IF(AND(K346="고정",N346="N",J346&gt;=2,J346&lt;=4,I346&lt;&gt;""),1,0)</f>
        <v>1</v>
      </c>
      <c r="T346" s="59" t="n">
        <f aca="false">IF(S346=1,I346*L346,0)</f>
        <v>56</v>
      </c>
      <c r="U346" s="60" t="n">
        <f aca="false">IF(AND(S346=1,ISNUMBER(R346)),I346*R346,0)</f>
        <v>362500</v>
      </c>
      <c r="V346" s="30" t="n">
        <f aca="false">IF(AND(F346="Big4(국영)",K346="고정",N346="N",I346&lt;&gt;""),1,0)</f>
        <v>0</v>
      </c>
      <c r="W346" s="59" t="n">
        <f aca="false">IF(V346=1,I346*L346,0)</f>
        <v>0</v>
      </c>
      <c r="X346" s="60" t="n">
        <f aca="false">IF(AND(V346=1,ISNUMBER(R346)),I346*R346,0)</f>
        <v>0</v>
      </c>
      <c r="Y346" s="61" t="n">
        <f aca="false">IF(AND(S346=1,ISNUMBER(R346)),I346,0)</f>
        <v>1000</v>
      </c>
      <c r="Z346" s="61" t="n">
        <f aca="false">IF(AND(V346=1,ISNUMBER(R346)),I346,0)</f>
        <v>0</v>
      </c>
    </row>
    <row r="347" customFormat="false" ht="15" hidden="false" customHeight="false" outlineLevel="0" collapsed="false">
      <c r="A347" s="47" t="s">
        <v>720</v>
      </c>
      <c r="B347" s="52" t="n">
        <v>45566</v>
      </c>
      <c r="C347" s="53" t="n">
        <f aca="false">DATE(YEAR(B347),MONTH(B347),1)</f>
        <v>45566</v>
      </c>
      <c r="D347" s="5" t="str">
        <f aca="false">YEAR(B347)&amp;"Q"&amp;ROUNDUP(MONTH(B347)/3,0)</f>
        <v>2024Q4</v>
      </c>
      <c r="E347" s="47" t="s">
        <v>248</v>
      </c>
      <c r="F347" s="54" t="s">
        <v>139</v>
      </c>
      <c r="G347" s="47" t="s">
        <v>361</v>
      </c>
      <c r="H347" s="47" t="s">
        <v>721</v>
      </c>
      <c r="I347" s="55" t="n">
        <v>900</v>
      </c>
      <c r="J347" s="56" t="n">
        <v>2</v>
      </c>
      <c r="K347" s="54" t="s">
        <v>142</v>
      </c>
      <c r="L347" s="57" t="n">
        <v>0.056</v>
      </c>
      <c r="N347" s="47" t="s">
        <v>148</v>
      </c>
      <c r="O347" s="47" t="s">
        <v>660</v>
      </c>
      <c r="P347" s="47"/>
      <c r="Q347" s="48" t="n">
        <f aca="false">IF($J347="","",IFERROR(IF($J347&lt;=1,INDEX(VN_국채일별!$B$4:$B$1436,MATCH($B347,VN_국채일별!$A$4:$A$1436,1)),IF($J347&lt;=2,INDEX(VN_국채일별!$B$4:$B$1436,MATCH($B347,VN_국채일별!$A$4:$A$1436,1))+(INDEX(VN_국채일별!$C$4:$C$1436,MATCH($B347,VN_국채일별!$A$4:$A$1436,1))-INDEX(VN_국채일별!$B$4:$B$1436,MATCH($B347,VN_국채일별!$A$4:$A$1436,1)))*($J347-1),IF($J347&lt;=3,INDEX(VN_국채일별!$C$4:$C$1436,MATCH($B347,VN_국채일별!$A$4:$A$1436,1))+(INDEX(VN_국채일별!$D$4:$D$1436,MATCH($B347,VN_국채일별!$A$4:$A$1436,1))-INDEX(VN_국채일별!$C$4:$C$1436,MATCH($B347,VN_국채일별!$A$4:$A$1436,1)))*($J347-2),IF($J347&lt;=5,INDEX(VN_국채일별!$D$4:$D$1436,MATCH($B347,VN_국채일별!$A$4:$A$1436,1))+(INDEX(VN_국채일별!$E$4:$E$1436,MATCH($B347,VN_국채일별!$A$4:$A$1436,1))-INDEX(VN_국채일별!$D$4:$D$1436,MATCH($B347,VN_국채일별!$A$4:$A$1436,1)))*($J347-3)/2,IF($J347&lt;=7,INDEX(VN_국채일별!$E$4:$E$1436,MATCH($B347,VN_국채일별!$A$4:$A$1436,1))+(INDEX(VN_국채일별!$F$4:$F$1436,MATCH($B347,VN_국채일별!$A$4:$A$1436,1))-INDEX(VN_국채일별!$E$4:$E$1436,MATCH($B347,VN_국채일별!$A$4:$A$1436,1)))*($J347-5)/2,IF($J347&lt;=10,INDEX(VN_국채일별!$F$4:$F$1436,MATCH($B347,VN_국채일별!$A$4:$A$1436,1))+(INDEX(VN_국채일별!$G$4:$G$1436,MATCH($B347,VN_국채일별!$A$4:$A$1436,1))-INDEX(VN_국채일별!$F$4:$F$1436,MATCH($B347,VN_국채일별!$A$4:$A$1436,1)))*($J347-7)/3,INDEX(VN_국채일별!$G$4:$G$1436,MATCH($B347,VN_국채일별!$A$4:$A$1436,1)))))))),""))</f>
        <v>0.01955</v>
      </c>
      <c r="R347" s="58" t="n">
        <f aca="false">IF(OR(L347="",Q347=""),"",(L347-Q347)*10000)</f>
        <v>364.5</v>
      </c>
      <c r="S347" s="30" t="n">
        <f aca="false">IF(AND(K347="고정",N347="N",J347&gt;=2,J347&lt;=4,I347&lt;&gt;""),1,0)</f>
        <v>1</v>
      </c>
      <c r="T347" s="59" t="n">
        <f aca="false">IF(S347=1,I347*L347,0)</f>
        <v>50.4</v>
      </c>
      <c r="U347" s="60" t="n">
        <f aca="false">IF(AND(S347=1,ISNUMBER(R347)),I347*R347,0)</f>
        <v>328050</v>
      </c>
      <c r="V347" s="30" t="n">
        <f aca="false">IF(AND(F347="Big4(국영)",K347="고정",N347="N",I347&lt;&gt;""),1,0)</f>
        <v>0</v>
      </c>
      <c r="W347" s="59" t="n">
        <f aca="false">IF(V347=1,I347*L347,0)</f>
        <v>0</v>
      </c>
      <c r="X347" s="60" t="n">
        <f aca="false">IF(AND(V347=1,ISNUMBER(R347)),I347*R347,0)</f>
        <v>0</v>
      </c>
      <c r="Y347" s="61" t="n">
        <f aca="false">IF(AND(S347=1,ISNUMBER(R347)),I347,0)</f>
        <v>900</v>
      </c>
      <c r="Z347" s="61" t="n">
        <f aca="false">IF(AND(V347=1,ISNUMBER(R347)),I347,0)</f>
        <v>0</v>
      </c>
    </row>
    <row r="348" customFormat="false" ht="15" hidden="false" customHeight="false" outlineLevel="0" collapsed="false">
      <c r="A348" s="47" t="s">
        <v>720</v>
      </c>
      <c r="B348" s="52" t="n">
        <v>45567</v>
      </c>
      <c r="C348" s="53" t="n">
        <f aca="false">DATE(YEAR(B348),MONTH(B348),1)</f>
        <v>45566</v>
      </c>
      <c r="D348" s="5" t="str">
        <f aca="false">YEAR(B348)&amp;"Q"&amp;ROUNDUP(MONTH(B348)/3,0)</f>
        <v>2024Q4</v>
      </c>
      <c r="E348" s="47" t="s">
        <v>365</v>
      </c>
      <c r="F348" s="54" t="s">
        <v>139</v>
      </c>
      <c r="G348" s="47" t="s">
        <v>366</v>
      </c>
      <c r="H348" s="47" t="s">
        <v>722</v>
      </c>
      <c r="I348" s="55" t="n">
        <v>27.6</v>
      </c>
      <c r="J348" s="56" t="n">
        <v>10</v>
      </c>
      <c r="K348" s="54" t="s">
        <v>153</v>
      </c>
      <c r="N348" s="47" t="s">
        <v>143</v>
      </c>
      <c r="O348" s="47" t="s">
        <v>723</v>
      </c>
      <c r="P348" s="47"/>
      <c r="Q348" s="48" t="n">
        <f aca="false">IF($J348="","",IFERROR(IF($J348&lt;=1,INDEX(VN_국채일별!$B$4:$B$1436,MATCH($B348,VN_국채일별!$A$4:$A$1436,1)),IF($J348&lt;=2,INDEX(VN_국채일별!$B$4:$B$1436,MATCH($B348,VN_국채일별!$A$4:$A$1436,1))+(INDEX(VN_국채일별!$C$4:$C$1436,MATCH($B348,VN_국채일별!$A$4:$A$1436,1))-INDEX(VN_국채일별!$B$4:$B$1436,MATCH($B348,VN_국채일별!$A$4:$A$1436,1)))*($J348-1),IF($J348&lt;=3,INDEX(VN_국채일별!$C$4:$C$1436,MATCH($B348,VN_국채일별!$A$4:$A$1436,1))+(INDEX(VN_국채일별!$D$4:$D$1436,MATCH($B348,VN_국채일별!$A$4:$A$1436,1))-INDEX(VN_국채일별!$C$4:$C$1436,MATCH($B348,VN_국채일별!$A$4:$A$1436,1)))*($J348-2),IF($J348&lt;=5,INDEX(VN_국채일별!$D$4:$D$1436,MATCH($B348,VN_국채일별!$A$4:$A$1436,1))+(INDEX(VN_국채일별!$E$4:$E$1436,MATCH($B348,VN_국채일별!$A$4:$A$1436,1))-INDEX(VN_국채일별!$D$4:$D$1436,MATCH($B348,VN_국채일별!$A$4:$A$1436,1)))*($J348-3)/2,IF($J348&lt;=7,INDEX(VN_국채일별!$E$4:$E$1436,MATCH($B348,VN_국채일별!$A$4:$A$1436,1))+(INDEX(VN_국채일별!$F$4:$F$1436,MATCH($B348,VN_국채일별!$A$4:$A$1436,1))-INDEX(VN_국채일별!$E$4:$E$1436,MATCH($B348,VN_국채일별!$A$4:$A$1436,1)))*($J348-5)/2,IF($J348&lt;=10,INDEX(VN_국채일별!$F$4:$F$1436,MATCH($B348,VN_국채일별!$A$4:$A$1436,1))+(INDEX(VN_국채일별!$G$4:$G$1436,MATCH($B348,VN_국채일별!$A$4:$A$1436,1))-INDEX(VN_국채일별!$F$4:$F$1436,MATCH($B348,VN_국채일별!$A$4:$A$1436,1)))*($J348-7)/3,INDEX(VN_국채일별!$G$4:$G$1436,MATCH($B348,VN_국채일별!$A$4:$A$1436,1)))))))),""))</f>
        <v>0.0269</v>
      </c>
      <c r="R348" s="58" t="str">
        <f aca="false">IF(OR(L348="",Q348=""),"",(L348-Q348)*10000)</f>
        <v/>
      </c>
      <c r="S348" s="30" t="n">
        <f aca="false">IF(AND(K348="고정",N348="N",J348&gt;=2,J348&lt;=4,I348&lt;&gt;""),1,0)</f>
        <v>0</v>
      </c>
      <c r="T348" s="59" t="n">
        <f aca="false">IF(S348=1,I348*L348,0)</f>
        <v>0</v>
      </c>
      <c r="U348" s="60" t="n">
        <f aca="false">IF(AND(S348=1,ISNUMBER(R348)),I348*R348,0)</f>
        <v>0</v>
      </c>
      <c r="V348" s="30" t="n">
        <f aca="false">IF(AND(F348="Big4(국영)",K348="고정",N348="N",I348&lt;&gt;""),1,0)</f>
        <v>0</v>
      </c>
      <c r="W348" s="59" t="n">
        <f aca="false">IF(V348=1,I348*L348,0)</f>
        <v>0</v>
      </c>
      <c r="X348" s="60" t="n">
        <f aca="false">IF(AND(V348=1,ISNUMBER(R348)),I348*R348,0)</f>
        <v>0</v>
      </c>
      <c r="Y348" s="61" t="n">
        <f aca="false">IF(AND(S348=1,ISNUMBER(R348)),I348,0)</f>
        <v>0</v>
      </c>
      <c r="Z348" s="61" t="n">
        <f aca="false">IF(AND(V348=1,ISNUMBER(R348)),I348,0)</f>
        <v>0</v>
      </c>
    </row>
    <row r="349" customFormat="false" ht="15" hidden="false" customHeight="false" outlineLevel="0" collapsed="false">
      <c r="A349" s="47" t="s">
        <v>720</v>
      </c>
      <c r="B349" s="52" t="n">
        <v>45567</v>
      </c>
      <c r="C349" s="53" t="n">
        <f aca="false">DATE(YEAR(B349),MONTH(B349),1)</f>
        <v>45566</v>
      </c>
      <c r="D349" s="5" t="str">
        <f aca="false">YEAR(B349)&amp;"Q"&amp;ROUNDUP(MONTH(B349)/3,0)</f>
        <v>2024Q4</v>
      </c>
      <c r="E349" s="47" t="s">
        <v>242</v>
      </c>
      <c r="F349" s="54" t="s">
        <v>139</v>
      </c>
      <c r="G349" s="47" t="s">
        <v>724</v>
      </c>
      <c r="H349" s="47" t="s">
        <v>725</v>
      </c>
      <c r="I349" s="55" t="n">
        <v>330</v>
      </c>
      <c r="J349" s="56" t="n">
        <v>7</v>
      </c>
      <c r="K349" s="54" t="s">
        <v>153</v>
      </c>
      <c r="N349" s="47" t="s">
        <v>143</v>
      </c>
      <c r="O349" s="47" t="s">
        <v>688</v>
      </c>
      <c r="P349" s="47"/>
      <c r="Q349" s="48" t="n">
        <f aca="false">IF($J349="","",IFERROR(IF($J349&lt;=1,INDEX(VN_국채일별!$B$4:$B$1436,MATCH($B349,VN_국채일별!$A$4:$A$1436,1)),IF($J349&lt;=2,INDEX(VN_국채일별!$B$4:$B$1436,MATCH($B349,VN_국채일별!$A$4:$A$1436,1))+(INDEX(VN_국채일별!$C$4:$C$1436,MATCH($B349,VN_국채일별!$A$4:$A$1436,1))-INDEX(VN_국채일별!$B$4:$B$1436,MATCH($B349,VN_국채일별!$A$4:$A$1436,1)))*($J349-1),IF($J349&lt;=3,INDEX(VN_국채일별!$C$4:$C$1436,MATCH($B349,VN_국채일별!$A$4:$A$1436,1))+(INDEX(VN_국채일별!$D$4:$D$1436,MATCH($B349,VN_국채일별!$A$4:$A$1436,1))-INDEX(VN_국채일별!$C$4:$C$1436,MATCH($B349,VN_국채일별!$A$4:$A$1436,1)))*($J349-2),IF($J349&lt;=5,INDEX(VN_국채일별!$D$4:$D$1436,MATCH($B349,VN_국채일별!$A$4:$A$1436,1))+(INDEX(VN_국채일별!$E$4:$E$1436,MATCH($B349,VN_국채일별!$A$4:$A$1436,1))-INDEX(VN_국채일별!$D$4:$D$1436,MATCH($B349,VN_국채일별!$A$4:$A$1436,1)))*($J349-3)/2,IF($J349&lt;=7,INDEX(VN_국채일별!$E$4:$E$1436,MATCH($B349,VN_국채일별!$A$4:$A$1436,1))+(INDEX(VN_국채일별!$F$4:$F$1436,MATCH($B349,VN_국채일별!$A$4:$A$1436,1))-INDEX(VN_국채일별!$E$4:$E$1436,MATCH($B349,VN_국채일별!$A$4:$A$1436,1)))*($J349-5)/2,IF($J349&lt;=10,INDEX(VN_국채일별!$F$4:$F$1436,MATCH($B349,VN_국채일별!$A$4:$A$1436,1))+(INDEX(VN_국채일별!$G$4:$G$1436,MATCH($B349,VN_국채일별!$A$4:$A$1436,1))-INDEX(VN_국채일별!$F$4:$F$1436,MATCH($B349,VN_국채일별!$A$4:$A$1436,1)))*($J349-7)/3,INDEX(VN_국채일별!$G$4:$G$1436,MATCH($B349,VN_국채일별!$A$4:$A$1436,1)))))))),""))</f>
        <v>0.02212</v>
      </c>
      <c r="R349" s="58" t="str">
        <f aca="false">IF(OR(L349="",Q349=""),"",(L349-Q349)*10000)</f>
        <v/>
      </c>
      <c r="S349" s="30" t="n">
        <f aca="false">IF(AND(K349="고정",N349="N",J349&gt;=2,J349&lt;=4,I349&lt;&gt;""),1,0)</f>
        <v>0</v>
      </c>
      <c r="T349" s="59" t="n">
        <f aca="false">IF(S349=1,I349*L349,0)</f>
        <v>0</v>
      </c>
      <c r="U349" s="60" t="n">
        <f aca="false">IF(AND(S349=1,ISNUMBER(R349)),I349*R349,0)</f>
        <v>0</v>
      </c>
      <c r="V349" s="30" t="n">
        <f aca="false">IF(AND(F349="Big4(국영)",K349="고정",N349="N",I349&lt;&gt;""),1,0)</f>
        <v>0</v>
      </c>
      <c r="W349" s="59" t="n">
        <f aca="false">IF(V349=1,I349*L349,0)</f>
        <v>0</v>
      </c>
      <c r="X349" s="60" t="n">
        <f aca="false">IF(AND(V349=1,ISNUMBER(R349)),I349*R349,0)</f>
        <v>0</v>
      </c>
      <c r="Y349" s="61" t="n">
        <f aca="false">IF(AND(S349=1,ISNUMBER(R349)),I349,0)</f>
        <v>0</v>
      </c>
      <c r="Z349" s="61" t="n">
        <f aca="false">IF(AND(V349=1,ISNUMBER(R349)),I349,0)</f>
        <v>0</v>
      </c>
    </row>
    <row r="350" customFormat="false" ht="15" hidden="false" customHeight="false" outlineLevel="0" collapsed="false">
      <c r="A350" s="47" t="s">
        <v>720</v>
      </c>
      <c r="B350" s="52" t="n">
        <v>45568</v>
      </c>
      <c r="C350" s="53" t="n">
        <f aca="false">DATE(YEAR(B350),MONTH(B350),1)</f>
        <v>45566</v>
      </c>
      <c r="D350" s="5" t="str">
        <f aca="false">YEAR(B350)&amp;"Q"&amp;ROUNDUP(MONTH(B350)/3,0)</f>
        <v>2024Q4</v>
      </c>
      <c r="E350" s="47" t="s">
        <v>150</v>
      </c>
      <c r="F350" s="54" t="s">
        <v>139</v>
      </c>
      <c r="G350" s="47" t="s">
        <v>170</v>
      </c>
      <c r="H350" s="47" t="s">
        <v>726</v>
      </c>
      <c r="I350" s="55" t="n">
        <v>1000</v>
      </c>
      <c r="J350" s="56" t="n">
        <v>3</v>
      </c>
      <c r="K350" s="54" t="s">
        <v>142</v>
      </c>
      <c r="L350" s="57" t="n">
        <v>0.051</v>
      </c>
      <c r="N350" s="47" t="s">
        <v>148</v>
      </c>
      <c r="O350" s="47" t="s">
        <v>510</v>
      </c>
      <c r="P350" s="47"/>
      <c r="Q350" s="48" t="n">
        <f aca="false">IF($J350="","",IFERROR(IF($J350&lt;=1,INDEX(VN_국채일별!$B$4:$B$1436,MATCH($B350,VN_국채일별!$A$4:$A$1436,1)),IF($J350&lt;=2,INDEX(VN_국채일별!$B$4:$B$1436,MATCH($B350,VN_국채일별!$A$4:$A$1436,1))+(INDEX(VN_국채일별!$C$4:$C$1436,MATCH($B350,VN_국채일별!$A$4:$A$1436,1))-INDEX(VN_국채일별!$B$4:$B$1436,MATCH($B350,VN_국채일별!$A$4:$A$1436,1)))*($J350-1),IF($J350&lt;=3,INDEX(VN_국채일별!$C$4:$C$1436,MATCH($B350,VN_국채일별!$A$4:$A$1436,1))+(INDEX(VN_국채일별!$D$4:$D$1436,MATCH($B350,VN_국채일별!$A$4:$A$1436,1))-INDEX(VN_국채일별!$C$4:$C$1436,MATCH($B350,VN_국채일별!$A$4:$A$1436,1)))*($J350-2),IF($J350&lt;=5,INDEX(VN_국채일별!$D$4:$D$1436,MATCH($B350,VN_국채일별!$A$4:$A$1436,1))+(INDEX(VN_국채일별!$E$4:$E$1436,MATCH($B350,VN_국채일별!$A$4:$A$1436,1))-INDEX(VN_국채일별!$D$4:$D$1436,MATCH($B350,VN_국채일별!$A$4:$A$1436,1)))*($J350-3)/2,IF($J350&lt;=7,INDEX(VN_국채일별!$E$4:$E$1436,MATCH($B350,VN_국채일별!$A$4:$A$1436,1))+(INDEX(VN_국채일별!$F$4:$F$1436,MATCH($B350,VN_국채일별!$A$4:$A$1436,1))-INDEX(VN_국채일별!$E$4:$E$1436,MATCH($B350,VN_국채일별!$A$4:$A$1436,1)))*($J350-5)/2,IF($J350&lt;=10,INDEX(VN_국채일별!$F$4:$F$1436,MATCH($B350,VN_국채일별!$A$4:$A$1436,1))+(INDEX(VN_국채일별!$G$4:$G$1436,MATCH($B350,VN_국채일별!$A$4:$A$1436,1))-INDEX(VN_국채일별!$F$4:$F$1436,MATCH($B350,VN_국채일별!$A$4:$A$1436,1)))*($J350-7)/3,INDEX(VN_국채일별!$G$4:$G$1436,MATCH($B350,VN_국채일별!$A$4:$A$1436,1)))))))),""))</f>
        <v>0.01974</v>
      </c>
      <c r="R350" s="58" t="n">
        <f aca="false">IF(OR(L350="",Q350=""),"",(L350-Q350)*10000)</f>
        <v>312.6</v>
      </c>
      <c r="S350" s="30" t="n">
        <f aca="false">IF(AND(K350="고정",N350="N",J350&gt;=2,J350&lt;=4,I350&lt;&gt;""),1,0)</f>
        <v>1</v>
      </c>
      <c r="T350" s="59" t="n">
        <f aca="false">IF(S350=1,I350*L350,0)</f>
        <v>51</v>
      </c>
      <c r="U350" s="60" t="n">
        <f aca="false">IF(AND(S350=1,ISNUMBER(R350)),I350*R350,0)</f>
        <v>312600</v>
      </c>
      <c r="V350" s="30" t="n">
        <f aca="false">IF(AND(F350="Big4(국영)",K350="고정",N350="N",I350&lt;&gt;""),1,0)</f>
        <v>0</v>
      </c>
      <c r="W350" s="59" t="n">
        <f aca="false">IF(V350=1,I350*L350,0)</f>
        <v>0</v>
      </c>
      <c r="X350" s="60" t="n">
        <f aca="false">IF(AND(V350=1,ISNUMBER(R350)),I350*R350,0)</f>
        <v>0</v>
      </c>
      <c r="Y350" s="61" t="n">
        <f aca="false">IF(AND(S350=1,ISNUMBER(R350)),I350,0)</f>
        <v>1000</v>
      </c>
      <c r="Z350" s="61" t="n">
        <f aca="false">IF(AND(V350=1,ISNUMBER(R350)),I350,0)</f>
        <v>0</v>
      </c>
    </row>
    <row r="351" customFormat="false" ht="15" hidden="false" customHeight="false" outlineLevel="0" collapsed="false">
      <c r="A351" s="47" t="s">
        <v>720</v>
      </c>
      <c r="B351" s="52" t="n">
        <v>45569</v>
      </c>
      <c r="C351" s="53" t="n">
        <f aca="false">DATE(YEAR(B351),MONTH(B351),1)</f>
        <v>45566</v>
      </c>
      <c r="D351" s="5" t="str">
        <f aca="false">YEAR(B351)&amp;"Q"&amp;ROUNDUP(MONTH(B351)/3,0)</f>
        <v>2024Q4</v>
      </c>
      <c r="E351" s="47" t="s">
        <v>242</v>
      </c>
      <c r="F351" s="54" t="s">
        <v>139</v>
      </c>
      <c r="G351" s="47" t="s">
        <v>724</v>
      </c>
      <c r="H351" s="47" t="s">
        <v>727</v>
      </c>
      <c r="I351" s="55" t="n">
        <v>2000</v>
      </c>
      <c r="J351" s="56" t="n">
        <v>3</v>
      </c>
      <c r="K351" s="54" t="s">
        <v>142</v>
      </c>
      <c r="L351" s="57" t="n">
        <v>0.054</v>
      </c>
      <c r="N351" s="47" t="s">
        <v>148</v>
      </c>
      <c r="O351" s="47" t="s">
        <v>575</v>
      </c>
      <c r="P351" s="47"/>
      <c r="Q351" s="48" t="n">
        <f aca="false">IF($J351="","",IFERROR(IF($J351&lt;=1,INDEX(VN_국채일별!$B$4:$B$1436,MATCH($B351,VN_국채일별!$A$4:$A$1436,1)),IF($J351&lt;=2,INDEX(VN_국채일별!$B$4:$B$1436,MATCH($B351,VN_국채일별!$A$4:$A$1436,1))+(INDEX(VN_국채일별!$C$4:$C$1436,MATCH($B351,VN_국채일별!$A$4:$A$1436,1))-INDEX(VN_국채일별!$B$4:$B$1436,MATCH($B351,VN_국채일별!$A$4:$A$1436,1)))*($J351-1),IF($J351&lt;=3,INDEX(VN_국채일별!$C$4:$C$1436,MATCH($B351,VN_국채일별!$A$4:$A$1436,1))+(INDEX(VN_국채일별!$D$4:$D$1436,MATCH($B351,VN_국채일별!$A$4:$A$1436,1))-INDEX(VN_국채일별!$C$4:$C$1436,MATCH($B351,VN_국채일별!$A$4:$A$1436,1)))*($J351-2),IF($J351&lt;=5,INDEX(VN_국채일별!$D$4:$D$1436,MATCH($B351,VN_국채일별!$A$4:$A$1436,1))+(INDEX(VN_국채일별!$E$4:$E$1436,MATCH($B351,VN_국채일별!$A$4:$A$1436,1))-INDEX(VN_국채일별!$D$4:$D$1436,MATCH($B351,VN_국채일별!$A$4:$A$1436,1)))*($J351-3)/2,IF($J351&lt;=7,INDEX(VN_국채일별!$E$4:$E$1436,MATCH($B351,VN_국채일별!$A$4:$A$1436,1))+(INDEX(VN_국채일별!$F$4:$F$1436,MATCH($B351,VN_국채일별!$A$4:$A$1436,1))-INDEX(VN_국채일별!$E$4:$E$1436,MATCH($B351,VN_국채일별!$A$4:$A$1436,1)))*($J351-5)/2,IF($J351&lt;=10,INDEX(VN_국채일별!$F$4:$F$1436,MATCH($B351,VN_국채일별!$A$4:$A$1436,1))+(INDEX(VN_국채일별!$G$4:$G$1436,MATCH($B351,VN_국채일별!$A$4:$A$1436,1))-INDEX(VN_국채일별!$F$4:$F$1436,MATCH($B351,VN_국채일별!$A$4:$A$1436,1)))*($J351-7)/3,INDEX(VN_국채일별!$G$4:$G$1436,MATCH($B351,VN_국채일별!$A$4:$A$1436,1)))))))),""))</f>
        <v>0.01971</v>
      </c>
      <c r="R351" s="58" t="n">
        <f aca="false">IF(OR(L351="",Q351=""),"",(L351-Q351)*10000)</f>
        <v>342.9</v>
      </c>
      <c r="S351" s="30" t="n">
        <f aca="false">IF(AND(K351="고정",N351="N",J351&gt;=2,J351&lt;=4,I351&lt;&gt;""),1,0)</f>
        <v>1</v>
      </c>
      <c r="T351" s="59" t="n">
        <f aca="false">IF(S351=1,I351*L351,0)</f>
        <v>108</v>
      </c>
      <c r="U351" s="60" t="n">
        <f aca="false">IF(AND(S351=1,ISNUMBER(R351)),I351*R351,0)</f>
        <v>685800</v>
      </c>
      <c r="V351" s="30" t="n">
        <f aca="false">IF(AND(F351="Big4(국영)",K351="고정",N351="N",I351&lt;&gt;""),1,0)</f>
        <v>0</v>
      </c>
      <c r="W351" s="59" t="n">
        <f aca="false">IF(V351=1,I351*L351,0)</f>
        <v>0</v>
      </c>
      <c r="X351" s="60" t="n">
        <f aca="false">IF(AND(V351=1,ISNUMBER(R351)),I351*R351,0)</f>
        <v>0</v>
      </c>
      <c r="Y351" s="61" t="n">
        <f aca="false">IF(AND(S351=1,ISNUMBER(R351)),I351,0)</f>
        <v>2000</v>
      </c>
      <c r="Z351" s="61" t="n">
        <f aca="false">IF(AND(V351=1,ISNUMBER(R351)),I351,0)</f>
        <v>0</v>
      </c>
    </row>
    <row r="352" customFormat="false" ht="15" hidden="false" customHeight="false" outlineLevel="0" collapsed="false">
      <c r="A352" s="47" t="s">
        <v>720</v>
      </c>
      <c r="B352" s="52" t="n">
        <v>45572</v>
      </c>
      <c r="C352" s="53" t="n">
        <f aca="false">DATE(YEAR(B352),MONTH(B352),1)</f>
        <v>45566</v>
      </c>
      <c r="D352" s="5" t="str">
        <f aca="false">YEAR(B352)&amp;"Q"&amp;ROUNDUP(MONTH(B352)/3,0)</f>
        <v>2024Q4</v>
      </c>
      <c r="E352" s="47" t="s">
        <v>353</v>
      </c>
      <c r="F352" s="54" t="s">
        <v>139</v>
      </c>
      <c r="G352" s="47" t="s">
        <v>354</v>
      </c>
      <c r="H352" s="47" t="s">
        <v>728</v>
      </c>
      <c r="I352" s="55" t="n">
        <v>1500</v>
      </c>
      <c r="J352" s="56" t="n">
        <v>2</v>
      </c>
      <c r="K352" s="54" t="s">
        <v>142</v>
      </c>
      <c r="L352" s="57" t="n">
        <v>0.06</v>
      </c>
      <c r="N352" s="47" t="s">
        <v>148</v>
      </c>
      <c r="O352" s="47" t="s">
        <v>449</v>
      </c>
      <c r="P352" s="47"/>
      <c r="Q352" s="48" t="n">
        <f aca="false">IF($J352="","",IFERROR(IF($J352&lt;=1,INDEX(VN_국채일별!$B$4:$B$1436,MATCH($B352,VN_국채일별!$A$4:$A$1436,1)),IF($J352&lt;=2,INDEX(VN_국채일별!$B$4:$B$1436,MATCH($B352,VN_국채일별!$A$4:$A$1436,1))+(INDEX(VN_국채일별!$C$4:$C$1436,MATCH($B352,VN_국채일별!$A$4:$A$1436,1))-INDEX(VN_국채일별!$B$4:$B$1436,MATCH($B352,VN_국채일별!$A$4:$A$1436,1)))*($J352-1),IF($J352&lt;=3,INDEX(VN_국채일별!$C$4:$C$1436,MATCH($B352,VN_국채일별!$A$4:$A$1436,1))+(INDEX(VN_국채일별!$D$4:$D$1436,MATCH($B352,VN_국채일별!$A$4:$A$1436,1))-INDEX(VN_국채일별!$C$4:$C$1436,MATCH($B352,VN_국채일별!$A$4:$A$1436,1)))*($J352-2),IF($J352&lt;=5,INDEX(VN_국채일별!$D$4:$D$1436,MATCH($B352,VN_국채일별!$A$4:$A$1436,1))+(INDEX(VN_국채일별!$E$4:$E$1436,MATCH($B352,VN_국채일별!$A$4:$A$1436,1))-INDEX(VN_국채일별!$D$4:$D$1436,MATCH($B352,VN_국채일별!$A$4:$A$1436,1)))*($J352-3)/2,IF($J352&lt;=7,INDEX(VN_국채일별!$E$4:$E$1436,MATCH($B352,VN_국채일별!$A$4:$A$1436,1))+(INDEX(VN_국채일별!$F$4:$F$1436,MATCH($B352,VN_국채일별!$A$4:$A$1436,1))-INDEX(VN_국채일별!$E$4:$E$1436,MATCH($B352,VN_국채일별!$A$4:$A$1436,1)))*($J352-5)/2,IF($J352&lt;=10,INDEX(VN_국채일별!$F$4:$F$1436,MATCH($B352,VN_국채일별!$A$4:$A$1436,1))+(INDEX(VN_국채일별!$G$4:$G$1436,MATCH($B352,VN_국채일별!$A$4:$A$1436,1))-INDEX(VN_국채일별!$F$4:$F$1436,MATCH($B352,VN_국채일별!$A$4:$A$1436,1)))*($J352-7)/3,INDEX(VN_국채일별!$G$4:$G$1436,MATCH($B352,VN_국채일별!$A$4:$A$1436,1)))))))),""))</f>
        <v>0.01951</v>
      </c>
      <c r="R352" s="58" t="n">
        <f aca="false">IF(OR(L352="",Q352=""),"",(L352-Q352)*10000)</f>
        <v>404.9</v>
      </c>
      <c r="S352" s="30" t="n">
        <f aca="false">IF(AND(K352="고정",N352="N",J352&gt;=2,J352&lt;=4,I352&lt;&gt;""),1,0)</f>
        <v>1</v>
      </c>
      <c r="T352" s="59" t="n">
        <f aca="false">IF(S352=1,I352*L352,0)</f>
        <v>90</v>
      </c>
      <c r="U352" s="60" t="n">
        <f aca="false">IF(AND(S352=1,ISNUMBER(R352)),I352*R352,0)</f>
        <v>607350</v>
      </c>
      <c r="V352" s="30" t="n">
        <f aca="false">IF(AND(F352="Big4(국영)",K352="고정",N352="N",I352&lt;&gt;""),1,0)</f>
        <v>0</v>
      </c>
      <c r="W352" s="59" t="n">
        <f aca="false">IF(V352=1,I352*L352,0)</f>
        <v>0</v>
      </c>
      <c r="X352" s="60" t="n">
        <f aca="false">IF(AND(V352=1,ISNUMBER(R352)),I352*R352,0)</f>
        <v>0</v>
      </c>
      <c r="Y352" s="61" t="n">
        <f aca="false">IF(AND(S352=1,ISNUMBER(R352)),I352,0)</f>
        <v>1500</v>
      </c>
      <c r="Z352" s="61" t="n">
        <f aca="false">IF(AND(V352=1,ISNUMBER(R352)),I352,0)</f>
        <v>0</v>
      </c>
    </row>
    <row r="353" customFormat="false" ht="15" hidden="false" customHeight="false" outlineLevel="0" collapsed="false">
      <c r="A353" s="47" t="s">
        <v>720</v>
      </c>
      <c r="B353" s="52" t="n">
        <v>45574</v>
      </c>
      <c r="C353" s="53" t="n">
        <f aca="false">DATE(YEAR(B353),MONTH(B353),1)</f>
        <v>45566</v>
      </c>
      <c r="D353" s="5" t="str">
        <f aca="false">YEAR(B353)&amp;"Q"&amp;ROUNDUP(MONTH(B353)/3,0)</f>
        <v>2024Q4</v>
      </c>
      <c r="E353" s="47" t="s">
        <v>181</v>
      </c>
      <c r="F353" s="54" t="s">
        <v>139</v>
      </c>
      <c r="G353" s="47" t="s">
        <v>182</v>
      </c>
      <c r="H353" s="47" t="s">
        <v>729</v>
      </c>
      <c r="I353" s="55" t="n">
        <v>500</v>
      </c>
      <c r="J353" s="56" t="n">
        <v>3</v>
      </c>
      <c r="K353" s="54" t="s">
        <v>142</v>
      </c>
      <c r="L353" s="57" t="n">
        <v>0.052</v>
      </c>
      <c r="N353" s="47" t="s">
        <v>148</v>
      </c>
      <c r="O353" s="47" t="s">
        <v>538</v>
      </c>
      <c r="P353" s="47"/>
      <c r="Q353" s="48" t="n">
        <f aca="false">IF($J353="","",IFERROR(IF($J353&lt;=1,INDEX(VN_국채일별!$B$4:$B$1436,MATCH($B353,VN_국채일별!$A$4:$A$1436,1)),IF($J353&lt;=2,INDEX(VN_국채일별!$B$4:$B$1436,MATCH($B353,VN_국채일별!$A$4:$A$1436,1))+(INDEX(VN_국채일별!$C$4:$C$1436,MATCH($B353,VN_국채일별!$A$4:$A$1436,1))-INDEX(VN_국채일별!$B$4:$B$1436,MATCH($B353,VN_국채일별!$A$4:$A$1436,1)))*($J353-1),IF($J353&lt;=3,INDEX(VN_국채일별!$C$4:$C$1436,MATCH($B353,VN_국채일별!$A$4:$A$1436,1))+(INDEX(VN_국채일별!$D$4:$D$1436,MATCH($B353,VN_국채일별!$A$4:$A$1436,1))-INDEX(VN_국채일별!$C$4:$C$1436,MATCH($B353,VN_국채일별!$A$4:$A$1436,1)))*($J353-2),IF($J353&lt;=5,INDEX(VN_국채일별!$D$4:$D$1436,MATCH($B353,VN_국채일별!$A$4:$A$1436,1))+(INDEX(VN_국채일별!$E$4:$E$1436,MATCH($B353,VN_국채일별!$A$4:$A$1436,1))-INDEX(VN_국채일별!$D$4:$D$1436,MATCH($B353,VN_국채일별!$A$4:$A$1436,1)))*($J353-3)/2,IF($J353&lt;=7,INDEX(VN_국채일별!$E$4:$E$1436,MATCH($B353,VN_국채일별!$A$4:$A$1436,1))+(INDEX(VN_국채일별!$F$4:$F$1436,MATCH($B353,VN_국채일별!$A$4:$A$1436,1))-INDEX(VN_국채일별!$E$4:$E$1436,MATCH($B353,VN_국채일별!$A$4:$A$1436,1)))*($J353-5)/2,IF($J353&lt;=10,INDEX(VN_국채일별!$F$4:$F$1436,MATCH($B353,VN_국채일별!$A$4:$A$1436,1))+(INDEX(VN_국채일별!$G$4:$G$1436,MATCH($B353,VN_국채일별!$A$4:$A$1436,1))-INDEX(VN_국채일별!$F$4:$F$1436,MATCH($B353,VN_국채일별!$A$4:$A$1436,1)))*($J353-7)/3,INDEX(VN_국채일별!$G$4:$G$1436,MATCH($B353,VN_국채일별!$A$4:$A$1436,1)))))))),""))</f>
        <v>0.0197</v>
      </c>
      <c r="R353" s="58" t="n">
        <f aca="false">IF(OR(L353="",Q353=""),"",(L353-Q353)*10000)</f>
        <v>323</v>
      </c>
      <c r="S353" s="30" t="n">
        <f aca="false">IF(AND(K353="고정",N353="N",J353&gt;=2,J353&lt;=4,I353&lt;&gt;""),1,0)</f>
        <v>1</v>
      </c>
      <c r="T353" s="59" t="n">
        <f aca="false">IF(S353=1,I353*L353,0)</f>
        <v>26</v>
      </c>
      <c r="U353" s="60" t="n">
        <f aca="false">IF(AND(S353=1,ISNUMBER(R353)),I353*R353,0)</f>
        <v>161500</v>
      </c>
      <c r="V353" s="30" t="n">
        <f aca="false">IF(AND(F353="Big4(국영)",K353="고정",N353="N",I353&lt;&gt;""),1,0)</f>
        <v>0</v>
      </c>
      <c r="W353" s="59" t="n">
        <f aca="false">IF(V353=1,I353*L353,0)</f>
        <v>0</v>
      </c>
      <c r="X353" s="60" t="n">
        <f aca="false">IF(AND(V353=1,ISNUMBER(R353)),I353*R353,0)</f>
        <v>0</v>
      </c>
      <c r="Y353" s="61" t="n">
        <f aca="false">IF(AND(S353=1,ISNUMBER(R353)),I353,0)</f>
        <v>500</v>
      </c>
      <c r="Z353" s="61" t="n">
        <f aca="false">IF(AND(V353=1,ISNUMBER(R353)),I353,0)</f>
        <v>0</v>
      </c>
    </row>
    <row r="354" customFormat="false" ht="15" hidden="false" customHeight="false" outlineLevel="0" collapsed="false">
      <c r="A354" s="47" t="s">
        <v>720</v>
      </c>
      <c r="B354" s="52" t="n">
        <v>45580</v>
      </c>
      <c r="C354" s="53" t="n">
        <f aca="false">DATE(YEAR(B354),MONTH(B354),1)</f>
        <v>45566</v>
      </c>
      <c r="D354" s="5" t="str">
        <f aca="false">YEAR(B354)&amp;"Q"&amp;ROUNDUP(MONTH(B354)/3,0)</f>
        <v>2024Q4</v>
      </c>
      <c r="E354" s="62" t="s">
        <v>173</v>
      </c>
      <c r="F354" s="62" t="s">
        <v>156</v>
      </c>
      <c r="G354" s="47" t="s">
        <v>174</v>
      </c>
      <c r="H354" s="47" t="s">
        <v>730</v>
      </c>
      <c r="I354" s="55" t="n">
        <v>900</v>
      </c>
      <c r="J354" s="56" t="n">
        <v>15</v>
      </c>
      <c r="K354" s="54" t="s">
        <v>142</v>
      </c>
      <c r="L354" s="57" t="n">
        <v>0.065</v>
      </c>
      <c r="N354" s="47" t="s">
        <v>143</v>
      </c>
      <c r="O354" s="47" t="s">
        <v>417</v>
      </c>
      <c r="P354" s="47"/>
      <c r="Q354" s="48" t="n">
        <f aca="false">IF($J354="","",IFERROR(IF($J354&lt;=1,INDEX(VN_국채일별!$B$4:$B$1436,MATCH($B354,VN_국채일별!$A$4:$A$1436,1)),IF($J354&lt;=2,INDEX(VN_국채일별!$B$4:$B$1436,MATCH($B354,VN_국채일별!$A$4:$A$1436,1))+(INDEX(VN_국채일별!$C$4:$C$1436,MATCH($B354,VN_국채일별!$A$4:$A$1436,1))-INDEX(VN_국채일별!$B$4:$B$1436,MATCH($B354,VN_국채일별!$A$4:$A$1436,1)))*($J354-1),IF($J354&lt;=3,INDEX(VN_국채일별!$C$4:$C$1436,MATCH($B354,VN_국채일별!$A$4:$A$1436,1))+(INDEX(VN_국채일별!$D$4:$D$1436,MATCH($B354,VN_국채일별!$A$4:$A$1436,1))-INDEX(VN_국채일별!$C$4:$C$1436,MATCH($B354,VN_국채일별!$A$4:$A$1436,1)))*($J354-2),IF($J354&lt;=5,INDEX(VN_국채일별!$D$4:$D$1436,MATCH($B354,VN_국채일별!$A$4:$A$1436,1))+(INDEX(VN_국채일별!$E$4:$E$1436,MATCH($B354,VN_국채일별!$A$4:$A$1436,1))-INDEX(VN_국채일별!$D$4:$D$1436,MATCH($B354,VN_국채일별!$A$4:$A$1436,1)))*($J354-3)/2,IF($J354&lt;=7,INDEX(VN_국채일별!$E$4:$E$1436,MATCH($B354,VN_국채일별!$A$4:$A$1436,1))+(INDEX(VN_국채일별!$F$4:$F$1436,MATCH($B354,VN_국채일별!$A$4:$A$1436,1))-INDEX(VN_국채일별!$E$4:$E$1436,MATCH($B354,VN_국채일별!$A$4:$A$1436,1)))*($J354-5)/2,IF($J354&lt;=10,INDEX(VN_국채일별!$F$4:$F$1436,MATCH($B354,VN_국채일별!$A$4:$A$1436,1))+(INDEX(VN_국채일별!$G$4:$G$1436,MATCH($B354,VN_국채일별!$A$4:$A$1436,1))-INDEX(VN_국채일별!$F$4:$F$1436,MATCH($B354,VN_국채일별!$A$4:$A$1436,1)))*($J354-7)/3,INDEX(VN_국채일별!$G$4:$G$1436,MATCH($B354,VN_국채일별!$A$4:$A$1436,1)))))))),""))</f>
        <v>0.02684</v>
      </c>
      <c r="R354" s="58" t="n">
        <f aca="false">IF(OR(L354="",Q354=""),"",(L354-Q354)*10000)</f>
        <v>381.6</v>
      </c>
      <c r="S354" s="30" t="n">
        <f aca="false">IF(AND(K354="고정",N354="N",J354&gt;=2,J354&lt;=4,I354&lt;&gt;""),1,0)</f>
        <v>0</v>
      </c>
      <c r="T354" s="59" t="n">
        <f aca="false">IF(S354=1,I354*L354,0)</f>
        <v>0</v>
      </c>
      <c r="U354" s="60" t="n">
        <f aca="false">IF(AND(S354=1,ISNUMBER(R354)),I354*R354,0)</f>
        <v>0</v>
      </c>
      <c r="V354" s="30" t="n">
        <f aca="false">IF(AND(F354="Big4(국영)",K354="고정",N354="N",I354&lt;&gt;""),1,0)</f>
        <v>0</v>
      </c>
      <c r="W354" s="59" t="n">
        <f aca="false">IF(V354=1,I354*L354,0)</f>
        <v>0</v>
      </c>
      <c r="X354" s="60" t="n">
        <f aca="false">IF(AND(V354=1,ISNUMBER(R354)),I354*R354,0)</f>
        <v>0</v>
      </c>
      <c r="Y354" s="61" t="n">
        <f aca="false">IF(AND(S354=1,ISNUMBER(R354)),I354,0)</f>
        <v>0</v>
      </c>
      <c r="Z354" s="61" t="n">
        <f aca="false">IF(AND(V354=1,ISNUMBER(R354)),I354,0)</f>
        <v>0</v>
      </c>
    </row>
    <row r="355" customFormat="false" ht="15" hidden="false" customHeight="false" outlineLevel="0" collapsed="false">
      <c r="A355" s="47" t="s">
        <v>720</v>
      </c>
      <c r="B355" s="52" t="n">
        <v>45580</v>
      </c>
      <c r="C355" s="53" t="n">
        <f aca="false">DATE(YEAR(B355),MONTH(B355),1)</f>
        <v>45566</v>
      </c>
      <c r="D355" s="5" t="str">
        <f aca="false">YEAR(B355)&amp;"Q"&amp;ROUNDUP(MONTH(B355)/3,0)</f>
        <v>2024Q4</v>
      </c>
      <c r="E355" s="47" t="s">
        <v>150</v>
      </c>
      <c r="F355" s="54" t="s">
        <v>139</v>
      </c>
      <c r="G355" s="47" t="s">
        <v>170</v>
      </c>
      <c r="H355" s="47" t="s">
        <v>731</v>
      </c>
      <c r="I355" s="55" t="n">
        <v>2000</v>
      </c>
      <c r="J355" s="56" t="n">
        <v>3</v>
      </c>
      <c r="K355" s="54" t="s">
        <v>142</v>
      </c>
      <c r="L355" s="57" t="n">
        <v>0.0505</v>
      </c>
      <c r="N355" s="47" t="s">
        <v>148</v>
      </c>
      <c r="O355" s="47" t="s">
        <v>732</v>
      </c>
      <c r="P355" s="47"/>
      <c r="Q355" s="48" t="n">
        <f aca="false">IF($J355="","",IFERROR(IF($J355&lt;=1,INDEX(VN_국채일별!$B$4:$B$1436,MATCH($B355,VN_국채일별!$A$4:$A$1436,1)),IF($J355&lt;=2,INDEX(VN_국채일별!$B$4:$B$1436,MATCH($B355,VN_국채일별!$A$4:$A$1436,1))+(INDEX(VN_국채일별!$C$4:$C$1436,MATCH($B355,VN_국채일별!$A$4:$A$1436,1))-INDEX(VN_국채일별!$B$4:$B$1436,MATCH($B355,VN_국채일별!$A$4:$A$1436,1)))*($J355-1),IF($J355&lt;=3,INDEX(VN_국채일별!$C$4:$C$1436,MATCH($B355,VN_국채일별!$A$4:$A$1436,1))+(INDEX(VN_국채일별!$D$4:$D$1436,MATCH($B355,VN_국채일별!$A$4:$A$1436,1))-INDEX(VN_국채일별!$C$4:$C$1436,MATCH($B355,VN_국채일별!$A$4:$A$1436,1)))*($J355-2),IF($J355&lt;=5,INDEX(VN_국채일별!$D$4:$D$1436,MATCH($B355,VN_국채일별!$A$4:$A$1436,1))+(INDEX(VN_국채일별!$E$4:$E$1436,MATCH($B355,VN_국채일별!$A$4:$A$1436,1))-INDEX(VN_국채일별!$D$4:$D$1436,MATCH($B355,VN_국채일별!$A$4:$A$1436,1)))*($J355-3)/2,IF($J355&lt;=7,INDEX(VN_국채일별!$E$4:$E$1436,MATCH($B355,VN_국채일별!$A$4:$A$1436,1))+(INDEX(VN_국채일별!$F$4:$F$1436,MATCH($B355,VN_국채일별!$A$4:$A$1436,1))-INDEX(VN_국채일별!$E$4:$E$1436,MATCH($B355,VN_국채일별!$A$4:$A$1436,1)))*($J355-5)/2,IF($J355&lt;=10,INDEX(VN_국채일별!$F$4:$F$1436,MATCH($B355,VN_국채일별!$A$4:$A$1436,1))+(INDEX(VN_국채일별!$G$4:$G$1436,MATCH($B355,VN_국채일별!$A$4:$A$1436,1))-INDEX(VN_국채일별!$F$4:$F$1436,MATCH($B355,VN_국채일별!$A$4:$A$1436,1)))*($J355-7)/3,INDEX(VN_국채일별!$G$4:$G$1436,MATCH($B355,VN_국채일별!$A$4:$A$1436,1)))))))),""))</f>
        <v>0.0197</v>
      </c>
      <c r="R355" s="58" t="n">
        <f aca="false">IF(OR(L355="",Q355=""),"",(L355-Q355)*10000)</f>
        <v>308</v>
      </c>
      <c r="S355" s="30" t="n">
        <f aca="false">IF(AND(K355="고정",N355="N",J355&gt;=2,J355&lt;=4,I355&lt;&gt;""),1,0)</f>
        <v>1</v>
      </c>
      <c r="T355" s="59" t="n">
        <f aca="false">IF(S355=1,I355*L355,0)</f>
        <v>101</v>
      </c>
      <c r="U355" s="60" t="n">
        <f aca="false">IF(AND(S355=1,ISNUMBER(R355)),I355*R355,0)</f>
        <v>616000</v>
      </c>
      <c r="V355" s="30" t="n">
        <f aca="false">IF(AND(F355="Big4(국영)",K355="고정",N355="N",I355&lt;&gt;""),1,0)</f>
        <v>0</v>
      </c>
      <c r="W355" s="59" t="n">
        <f aca="false">IF(V355=1,I355*L355,0)</f>
        <v>0</v>
      </c>
      <c r="X355" s="60" t="n">
        <f aca="false">IF(AND(V355=1,ISNUMBER(R355)),I355*R355,0)</f>
        <v>0</v>
      </c>
      <c r="Y355" s="61" t="n">
        <f aca="false">IF(AND(S355=1,ISNUMBER(R355)),I355,0)</f>
        <v>2000</v>
      </c>
      <c r="Z355" s="61" t="n">
        <f aca="false">IF(AND(V355=1,ISNUMBER(R355)),I355,0)</f>
        <v>0</v>
      </c>
    </row>
    <row r="356" customFormat="false" ht="15" hidden="false" customHeight="false" outlineLevel="0" collapsed="false">
      <c r="A356" s="47" t="s">
        <v>720</v>
      </c>
      <c r="B356" s="52" t="n">
        <v>45581</v>
      </c>
      <c r="C356" s="53" t="n">
        <f aca="false">DATE(YEAR(B356),MONTH(B356),1)</f>
        <v>45566</v>
      </c>
      <c r="D356" s="5" t="str">
        <f aca="false">YEAR(B356)&amp;"Q"&amp;ROUNDUP(MONTH(B356)/3,0)</f>
        <v>2024Q4</v>
      </c>
      <c r="E356" s="47" t="s">
        <v>181</v>
      </c>
      <c r="F356" s="54" t="s">
        <v>139</v>
      </c>
      <c r="G356" s="47" t="s">
        <v>182</v>
      </c>
      <c r="H356" s="47" t="s">
        <v>733</v>
      </c>
      <c r="I356" s="55" t="n">
        <v>500</v>
      </c>
      <c r="J356" s="56" t="n">
        <v>3</v>
      </c>
      <c r="K356" s="54" t="s">
        <v>142</v>
      </c>
      <c r="L356" s="57" t="n">
        <v>0.051</v>
      </c>
      <c r="N356" s="47" t="s">
        <v>148</v>
      </c>
      <c r="O356" s="47" t="s">
        <v>510</v>
      </c>
      <c r="P356" s="47"/>
      <c r="Q356" s="48" t="n">
        <f aca="false">IF($J356="","",IFERROR(IF($J356&lt;=1,INDEX(VN_국채일별!$B$4:$B$1436,MATCH($B356,VN_국채일별!$A$4:$A$1436,1)),IF($J356&lt;=2,INDEX(VN_국채일별!$B$4:$B$1436,MATCH($B356,VN_국채일별!$A$4:$A$1436,1))+(INDEX(VN_국채일별!$C$4:$C$1436,MATCH($B356,VN_국채일별!$A$4:$A$1436,1))-INDEX(VN_국채일별!$B$4:$B$1436,MATCH($B356,VN_국채일별!$A$4:$A$1436,1)))*($J356-1),IF($J356&lt;=3,INDEX(VN_국채일별!$C$4:$C$1436,MATCH($B356,VN_국채일별!$A$4:$A$1436,1))+(INDEX(VN_국채일별!$D$4:$D$1436,MATCH($B356,VN_국채일별!$A$4:$A$1436,1))-INDEX(VN_국채일별!$C$4:$C$1436,MATCH($B356,VN_국채일별!$A$4:$A$1436,1)))*($J356-2),IF($J356&lt;=5,INDEX(VN_국채일별!$D$4:$D$1436,MATCH($B356,VN_국채일별!$A$4:$A$1436,1))+(INDEX(VN_국채일별!$E$4:$E$1436,MATCH($B356,VN_국채일별!$A$4:$A$1436,1))-INDEX(VN_국채일별!$D$4:$D$1436,MATCH($B356,VN_국채일별!$A$4:$A$1436,1)))*($J356-3)/2,IF($J356&lt;=7,INDEX(VN_국채일별!$E$4:$E$1436,MATCH($B356,VN_국채일별!$A$4:$A$1436,1))+(INDEX(VN_국채일별!$F$4:$F$1436,MATCH($B356,VN_국채일별!$A$4:$A$1436,1))-INDEX(VN_국채일별!$E$4:$E$1436,MATCH($B356,VN_국채일별!$A$4:$A$1436,1)))*($J356-5)/2,IF($J356&lt;=10,INDEX(VN_국채일별!$F$4:$F$1436,MATCH($B356,VN_국채일별!$A$4:$A$1436,1))+(INDEX(VN_국채일별!$G$4:$G$1436,MATCH($B356,VN_국채일별!$A$4:$A$1436,1))-INDEX(VN_국채일별!$F$4:$F$1436,MATCH($B356,VN_국채일별!$A$4:$A$1436,1)))*($J356-7)/3,INDEX(VN_국채일별!$G$4:$G$1436,MATCH($B356,VN_국채일별!$A$4:$A$1436,1)))))))),""))</f>
        <v>0.0197</v>
      </c>
      <c r="R356" s="58" t="n">
        <f aca="false">IF(OR(L356="",Q356=""),"",(L356-Q356)*10000)</f>
        <v>313</v>
      </c>
      <c r="S356" s="30" t="n">
        <f aca="false">IF(AND(K356="고정",N356="N",J356&gt;=2,J356&lt;=4,I356&lt;&gt;""),1,0)</f>
        <v>1</v>
      </c>
      <c r="T356" s="59" t="n">
        <f aca="false">IF(S356=1,I356*L356,0)</f>
        <v>25.5</v>
      </c>
      <c r="U356" s="60" t="n">
        <f aca="false">IF(AND(S356=1,ISNUMBER(R356)),I356*R356,0)</f>
        <v>156500</v>
      </c>
      <c r="V356" s="30" t="n">
        <f aca="false">IF(AND(F356="Big4(국영)",K356="고정",N356="N",I356&lt;&gt;""),1,0)</f>
        <v>0</v>
      </c>
      <c r="W356" s="59" t="n">
        <f aca="false">IF(V356=1,I356*L356,0)</f>
        <v>0</v>
      </c>
      <c r="X356" s="60" t="n">
        <f aca="false">IF(AND(V356=1,ISNUMBER(R356)),I356*R356,0)</f>
        <v>0</v>
      </c>
      <c r="Y356" s="61" t="n">
        <f aca="false">IF(AND(S356=1,ISNUMBER(R356)),I356,0)</f>
        <v>500</v>
      </c>
      <c r="Z356" s="61" t="n">
        <f aca="false">IF(AND(V356=1,ISNUMBER(R356)),I356,0)</f>
        <v>0</v>
      </c>
    </row>
    <row r="357" customFormat="false" ht="15" hidden="false" customHeight="false" outlineLevel="0" collapsed="false">
      <c r="A357" s="47" t="s">
        <v>720</v>
      </c>
      <c r="B357" s="52" t="n">
        <v>45587</v>
      </c>
      <c r="C357" s="53" t="n">
        <f aca="false">DATE(YEAR(B357),MONTH(B357),1)</f>
        <v>45566</v>
      </c>
      <c r="D357" s="5" t="str">
        <f aca="false">YEAR(B357)&amp;"Q"&amp;ROUNDUP(MONTH(B357)/3,0)</f>
        <v>2024Q4</v>
      </c>
      <c r="E357" s="47" t="s">
        <v>365</v>
      </c>
      <c r="F357" s="54" t="s">
        <v>139</v>
      </c>
      <c r="G357" s="47" t="s">
        <v>366</v>
      </c>
      <c r="H357" s="47" t="s">
        <v>734</v>
      </c>
      <c r="I357" s="55" t="n">
        <v>304</v>
      </c>
      <c r="J357" s="56" t="n">
        <v>10</v>
      </c>
      <c r="K357" s="54" t="s">
        <v>153</v>
      </c>
      <c r="N357" s="47" t="s">
        <v>143</v>
      </c>
      <c r="O357" s="47" t="s">
        <v>723</v>
      </c>
      <c r="P357" s="47"/>
      <c r="Q357" s="48" t="n">
        <f aca="false">IF($J357="","",IFERROR(IF($J357&lt;=1,INDEX(VN_국채일별!$B$4:$B$1436,MATCH($B357,VN_국채일별!$A$4:$A$1436,1)),IF($J357&lt;=2,INDEX(VN_국채일별!$B$4:$B$1436,MATCH($B357,VN_국채일별!$A$4:$A$1436,1))+(INDEX(VN_국채일별!$C$4:$C$1436,MATCH($B357,VN_국채일별!$A$4:$A$1436,1))-INDEX(VN_국채일별!$B$4:$B$1436,MATCH($B357,VN_국채일별!$A$4:$A$1436,1)))*($J357-1),IF($J357&lt;=3,INDEX(VN_국채일별!$C$4:$C$1436,MATCH($B357,VN_국채일별!$A$4:$A$1436,1))+(INDEX(VN_국채일별!$D$4:$D$1436,MATCH($B357,VN_국채일별!$A$4:$A$1436,1))-INDEX(VN_국채일별!$C$4:$C$1436,MATCH($B357,VN_국채일별!$A$4:$A$1436,1)))*($J357-2),IF($J357&lt;=5,INDEX(VN_국채일별!$D$4:$D$1436,MATCH($B357,VN_국채일별!$A$4:$A$1436,1))+(INDEX(VN_국채일별!$E$4:$E$1436,MATCH($B357,VN_국채일별!$A$4:$A$1436,1))-INDEX(VN_국채일별!$D$4:$D$1436,MATCH($B357,VN_국채일별!$A$4:$A$1436,1)))*($J357-3)/2,IF($J357&lt;=7,INDEX(VN_국채일별!$E$4:$E$1436,MATCH($B357,VN_국채일별!$A$4:$A$1436,1))+(INDEX(VN_국채일별!$F$4:$F$1436,MATCH($B357,VN_국채일별!$A$4:$A$1436,1))-INDEX(VN_국채일별!$E$4:$E$1436,MATCH($B357,VN_국채일별!$A$4:$A$1436,1)))*($J357-5)/2,IF($J357&lt;=10,INDEX(VN_국채일별!$F$4:$F$1436,MATCH($B357,VN_국채일별!$A$4:$A$1436,1))+(INDEX(VN_국채일별!$G$4:$G$1436,MATCH($B357,VN_국채일별!$A$4:$A$1436,1))-INDEX(VN_국채일별!$F$4:$F$1436,MATCH($B357,VN_국채일별!$A$4:$A$1436,1)))*($J357-7)/3,INDEX(VN_국채일별!$G$4:$G$1436,MATCH($B357,VN_국채일별!$A$4:$A$1436,1)))))))),""))</f>
        <v>0.02711</v>
      </c>
      <c r="R357" s="58" t="str">
        <f aca="false">IF(OR(L357="",Q357=""),"",(L357-Q357)*10000)</f>
        <v/>
      </c>
      <c r="S357" s="30" t="n">
        <f aca="false">IF(AND(K357="고정",N357="N",J357&gt;=2,J357&lt;=4,I357&lt;&gt;""),1,0)</f>
        <v>0</v>
      </c>
      <c r="T357" s="59" t="n">
        <f aca="false">IF(S357=1,I357*L357,0)</f>
        <v>0</v>
      </c>
      <c r="U357" s="60" t="n">
        <f aca="false">IF(AND(S357=1,ISNUMBER(R357)),I357*R357,0)</f>
        <v>0</v>
      </c>
      <c r="V357" s="30" t="n">
        <f aca="false">IF(AND(F357="Big4(국영)",K357="고정",N357="N",I357&lt;&gt;""),1,0)</f>
        <v>0</v>
      </c>
      <c r="W357" s="59" t="n">
        <f aca="false">IF(V357=1,I357*L357,0)</f>
        <v>0</v>
      </c>
      <c r="X357" s="60" t="n">
        <f aca="false">IF(AND(V357=1,ISNUMBER(R357)),I357*R357,0)</f>
        <v>0</v>
      </c>
      <c r="Y357" s="61" t="n">
        <f aca="false">IF(AND(S357=1,ISNUMBER(R357)),I357,0)</f>
        <v>0</v>
      </c>
      <c r="Z357" s="61" t="n">
        <f aca="false">IF(AND(V357=1,ISNUMBER(R357)),I357,0)</f>
        <v>0</v>
      </c>
    </row>
    <row r="358" customFormat="false" ht="15" hidden="false" customHeight="false" outlineLevel="0" collapsed="false">
      <c r="A358" s="47" t="s">
        <v>735</v>
      </c>
      <c r="B358" s="52" t="n">
        <v>45597</v>
      </c>
      <c r="C358" s="53" t="n">
        <f aca="false">DATE(YEAR(B358),MONTH(B358),1)</f>
        <v>45597</v>
      </c>
      <c r="D358" s="5" t="str">
        <f aca="false">YEAR(B358)&amp;"Q"&amp;ROUNDUP(MONTH(B358)/3,0)</f>
        <v>2024Q4</v>
      </c>
      <c r="E358" s="47" t="s">
        <v>365</v>
      </c>
      <c r="F358" s="54" t="s">
        <v>139</v>
      </c>
      <c r="G358" s="47" t="s">
        <v>366</v>
      </c>
      <c r="H358" s="47" t="s">
        <v>736</v>
      </c>
      <c r="I358" s="55" t="n">
        <v>362</v>
      </c>
      <c r="J358" s="56" t="n">
        <v>10</v>
      </c>
      <c r="K358" s="54" t="s">
        <v>153</v>
      </c>
      <c r="N358" s="47" t="s">
        <v>143</v>
      </c>
      <c r="O358" s="47" t="s">
        <v>723</v>
      </c>
      <c r="P358" s="47"/>
      <c r="Q358" s="48" t="n">
        <f aca="false">IF($J358="","",IFERROR(IF($J358&lt;=1,INDEX(VN_국채일별!$B$4:$B$1436,MATCH($B358,VN_국채일별!$A$4:$A$1436,1)),IF($J358&lt;=2,INDEX(VN_국채일별!$B$4:$B$1436,MATCH($B358,VN_국채일별!$A$4:$A$1436,1))+(INDEX(VN_국채일별!$C$4:$C$1436,MATCH($B358,VN_국채일별!$A$4:$A$1436,1))-INDEX(VN_국채일별!$B$4:$B$1436,MATCH($B358,VN_국채일별!$A$4:$A$1436,1)))*($J358-1),IF($J358&lt;=3,INDEX(VN_국채일별!$C$4:$C$1436,MATCH($B358,VN_국채일별!$A$4:$A$1436,1))+(INDEX(VN_국채일별!$D$4:$D$1436,MATCH($B358,VN_국채일별!$A$4:$A$1436,1))-INDEX(VN_국채일별!$C$4:$C$1436,MATCH($B358,VN_국채일별!$A$4:$A$1436,1)))*($J358-2),IF($J358&lt;=5,INDEX(VN_국채일별!$D$4:$D$1436,MATCH($B358,VN_국채일별!$A$4:$A$1436,1))+(INDEX(VN_국채일별!$E$4:$E$1436,MATCH($B358,VN_국채일별!$A$4:$A$1436,1))-INDEX(VN_국채일별!$D$4:$D$1436,MATCH($B358,VN_국채일별!$A$4:$A$1436,1)))*($J358-3)/2,IF($J358&lt;=7,INDEX(VN_국채일별!$E$4:$E$1436,MATCH($B358,VN_국채일별!$A$4:$A$1436,1))+(INDEX(VN_국채일별!$F$4:$F$1436,MATCH($B358,VN_국채일별!$A$4:$A$1436,1))-INDEX(VN_국채일별!$E$4:$E$1436,MATCH($B358,VN_국채일별!$A$4:$A$1436,1)))*($J358-5)/2,IF($J358&lt;=10,INDEX(VN_국채일별!$F$4:$F$1436,MATCH($B358,VN_국채일별!$A$4:$A$1436,1))+(INDEX(VN_국채일별!$G$4:$G$1436,MATCH($B358,VN_국채일별!$A$4:$A$1436,1))-INDEX(VN_국채일별!$F$4:$F$1436,MATCH($B358,VN_국채일별!$A$4:$A$1436,1)))*($J358-7)/3,INDEX(VN_국채일별!$G$4:$G$1436,MATCH($B358,VN_국채일별!$A$4:$A$1436,1)))))))),""))</f>
        <v>0.02766</v>
      </c>
      <c r="R358" s="58" t="str">
        <f aca="false">IF(OR(L358="",Q358=""),"",(L358-Q358)*10000)</f>
        <v/>
      </c>
      <c r="S358" s="30" t="n">
        <f aca="false">IF(AND(K358="고정",N358="N",J358&gt;=2,J358&lt;=4,I358&lt;&gt;""),1,0)</f>
        <v>0</v>
      </c>
      <c r="T358" s="59" t="n">
        <f aca="false">IF(S358=1,I358*L358,0)</f>
        <v>0</v>
      </c>
      <c r="U358" s="60" t="n">
        <f aca="false">IF(AND(S358=1,ISNUMBER(R358)),I358*R358,0)</f>
        <v>0</v>
      </c>
      <c r="V358" s="30" t="n">
        <f aca="false">IF(AND(F358="Big4(국영)",K358="고정",N358="N",I358&lt;&gt;""),1,0)</f>
        <v>0</v>
      </c>
      <c r="W358" s="59" t="n">
        <f aca="false">IF(V358=1,I358*L358,0)</f>
        <v>0</v>
      </c>
      <c r="X358" s="60" t="n">
        <f aca="false">IF(AND(V358=1,ISNUMBER(R358)),I358*R358,0)</f>
        <v>0</v>
      </c>
      <c r="Y358" s="61" t="n">
        <f aca="false">IF(AND(S358=1,ISNUMBER(R358)),I358,0)</f>
        <v>0</v>
      </c>
      <c r="Z358" s="61" t="n">
        <f aca="false">IF(AND(V358=1,ISNUMBER(R358)),I358,0)</f>
        <v>0</v>
      </c>
    </row>
    <row r="359" customFormat="false" ht="15" hidden="false" customHeight="false" outlineLevel="0" collapsed="false">
      <c r="A359" s="47" t="s">
        <v>735</v>
      </c>
      <c r="B359" s="52" t="n">
        <v>45600</v>
      </c>
      <c r="C359" s="53" t="n">
        <f aca="false">DATE(YEAR(B359),MONTH(B359),1)</f>
        <v>45597</v>
      </c>
      <c r="D359" s="5" t="str">
        <f aca="false">YEAR(B359)&amp;"Q"&amp;ROUNDUP(MONTH(B359)/3,0)</f>
        <v>2024Q4</v>
      </c>
      <c r="E359" s="47" t="s">
        <v>254</v>
      </c>
      <c r="F359" s="54" t="s">
        <v>139</v>
      </c>
      <c r="G359" s="47" t="s">
        <v>339</v>
      </c>
      <c r="H359" s="47" t="s">
        <v>737</v>
      </c>
      <c r="I359" s="55" t="n">
        <v>1500</v>
      </c>
      <c r="J359" s="56" t="n">
        <v>2</v>
      </c>
      <c r="K359" s="54" t="s">
        <v>153</v>
      </c>
      <c r="N359" s="47" t="s">
        <v>148</v>
      </c>
      <c r="O359" s="47" t="s">
        <v>738</v>
      </c>
      <c r="P359" s="47"/>
      <c r="Q359" s="48" t="n">
        <f aca="false">IF($J359="","",IFERROR(IF($J359&lt;=1,INDEX(VN_국채일별!$B$4:$B$1436,MATCH($B359,VN_국채일별!$A$4:$A$1436,1)),IF($J359&lt;=2,INDEX(VN_국채일별!$B$4:$B$1436,MATCH($B359,VN_국채일별!$A$4:$A$1436,1))+(INDEX(VN_국채일별!$C$4:$C$1436,MATCH($B359,VN_국채일별!$A$4:$A$1436,1))-INDEX(VN_국채일별!$B$4:$B$1436,MATCH($B359,VN_국채일별!$A$4:$A$1436,1)))*($J359-1),IF($J359&lt;=3,INDEX(VN_국채일별!$C$4:$C$1436,MATCH($B359,VN_국채일별!$A$4:$A$1436,1))+(INDEX(VN_국채일별!$D$4:$D$1436,MATCH($B359,VN_국채일별!$A$4:$A$1436,1))-INDEX(VN_국채일별!$C$4:$C$1436,MATCH($B359,VN_국채일별!$A$4:$A$1436,1)))*($J359-2),IF($J359&lt;=5,INDEX(VN_국채일별!$D$4:$D$1436,MATCH($B359,VN_국채일별!$A$4:$A$1436,1))+(INDEX(VN_국채일별!$E$4:$E$1436,MATCH($B359,VN_국채일별!$A$4:$A$1436,1))-INDEX(VN_국채일별!$D$4:$D$1436,MATCH($B359,VN_국채일별!$A$4:$A$1436,1)))*($J359-3)/2,IF($J359&lt;=7,INDEX(VN_국채일별!$E$4:$E$1436,MATCH($B359,VN_국채일별!$A$4:$A$1436,1))+(INDEX(VN_국채일별!$F$4:$F$1436,MATCH($B359,VN_국채일별!$A$4:$A$1436,1))-INDEX(VN_국채일별!$E$4:$E$1436,MATCH($B359,VN_국채일별!$A$4:$A$1436,1)))*($J359-5)/2,IF($J359&lt;=10,INDEX(VN_국채일별!$F$4:$F$1436,MATCH($B359,VN_국채일별!$A$4:$A$1436,1))+(INDEX(VN_국채일별!$G$4:$G$1436,MATCH($B359,VN_국채일별!$A$4:$A$1436,1))-INDEX(VN_국채일별!$F$4:$F$1436,MATCH($B359,VN_국채일별!$A$4:$A$1436,1)))*($J359-7)/3,INDEX(VN_국채일별!$G$4:$G$1436,MATCH($B359,VN_국채일별!$A$4:$A$1436,1)))))))),""))</f>
        <v>0.01954</v>
      </c>
      <c r="R359" s="58" t="str">
        <f aca="false">IF(OR(L359="",Q359=""),"",(L359-Q359)*10000)</f>
        <v/>
      </c>
      <c r="S359" s="30" t="n">
        <f aca="false">IF(AND(K359="고정",N359="N",J359&gt;=2,J359&lt;=4,I359&lt;&gt;""),1,0)</f>
        <v>0</v>
      </c>
      <c r="T359" s="59" t="n">
        <f aca="false">IF(S359=1,I359*L359,0)</f>
        <v>0</v>
      </c>
      <c r="U359" s="60" t="n">
        <f aca="false">IF(AND(S359=1,ISNUMBER(R359)),I359*R359,0)</f>
        <v>0</v>
      </c>
      <c r="V359" s="30" t="n">
        <f aca="false">IF(AND(F359="Big4(국영)",K359="고정",N359="N",I359&lt;&gt;""),1,0)</f>
        <v>0</v>
      </c>
      <c r="W359" s="59" t="n">
        <f aca="false">IF(V359=1,I359*L359,0)</f>
        <v>0</v>
      </c>
      <c r="X359" s="60" t="n">
        <f aca="false">IF(AND(V359=1,ISNUMBER(R359)),I359*R359,0)</f>
        <v>0</v>
      </c>
      <c r="Y359" s="61" t="n">
        <f aca="false">IF(AND(S359=1,ISNUMBER(R359)),I359,0)</f>
        <v>0</v>
      </c>
      <c r="Z359" s="61" t="n">
        <f aca="false">IF(AND(V359=1,ISNUMBER(R359)),I359,0)</f>
        <v>0</v>
      </c>
    </row>
    <row r="360" customFormat="false" ht="15" hidden="false" customHeight="false" outlineLevel="0" collapsed="false">
      <c r="A360" s="47" t="s">
        <v>735</v>
      </c>
      <c r="B360" s="52" t="n">
        <v>45601</v>
      </c>
      <c r="C360" s="53" t="n">
        <f aca="false">DATE(YEAR(B360),MONTH(B360),1)</f>
        <v>45597</v>
      </c>
      <c r="D360" s="5" t="str">
        <f aca="false">YEAR(B360)&amp;"Q"&amp;ROUNDUP(MONTH(B360)/3,0)</f>
        <v>2024Q4</v>
      </c>
      <c r="E360" s="47" t="s">
        <v>323</v>
      </c>
      <c r="F360" s="54" t="s">
        <v>139</v>
      </c>
      <c r="G360" s="47" t="s">
        <v>324</v>
      </c>
      <c r="H360" s="47" t="s">
        <v>739</v>
      </c>
      <c r="I360" s="55" t="n">
        <v>1000</v>
      </c>
      <c r="J360" s="56" t="n">
        <v>3</v>
      </c>
      <c r="K360" s="54" t="s">
        <v>142</v>
      </c>
      <c r="L360" s="57" t="n">
        <v>0.052</v>
      </c>
      <c r="N360" s="47" t="s">
        <v>148</v>
      </c>
      <c r="O360" s="47" t="s">
        <v>538</v>
      </c>
      <c r="P360" s="47"/>
      <c r="Q360" s="48" t="n">
        <f aca="false">IF($J360="","",IFERROR(IF($J360&lt;=1,INDEX(VN_국채일별!$B$4:$B$1436,MATCH($B360,VN_국채일별!$A$4:$A$1436,1)),IF($J360&lt;=2,INDEX(VN_국채일별!$B$4:$B$1436,MATCH($B360,VN_국채일별!$A$4:$A$1436,1))+(INDEX(VN_국채일별!$C$4:$C$1436,MATCH($B360,VN_국채일별!$A$4:$A$1436,1))-INDEX(VN_국채일별!$B$4:$B$1436,MATCH($B360,VN_국채일별!$A$4:$A$1436,1)))*($J360-1),IF($J360&lt;=3,INDEX(VN_국채일별!$C$4:$C$1436,MATCH($B360,VN_국채일별!$A$4:$A$1436,1))+(INDEX(VN_국채일별!$D$4:$D$1436,MATCH($B360,VN_국채일별!$A$4:$A$1436,1))-INDEX(VN_국채일별!$C$4:$C$1436,MATCH($B360,VN_국채일별!$A$4:$A$1436,1)))*($J360-2),IF($J360&lt;=5,INDEX(VN_국채일별!$D$4:$D$1436,MATCH($B360,VN_국채일별!$A$4:$A$1436,1))+(INDEX(VN_국채일별!$E$4:$E$1436,MATCH($B360,VN_국채일별!$A$4:$A$1436,1))-INDEX(VN_국채일별!$D$4:$D$1436,MATCH($B360,VN_국채일별!$A$4:$A$1436,1)))*($J360-3)/2,IF($J360&lt;=7,INDEX(VN_국채일별!$E$4:$E$1436,MATCH($B360,VN_국채일별!$A$4:$A$1436,1))+(INDEX(VN_국채일별!$F$4:$F$1436,MATCH($B360,VN_국채일별!$A$4:$A$1436,1))-INDEX(VN_국채일별!$E$4:$E$1436,MATCH($B360,VN_국채일별!$A$4:$A$1436,1)))*($J360-5)/2,IF($J360&lt;=10,INDEX(VN_국채일별!$F$4:$F$1436,MATCH($B360,VN_국채일별!$A$4:$A$1436,1))+(INDEX(VN_국채일별!$G$4:$G$1436,MATCH($B360,VN_국채일별!$A$4:$A$1436,1))-INDEX(VN_국채일별!$F$4:$F$1436,MATCH($B360,VN_국채일별!$A$4:$A$1436,1)))*($J360-7)/3,INDEX(VN_국채일별!$G$4:$G$1436,MATCH($B360,VN_국채일별!$A$4:$A$1436,1)))))))),""))</f>
        <v>0.01971</v>
      </c>
      <c r="R360" s="58" t="n">
        <f aca="false">IF(OR(L360="",Q360=""),"",(L360-Q360)*10000)</f>
        <v>322.9</v>
      </c>
      <c r="S360" s="30" t="n">
        <f aca="false">IF(AND(K360="고정",N360="N",J360&gt;=2,J360&lt;=4,I360&lt;&gt;""),1,0)</f>
        <v>1</v>
      </c>
      <c r="T360" s="59" t="n">
        <f aca="false">IF(S360=1,I360*L360,0)</f>
        <v>52</v>
      </c>
      <c r="U360" s="60" t="n">
        <f aca="false">IF(AND(S360=1,ISNUMBER(R360)),I360*R360,0)</f>
        <v>322900</v>
      </c>
      <c r="V360" s="30" t="n">
        <f aca="false">IF(AND(F360="Big4(국영)",K360="고정",N360="N",I360&lt;&gt;""),1,0)</f>
        <v>0</v>
      </c>
      <c r="W360" s="59" t="n">
        <f aca="false">IF(V360=1,I360*L360,0)</f>
        <v>0</v>
      </c>
      <c r="X360" s="60" t="n">
        <f aca="false">IF(AND(V360=1,ISNUMBER(R360)),I360*R360,0)</f>
        <v>0</v>
      </c>
      <c r="Y360" s="61" t="n">
        <f aca="false">IF(AND(S360=1,ISNUMBER(R360)),I360,0)</f>
        <v>1000</v>
      </c>
      <c r="Z360" s="61" t="n">
        <f aca="false">IF(AND(V360=1,ISNUMBER(R360)),I360,0)</f>
        <v>0</v>
      </c>
    </row>
    <row r="361" customFormat="false" ht="15" hidden="false" customHeight="false" outlineLevel="0" collapsed="false">
      <c r="A361" s="47" t="s">
        <v>735</v>
      </c>
      <c r="B361" s="52" t="n">
        <v>45602</v>
      </c>
      <c r="C361" s="53" t="n">
        <f aca="false">DATE(YEAR(B361),MONTH(B361),1)</f>
        <v>45597</v>
      </c>
      <c r="D361" s="5" t="str">
        <f aca="false">YEAR(B361)&amp;"Q"&amp;ROUNDUP(MONTH(B361)/3,0)</f>
        <v>2024Q4</v>
      </c>
      <c r="E361" s="47" t="s">
        <v>248</v>
      </c>
      <c r="F361" s="54" t="s">
        <v>139</v>
      </c>
      <c r="G361" s="47" t="s">
        <v>361</v>
      </c>
      <c r="H361" s="47" t="s">
        <v>740</v>
      </c>
      <c r="I361" s="55" t="n">
        <v>200</v>
      </c>
      <c r="J361" s="56" t="n">
        <v>8</v>
      </c>
      <c r="K361" s="54" t="s">
        <v>153</v>
      </c>
      <c r="N361" s="47" t="s">
        <v>143</v>
      </c>
      <c r="O361" s="47" t="s">
        <v>411</v>
      </c>
      <c r="P361" s="47"/>
      <c r="Q361" s="48" t="n">
        <f aca="false">IF($J361="","",IFERROR(IF($J361&lt;=1,INDEX(VN_국채일별!$B$4:$B$1436,MATCH($B361,VN_국채일별!$A$4:$A$1436,1)),IF($J361&lt;=2,INDEX(VN_국채일별!$B$4:$B$1436,MATCH($B361,VN_국채일별!$A$4:$A$1436,1))+(INDEX(VN_국채일별!$C$4:$C$1436,MATCH($B361,VN_국채일별!$A$4:$A$1436,1))-INDEX(VN_국채일별!$B$4:$B$1436,MATCH($B361,VN_국채일별!$A$4:$A$1436,1)))*($J361-1),IF($J361&lt;=3,INDEX(VN_국채일별!$C$4:$C$1436,MATCH($B361,VN_국채일별!$A$4:$A$1436,1))+(INDEX(VN_국채일별!$D$4:$D$1436,MATCH($B361,VN_국채일별!$A$4:$A$1436,1))-INDEX(VN_국채일별!$C$4:$C$1436,MATCH($B361,VN_국채일별!$A$4:$A$1436,1)))*($J361-2),IF($J361&lt;=5,INDEX(VN_국채일별!$D$4:$D$1436,MATCH($B361,VN_국채일별!$A$4:$A$1436,1))+(INDEX(VN_국채일별!$E$4:$E$1436,MATCH($B361,VN_국채일별!$A$4:$A$1436,1))-INDEX(VN_국채일별!$D$4:$D$1436,MATCH($B361,VN_국채일별!$A$4:$A$1436,1)))*($J361-3)/2,IF($J361&lt;=7,INDEX(VN_국채일별!$E$4:$E$1436,MATCH($B361,VN_국채일별!$A$4:$A$1436,1))+(INDEX(VN_국채일별!$F$4:$F$1436,MATCH($B361,VN_국채일별!$A$4:$A$1436,1))-INDEX(VN_국채일별!$E$4:$E$1436,MATCH($B361,VN_국채일별!$A$4:$A$1436,1)))*($J361-5)/2,IF($J361&lt;=10,INDEX(VN_국채일별!$F$4:$F$1436,MATCH($B361,VN_국채일별!$A$4:$A$1436,1))+(INDEX(VN_국채일별!$G$4:$G$1436,MATCH($B361,VN_국채일별!$A$4:$A$1436,1))-INDEX(VN_국채일별!$F$4:$F$1436,MATCH($B361,VN_국채일별!$A$4:$A$1436,1)))*($J361-7)/3,INDEX(VN_국채일별!$G$4:$G$1436,MATCH($B361,VN_국채일별!$A$4:$A$1436,1)))))))),""))</f>
        <v>0.0243033333333333</v>
      </c>
      <c r="R361" s="58" t="str">
        <f aca="false">IF(OR(L361="",Q361=""),"",(L361-Q361)*10000)</f>
        <v/>
      </c>
      <c r="S361" s="30" t="n">
        <f aca="false">IF(AND(K361="고정",N361="N",J361&gt;=2,J361&lt;=4,I361&lt;&gt;""),1,0)</f>
        <v>0</v>
      </c>
      <c r="T361" s="59" t="n">
        <f aca="false">IF(S361=1,I361*L361,0)</f>
        <v>0</v>
      </c>
      <c r="U361" s="60" t="n">
        <f aca="false">IF(AND(S361=1,ISNUMBER(R361)),I361*R361,0)</f>
        <v>0</v>
      </c>
      <c r="V361" s="30" t="n">
        <f aca="false">IF(AND(F361="Big4(국영)",K361="고정",N361="N",I361&lt;&gt;""),1,0)</f>
        <v>0</v>
      </c>
      <c r="W361" s="59" t="n">
        <f aca="false">IF(V361=1,I361*L361,0)</f>
        <v>0</v>
      </c>
      <c r="X361" s="60" t="n">
        <f aca="false">IF(AND(V361=1,ISNUMBER(R361)),I361*R361,0)</f>
        <v>0</v>
      </c>
      <c r="Y361" s="61" t="n">
        <f aca="false">IF(AND(S361=1,ISNUMBER(R361)),I361,0)</f>
        <v>0</v>
      </c>
      <c r="Z361" s="61" t="n">
        <f aca="false">IF(AND(V361=1,ISNUMBER(R361)),I361,0)</f>
        <v>0</v>
      </c>
    </row>
    <row r="362" customFormat="false" ht="15" hidden="false" customHeight="false" outlineLevel="0" collapsed="false">
      <c r="A362" s="47" t="s">
        <v>735</v>
      </c>
      <c r="B362" s="52" t="n">
        <v>45602</v>
      </c>
      <c r="C362" s="53" t="n">
        <f aca="false">DATE(YEAR(B362),MONTH(B362),1)</f>
        <v>45597</v>
      </c>
      <c r="D362" s="5" t="str">
        <f aca="false">YEAR(B362)&amp;"Q"&amp;ROUNDUP(MONTH(B362)/3,0)</f>
        <v>2024Q4</v>
      </c>
      <c r="E362" s="47" t="s">
        <v>254</v>
      </c>
      <c r="F362" s="54" t="s">
        <v>139</v>
      </c>
      <c r="G362" s="47" t="s">
        <v>339</v>
      </c>
      <c r="H362" s="47" t="s">
        <v>741</v>
      </c>
      <c r="I362" s="55" t="n">
        <v>2000</v>
      </c>
      <c r="J362" s="56" t="n">
        <v>2</v>
      </c>
      <c r="K362" s="54" t="s">
        <v>153</v>
      </c>
      <c r="N362" s="47" t="s">
        <v>148</v>
      </c>
      <c r="O362" s="47" t="s">
        <v>738</v>
      </c>
      <c r="P362" s="47"/>
      <c r="Q362" s="48" t="n">
        <f aca="false">IF($J362="","",IFERROR(IF($J362&lt;=1,INDEX(VN_국채일별!$B$4:$B$1436,MATCH($B362,VN_국채일별!$A$4:$A$1436,1)),IF($J362&lt;=2,INDEX(VN_국채일별!$B$4:$B$1436,MATCH($B362,VN_국채일별!$A$4:$A$1436,1))+(INDEX(VN_국채일별!$C$4:$C$1436,MATCH($B362,VN_국채일별!$A$4:$A$1436,1))-INDEX(VN_국채일별!$B$4:$B$1436,MATCH($B362,VN_국채일별!$A$4:$A$1436,1)))*($J362-1),IF($J362&lt;=3,INDEX(VN_국채일별!$C$4:$C$1436,MATCH($B362,VN_국채일별!$A$4:$A$1436,1))+(INDEX(VN_국채일별!$D$4:$D$1436,MATCH($B362,VN_국채일별!$A$4:$A$1436,1))-INDEX(VN_국채일별!$C$4:$C$1436,MATCH($B362,VN_국채일별!$A$4:$A$1436,1)))*($J362-2),IF($J362&lt;=5,INDEX(VN_국채일별!$D$4:$D$1436,MATCH($B362,VN_국채일별!$A$4:$A$1436,1))+(INDEX(VN_국채일별!$E$4:$E$1436,MATCH($B362,VN_국채일별!$A$4:$A$1436,1))-INDEX(VN_국채일별!$D$4:$D$1436,MATCH($B362,VN_국채일별!$A$4:$A$1436,1)))*($J362-3)/2,IF($J362&lt;=7,INDEX(VN_국채일별!$E$4:$E$1436,MATCH($B362,VN_국채일별!$A$4:$A$1436,1))+(INDEX(VN_국채일별!$F$4:$F$1436,MATCH($B362,VN_국채일별!$A$4:$A$1436,1))-INDEX(VN_국채일별!$E$4:$E$1436,MATCH($B362,VN_국채일별!$A$4:$A$1436,1)))*($J362-5)/2,IF($J362&lt;=10,INDEX(VN_국채일별!$F$4:$F$1436,MATCH($B362,VN_국채일별!$A$4:$A$1436,1))+(INDEX(VN_국채일별!$G$4:$G$1436,MATCH($B362,VN_국채일별!$A$4:$A$1436,1))-INDEX(VN_국채일별!$F$4:$F$1436,MATCH($B362,VN_국채일별!$A$4:$A$1436,1)))*($J362-7)/3,INDEX(VN_국채일별!$G$4:$G$1436,MATCH($B362,VN_국채일별!$A$4:$A$1436,1)))))))),""))</f>
        <v>0.01938</v>
      </c>
      <c r="R362" s="58" t="str">
        <f aca="false">IF(OR(L362="",Q362=""),"",(L362-Q362)*10000)</f>
        <v/>
      </c>
      <c r="S362" s="30" t="n">
        <f aca="false">IF(AND(K362="고정",N362="N",J362&gt;=2,J362&lt;=4,I362&lt;&gt;""),1,0)</f>
        <v>0</v>
      </c>
      <c r="T362" s="59" t="n">
        <f aca="false">IF(S362=1,I362*L362,0)</f>
        <v>0</v>
      </c>
      <c r="U362" s="60" t="n">
        <f aca="false">IF(AND(S362=1,ISNUMBER(R362)),I362*R362,0)</f>
        <v>0</v>
      </c>
      <c r="V362" s="30" t="n">
        <f aca="false">IF(AND(F362="Big4(국영)",K362="고정",N362="N",I362&lt;&gt;""),1,0)</f>
        <v>0</v>
      </c>
      <c r="W362" s="59" t="n">
        <f aca="false">IF(V362=1,I362*L362,0)</f>
        <v>0</v>
      </c>
      <c r="X362" s="60" t="n">
        <f aca="false">IF(AND(V362=1,ISNUMBER(R362)),I362*R362,0)</f>
        <v>0</v>
      </c>
      <c r="Y362" s="61" t="n">
        <f aca="false">IF(AND(S362=1,ISNUMBER(R362)),I362,0)</f>
        <v>0</v>
      </c>
      <c r="Z362" s="61" t="n">
        <f aca="false">IF(AND(V362=1,ISNUMBER(R362)),I362,0)</f>
        <v>0</v>
      </c>
    </row>
    <row r="363" customFormat="false" ht="15" hidden="false" customHeight="false" outlineLevel="0" collapsed="false">
      <c r="A363" s="47" t="s">
        <v>735</v>
      </c>
      <c r="B363" s="52" t="n">
        <v>45607</v>
      </c>
      <c r="C363" s="53" t="n">
        <f aca="false">DATE(YEAR(B363),MONTH(B363),1)</f>
        <v>45597</v>
      </c>
      <c r="D363" s="5" t="str">
        <f aca="false">YEAR(B363)&amp;"Q"&amp;ROUNDUP(MONTH(B363)/3,0)</f>
        <v>2024Q4</v>
      </c>
      <c r="E363" s="47" t="s">
        <v>365</v>
      </c>
      <c r="F363" s="54" t="s">
        <v>139</v>
      </c>
      <c r="G363" s="47" t="s">
        <v>366</v>
      </c>
      <c r="H363" s="47" t="s">
        <v>742</v>
      </c>
      <c r="I363" s="55" t="n">
        <v>1000</v>
      </c>
      <c r="J363" s="56" t="n">
        <v>3</v>
      </c>
      <c r="K363" s="54" t="s">
        <v>142</v>
      </c>
      <c r="L363" s="57" t="n">
        <v>0.053</v>
      </c>
      <c r="N363" s="47" t="s">
        <v>148</v>
      </c>
      <c r="O363" s="47" t="s">
        <v>582</v>
      </c>
      <c r="P363" s="47"/>
      <c r="Q363" s="48" t="n">
        <f aca="false">IF($J363="","",IFERROR(IF($J363&lt;=1,INDEX(VN_국채일별!$B$4:$B$1436,MATCH($B363,VN_국채일별!$A$4:$A$1436,1)),IF($J363&lt;=2,INDEX(VN_국채일별!$B$4:$B$1436,MATCH($B363,VN_국채일별!$A$4:$A$1436,1))+(INDEX(VN_국채일별!$C$4:$C$1436,MATCH($B363,VN_국채일별!$A$4:$A$1436,1))-INDEX(VN_국채일별!$B$4:$B$1436,MATCH($B363,VN_국채일별!$A$4:$A$1436,1)))*($J363-1),IF($J363&lt;=3,INDEX(VN_국채일별!$C$4:$C$1436,MATCH($B363,VN_국채일별!$A$4:$A$1436,1))+(INDEX(VN_국채일별!$D$4:$D$1436,MATCH($B363,VN_국채일별!$A$4:$A$1436,1))-INDEX(VN_국채일별!$C$4:$C$1436,MATCH($B363,VN_국채일별!$A$4:$A$1436,1)))*($J363-2),IF($J363&lt;=5,INDEX(VN_국채일별!$D$4:$D$1436,MATCH($B363,VN_국채일별!$A$4:$A$1436,1))+(INDEX(VN_국채일별!$E$4:$E$1436,MATCH($B363,VN_국채일별!$A$4:$A$1436,1))-INDEX(VN_국채일별!$D$4:$D$1436,MATCH($B363,VN_국채일별!$A$4:$A$1436,1)))*($J363-3)/2,IF($J363&lt;=7,INDEX(VN_국채일별!$E$4:$E$1436,MATCH($B363,VN_국채일별!$A$4:$A$1436,1))+(INDEX(VN_국채일별!$F$4:$F$1436,MATCH($B363,VN_국채일별!$A$4:$A$1436,1))-INDEX(VN_국채일별!$E$4:$E$1436,MATCH($B363,VN_국채일별!$A$4:$A$1436,1)))*($J363-5)/2,IF($J363&lt;=10,INDEX(VN_국채일별!$F$4:$F$1436,MATCH($B363,VN_국채일별!$A$4:$A$1436,1))+(INDEX(VN_국채일별!$G$4:$G$1436,MATCH($B363,VN_국채일별!$A$4:$A$1436,1))-INDEX(VN_국채일별!$F$4:$F$1436,MATCH($B363,VN_국채일별!$A$4:$A$1436,1)))*($J363-7)/3,INDEX(VN_국채일별!$G$4:$G$1436,MATCH($B363,VN_국채일별!$A$4:$A$1436,1)))))))),""))</f>
        <v>0.01976</v>
      </c>
      <c r="R363" s="58" t="n">
        <f aca="false">IF(OR(L363="",Q363=""),"",(L363-Q363)*10000)</f>
        <v>332.4</v>
      </c>
      <c r="S363" s="30" t="n">
        <f aca="false">IF(AND(K363="고정",N363="N",J363&gt;=2,J363&lt;=4,I363&lt;&gt;""),1,0)</f>
        <v>1</v>
      </c>
      <c r="T363" s="59" t="n">
        <f aca="false">IF(S363=1,I363*L363,0)</f>
        <v>53</v>
      </c>
      <c r="U363" s="60" t="n">
        <f aca="false">IF(AND(S363=1,ISNUMBER(R363)),I363*R363,0)</f>
        <v>332400</v>
      </c>
      <c r="V363" s="30" t="n">
        <f aca="false">IF(AND(F363="Big4(국영)",K363="고정",N363="N",I363&lt;&gt;""),1,0)</f>
        <v>0</v>
      </c>
      <c r="W363" s="59" t="n">
        <f aca="false">IF(V363=1,I363*L363,0)</f>
        <v>0</v>
      </c>
      <c r="X363" s="60" t="n">
        <f aca="false">IF(AND(V363=1,ISNUMBER(R363)),I363*R363,0)</f>
        <v>0</v>
      </c>
      <c r="Y363" s="61" t="n">
        <f aca="false">IF(AND(S363=1,ISNUMBER(R363)),I363,0)</f>
        <v>1000</v>
      </c>
      <c r="Z363" s="61" t="n">
        <f aca="false">IF(AND(V363=1,ISNUMBER(R363)),I363,0)</f>
        <v>0</v>
      </c>
    </row>
    <row r="364" customFormat="false" ht="15" hidden="false" customHeight="false" outlineLevel="0" collapsed="false">
      <c r="A364" s="47" t="s">
        <v>735</v>
      </c>
      <c r="B364" s="52" t="n">
        <v>45608</v>
      </c>
      <c r="C364" s="53" t="n">
        <f aca="false">DATE(YEAR(B364),MONTH(B364),1)</f>
        <v>45597</v>
      </c>
      <c r="D364" s="5" t="str">
        <f aca="false">YEAR(B364)&amp;"Q"&amp;ROUNDUP(MONTH(B364)/3,0)</f>
        <v>2024Q4</v>
      </c>
      <c r="E364" s="47" t="s">
        <v>743</v>
      </c>
      <c r="F364" s="54" t="s">
        <v>139</v>
      </c>
      <c r="G364" s="47" t="s">
        <v>744</v>
      </c>
      <c r="H364" s="47" t="s">
        <v>745</v>
      </c>
      <c r="I364" s="55" t="n">
        <v>400</v>
      </c>
      <c r="J364" s="56" t="n">
        <v>2</v>
      </c>
      <c r="K364" s="54" t="s">
        <v>142</v>
      </c>
      <c r="L364" s="57" t="n">
        <v>0.053</v>
      </c>
      <c r="N364" s="47" t="s">
        <v>148</v>
      </c>
      <c r="O364" s="47" t="s">
        <v>582</v>
      </c>
      <c r="P364" s="47"/>
      <c r="Q364" s="48" t="n">
        <f aca="false">IF($J364="","",IFERROR(IF($J364&lt;=1,INDEX(VN_국채일별!$B$4:$B$1436,MATCH($B364,VN_국채일별!$A$4:$A$1436,1)),IF($J364&lt;=2,INDEX(VN_국채일별!$B$4:$B$1436,MATCH($B364,VN_국채일별!$A$4:$A$1436,1))+(INDEX(VN_국채일별!$C$4:$C$1436,MATCH($B364,VN_국채일별!$A$4:$A$1436,1))-INDEX(VN_국채일별!$B$4:$B$1436,MATCH($B364,VN_국채일별!$A$4:$A$1436,1)))*($J364-1),IF($J364&lt;=3,INDEX(VN_국채일별!$C$4:$C$1436,MATCH($B364,VN_국채일별!$A$4:$A$1436,1))+(INDEX(VN_국채일별!$D$4:$D$1436,MATCH($B364,VN_국채일별!$A$4:$A$1436,1))-INDEX(VN_국채일별!$C$4:$C$1436,MATCH($B364,VN_국채일별!$A$4:$A$1436,1)))*($J364-2),IF($J364&lt;=5,INDEX(VN_국채일별!$D$4:$D$1436,MATCH($B364,VN_국채일별!$A$4:$A$1436,1))+(INDEX(VN_국채일별!$E$4:$E$1436,MATCH($B364,VN_국채일별!$A$4:$A$1436,1))-INDEX(VN_국채일별!$D$4:$D$1436,MATCH($B364,VN_국채일별!$A$4:$A$1436,1)))*($J364-3)/2,IF($J364&lt;=7,INDEX(VN_국채일별!$E$4:$E$1436,MATCH($B364,VN_국채일별!$A$4:$A$1436,1))+(INDEX(VN_국채일별!$F$4:$F$1436,MATCH($B364,VN_국채일별!$A$4:$A$1436,1))-INDEX(VN_국채일별!$E$4:$E$1436,MATCH($B364,VN_국채일별!$A$4:$A$1436,1)))*($J364-5)/2,IF($J364&lt;=10,INDEX(VN_국채일별!$F$4:$F$1436,MATCH($B364,VN_국채일별!$A$4:$A$1436,1))+(INDEX(VN_국채일별!$G$4:$G$1436,MATCH($B364,VN_국채일별!$A$4:$A$1436,1))-INDEX(VN_국채일별!$F$4:$F$1436,MATCH($B364,VN_국채일별!$A$4:$A$1436,1)))*($J364-7)/3,INDEX(VN_국채일별!$G$4:$G$1436,MATCH($B364,VN_국채일별!$A$4:$A$1436,1)))))))),""))</f>
        <v>0.01945</v>
      </c>
      <c r="R364" s="58" t="n">
        <f aca="false">IF(OR(L364="",Q364=""),"",(L364-Q364)*10000)</f>
        <v>335.5</v>
      </c>
      <c r="S364" s="30" t="n">
        <f aca="false">IF(AND(K364="고정",N364="N",J364&gt;=2,J364&lt;=4,I364&lt;&gt;""),1,0)</f>
        <v>1</v>
      </c>
      <c r="T364" s="59" t="n">
        <f aca="false">IF(S364=1,I364*L364,0)</f>
        <v>21.2</v>
      </c>
      <c r="U364" s="60" t="n">
        <f aca="false">IF(AND(S364=1,ISNUMBER(R364)),I364*R364,0)</f>
        <v>134200</v>
      </c>
      <c r="V364" s="30" t="n">
        <f aca="false">IF(AND(F364="Big4(국영)",K364="고정",N364="N",I364&lt;&gt;""),1,0)</f>
        <v>0</v>
      </c>
      <c r="W364" s="59" t="n">
        <f aca="false">IF(V364=1,I364*L364,0)</f>
        <v>0</v>
      </c>
      <c r="X364" s="60" t="n">
        <f aca="false">IF(AND(V364=1,ISNUMBER(R364)),I364*R364,0)</f>
        <v>0</v>
      </c>
      <c r="Y364" s="61" t="n">
        <f aca="false">IF(AND(S364=1,ISNUMBER(R364)),I364,0)</f>
        <v>400</v>
      </c>
      <c r="Z364" s="61" t="n">
        <f aca="false">IF(AND(V364=1,ISNUMBER(R364)),I364,0)</f>
        <v>0</v>
      </c>
    </row>
    <row r="365" customFormat="false" ht="15" hidden="false" customHeight="false" outlineLevel="0" collapsed="false">
      <c r="A365" s="47" t="s">
        <v>735</v>
      </c>
      <c r="B365" s="52" t="n">
        <v>45609</v>
      </c>
      <c r="C365" s="53" t="n">
        <f aca="false">DATE(YEAR(B365),MONTH(B365),1)</f>
        <v>45597</v>
      </c>
      <c r="D365" s="5" t="str">
        <f aca="false">YEAR(B365)&amp;"Q"&amp;ROUNDUP(MONTH(B365)/3,0)</f>
        <v>2024Q4</v>
      </c>
      <c r="E365" s="47" t="s">
        <v>242</v>
      </c>
      <c r="F365" s="54" t="s">
        <v>139</v>
      </c>
      <c r="G365" s="47" t="s">
        <v>724</v>
      </c>
      <c r="H365" s="47" t="s">
        <v>746</v>
      </c>
      <c r="I365" s="55" t="n">
        <v>200</v>
      </c>
      <c r="J365" s="56" t="n">
        <v>7</v>
      </c>
      <c r="K365" s="54" t="s">
        <v>153</v>
      </c>
      <c r="N365" s="47" t="s">
        <v>143</v>
      </c>
      <c r="O365" s="47" t="s">
        <v>688</v>
      </c>
      <c r="P365" s="47"/>
      <c r="Q365" s="48" t="n">
        <f aca="false">IF($J365="","",IFERROR(IF($J365&lt;=1,INDEX(VN_국채일별!$B$4:$B$1436,MATCH($B365,VN_국채일별!$A$4:$A$1436,1)),IF($J365&lt;=2,INDEX(VN_국채일별!$B$4:$B$1436,MATCH($B365,VN_국채일별!$A$4:$A$1436,1))+(INDEX(VN_국채일별!$C$4:$C$1436,MATCH($B365,VN_국채일별!$A$4:$A$1436,1))-INDEX(VN_국채일별!$B$4:$B$1436,MATCH($B365,VN_국채일별!$A$4:$A$1436,1)))*($J365-1),IF($J365&lt;=3,INDEX(VN_국채일별!$C$4:$C$1436,MATCH($B365,VN_국채일별!$A$4:$A$1436,1))+(INDEX(VN_국채일별!$D$4:$D$1436,MATCH($B365,VN_국채일별!$A$4:$A$1436,1))-INDEX(VN_국채일별!$C$4:$C$1436,MATCH($B365,VN_국채일별!$A$4:$A$1436,1)))*($J365-2),IF($J365&lt;=5,INDEX(VN_국채일별!$D$4:$D$1436,MATCH($B365,VN_국채일별!$A$4:$A$1436,1))+(INDEX(VN_국채일별!$E$4:$E$1436,MATCH($B365,VN_국채일별!$A$4:$A$1436,1))-INDEX(VN_국채일별!$D$4:$D$1436,MATCH($B365,VN_국채일별!$A$4:$A$1436,1)))*($J365-3)/2,IF($J365&lt;=7,INDEX(VN_국채일별!$E$4:$E$1436,MATCH($B365,VN_국채일별!$A$4:$A$1436,1))+(INDEX(VN_국채일별!$F$4:$F$1436,MATCH($B365,VN_국채일별!$A$4:$A$1436,1))-INDEX(VN_국채일별!$E$4:$E$1436,MATCH($B365,VN_국채일별!$A$4:$A$1436,1)))*($J365-5)/2,IF($J365&lt;=10,INDEX(VN_국채일별!$F$4:$F$1436,MATCH($B365,VN_국채일별!$A$4:$A$1436,1))+(INDEX(VN_국채일별!$G$4:$G$1436,MATCH($B365,VN_국채일별!$A$4:$A$1436,1))-INDEX(VN_국채일별!$F$4:$F$1436,MATCH($B365,VN_국채일별!$A$4:$A$1436,1)))*($J365-7)/3,INDEX(VN_국채일별!$G$4:$G$1436,MATCH($B365,VN_국채일별!$A$4:$A$1436,1)))))))),""))</f>
        <v>0.02282</v>
      </c>
      <c r="R365" s="58" t="str">
        <f aca="false">IF(OR(L365="",Q365=""),"",(L365-Q365)*10000)</f>
        <v/>
      </c>
      <c r="S365" s="30" t="n">
        <f aca="false">IF(AND(K365="고정",N365="N",J365&gt;=2,J365&lt;=4,I365&lt;&gt;""),1,0)</f>
        <v>0</v>
      </c>
      <c r="T365" s="59" t="n">
        <f aca="false">IF(S365=1,I365*L365,0)</f>
        <v>0</v>
      </c>
      <c r="U365" s="60" t="n">
        <f aca="false">IF(AND(S365=1,ISNUMBER(R365)),I365*R365,0)</f>
        <v>0</v>
      </c>
      <c r="V365" s="30" t="n">
        <f aca="false">IF(AND(F365="Big4(국영)",K365="고정",N365="N",I365&lt;&gt;""),1,0)</f>
        <v>0</v>
      </c>
      <c r="W365" s="59" t="n">
        <f aca="false">IF(V365=1,I365*L365,0)</f>
        <v>0</v>
      </c>
      <c r="X365" s="60" t="n">
        <f aca="false">IF(AND(V365=1,ISNUMBER(R365)),I365*R365,0)</f>
        <v>0</v>
      </c>
      <c r="Y365" s="61" t="n">
        <f aca="false">IF(AND(S365=1,ISNUMBER(R365)),I365,0)</f>
        <v>0</v>
      </c>
      <c r="Z365" s="61" t="n">
        <f aca="false">IF(AND(V365=1,ISNUMBER(R365)),I365,0)</f>
        <v>0</v>
      </c>
    </row>
    <row r="366" customFormat="false" ht="15" hidden="false" customHeight="false" outlineLevel="0" collapsed="false">
      <c r="A366" s="47" t="s">
        <v>735</v>
      </c>
      <c r="B366" s="52" t="n">
        <v>45609</v>
      </c>
      <c r="C366" s="53" t="n">
        <f aca="false">DATE(YEAR(B366),MONTH(B366),1)</f>
        <v>45597</v>
      </c>
      <c r="D366" s="5" t="str">
        <f aca="false">YEAR(B366)&amp;"Q"&amp;ROUNDUP(MONTH(B366)/3,0)</f>
        <v>2024Q4</v>
      </c>
      <c r="E366" s="47" t="s">
        <v>248</v>
      </c>
      <c r="F366" s="54" t="s">
        <v>139</v>
      </c>
      <c r="G366" s="47" t="s">
        <v>361</v>
      </c>
      <c r="H366" s="47" t="s">
        <v>747</v>
      </c>
      <c r="I366" s="55" t="n">
        <v>440</v>
      </c>
      <c r="J366" s="56" t="n">
        <v>7</v>
      </c>
      <c r="K366" s="54" t="s">
        <v>153</v>
      </c>
      <c r="N366" s="47" t="s">
        <v>143</v>
      </c>
      <c r="O366" s="47" t="s">
        <v>411</v>
      </c>
      <c r="P366" s="47"/>
      <c r="Q366" s="48" t="n">
        <f aca="false">IF($J366="","",IFERROR(IF($J366&lt;=1,INDEX(VN_국채일별!$B$4:$B$1436,MATCH($B366,VN_국채일별!$A$4:$A$1436,1)),IF($J366&lt;=2,INDEX(VN_국채일별!$B$4:$B$1436,MATCH($B366,VN_국채일별!$A$4:$A$1436,1))+(INDEX(VN_국채일별!$C$4:$C$1436,MATCH($B366,VN_국채일별!$A$4:$A$1436,1))-INDEX(VN_국채일별!$B$4:$B$1436,MATCH($B366,VN_국채일별!$A$4:$A$1436,1)))*($J366-1),IF($J366&lt;=3,INDEX(VN_국채일별!$C$4:$C$1436,MATCH($B366,VN_국채일별!$A$4:$A$1436,1))+(INDEX(VN_국채일별!$D$4:$D$1436,MATCH($B366,VN_국채일별!$A$4:$A$1436,1))-INDEX(VN_국채일별!$C$4:$C$1436,MATCH($B366,VN_국채일별!$A$4:$A$1436,1)))*($J366-2),IF($J366&lt;=5,INDEX(VN_국채일별!$D$4:$D$1436,MATCH($B366,VN_국채일별!$A$4:$A$1436,1))+(INDEX(VN_국채일별!$E$4:$E$1436,MATCH($B366,VN_국채일별!$A$4:$A$1436,1))-INDEX(VN_국채일별!$D$4:$D$1436,MATCH($B366,VN_국채일별!$A$4:$A$1436,1)))*($J366-3)/2,IF($J366&lt;=7,INDEX(VN_국채일별!$E$4:$E$1436,MATCH($B366,VN_국채일별!$A$4:$A$1436,1))+(INDEX(VN_국채일별!$F$4:$F$1436,MATCH($B366,VN_국채일별!$A$4:$A$1436,1))-INDEX(VN_국채일별!$E$4:$E$1436,MATCH($B366,VN_국채일별!$A$4:$A$1436,1)))*($J366-5)/2,IF($J366&lt;=10,INDEX(VN_국채일별!$F$4:$F$1436,MATCH($B366,VN_국채일별!$A$4:$A$1436,1))+(INDEX(VN_국채일별!$G$4:$G$1436,MATCH($B366,VN_국채일별!$A$4:$A$1436,1))-INDEX(VN_국채일별!$F$4:$F$1436,MATCH($B366,VN_국채일별!$A$4:$A$1436,1)))*($J366-7)/3,INDEX(VN_국채일별!$G$4:$G$1436,MATCH($B366,VN_국채일별!$A$4:$A$1436,1)))))))),""))</f>
        <v>0.02282</v>
      </c>
      <c r="R366" s="58" t="str">
        <f aca="false">IF(OR(L366="",Q366=""),"",(L366-Q366)*10000)</f>
        <v/>
      </c>
      <c r="S366" s="30" t="n">
        <f aca="false">IF(AND(K366="고정",N366="N",J366&gt;=2,J366&lt;=4,I366&lt;&gt;""),1,0)</f>
        <v>0</v>
      </c>
      <c r="T366" s="59" t="n">
        <f aca="false">IF(S366=1,I366*L366,0)</f>
        <v>0</v>
      </c>
      <c r="U366" s="60" t="n">
        <f aca="false">IF(AND(S366=1,ISNUMBER(R366)),I366*R366,0)</f>
        <v>0</v>
      </c>
      <c r="V366" s="30" t="n">
        <f aca="false">IF(AND(F366="Big4(국영)",K366="고정",N366="N",I366&lt;&gt;""),1,0)</f>
        <v>0</v>
      </c>
      <c r="W366" s="59" t="n">
        <f aca="false">IF(V366=1,I366*L366,0)</f>
        <v>0</v>
      </c>
      <c r="X366" s="60" t="n">
        <f aca="false">IF(AND(V366=1,ISNUMBER(R366)),I366*R366,0)</f>
        <v>0</v>
      </c>
      <c r="Y366" s="61" t="n">
        <f aca="false">IF(AND(S366=1,ISNUMBER(R366)),I366,0)</f>
        <v>0</v>
      </c>
      <c r="Z366" s="61" t="n">
        <f aca="false">IF(AND(V366=1,ISNUMBER(R366)),I366,0)</f>
        <v>0</v>
      </c>
    </row>
    <row r="367" customFormat="false" ht="15" hidden="false" customHeight="false" outlineLevel="0" collapsed="false">
      <c r="A367" s="47" t="s">
        <v>735</v>
      </c>
      <c r="B367" s="52" t="n">
        <v>45610</v>
      </c>
      <c r="C367" s="53" t="n">
        <f aca="false">DATE(YEAR(B367),MONTH(B367),1)</f>
        <v>45597</v>
      </c>
      <c r="D367" s="5" t="str">
        <f aca="false">YEAR(B367)&amp;"Q"&amp;ROUNDUP(MONTH(B367)/3,0)</f>
        <v>2024Q4</v>
      </c>
      <c r="E367" s="47" t="s">
        <v>365</v>
      </c>
      <c r="F367" s="54" t="s">
        <v>139</v>
      </c>
      <c r="G367" s="47" t="s">
        <v>366</v>
      </c>
      <c r="H367" s="47" t="s">
        <v>748</v>
      </c>
      <c r="I367" s="55" t="n">
        <v>50</v>
      </c>
      <c r="J367" s="56" t="n">
        <v>10</v>
      </c>
      <c r="K367" s="54" t="s">
        <v>153</v>
      </c>
      <c r="N367" s="47" t="s">
        <v>143</v>
      </c>
      <c r="O367" s="47" t="s">
        <v>749</v>
      </c>
      <c r="P367" s="47"/>
      <c r="Q367" s="48" t="n">
        <f aca="false">IF($J367="","",IFERROR(IF($J367&lt;=1,INDEX(VN_국채일별!$B$4:$B$1436,MATCH($B367,VN_국채일별!$A$4:$A$1436,1)),IF($J367&lt;=2,INDEX(VN_국채일별!$B$4:$B$1436,MATCH($B367,VN_국채일별!$A$4:$A$1436,1))+(INDEX(VN_국채일별!$C$4:$C$1436,MATCH($B367,VN_국채일별!$A$4:$A$1436,1))-INDEX(VN_국채일별!$B$4:$B$1436,MATCH($B367,VN_국채일별!$A$4:$A$1436,1)))*($J367-1),IF($J367&lt;=3,INDEX(VN_국채일별!$C$4:$C$1436,MATCH($B367,VN_국채일별!$A$4:$A$1436,1))+(INDEX(VN_국채일별!$D$4:$D$1436,MATCH($B367,VN_국채일별!$A$4:$A$1436,1))-INDEX(VN_국채일별!$C$4:$C$1436,MATCH($B367,VN_국채일별!$A$4:$A$1436,1)))*($J367-2),IF($J367&lt;=5,INDEX(VN_국채일별!$D$4:$D$1436,MATCH($B367,VN_국채일별!$A$4:$A$1436,1))+(INDEX(VN_국채일별!$E$4:$E$1436,MATCH($B367,VN_국채일별!$A$4:$A$1436,1))-INDEX(VN_국채일별!$D$4:$D$1436,MATCH($B367,VN_국채일별!$A$4:$A$1436,1)))*($J367-3)/2,IF($J367&lt;=7,INDEX(VN_국채일별!$E$4:$E$1436,MATCH($B367,VN_국채일별!$A$4:$A$1436,1))+(INDEX(VN_국채일별!$F$4:$F$1436,MATCH($B367,VN_국채일별!$A$4:$A$1436,1))-INDEX(VN_국채일별!$E$4:$E$1436,MATCH($B367,VN_국채일별!$A$4:$A$1436,1)))*($J367-5)/2,IF($J367&lt;=10,INDEX(VN_국채일별!$F$4:$F$1436,MATCH($B367,VN_국채일별!$A$4:$A$1436,1))+(INDEX(VN_국채일별!$G$4:$G$1436,MATCH($B367,VN_국채일별!$A$4:$A$1436,1))-INDEX(VN_국채일별!$F$4:$F$1436,MATCH($B367,VN_국채일별!$A$4:$A$1436,1)))*($J367-7)/3,INDEX(VN_국채일별!$G$4:$G$1436,MATCH($B367,VN_국채일별!$A$4:$A$1436,1)))))))),""))</f>
        <v>0.0281</v>
      </c>
      <c r="R367" s="58" t="str">
        <f aca="false">IF(OR(L367="",Q367=""),"",(L367-Q367)*10000)</f>
        <v/>
      </c>
      <c r="S367" s="30" t="n">
        <f aca="false">IF(AND(K367="고정",N367="N",J367&gt;=2,J367&lt;=4,I367&lt;&gt;""),1,0)</f>
        <v>0</v>
      </c>
      <c r="T367" s="59" t="n">
        <f aca="false">IF(S367=1,I367*L367,0)</f>
        <v>0</v>
      </c>
      <c r="U367" s="60" t="n">
        <f aca="false">IF(AND(S367=1,ISNUMBER(R367)),I367*R367,0)</f>
        <v>0</v>
      </c>
      <c r="V367" s="30" t="n">
        <f aca="false">IF(AND(F367="Big4(국영)",K367="고정",N367="N",I367&lt;&gt;""),1,0)</f>
        <v>0</v>
      </c>
      <c r="W367" s="59" t="n">
        <f aca="false">IF(V367=1,I367*L367,0)</f>
        <v>0</v>
      </c>
      <c r="X367" s="60" t="n">
        <f aca="false">IF(AND(V367=1,ISNUMBER(R367)),I367*R367,0)</f>
        <v>0</v>
      </c>
      <c r="Y367" s="61" t="n">
        <f aca="false">IF(AND(S367=1,ISNUMBER(R367)),I367,0)</f>
        <v>0</v>
      </c>
      <c r="Z367" s="61" t="n">
        <f aca="false">IF(AND(V367=1,ISNUMBER(R367)),I367,0)</f>
        <v>0</v>
      </c>
    </row>
    <row r="368" customFormat="false" ht="15" hidden="false" customHeight="false" outlineLevel="0" collapsed="false">
      <c r="A368" s="47" t="s">
        <v>735</v>
      </c>
      <c r="B368" s="52" t="n">
        <v>45610</v>
      </c>
      <c r="C368" s="53" t="n">
        <f aca="false">DATE(YEAR(B368),MONTH(B368),1)</f>
        <v>45597</v>
      </c>
      <c r="D368" s="5" t="str">
        <f aca="false">YEAR(B368)&amp;"Q"&amp;ROUNDUP(MONTH(B368)/3,0)</f>
        <v>2024Q4</v>
      </c>
      <c r="E368" s="62" t="s">
        <v>230</v>
      </c>
      <c r="F368" s="62" t="s">
        <v>156</v>
      </c>
      <c r="G368" s="47" t="s">
        <v>345</v>
      </c>
      <c r="H368" s="47" t="s">
        <v>750</v>
      </c>
      <c r="I368" s="55" t="n">
        <v>2000</v>
      </c>
      <c r="J368" s="56" t="n">
        <v>2</v>
      </c>
      <c r="K368" s="54" t="s">
        <v>142</v>
      </c>
      <c r="L368" s="57" t="n">
        <v>0.049</v>
      </c>
      <c r="N368" s="47" t="s">
        <v>148</v>
      </c>
      <c r="O368" s="47" t="s">
        <v>751</v>
      </c>
      <c r="P368" s="47"/>
      <c r="Q368" s="48" t="n">
        <f aca="false">IF($J368="","",IFERROR(IF($J368&lt;=1,INDEX(VN_국채일별!$B$4:$B$1436,MATCH($B368,VN_국채일별!$A$4:$A$1436,1)),IF($J368&lt;=2,INDEX(VN_국채일별!$B$4:$B$1436,MATCH($B368,VN_국채일별!$A$4:$A$1436,1))+(INDEX(VN_국채일별!$C$4:$C$1436,MATCH($B368,VN_국채일별!$A$4:$A$1436,1))-INDEX(VN_국채일별!$B$4:$B$1436,MATCH($B368,VN_국채일별!$A$4:$A$1436,1)))*($J368-1),IF($J368&lt;=3,INDEX(VN_국채일별!$C$4:$C$1436,MATCH($B368,VN_국채일별!$A$4:$A$1436,1))+(INDEX(VN_국채일별!$D$4:$D$1436,MATCH($B368,VN_국채일별!$A$4:$A$1436,1))-INDEX(VN_국채일별!$C$4:$C$1436,MATCH($B368,VN_국채일별!$A$4:$A$1436,1)))*($J368-2),IF($J368&lt;=5,INDEX(VN_국채일별!$D$4:$D$1436,MATCH($B368,VN_국채일별!$A$4:$A$1436,1))+(INDEX(VN_국채일별!$E$4:$E$1436,MATCH($B368,VN_국채일별!$A$4:$A$1436,1))-INDEX(VN_국채일별!$D$4:$D$1436,MATCH($B368,VN_국채일별!$A$4:$A$1436,1)))*($J368-3)/2,IF($J368&lt;=7,INDEX(VN_국채일별!$E$4:$E$1436,MATCH($B368,VN_국채일별!$A$4:$A$1436,1))+(INDEX(VN_국채일별!$F$4:$F$1436,MATCH($B368,VN_국채일별!$A$4:$A$1436,1))-INDEX(VN_국채일별!$E$4:$E$1436,MATCH($B368,VN_국채일별!$A$4:$A$1436,1)))*($J368-5)/2,IF($J368&lt;=10,INDEX(VN_국채일별!$F$4:$F$1436,MATCH($B368,VN_국채일별!$A$4:$A$1436,1))+(INDEX(VN_국채일별!$G$4:$G$1436,MATCH($B368,VN_국채일별!$A$4:$A$1436,1))-INDEX(VN_국채일별!$F$4:$F$1436,MATCH($B368,VN_국채일별!$A$4:$A$1436,1)))*($J368-7)/3,INDEX(VN_국채일별!$G$4:$G$1436,MATCH($B368,VN_국채일별!$A$4:$A$1436,1)))))))),""))</f>
        <v>0.01945</v>
      </c>
      <c r="R368" s="58" t="n">
        <f aca="false">IF(OR(L368="",Q368=""),"",(L368-Q368)*10000)</f>
        <v>295.5</v>
      </c>
      <c r="S368" s="30" t="n">
        <f aca="false">IF(AND(K368="고정",N368="N",J368&gt;=2,J368&lt;=4,I368&lt;&gt;""),1,0)</f>
        <v>1</v>
      </c>
      <c r="T368" s="59" t="n">
        <f aca="false">IF(S368=1,I368*L368,0)</f>
        <v>98</v>
      </c>
      <c r="U368" s="60" t="n">
        <f aca="false">IF(AND(S368=1,ISNUMBER(R368)),I368*R368,0)</f>
        <v>591000</v>
      </c>
      <c r="V368" s="30" t="n">
        <f aca="false">IF(AND(F368="Big4(국영)",K368="고정",N368="N",I368&lt;&gt;""),1,0)</f>
        <v>1</v>
      </c>
      <c r="W368" s="59" t="n">
        <f aca="false">IF(V368=1,I368*L368,0)</f>
        <v>98</v>
      </c>
      <c r="X368" s="60" t="n">
        <f aca="false">IF(AND(V368=1,ISNUMBER(R368)),I368*R368,0)</f>
        <v>591000</v>
      </c>
      <c r="Y368" s="61" t="n">
        <f aca="false">IF(AND(S368=1,ISNUMBER(R368)),I368,0)</f>
        <v>2000</v>
      </c>
      <c r="Z368" s="61" t="n">
        <f aca="false">IF(AND(V368=1,ISNUMBER(R368)),I368,0)</f>
        <v>2000</v>
      </c>
    </row>
    <row r="369" customFormat="false" ht="15" hidden="false" customHeight="false" outlineLevel="0" collapsed="false">
      <c r="A369" s="47" t="s">
        <v>735</v>
      </c>
      <c r="B369" s="52" t="n">
        <v>45610</v>
      </c>
      <c r="C369" s="53" t="n">
        <f aca="false">DATE(YEAR(B369),MONTH(B369),1)</f>
        <v>45597</v>
      </c>
      <c r="D369" s="5" t="str">
        <f aca="false">YEAR(B369)&amp;"Q"&amp;ROUNDUP(MONTH(B369)/3,0)</f>
        <v>2024Q4</v>
      </c>
      <c r="E369" s="47" t="s">
        <v>145</v>
      </c>
      <c r="F369" s="54" t="s">
        <v>139</v>
      </c>
      <c r="G369" s="47" t="s">
        <v>146</v>
      </c>
      <c r="H369" s="47" t="s">
        <v>752</v>
      </c>
      <c r="I369" s="55" t="n">
        <v>1000</v>
      </c>
      <c r="J369" s="56" t="n">
        <v>3</v>
      </c>
      <c r="K369" s="54" t="s">
        <v>142</v>
      </c>
      <c r="L369" s="57" t="n">
        <v>0.051</v>
      </c>
      <c r="N369" s="47" t="s">
        <v>148</v>
      </c>
      <c r="O369" s="47" t="s">
        <v>510</v>
      </c>
      <c r="P369" s="47"/>
      <c r="Q369" s="48" t="n">
        <f aca="false">IF($J369="","",IFERROR(IF($J369&lt;=1,INDEX(VN_국채일별!$B$4:$B$1436,MATCH($B369,VN_국채일별!$A$4:$A$1436,1)),IF($J369&lt;=2,INDEX(VN_국채일별!$B$4:$B$1436,MATCH($B369,VN_국채일별!$A$4:$A$1436,1))+(INDEX(VN_국채일별!$C$4:$C$1436,MATCH($B369,VN_국채일별!$A$4:$A$1436,1))-INDEX(VN_국채일별!$B$4:$B$1436,MATCH($B369,VN_국채일별!$A$4:$A$1436,1)))*($J369-1),IF($J369&lt;=3,INDEX(VN_국채일별!$C$4:$C$1436,MATCH($B369,VN_국채일별!$A$4:$A$1436,1))+(INDEX(VN_국채일별!$D$4:$D$1436,MATCH($B369,VN_국채일별!$A$4:$A$1436,1))-INDEX(VN_국채일별!$C$4:$C$1436,MATCH($B369,VN_국채일별!$A$4:$A$1436,1)))*($J369-2),IF($J369&lt;=5,INDEX(VN_국채일별!$D$4:$D$1436,MATCH($B369,VN_국채일별!$A$4:$A$1436,1))+(INDEX(VN_국채일별!$E$4:$E$1436,MATCH($B369,VN_국채일별!$A$4:$A$1436,1))-INDEX(VN_국채일별!$D$4:$D$1436,MATCH($B369,VN_국채일별!$A$4:$A$1436,1)))*($J369-3)/2,IF($J369&lt;=7,INDEX(VN_국채일별!$E$4:$E$1436,MATCH($B369,VN_국채일별!$A$4:$A$1436,1))+(INDEX(VN_국채일별!$F$4:$F$1436,MATCH($B369,VN_국채일별!$A$4:$A$1436,1))-INDEX(VN_국채일별!$E$4:$E$1436,MATCH($B369,VN_국채일별!$A$4:$A$1436,1)))*($J369-5)/2,IF($J369&lt;=10,INDEX(VN_국채일별!$F$4:$F$1436,MATCH($B369,VN_국채일별!$A$4:$A$1436,1))+(INDEX(VN_국채일별!$G$4:$G$1436,MATCH($B369,VN_국채일별!$A$4:$A$1436,1))-INDEX(VN_국채일별!$F$4:$F$1436,MATCH($B369,VN_국채일별!$A$4:$A$1436,1)))*($J369-7)/3,INDEX(VN_국채일별!$G$4:$G$1436,MATCH($B369,VN_국채일별!$A$4:$A$1436,1)))))))),""))</f>
        <v>0.01977</v>
      </c>
      <c r="R369" s="58" t="n">
        <f aca="false">IF(OR(L369="",Q369=""),"",(L369-Q369)*10000)</f>
        <v>312.3</v>
      </c>
      <c r="S369" s="30" t="n">
        <f aca="false">IF(AND(K369="고정",N369="N",J369&gt;=2,J369&lt;=4,I369&lt;&gt;""),1,0)</f>
        <v>1</v>
      </c>
      <c r="T369" s="59" t="n">
        <f aca="false">IF(S369=1,I369*L369,0)</f>
        <v>51</v>
      </c>
      <c r="U369" s="60" t="n">
        <f aca="false">IF(AND(S369=1,ISNUMBER(R369)),I369*R369,0)</f>
        <v>312300</v>
      </c>
      <c r="V369" s="30" t="n">
        <f aca="false">IF(AND(F369="Big4(국영)",K369="고정",N369="N",I369&lt;&gt;""),1,0)</f>
        <v>0</v>
      </c>
      <c r="W369" s="59" t="n">
        <f aca="false">IF(V369=1,I369*L369,0)</f>
        <v>0</v>
      </c>
      <c r="X369" s="60" t="n">
        <f aca="false">IF(AND(V369=1,ISNUMBER(R369)),I369*R369,0)</f>
        <v>0</v>
      </c>
      <c r="Y369" s="61" t="n">
        <f aca="false">IF(AND(S369=1,ISNUMBER(R369)),I369,0)</f>
        <v>1000</v>
      </c>
      <c r="Z369" s="61" t="n">
        <f aca="false">IF(AND(V369=1,ISNUMBER(R369)),I369,0)</f>
        <v>0</v>
      </c>
    </row>
    <row r="370" customFormat="false" ht="15" hidden="false" customHeight="false" outlineLevel="0" collapsed="false">
      <c r="A370" s="47" t="s">
        <v>735</v>
      </c>
      <c r="B370" s="52" t="n">
        <v>45615</v>
      </c>
      <c r="C370" s="53" t="n">
        <f aca="false">DATE(YEAR(B370),MONTH(B370),1)</f>
        <v>45597</v>
      </c>
      <c r="D370" s="5" t="str">
        <f aca="false">YEAR(B370)&amp;"Q"&amp;ROUNDUP(MONTH(B370)/3,0)</f>
        <v>2024Q4</v>
      </c>
      <c r="E370" s="47" t="s">
        <v>365</v>
      </c>
      <c r="F370" s="54" t="s">
        <v>139</v>
      </c>
      <c r="G370" s="47" t="s">
        <v>366</v>
      </c>
      <c r="H370" s="47" t="s">
        <v>753</v>
      </c>
      <c r="I370" s="55" t="n">
        <v>38.4</v>
      </c>
      <c r="J370" s="56" t="n">
        <v>10</v>
      </c>
      <c r="K370" s="54" t="s">
        <v>153</v>
      </c>
      <c r="N370" s="47" t="s">
        <v>143</v>
      </c>
      <c r="O370" s="47" t="s">
        <v>723</v>
      </c>
      <c r="P370" s="47"/>
      <c r="Q370" s="48" t="n">
        <f aca="false">IF($J370="","",IFERROR(IF($J370&lt;=1,INDEX(VN_국채일별!$B$4:$B$1436,MATCH($B370,VN_국채일별!$A$4:$A$1436,1)),IF($J370&lt;=2,INDEX(VN_국채일별!$B$4:$B$1436,MATCH($B370,VN_국채일별!$A$4:$A$1436,1))+(INDEX(VN_국채일별!$C$4:$C$1436,MATCH($B370,VN_국채일별!$A$4:$A$1436,1))-INDEX(VN_국채일별!$B$4:$B$1436,MATCH($B370,VN_국채일별!$A$4:$A$1436,1)))*($J370-1),IF($J370&lt;=3,INDEX(VN_국채일별!$C$4:$C$1436,MATCH($B370,VN_국채일별!$A$4:$A$1436,1))+(INDEX(VN_국채일별!$D$4:$D$1436,MATCH($B370,VN_국채일별!$A$4:$A$1436,1))-INDEX(VN_국채일별!$C$4:$C$1436,MATCH($B370,VN_국채일별!$A$4:$A$1436,1)))*($J370-2),IF($J370&lt;=5,INDEX(VN_국채일별!$D$4:$D$1436,MATCH($B370,VN_국채일별!$A$4:$A$1436,1))+(INDEX(VN_국채일별!$E$4:$E$1436,MATCH($B370,VN_국채일별!$A$4:$A$1436,1))-INDEX(VN_국채일별!$D$4:$D$1436,MATCH($B370,VN_국채일별!$A$4:$A$1436,1)))*($J370-3)/2,IF($J370&lt;=7,INDEX(VN_국채일별!$E$4:$E$1436,MATCH($B370,VN_국채일별!$A$4:$A$1436,1))+(INDEX(VN_국채일별!$F$4:$F$1436,MATCH($B370,VN_국채일별!$A$4:$A$1436,1))-INDEX(VN_국채일별!$E$4:$E$1436,MATCH($B370,VN_국채일별!$A$4:$A$1436,1)))*($J370-5)/2,IF($J370&lt;=10,INDEX(VN_국채일별!$F$4:$F$1436,MATCH($B370,VN_국채일별!$A$4:$A$1436,1))+(INDEX(VN_국채일별!$G$4:$G$1436,MATCH($B370,VN_국채일별!$A$4:$A$1436,1))-INDEX(VN_국채일별!$F$4:$F$1436,MATCH($B370,VN_국채일별!$A$4:$A$1436,1)))*($J370-7)/3,INDEX(VN_국채일별!$G$4:$G$1436,MATCH($B370,VN_국채일별!$A$4:$A$1436,1)))))))),""))</f>
        <v>0.02809</v>
      </c>
      <c r="R370" s="58" t="str">
        <f aca="false">IF(OR(L370="",Q370=""),"",(L370-Q370)*10000)</f>
        <v/>
      </c>
      <c r="S370" s="30" t="n">
        <f aca="false">IF(AND(K370="고정",N370="N",J370&gt;=2,J370&lt;=4,I370&lt;&gt;""),1,0)</f>
        <v>0</v>
      </c>
      <c r="T370" s="59" t="n">
        <f aca="false">IF(S370=1,I370*L370,0)</f>
        <v>0</v>
      </c>
      <c r="U370" s="60" t="n">
        <f aca="false">IF(AND(S370=1,ISNUMBER(R370)),I370*R370,0)</f>
        <v>0</v>
      </c>
      <c r="V370" s="30" t="n">
        <f aca="false">IF(AND(F370="Big4(국영)",K370="고정",N370="N",I370&lt;&gt;""),1,0)</f>
        <v>0</v>
      </c>
      <c r="W370" s="59" t="n">
        <f aca="false">IF(V370=1,I370*L370,0)</f>
        <v>0</v>
      </c>
      <c r="X370" s="60" t="n">
        <f aca="false">IF(AND(V370=1,ISNUMBER(R370)),I370*R370,0)</f>
        <v>0</v>
      </c>
      <c r="Y370" s="61" t="n">
        <f aca="false">IF(AND(S370=1,ISNUMBER(R370)),I370,0)</f>
        <v>0</v>
      </c>
      <c r="Z370" s="61" t="n">
        <f aca="false">IF(AND(V370=1,ISNUMBER(R370)),I370,0)</f>
        <v>0</v>
      </c>
    </row>
    <row r="371" customFormat="false" ht="15" hidden="false" customHeight="false" outlineLevel="0" collapsed="false">
      <c r="A371" s="47" t="s">
        <v>735</v>
      </c>
      <c r="B371" s="52" t="n">
        <v>45615</v>
      </c>
      <c r="C371" s="53" t="n">
        <f aca="false">DATE(YEAR(B371),MONTH(B371),1)</f>
        <v>45597</v>
      </c>
      <c r="D371" s="5" t="str">
        <f aca="false">YEAR(B371)&amp;"Q"&amp;ROUNDUP(MONTH(B371)/3,0)</f>
        <v>2024Q4</v>
      </c>
      <c r="E371" s="47" t="s">
        <v>166</v>
      </c>
      <c r="F371" s="54" t="s">
        <v>139</v>
      </c>
      <c r="G371" s="47" t="s">
        <v>167</v>
      </c>
      <c r="H371" s="47" t="s">
        <v>754</v>
      </c>
      <c r="I371" s="55" t="n">
        <v>800</v>
      </c>
      <c r="J371" s="56" t="n">
        <v>3</v>
      </c>
      <c r="K371" s="54" t="s">
        <v>142</v>
      </c>
      <c r="L371" s="57" t="n">
        <v>0.055</v>
      </c>
      <c r="N371" s="47" t="s">
        <v>148</v>
      </c>
      <c r="O371" s="47" t="s">
        <v>591</v>
      </c>
      <c r="P371" s="47"/>
      <c r="Q371" s="48" t="n">
        <f aca="false">IF($J371="","",IFERROR(IF($J371&lt;=1,INDEX(VN_국채일별!$B$4:$B$1436,MATCH($B371,VN_국채일별!$A$4:$A$1436,1)),IF($J371&lt;=2,INDEX(VN_국채일별!$B$4:$B$1436,MATCH($B371,VN_국채일별!$A$4:$A$1436,1))+(INDEX(VN_국채일별!$C$4:$C$1436,MATCH($B371,VN_국채일별!$A$4:$A$1436,1))-INDEX(VN_국채일별!$B$4:$B$1436,MATCH($B371,VN_국채일별!$A$4:$A$1436,1)))*($J371-1),IF($J371&lt;=3,INDEX(VN_국채일별!$C$4:$C$1436,MATCH($B371,VN_국채일별!$A$4:$A$1436,1))+(INDEX(VN_국채일별!$D$4:$D$1436,MATCH($B371,VN_국채일별!$A$4:$A$1436,1))-INDEX(VN_국채일별!$C$4:$C$1436,MATCH($B371,VN_국채일별!$A$4:$A$1436,1)))*($J371-2),IF($J371&lt;=5,INDEX(VN_국채일별!$D$4:$D$1436,MATCH($B371,VN_국채일별!$A$4:$A$1436,1))+(INDEX(VN_국채일별!$E$4:$E$1436,MATCH($B371,VN_국채일별!$A$4:$A$1436,1))-INDEX(VN_국채일별!$D$4:$D$1436,MATCH($B371,VN_국채일별!$A$4:$A$1436,1)))*($J371-3)/2,IF($J371&lt;=7,INDEX(VN_국채일별!$E$4:$E$1436,MATCH($B371,VN_국채일별!$A$4:$A$1436,1))+(INDEX(VN_국채일별!$F$4:$F$1436,MATCH($B371,VN_국채일별!$A$4:$A$1436,1))-INDEX(VN_국채일별!$E$4:$E$1436,MATCH($B371,VN_국채일별!$A$4:$A$1436,1)))*($J371-5)/2,IF($J371&lt;=10,INDEX(VN_국채일별!$F$4:$F$1436,MATCH($B371,VN_국채일별!$A$4:$A$1436,1))+(INDEX(VN_국채일별!$G$4:$G$1436,MATCH($B371,VN_국채일별!$A$4:$A$1436,1))-INDEX(VN_국채일별!$F$4:$F$1436,MATCH($B371,VN_국채일별!$A$4:$A$1436,1)))*($J371-7)/3,INDEX(VN_국채일별!$G$4:$G$1436,MATCH($B371,VN_국채일별!$A$4:$A$1436,1)))))))),""))</f>
        <v>0.01977</v>
      </c>
      <c r="R371" s="58" t="n">
        <f aca="false">IF(OR(L371="",Q371=""),"",(L371-Q371)*10000)</f>
        <v>352.3</v>
      </c>
      <c r="S371" s="30" t="n">
        <f aca="false">IF(AND(K371="고정",N371="N",J371&gt;=2,J371&lt;=4,I371&lt;&gt;""),1,0)</f>
        <v>1</v>
      </c>
      <c r="T371" s="59" t="n">
        <f aca="false">IF(S371=1,I371*L371,0)</f>
        <v>44</v>
      </c>
      <c r="U371" s="60" t="n">
        <f aca="false">IF(AND(S371=1,ISNUMBER(R371)),I371*R371,0)</f>
        <v>281840</v>
      </c>
      <c r="V371" s="30" t="n">
        <f aca="false">IF(AND(F371="Big4(국영)",K371="고정",N371="N",I371&lt;&gt;""),1,0)</f>
        <v>0</v>
      </c>
      <c r="W371" s="59" t="n">
        <f aca="false">IF(V371=1,I371*L371,0)</f>
        <v>0</v>
      </c>
      <c r="X371" s="60" t="n">
        <f aca="false">IF(AND(V371=1,ISNUMBER(R371)),I371*R371,0)</f>
        <v>0</v>
      </c>
      <c r="Y371" s="61" t="n">
        <f aca="false">IF(AND(S371=1,ISNUMBER(R371)),I371,0)</f>
        <v>800</v>
      </c>
      <c r="Z371" s="61" t="n">
        <f aca="false">IF(AND(V371=1,ISNUMBER(R371)),I371,0)</f>
        <v>0</v>
      </c>
    </row>
    <row r="372" customFormat="false" ht="15" hidden="false" customHeight="false" outlineLevel="0" collapsed="false">
      <c r="A372" s="47" t="s">
        <v>735</v>
      </c>
      <c r="B372" s="52" t="n">
        <v>45615</v>
      </c>
      <c r="C372" s="53" t="n">
        <f aca="false">DATE(YEAR(B372),MONTH(B372),1)</f>
        <v>45597</v>
      </c>
      <c r="D372" s="5" t="str">
        <f aca="false">YEAR(B372)&amp;"Q"&amp;ROUNDUP(MONTH(B372)/3,0)</f>
        <v>2024Q4</v>
      </c>
      <c r="E372" s="47" t="s">
        <v>254</v>
      </c>
      <c r="F372" s="54" t="s">
        <v>139</v>
      </c>
      <c r="G372" s="47" t="s">
        <v>339</v>
      </c>
      <c r="H372" s="47" t="s">
        <v>755</v>
      </c>
      <c r="I372" s="55" t="n">
        <v>800</v>
      </c>
      <c r="J372" s="56" t="n">
        <v>5</v>
      </c>
      <c r="K372" s="54" t="s">
        <v>142</v>
      </c>
      <c r="L372" s="57" t="n">
        <v>0.06</v>
      </c>
      <c r="N372" s="47" t="s">
        <v>148</v>
      </c>
      <c r="O372" s="47" t="s">
        <v>449</v>
      </c>
      <c r="P372" s="47"/>
      <c r="Q372" s="48" t="n">
        <f aca="false">IF($J372="","",IFERROR(IF($J372&lt;=1,INDEX(VN_국채일별!$B$4:$B$1436,MATCH($B372,VN_국채일별!$A$4:$A$1436,1)),IF($J372&lt;=2,INDEX(VN_국채일별!$B$4:$B$1436,MATCH($B372,VN_국채일별!$A$4:$A$1436,1))+(INDEX(VN_국채일별!$C$4:$C$1436,MATCH($B372,VN_국채일별!$A$4:$A$1436,1))-INDEX(VN_국채일별!$B$4:$B$1436,MATCH($B372,VN_국채일별!$A$4:$A$1436,1)))*($J372-1),IF($J372&lt;=3,INDEX(VN_국채일별!$C$4:$C$1436,MATCH($B372,VN_국채일별!$A$4:$A$1436,1))+(INDEX(VN_국채일별!$D$4:$D$1436,MATCH($B372,VN_국채일별!$A$4:$A$1436,1))-INDEX(VN_국채일별!$C$4:$C$1436,MATCH($B372,VN_국채일별!$A$4:$A$1436,1)))*($J372-2),IF($J372&lt;=5,INDEX(VN_국채일별!$D$4:$D$1436,MATCH($B372,VN_국채일별!$A$4:$A$1436,1))+(INDEX(VN_국채일별!$E$4:$E$1436,MATCH($B372,VN_국채일별!$A$4:$A$1436,1))-INDEX(VN_국채일별!$D$4:$D$1436,MATCH($B372,VN_국채일별!$A$4:$A$1436,1)))*($J372-3)/2,IF($J372&lt;=7,INDEX(VN_국채일별!$E$4:$E$1436,MATCH($B372,VN_국채일별!$A$4:$A$1436,1))+(INDEX(VN_국채일별!$F$4:$F$1436,MATCH($B372,VN_국채일별!$A$4:$A$1436,1))-INDEX(VN_국채일별!$E$4:$E$1436,MATCH($B372,VN_국채일별!$A$4:$A$1436,1)))*($J372-5)/2,IF($J372&lt;=10,INDEX(VN_국채일별!$F$4:$F$1436,MATCH($B372,VN_국채일별!$A$4:$A$1436,1))+(INDEX(VN_국채일별!$G$4:$G$1436,MATCH($B372,VN_국채일별!$A$4:$A$1436,1))-INDEX(VN_국채일별!$F$4:$F$1436,MATCH($B372,VN_국채일별!$A$4:$A$1436,1)))*($J372-7)/3,INDEX(VN_국채일별!$G$4:$G$1436,MATCH($B372,VN_국채일별!$A$4:$A$1436,1)))))))),""))</f>
        <v>0.02007</v>
      </c>
      <c r="R372" s="58" t="n">
        <f aca="false">IF(OR(L372="",Q372=""),"",(L372-Q372)*10000)</f>
        <v>399.3</v>
      </c>
      <c r="S372" s="30" t="n">
        <f aca="false">IF(AND(K372="고정",N372="N",J372&gt;=2,J372&lt;=4,I372&lt;&gt;""),1,0)</f>
        <v>0</v>
      </c>
      <c r="T372" s="59" t="n">
        <f aca="false">IF(S372=1,I372*L372,0)</f>
        <v>0</v>
      </c>
      <c r="U372" s="60" t="n">
        <f aca="false">IF(AND(S372=1,ISNUMBER(R372)),I372*R372,0)</f>
        <v>0</v>
      </c>
      <c r="V372" s="30" t="n">
        <f aca="false">IF(AND(F372="Big4(국영)",K372="고정",N372="N",I372&lt;&gt;""),1,0)</f>
        <v>0</v>
      </c>
      <c r="W372" s="59" t="n">
        <f aca="false">IF(V372=1,I372*L372,0)</f>
        <v>0</v>
      </c>
      <c r="X372" s="60" t="n">
        <f aca="false">IF(AND(V372=1,ISNUMBER(R372)),I372*R372,0)</f>
        <v>0</v>
      </c>
      <c r="Y372" s="61" t="n">
        <f aca="false">IF(AND(S372=1,ISNUMBER(R372)),I372,0)</f>
        <v>0</v>
      </c>
      <c r="Z372" s="61" t="n">
        <f aca="false">IF(AND(V372=1,ISNUMBER(R372)),I372,0)</f>
        <v>0</v>
      </c>
    </row>
    <row r="373" customFormat="false" ht="15" hidden="false" customHeight="false" outlineLevel="0" collapsed="false">
      <c r="A373" s="47" t="s">
        <v>735</v>
      </c>
      <c r="B373" s="52" t="n">
        <v>45616</v>
      </c>
      <c r="C373" s="53" t="n">
        <f aca="false">DATE(YEAR(B373),MONTH(B373),1)</f>
        <v>45597</v>
      </c>
      <c r="D373" s="5" t="str">
        <f aca="false">YEAR(B373)&amp;"Q"&amp;ROUNDUP(MONTH(B373)/3,0)</f>
        <v>2024Q4</v>
      </c>
      <c r="E373" s="47" t="s">
        <v>323</v>
      </c>
      <c r="F373" s="54" t="s">
        <v>139</v>
      </c>
      <c r="G373" s="47" t="s">
        <v>324</v>
      </c>
      <c r="H373" s="47" t="s">
        <v>756</v>
      </c>
      <c r="I373" s="55" t="n">
        <v>1000</v>
      </c>
      <c r="J373" s="56" t="n">
        <v>3</v>
      </c>
      <c r="K373" s="54" t="s">
        <v>142</v>
      </c>
      <c r="L373" s="57" t="n">
        <v>0.052</v>
      </c>
      <c r="N373" s="47" t="s">
        <v>148</v>
      </c>
      <c r="O373" s="47" t="s">
        <v>538</v>
      </c>
      <c r="P373" s="47"/>
      <c r="Q373" s="48" t="n">
        <f aca="false">IF($J373="","",IFERROR(IF($J373&lt;=1,INDEX(VN_국채일별!$B$4:$B$1436,MATCH($B373,VN_국채일별!$A$4:$A$1436,1)),IF($J373&lt;=2,INDEX(VN_국채일별!$B$4:$B$1436,MATCH($B373,VN_국채일별!$A$4:$A$1436,1))+(INDEX(VN_국채일별!$C$4:$C$1436,MATCH($B373,VN_국채일별!$A$4:$A$1436,1))-INDEX(VN_국채일별!$B$4:$B$1436,MATCH($B373,VN_국채일별!$A$4:$A$1436,1)))*($J373-1),IF($J373&lt;=3,INDEX(VN_국채일별!$C$4:$C$1436,MATCH($B373,VN_국채일별!$A$4:$A$1436,1))+(INDEX(VN_국채일별!$D$4:$D$1436,MATCH($B373,VN_국채일별!$A$4:$A$1436,1))-INDEX(VN_국채일별!$C$4:$C$1436,MATCH($B373,VN_국채일별!$A$4:$A$1436,1)))*($J373-2),IF($J373&lt;=5,INDEX(VN_국채일별!$D$4:$D$1436,MATCH($B373,VN_국채일별!$A$4:$A$1436,1))+(INDEX(VN_국채일별!$E$4:$E$1436,MATCH($B373,VN_국채일별!$A$4:$A$1436,1))-INDEX(VN_국채일별!$D$4:$D$1436,MATCH($B373,VN_국채일별!$A$4:$A$1436,1)))*($J373-3)/2,IF($J373&lt;=7,INDEX(VN_국채일별!$E$4:$E$1436,MATCH($B373,VN_국채일별!$A$4:$A$1436,1))+(INDEX(VN_국채일별!$F$4:$F$1436,MATCH($B373,VN_국채일별!$A$4:$A$1436,1))-INDEX(VN_국채일별!$E$4:$E$1436,MATCH($B373,VN_국채일별!$A$4:$A$1436,1)))*($J373-5)/2,IF($J373&lt;=10,INDEX(VN_국채일별!$F$4:$F$1436,MATCH($B373,VN_국채일별!$A$4:$A$1436,1))+(INDEX(VN_국채일별!$G$4:$G$1436,MATCH($B373,VN_국채일별!$A$4:$A$1436,1))-INDEX(VN_국채일별!$F$4:$F$1436,MATCH($B373,VN_국채일별!$A$4:$A$1436,1)))*($J373-7)/3,INDEX(VN_국채일별!$G$4:$G$1436,MATCH($B373,VN_국채일별!$A$4:$A$1436,1)))))))),""))</f>
        <v>0.01977</v>
      </c>
      <c r="R373" s="58" t="n">
        <f aca="false">IF(OR(L373="",Q373=""),"",(L373-Q373)*10000)</f>
        <v>322.3</v>
      </c>
      <c r="S373" s="30" t="n">
        <f aca="false">IF(AND(K373="고정",N373="N",J373&gt;=2,J373&lt;=4,I373&lt;&gt;""),1,0)</f>
        <v>1</v>
      </c>
      <c r="T373" s="59" t="n">
        <f aca="false">IF(S373=1,I373*L373,0)</f>
        <v>52</v>
      </c>
      <c r="U373" s="60" t="n">
        <f aca="false">IF(AND(S373=1,ISNUMBER(R373)),I373*R373,0)</f>
        <v>322300</v>
      </c>
      <c r="V373" s="30" t="n">
        <f aca="false">IF(AND(F373="Big4(국영)",K373="고정",N373="N",I373&lt;&gt;""),1,0)</f>
        <v>0</v>
      </c>
      <c r="W373" s="59" t="n">
        <f aca="false">IF(V373=1,I373*L373,0)</f>
        <v>0</v>
      </c>
      <c r="X373" s="60" t="n">
        <f aca="false">IF(AND(V373=1,ISNUMBER(R373)),I373*R373,0)</f>
        <v>0</v>
      </c>
      <c r="Y373" s="61" t="n">
        <f aca="false">IF(AND(S373=1,ISNUMBER(R373)),I373,0)</f>
        <v>1000</v>
      </c>
      <c r="Z373" s="61" t="n">
        <f aca="false">IF(AND(V373=1,ISNUMBER(R373)),I373,0)</f>
        <v>0</v>
      </c>
    </row>
    <row r="374" customFormat="false" ht="15" hidden="false" customHeight="false" outlineLevel="0" collapsed="false">
      <c r="A374" s="47" t="s">
        <v>735</v>
      </c>
      <c r="B374" s="52" t="n">
        <v>45617</v>
      </c>
      <c r="C374" s="53" t="n">
        <f aca="false">DATE(YEAR(B374),MONTH(B374),1)</f>
        <v>45597</v>
      </c>
      <c r="D374" s="5" t="str">
        <f aca="false">YEAR(B374)&amp;"Q"&amp;ROUNDUP(MONTH(B374)/3,0)</f>
        <v>2024Q4</v>
      </c>
      <c r="E374" s="47" t="s">
        <v>365</v>
      </c>
      <c r="F374" s="54" t="s">
        <v>139</v>
      </c>
      <c r="G374" s="47" t="s">
        <v>366</v>
      </c>
      <c r="H374" s="47" t="s">
        <v>757</v>
      </c>
      <c r="I374" s="55" t="n">
        <v>209.5</v>
      </c>
      <c r="J374" s="56" t="n">
        <v>10</v>
      </c>
      <c r="K374" s="54" t="s">
        <v>153</v>
      </c>
      <c r="N374" s="47" t="s">
        <v>143</v>
      </c>
      <c r="O374" s="47" t="s">
        <v>723</v>
      </c>
      <c r="P374" s="47"/>
      <c r="Q374" s="48" t="n">
        <f aca="false">IF($J374="","",IFERROR(IF($J374&lt;=1,INDEX(VN_국채일별!$B$4:$B$1436,MATCH($B374,VN_국채일별!$A$4:$A$1436,1)),IF($J374&lt;=2,INDEX(VN_국채일별!$B$4:$B$1436,MATCH($B374,VN_국채일별!$A$4:$A$1436,1))+(INDEX(VN_국채일별!$C$4:$C$1436,MATCH($B374,VN_국채일별!$A$4:$A$1436,1))-INDEX(VN_국채일별!$B$4:$B$1436,MATCH($B374,VN_국채일별!$A$4:$A$1436,1)))*($J374-1),IF($J374&lt;=3,INDEX(VN_국채일별!$C$4:$C$1436,MATCH($B374,VN_국채일별!$A$4:$A$1436,1))+(INDEX(VN_국채일별!$D$4:$D$1436,MATCH($B374,VN_국채일별!$A$4:$A$1436,1))-INDEX(VN_국채일별!$C$4:$C$1436,MATCH($B374,VN_국채일별!$A$4:$A$1436,1)))*($J374-2),IF($J374&lt;=5,INDEX(VN_국채일별!$D$4:$D$1436,MATCH($B374,VN_국채일별!$A$4:$A$1436,1))+(INDEX(VN_국채일별!$E$4:$E$1436,MATCH($B374,VN_국채일별!$A$4:$A$1436,1))-INDEX(VN_국채일별!$D$4:$D$1436,MATCH($B374,VN_국채일별!$A$4:$A$1436,1)))*($J374-3)/2,IF($J374&lt;=7,INDEX(VN_국채일별!$E$4:$E$1436,MATCH($B374,VN_국채일별!$A$4:$A$1436,1))+(INDEX(VN_국채일별!$F$4:$F$1436,MATCH($B374,VN_국채일별!$A$4:$A$1436,1))-INDEX(VN_국채일별!$E$4:$E$1436,MATCH($B374,VN_국채일별!$A$4:$A$1436,1)))*($J374-5)/2,IF($J374&lt;=10,INDEX(VN_국채일별!$F$4:$F$1436,MATCH($B374,VN_국채일별!$A$4:$A$1436,1))+(INDEX(VN_국채일별!$G$4:$G$1436,MATCH($B374,VN_국채일별!$A$4:$A$1436,1))-INDEX(VN_국채일별!$F$4:$F$1436,MATCH($B374,VN_국채일별!$A$4:$A$1436,1)))*($J374-7)/3,INDEX(VN_국채일별!$G$4:$G$1436,MATCH($B374,VN_국채일별!$A$4:$A$1436,1)))))))),""))</f>
        <v>0.02821</v>
      </c>
      <c r="R374" s="58" t="str">
        <f aca="false">IF(OR(L374="",Q374=""),"",(L374-Q374)*10000)</f>
        <v/>
      </c>
      <c r="S374" s="30" t="n">
        <f aca="false">IF(AND(K374="고정",N374="N",J374&gt;=2,J374&lt;=4,I374&lt;&gt;""),1,0)</f>
        <v>0</v>
      </c>
      <c r="T374" s="59" t="n">
        <f aca="false">IF(S374=1,I374*L374,0)</f>
        <v>0</v>
      </c>
      <c r="U374" s="60" t="n">
        <f aca="false">IF(AND(S374=1,ISNUMBER(R374)),I374*R374,0)</f>
        <v>0</v>
      </c>
      <c r="V374" s="30" t="n">
        <f aca="false">IF(AND(F374="Big4(국영)",K374="고정",N374="N",I374&lt;&gt;""),1,0)</f>
        <v>0</v>
      </c>
      <c r="W374" s="59" t="n">
        <f aca="false">IF(V374=1,I374*L374,0)</f>
        <v>0</v>
      </c>
      <c r="X374" s="60" t="n">
        <f aca="false">IF(AND(V374=1,ISNUMBER(R374)),I374*R374,0)</f>
        <v>0</v>
      </c>
      <c r="Y374" s="61" t="n">
        <f aca="false">IF(AND(S374=1,ISNUMBER(R374)),I374,0)</f>
        <v>0</v>
      </c>
      <c r="Z374" s="61" t="n">
        <f aca="false">IF(AND(V374=1,ISNUMBER(R374)),I374,0)</f>
        <v>0</v>
      </c>
    </row>
    <row r="375" customFormat="false" ht="15" hidden="false" customHeight="false" outlineLevel="0" collapsed="false">
      <c r="A375" s="47" t="s">
        <v>735</v>
      </c>
      <c r="B375" s="52" t="n">
        <v>45618</v>
      </c>
      <c r="C375" s="53" t="n">
        <f aca="false">DATE(YEAR(B375),MONTH(B375),1)</f>
        <v>45597</v>
      </c>
      <c r="D375" s="5" t="str">
        <f aca="false">YEAR(B375)&amp;"Q"&amp;ROUNDUP(MONTH(B375)/3,0)</f>
        <v>2024Q4</v>
      </c>
      <c r="E375" s="47" t="s">
        <v>248</v>
      </c>
      <c r="F375" s="54" t="s">
        <v>139</v>
      </c>
      <c r="G375" s="47" t="s">
        <v>361</v>
      </c>
      <c r="H375" s="47" t="s">
        <v>758</v>
      </c>
      <c r="I375" s="55" t="n">
        <v>1000</v>
      </c>
      <c r="J375" s="56" t="n">
        <v>8</v>
      </c>
      <c r="K375" s="54" t="s">
        <v>153</v>
      </c>
      <c r="N375" s="47" t="s">
        <v>143</v>
      </c>
      <c r="O375" s="47" t="s">
        <v>411</v>
      </c>
      <c r="P375" s="47"/>
      <c r="Q375" s="48" t="n">
        <f aca="false">IF($J375="","",IFERROR(IF($J375&lt;=1,INDEX(VN_국채일별!$B$4:$B$1436,MATCH($B375,VN_국채일별!$A$4:$A$1436,1)),IF($J375&lt;=2,INDEX(VN_국채일별!$B$4:$B$1436,MATCH($B375,VN_국채일별!$A$4:$A$1436,1))+(INDEX(VN_국채일별!$C$4:$C$1436,MATCH($B375,VN_국채일별!$A$4:$A$1436,1))-INDEX(VN_국채일별!$B$4:$B$1436,MATCH($B375,VN_국채일별!$A$4:$A$1436,1)))*($J375-1),IF($J375&lt;=3,INDEX(VN_국채일별!$C$4:$C$1436,MATCH($B375,VN_국채일별!$A$4:$A$1436,1))+(INDEX(VN_국채일별!$D$4:$D$1436,MATCH($B375,VN_국채일별!$A$4:$A$1436,1))-INDEX(VN_국채일별!$C$4:$C$1436,MATCH($B375,VN_국채일별!$A$4:$A$1436,1)))*($J375-2),IF($J375&lt;=5,INDEX(VN_국채일별!$D$4:$D$1436,MATCH($B375,VN_국채일별!$A$4:$A$1436,1))+(INDEX(VN_국채일별!$E$4:$E$1436,MATCH($B375,VN_국채일별!$A$4:$A$1436,1))-INDEX(VN_국채일별!$D$4:$D$1436,MATCH($B375,VN_국채일별!$A$4:$A$1436,1)))*($J375-3)/2,IF($J375&lt;=7,INDEX(VN_국채일별!$E$4:$E$1436,MATCH($B375,VN_국채일별!$A$4:$A$1436,1))+(INDEX(VN_국채일별!$F$4:$F$1436,MATCH($B375,VN_국채일별!$A$4:$A$1436,1))-INDEX(VN_국채일별!$E$4:$E$1436,MATCH($B375,VN_국채일별!$A$4:$A$1436,1)))*($J375-5)/2,IF($J375&lt;=10,INDEX(VN_국채일별!$F$4:$F$1436,MATCH($B375,VN_국채일별!$A$4:$A$1436,1))+(INDEX(VN_국채일별!$G$4:$G$1436,MATCH($B375,VN_국채일별!$A$4:$A$1436,1))-INDEX(VN_국채일별!$F$4:$F$1436,MATCH($B375,VN_국채일별!$A$4:$A$1436,1)))*($J375-7)/3,INDEX(VN_국채일별!$G$4:$G$1436,MATCH($B375,VN_국채일별!$A$4:$A$1436,1)))))))),""))</f>
        <v>0.02488</v>
      </c>
      <c r="R375" s="58" t="str">
        <f aca="false">IF(OR(L375="",Q375=""),"",(L375-Q375)*10000)</f>
        <v/>
      </c>
      <c r="S375" s="30" t="n">
        <f aca="false">IF(AND(K375="고정",N375="N",J375&gt;=2,J375&lt;=4,I375&lt;&gt;""),1,0)</f>
        <v>0</v>
      </c>
      <c r="T375" s="59" t="n">
        <f aca="false">IF(S375=1,I375*L375,0)</f>
        <v>0</v>
      </c>
      <c r="U375" s="60" t="n">
        <f aca="false">IF(AND(S375=1,ISNUMBER(R375)),I375*R375,0)</f>
        <v>0</v>
      </c>
      <c r="V375" s="30" t="n">
        <f aca="false">IF(AND(F375="Big4(국영)",K375="고정",N375="N",I375&lt;&gt;""),1,0)</f>
        <v>0</v>
      </c>
      <c r="W375" s="59" t="n">
        <f aca="false">IF(V375=1,I375*L375,0)</f>
        <v>0</v>
      </c>
      <c r="X375" s="60" t="n">
        <f aca="false">IF(AND(V375=1,ISNUMBER(R375)),I375*R375,0)</f>
        <v>0</v>
      </c>
      <c r="Y375" s="61" t="n">
        <f aca="false">IF(AND(S375=1,ISNUMBER(R375)),I375,0)</f>
        <v>0</v>
      </c>
      <c r="Z375" s="61" t="n">
        <f aca="false">IF(AND(V375=1,ISNUMBER(R375)),I375,0)</f>
        <v>0</v>
      </c>
    </row>
    <row r="376" customFormat="false" ht="15" hidden="false" customHeight="false" outlineLevel="0" collapsed="false">
      <c r="A376" s="47" t="s">
        <v>735</v>
      </c>
      <c r="B376" s="52" t="n">
        <v>45622</v>
      </c>
      <c r="C376" s="53" t="n">
        <f aca="false">DATE(YEAR(B376),MONTH(B376),1)</f>
        <v>45597</v>
      </c>
      <c r="D376" s="5" t="str">
        <f aca="false">YEAR(B376)&amp;"Q"&amp;ROUNDUP(MONTH(B376)/3,0)</f>
        <v>2024Q4</v>
      </c>
      <c r="E376" s="47" t="s">
        <v>248</v>
      </c>
      <c r="F376" s="54" t="s">
        <v>139</v>
      </c>
      <c r="G376" s="47" t="s">
        <v>361</v>
      </c>
      <c r="H376" s="47" t="s">
        <v>759</v>
      </c>
      <c r="I376" s="55" t="n">
        <v>1000</v>
      </c>
      <c r="J376" s="56" t="n">
        <v>8</v>
      </c>
      <c r="K376" s="54" t="s">
        <v>153</v>
      </c>
      <c r="N376" s="47" t="s">
        <v>143</v>
      </c>
      <c r="O376" s="47" t="s">
        <v>411</v>
      </c>
      <c r="P376" s="47"/>
      <c r="Q376" s="48" t="n">
        <f aca="false">IF($J376="","",IFERROR(IF($J376&lt;=1,INDEX(VN_국채일별!$B$4:$B$1436,MATCH($B376,VN_국채일별!$A$4:$A$1436,1)),IF($J376&lt;=2,INDEX(VN_국채일별!$B$4:$B$1436,MATCH($B376,VN_국채일별!$A$4:$A$1436,1))+(INDEX(VN_국채일별!$C$4:$C$1436,MATCH($B376,VN_국채일별!$A$4:$A$1436,1))-INDEX(VN_국채일별!$B$4:$B$1436,MATCH($B376,VN_국채일별!$A$4:$A$1436,1)))*($J376-1),IF($J376&lt;=3,INDEX(VN_국채일별!$C$4:$C$1436,MATCH($B376,VN_국채일별!$A$4:$A$1436,1))+(INDEX(VN_국채일별!$D$4:$D$1436,MATCH($B376,VN_국채일별!$A$4:$A$1436,1))-INDEX(VN_국채일별!$C$4:$C$1436,MATCH($B376,VN_국채일별!$A$4:$A$1436,1)))*($J376-2),IF($J376&lt;=5,INDEX(VN_국채일별!$D$4:$D$1436,MATCH($B376,VN_국채일별!$A$4:$A$1436,1))+(INDEX(VN_국채일별!$E$4:$E$1436,MATCH($B376,VN_국채일별!$A$4:$A$1436,1))-INDEX(VN_국채일별!$D$4:$D$1436,MATCH($B376,VN_국채일별!$A$4:$A$1436,1)))*($J376-3)/2,IF($J376&lt;=7,INDEX(VN_국채일별!$E$4:$E$1436,MATCH($B376,VN_국채일별!$A$4:$A$1436,1))+(INDEX(VN_국채일별!$F$4:$F$1436,MATCH($B376,VN_국채일별!$A$4:$A$1436,1))-INDEX(VN_국채일별!$E$4:$E$1436,MATCH($B376,VN_국채일별!$A$4:$A$1436,1)))*($J376-5)/2,IF($J376&lt;=10,INDEX(VN_국채일별!$F$4:$F$1436,MATCH($B376,VN_국채일별!$A$4:$A$1436,1))+(INDEX(VN_국채일별!$G$4:$G$1436,MATCH($B376,VN_국채일별!$A$4:$A$1436,1))-INDEX(VN_국채일별!$F$4:$F$1436,MATCH($B376,VN_국채일별!$A$4:$A$1436,1)))*($J376-7)/3,INDEX(VN_국채일별!$G$4:$G$1436,MATCH($B376,VN_국채일별!$A$4:$A$1436,1)))))))),""))</f>
        <v>0.0248533333333333</v>
      </c>
      <c r="R376" s="58" t="str">
        <f aca="false">IF(OR(L376="",Q376=""),"",(L376-Q376)*10000)</f>
        <v/>
      </c>
      <c r="S376" s="30" t="n">
        <f aca="false">IF(AND(K376="고정",N376="N",J376&gt;=2,J376&lt;=4,I376&lt;&gt;""),1,0)</f>
        <v>0</v>
      </c>
      <c r="T376" s="59" t="n">
        <f aca="false">IF(S376=1,I376*L376,0)</f>
        <v>0</v>
      </c>
      <c r="U376" s="60" t="n">
        <f aca="false">IF(AND(S376=1,ISNUMBER(R376)),I376*R376,0)</f>
        <v>0</v>
      </c>
      <c r="V376" s="30" t="n">
        <f aca="false">IF(AND(F376="Big4(국영)",K376="고정",N376="N",I376&lt;&gt;""),1,0)</f>
        <v>0</v>
      </c>
      <c r="W376" s="59" t="n">
        <f aca="false">IF(V376=1,I376*L376,0)</f>
        <v>0</v>
      </c>
      <c r="X376" s="60" t="n">
        <f aca="false">IF(AND(V376=1,ISNUMBER(R376)),I376*R376,0)</f>
        <v>0</v>
      </c>
      <c r="Y376" s="61" t="n">
        <f aca="false">IF(AND(S376=1,ISNUMBER(R376)),I376,0)</f>
        <v>0</v>
      </c>
      <c r="Z376" s="61" t="n">
        <f aca="false">IF(AND(V376=1,ISNUMBER(R376)),I376,0)</f>
        <v>0</v>
      </c>
    </row>
    <row r="377" customFormat="false" ht="15" hidden="false" customHeight="false" outlineLevel="0" collapsed="false">
      <c r="A377" s="47" t="s">
        <v>735</v>
      </c>
      <c r="B377" s="52" t="n">
        <v>45623</v>
      </c>
      <c r="C377" s="53" t="n">
        <f aca="false">DATE(YEAR(B377),MONTH(B377),1)</f>
        <v>45597</v>
      </c>
      <c r="D377" s="5" t="str">
        <f aca="false">YEAR(B377)&amp;"Q"&amp;ROUNDUP(MONTH(B377)/3,0)</f>
        <v>2024Q4</v>
      </c>
      <c r="E377" s="47" t="s">
        <v>248</v>
      </c>
      <c r="F377" s="54" t="s">
        <v>139</v>
      </c>
      <c r="G377" s="47" t="s">
        <v>361</v>
      </c>
      <c r="H377" s="47" t="s">
        <v>760</v>
      </c>
      <c r="I377" s="55" t="n">
        <v>1000</v>
      </c>
      <c r="J377" s="56" t="n">
        <v>8</v>
      </c>
      <c r="K377" s="54" t="s">
        <v>153</v>
      </c>
      <c r="N377" s="47" t="s">
        <v>143</v>
      </c>
      <c r="O377" s="47" t="s">
        <v>411</v>
      </c>
      <c r="P377" s="47"/>
      <c r="Q377" s="48" t="n">
        <f aca="false">IF($J377="","",IFERROR(IF($J377&lt;=1,INDEX(VN_국채일별!$B$4:$B$1436,MATCH($B377,VN_국채일별!$A$4:$A$1436,1)),IF($J377&lt;=2,INDEX(VN_국채일별!$B$4:$B$1436,MATCH($B377,VN_국채일별!$A$4:$A$1436,1))+(INDEX(VN_국채일별!$C$4:$C$1436,MATCH($B377,VN_국채일별!$A$4:$A$1436,1))-INDEX(VN_국채일별!$B$4:$B$1436,MATCH($B377,VN_국채일별!$A$4:$A$1436,1)))*($J377-1),IF($J377&lt;=3,INDEX(VN_국채일별!$C$4:$C$1436,MATCH($B377,VN_국채일별!$A$4:$A$1436,1))+(INDEX(VN_국채일별!$D$4:$D$1436,MATCH($B377,VN_국채일별!$A$4:$A$1436,1))-INDEX(VN_국채일별!$C$4:$C$1436,MATCH($B377,VN_국채일별!$A$4:$A$1436,1)))*($J377-2),IF($J377&lt;=5,INDEX(VN_국채일별!$D$4:$D$1436,MATCH($B377,VN_국채일별!$A$4:$A$1436,1))+(INDEX(VN_국채일별!$E$4:$E$1436,MATCH($B377,VN_국채일별!$A$4:$A$1436,1))-INDEX(VN_국채일별!$D$4:$D$1436,MATCH($B377,VN_국채일별!$A$4:$A$1436,1)))*($J377-3)/2,IF($J377&lt;=7,INDEX(VN_국채일별!$E$4:$E$1436,MATCH($B377,VN_국채일별!$A$4:$A$1436,1))+(INDEX(VN_국채일별!$F$4:$F$1436,MATCH($B377,VN_국채일별!$A$4:$A$1436,1))-INDEX(VN_국채일별!$E$4:$E$1436,MATCH($B377,VN_국채일별!$A$4:$A$1436,1)))*($J377-5)/2,IF($J377&lt;=10,INDEX(VN_국채일별!$F$4:$F$1436,MATCH($B377,VN_국채일별!$A$4:$A$1436,1))+(INDEX(VN_국채일별!$G$4:$G$1436,MATCH($B377,VN_국채일별!$A$4:$A$1436,1))-INDEX(VN_국채일별!$F$4:$F$1436,MATCH($B377,VN_국채일별!$A$4:$A$1436,1)))*($J377-7)/3,INDEX(VN_국채일별!$G$4:$G$1436,MATCH($B377,VN_국채일별!$A$4:$A$1436,1)))))))),""))</f>
        <v>0.0248733333333333</v>
      </c>
      <c r="R377" s="58" t="str">
        <f aca="false">IF(OR(L377="",Q377=""),"",(L377-Q377)*10000)</f>
        <v/>
      </c>
      <c r="S377" s="30" t="n">
        <f aca="false">IF(AND(K377="고정",N377="N",J377&gt;=2,J377&lt;=4,I377&lt;&gt;""),1,0)</f>
        <v>0</v>
      </c>
      <c r="T377" s="59" t="n">
        <f aca="false">IF(S377=1,I377*L377,0)</f>
        <v>0</v>
      </c>
      <c r="U377" s="60" t="n">
        <f aca="false">IF(AND(S377=1,ISNUMBER(R377)),I377*R377,0)</f>
        <v>0</v>
      </c>
      <c r="V377" s="30" t="n">
        <f aca="false">IF(AND(F377="Big4(국영)",K377="고정",N377="N",I377&lt;&gt;""),1,0)</f>
        <v>0</v>
      </c>
      <c r="W377" s="59" t="n">
        <f aca="false">IF(V377=1,I377*L377,0)</f>
        <v>0</v>
      </c>
      <c r="X377" s="60" t="n">
        <f aca="false">IF(AND(V377=1,ISNUMBER(R377)),I377*R377,0)</f>
        <v>0</v>
      </c>
      <c r="Y377" s="61" t="n">
        <f aca="false">IF(AND(S377=1,ISNUMBER(R377)),I377,0)</f>
        <v>0</v>
      </c>
      <c r="Z377" s="61" t="n">
        <f aca="false">IF(AND(V377=1,ISNUMBER(R377)),I377,0)</f>
        <v>0</v>
      </c>
    </row>
    <row r="378" customFormat="false" ht="15" hidden="false" customHeight="false" outlineLevel="0" collapsed="false">
      <c r="A378" s="47" t="s">
        <v>735</v>
      </c>
      <c r="B378" s="52" t="n">
        <v>45623</v>
      </c>
      <c r="C378" s="53" t="n">
        <f aca="false">DATE(YEAR(B378),MONTH(B378),1)</f>
        <v>45597</v>
      </c>
      <c r="D378" s="5" t="str">
        <f aca="false">YEAR(B378)&amp;"Q"&amp;ROUNDUP(MONTH(B378)/3,0)</f>
        <v>2024Q4</v>
      </c>
      <c r="E378" s="47" t="s">
        <v>743</v>
      </c>
      <c r="F378" s="54" t="s">
        <v>139</v>
      </c>
      <c r="G378" s="47" t="s">
        <v>744</v>
      </c>
      <c r="H378" s="47" t="s">
        <v>761</v>
      </c>
      <c r="I378" s="55" t="n">
        <v>1400</v>
      </c>
      <c r="J378" s="56" t="n">
        <v>5</v>
      </c>
      <c r="K378" s="54" t="s">
        <v>142</v>
      </c>
      <c r="L378" s="57" t="n">
        <v>0.064</v>
      </c>
      <c r="N378" s="47" t="s">
        <v>148</v>
      </c>
      <c r="O378" s="47" t="s">
        <v>424</v>
      </c>
      <c r="P378" s="47"/>
      <c r="Q378" s="48" t="n">
        <f aca="false">IF($J378="","",IFERROR(IF($J378&lt;=1,INDEX(VN_국채일별!$B$4:$B$1436,MATCH($B378,VN_국채일별!$A$4:$A$1436,1)),IF($J378&lt;=2,INDEX(VN_국채일별!$B$4:$B$1436,MATCH($B378,VN_국채일별!$A$4:$A$1436,1))+(INDEX(VN_국채일별!$C$4:$C$1436,MATCH($B378,VN_국채일별!$A$4:$A$1436,1))-INDEX(VN_국채일별!$B$4:$B$1436,MATCH($B378,VN_국채일별!$A$4:$A$1436,1)))*($J378-1),IF($J378&lt;=3,INDEX(VN_국채일별!$C$4:$C$1436,MATCH($B378,VN_국채일별!$A$4:$A$1436,1))+(INDEX(VN_국채일별!$D$4:$D$1436,MATCH($B378,VN_국채일별!$A$4:$A$1436,1))-INDEX(VN_국채일별!$C$4:$C$1436,MATCH($B378,VN_국채일별!$A$4:$A$1436,1)))*($J378-2),IF($J378&lt;=5,INDEX(VN_국채일별!$D$4:$D$1436,MATCH($B378,VN_국채일별!$A$4:$A$1436,1))+(INDEX(VN_국채일별!$E$4:$E$1436,MATCH($B378,VN_국채일별!$A$4:$A$1436,1))-INDEX(VN_국채일별!$D$4:$D$1436,MATCH($B378,VN_국채일별!$A$4:$A$1436,1)))*($J378-3)/2,IF($J378&lt;=7,INDEX(VN_국채일별!$E$4:$E$1436,MATCH($B378,VN_국채일별!$A$4:$A$1436,1))+(INDEX(VN_국채일별!$F$4:$F$1436,MATCH($B378,VN_국채일별!$A$4:$A$1436,1))-INDEX(VN_국채일별!$E$4:$E$1436,MATCH($B378,VN_국채일별!$A$4:$A$1436,1)))*($J378-5)/2,IF($J378&lt;=10,INDEX(VN_국채일별!$F$4:$F$1436,MATCH($B378,VN_국채일별!$A$4:$A$1436,1))+(INDEX(VN_국채일별!$G$4:$G$1436,MATCH($B378,VN_국채일별!$A$4:$A$1436,1))-INDEX(VN_국채일별!$F$4:$F$1436,MATCH($B378,VN_국채일별!$A$4:$A$1436,1)))*($J378-7)/3,INDEX(VN_국채일별!$G$4:$G$1436,MATCH($B378,VN_국채일별!$A$4:$A$1436,1)))))))),""))</f>
        <v>0.02024</v>
      </c>
      <c r="R378" s="58" t="n">
        <f aca="false">IF(OR(L378="",Q378=""),"",(L378-Q378)*10000)</f>
        <v>437.6</v>
      </c>
      <c r="S378" s="30" t="n">
        <f aca="false">IF(AND(K378="고정",N378="N",J378&gt;=2,J378&lt;=4,I378&lt;&gt;""),1,0)</f>
        <v>0</v>
      </c>
      <c r="T378" s="59" t="n">
        <f aca="false">IF(S378=1,I378*L378,0)</f>
        <v>0</v>
      </c>
      <c r="U378" s="60" t="n">
        <f aca="false">IF(AND(S378=1,ISNUMBER(R378)),I378*R378,0)</f>
        <v>0</v>
      </c>
      <c r="V378" s="30" t="n">
        <f aca="false">IF(AND(F378="Big4(국영)",K378="고정",N378="N",I378&lt;&gt;""),1,0)</f>
        <v>0</v>
      </c>
      <c r="W378" s="59" t="n">
        <f aca="false">IF(V378=1,I378*L378,0)</f>
        <v>0</v>
      </c>
      <c r="X378" s="60" t="n">
        <f aca="false">IF(AND(V378=1,ISNUMBER(R378)),I378*R378,0)</f>
        <v>0</v>
      </c>
      <c r="Y378" s="61" t="n">
        <f aca="false">IF(AND(S378=1,ISNUMBER(R378)),I378,0)</f>
        <v>0</v>
      </c>
      <c r="Z378" s="61" t="n">
        <f aca="false">IF(AND(V378=1,ISNUMBER(R378)),I378,0)</f>
        <v>0</v>
      </c>
    </row>
    <row r="379" customFormat="false" ht="15" hidden="false" customHeight="false" outlineLevel="0" collapsed="false">
      <c r="A379" s="47" t="s">
        <v>735</v>
      </c>
      <c r="B379" s="52" t="n">
        <v>45624</v>
      </c>
      <c r="C379" s="53" t="n">
        <f aca="false">DATE(YEAR(B379),MONTH(B379),1)</f>
        <v>45597</v>
      </c>
      <c r="D379" s="5" t="str">
        <f aca="false">YEAR(B379)&amp;"Q"&amp;ROUNDUP(MONTH(B379)/3,0)</f>
        <v>2024Q4</v>
      </c>
      <c r="E379" s="47" t="s">
        <v>248</v>
      </c>
      <c r="F379" s="54" t="s">
        <v>139</v>
      </c>
      <c r="G379" s="47" t="s">
        <v>361</v>
      </c>
      <c r="H379" s="47" t="s">
        <v>762</v>
      </c>
      <c r="I379" s="55" t="n">
        <v>1000</v>
      </c>
      <c r="J379" s="56" t="n">
        <v>8</v>
      </c>
      <c r="K379" s="54" t="s">
        <v>153</v>
      </c>
      <c r="N379" s="47" t="s">
        <v>143</v>
      </c>
      <c r="O379" s="47" t="s">
        <v>411</v>
      </c>
      <c r="P379" s="47"/>
      <c r="Q379" s="48" t="n">
        <f aca="false">IF($J379="","",IFERROR(IF($J379&lt;=1,INDEX(VN_국채일별!$B$4:$B$1436,MATCH($B379,VN_국채일별!$A$4:$A$1436,1)),IF($J379&lt;=2,INDEX(VN_국채일별!$B$4:$B$1436,MATCH($B379,VN_국채일별!$A$4:$A$1436,1))+(INDEX(VN_국채일별!$C$4:$C$1436,MATCH($B379,VN_국채일별!$A$4:$A$1436,1))-INDEX(VN_국채일별!$B$4:$B$1436,MATCH($B379,VN_국채일별!$A$4:$A$1436,1)))*($J379-1),IF($J379&lt;=3,INDEX(VN_국채일별!$C$4:$C$1436,MATCH($B379,VN_국채일별!$A$4:$A$1436,1))+(INDEX(VN_국채일별!$D$4:$D$1436,MATCH($B379,VN_국채일별!$A$4:$A$1436,1))-INDEX(VN_국채일별!$C$4:$C$1436,MATCH($B379,VN_국채일별!$A$4:$A$1436,1)))*($J379-2),IF($J379&lt;=5,INDEX(VN_국채일별!$D$4:$D$1436,MATCH($B379,VN_국채일별!$A$4:$A$1436,1))+(INDEX(VN_국채일별!$E$4:$E$1436,MATCH($B379,VN_국채일별!$A$4:$A$1436,1))-INDEX(VN_국채일별!$D$4:$D$1436,MATCH($B379,VN_국채일별!$A$4:$A$1436,1)))*($J379-3)/2,IF($J379&lt;=7,INDEX(VN_국채일별!$E$4:$E$1436,MATCH($B379,VN_국채일별!$A$4:$A$1436,1))+(INDEX(VN_국채일별!$F$4:$F$1436,MATCH($B379,VN_국채일별!$A$4:$A$1436,1))-INDEX(VN_국채일별!$E$4:$E$1436,MATCH($B379,VN_국채일별!$A$4:$A$1436,1)))*($J379-5)/2,IF($J379&lt;=10,INDEX(VN_국채일별!$F$4:$F$1436,MATCH($B379,VN_국채일별!$A$4:$A$1436,1))+(INDEX(VN_국채일별!$G$4:$G$1436,MATCH($B379,VN_국채일별!$A$4:$A$1436,1))-INDEX(VN_국채일별!$F$4:$F$1436,MATCH($B379,VN_국채일별!$A$4:$A$1436,1)))*($J379-7)/3,INDEX(VN_국채일별!$G$4:$G$1436,MATCH($B379,VN_국채일별!$A$4:$A$1436,1)))))))),""))</f>
        <v>0.02487</v>
      </c>
      <c r="R379" s="58" t="str">
        <f aca="false">IF(OR(L379="",Q379=""),"",(L379-Q379)*10000)</f>
        <v/>
      </c>
      <c r="S379" s="30" t="n">
        <f aca="false">IF(AND(K379="고정",N379="N",J379&gt;=2,J379&lt;=4,I379&lt;&gt;""),1,0)</f>
        <v>0</v>
      </c>
      <c r="T379" s="59" t="n">
        <f aca="false">IF(S379=1,I379*L379,0)</f>
        <v>0</v>
      </c>
      <c r="U379" s="60" t="n">
        <f aca="false">IF(AND(S379=1,ISNUMBER(R379)),I379*R379,0)</f>
        <v>0</v>
      </c>
      <c r="V379" s="30" t="n">
        <f aca="false">IF(AND(F379="Big4(국영)",K379="고정",N379="N",I379&lt;&gt;""),1,0)</f>
        <v>0</v>
      </c>
      <c r="W379" s="59" t="n">
        <f aca="false">IF(V379=1,I379*L379,0)</f>
        <v>0</v>
      </c>
      <c r="X379" s="60" t="n">
        <f aca="false">IF(AND(V379=1,ISNUMBER(R379)),I379*R379,0)</f>
        <v>0</v>
      </c>
      <c r="Y379" s="61" t="n">
        <f aca="false">IF(AND(S379=1,ISNUMBER(R379)),I379,0)</f>
        <v>0</v>
      </c>
      <c r="Z379" s="61" t="n">
        <f aca="false">IF(AND(V379=1,ISNUMBER(R379)),I379,0)</f>
        <v>0</v>
      </c>
    </row>
    <row r="380" customFormat="false" ht="15" hidden="false" customHeight="false" outlineLevel="0" collapsed="false">
      <c r="A380" s="47" t="s">
        <v>763</v>
      </c>
      <c r="B380" s="52" t="n">
        <v>45628</v>
      </c>
      <c r="C380" s="53" t="n">
        <f aca="false">DATE(YEAR(B380),MONTH(B380),1)</f>
        <v>45627</v>
      </c>
      <c r="D380" s="5" t="str">
        <f aca="false">YEAR(B380)&amp;"Q"&amp;ROUNDUP(MONTH(B380)/3,0)</f>
        <v>2024Q4</v>
      </c>
      <c r="E380" s="47" t="s">
        <v>323</v>
      </c>
      <c r="F380" s="54" t="s">
        <v>139</v>
      </c>
      <c r="G380" s="47" t="s">
        <v>324</v>
      </c>
      <c r="H380" s="47" t="s">
        <v>764</v>
      </c>
      <c r="I380" s="55" t="n">
        <v>500</v>
      </c>
      <c r="J380" s="56" t="n">
        <v>3</v>
      </c>
      <c r="K380" s="54" t="s">
        <v>142</v>
      </c>
      <c r="L380" s="57" t="n">
        <v>0.052</v>
      </c>
      <c r="N380" s="47" t="s">
        <v>148</v>
      </c>
      <c r="O380" s="47" t="s">
        <v>538</v>
      </c>
      <c r="P380" s="47"/>
      <c r="Q380" s="48" t="n">
        <f aca="false">IF($J380="","",IFERROR(IF($J380&lt;=1,INDEX(VN_국채일별!$B$4:$B$1436,MATCH($B380,VN_국채일별!$A$4:$A$1436,1)),IF($J380&lt;=2,INDEX(VN_국채일별!$B$4:$B$1436,MATCH($B380,VN_국채일별!$A$4:$A$1436,1))+(INDEX(VN_국채일별!$C$4:$C$1436,MATCH($B380,VN_국채일별!$A$4:$A$1436,1))-INDEX(VN_국채일별!$B$4:$B$1436,MATCH($B380,VN_국채일별!$A$4:$A$1436,1)))*($J380-1),IF($J380&lt;=3,INDEX(VN_국채일별!$C$4:$C$1436,MATCH($B380,VN_국채일별!$A$4:$A$1436,1))+(INDEX(VN_국채일별!$D$4:$D$1436,MATCH($B380,VN_국채일별!$A$4:$A$1436,1))-INDEX(VN_국채일별!$C$4:$C$1436,MATCH($B380,VN_국채일별!$A$4:$A$1436,1)))*($J380-2),IF($J380&lt;=5,INDEX(VN_국채일별!$D$4:$D$1436,MATCH($B380,VN_국채일별!$A$4:$A$1436,1))+(INDEX(VN_국채일별!$E$4:$E$1436,MATCH($B380,VN_국채일별!$A$4:$A$1436,1))-INDEX(VN_국채일별!$D$4:$D$1436,MATCH($B380,VN_국채일별!$A$4:$A$1436,1)))*($J380-3)/2,IF($J380&lt;=7,INDEX(VN_국채일별!$E$4:$E$1436,MATCH($B380,VN_국채일별!$A$4:$A$1436,1))+(INDEX(VN_국채일별!$F$4:$F$1436,MATCH($B380,VN_국채일별!$A$4:$A$1436,1))-INDEX(VN_국채일별!$E$4:$E$1436,MATCH($B380,VN_국채일별!$A$4:$A$1436,1)))*($J380-5)/2,IF($J380&lt;=10,INDEX(VN_국채일별!$F$4:$F$1436,MATCH($B380,VN_국채일별!$A$4:$A$1436,1))+(INDEX(VN_국채일별!$G$4:$G$1436,MATCH($B380,VN_국채일별!$A$4:$A$1436,1))-INDEX(VN_국채일별!$F$4:$F$1436,MATCH($B380,VN_국채일별!$A$4:$A$1436,1)))*($J380-7)/3,INDEX(VN_국채일별!$G$4:$G$1436,MATCH($B380,VN_국채일별!$A$4:$A$1436,1)))))))),""))</f>
        <v>0.01981</v>
      </c>
      <c r="R380" s="58" t="n">
        <f aca="false">IF(OR(L380="",Q380=""),"",(L380-Q380)*10000)</f>
        <v>321.9</v>
      </c>
      <c r="S380" s="30" t="n">
        <f aca="false">IF(AND(K380="고정",N380="N",J380&gt;=2,J380&lt;=4,I380&lt;&gt;""),1,0)</f>
        <v>1</v>
      </c>
      <c r="T380" s="59" t="n">
        <f aca="false">IF(S380=1,I380*L380,0)</f>
        <v>26</v>
      </c>
      <c r="U380" s="60" t="n">
        <f aca="false">IF(AND(S380=1,ISNUMBER(R380)),I380*R380,0)</f>
        <v>160950</v>
      </c>
      <c r="V380" s="30" t="n">
        <f aca="false">IF(AND(F380="Big4(국영)",K380="고정",N380="N",I380&lt;&gt;""),1,0)</f>
        <v>0</v>
      </c>
      <c r="W380" s="59" t="n">
        <f aca="false">IF(V380=1,I380*L380,0)</f>
        <v>0</v>
      </c>
      <c r="X380" s="60" t="n">
        <f aca="false">IF(AND(V380=1,ISNUMBER(R380)),I380*R380,0)</f>
        <v>0</v>
      </c>
      <c r="Y380" s="61" t="n">
        <f aca="false">IF(AND(S380=1,ISNUMBER(R380)),I380,0)</f>
        <v>500</v>
      </c>
      <c r="Z380" s="61" t="n">
        <f aca="false">IF(AND(V380=1,ISNUMBER(R380)),I380,0)</f>
        <v>0</v>
      </c>
    </row>
    <row r="381" customFormat="false" ht="15" hidden="false" customHeight="false" outlineLevel="0" collapsed="false">
      <c r="A381" s="47" t="s">
        <v>763</v>
      </c>
      <c r="B381" s="52" t="n">
        <v>45629</v>
      </c>
      <c r="C381" s="53" t="n">
        <f aca="false">DATE(YEAR(B381),MONTH(B381),1)</f>
        <v>45627</v>
      </c>
      <c r="D381" s="5" t="str">
        <f aca="false">YEAR(B381)&amp;"Q"&amp;ROUNDUP(MONTH(B381)/3,0)</f>
        <v>2024Q4</v>
      </c>
      <c r="E381" s="62" t="s">
        <v>173</v>
      </c>
      <c r="F381" s="62" t="s">
        <v>156</v>
      </c>
      <c r="G381" s="47" t="s">
        <v>174</v>
      </c>
      <c r="H381" s="47" t="s">
        <v>765</v>
      </c>
      <c r="I381" s="55" t="n">
        <v>920</v>
      </c>
      <c r="J381" s="56" t="n">
        <v>8</v>
      </c>
      <c r="K381" s="54" t="s">
        <v>153</v>
      </c>
      <c r="N381" s="47" t="s">
        <v>143</v>
      </c>
      <c r="O381" s="47" t="s">
        <v>672</v>
      </c>
      <c r="P381" s="47"/>
      <c r="Q381" s="48" t="n">
        <f aca="false">IF($J381="","",IFERROR(IF($J381&lt;=1,INDEX(VN_국채일별!$B$4:$B$1436,MATCH($B381,VN_국채일별!$A$4:$A$1436,1)),IF($J381&lt;=2,INDEX(VN_국채일별!$B$4:$B$1436,MATCH($B381,VN_국채일별!$A$4:$A$1436,1))+(INDEX(VN_국채일별!$C$4:$C$1436,MATCH($B381,VN_국채일별!$A$4:$A$1436,1))-INDEX(VN_국채일별!$B$4:$B$1436,MATCH($B381,VN_국채일별!$A$4:$A$1436,1)))*($J381-1),IF($J381&lt;=3,INDEX(VN_국채일별!$C$4:$C$1436,MATCH($B381,VN_국채일별!$A$4:$A$1436,1))+(INDEX(VN_국채일별!$D$4:$D$1436,MATCH($B381,VN_국채일별!$A$4:$A$1436,1))-INDEX(VN_국채일별!$C$4:$C$1436,MATCH($B381,VN_국채일별!$A$4:$A$1436,1)))*($J381-2),IF($J381&lt;=5,INDEX(VN_국채일별!$D$4:$D$1436,MATCH($B381,VN_국채일별!$A$4:$A$1436,1))+(INDEX(VN_국채일별!$E$4:$E$1436,MATCH($B381,VN_국채일별!$A$4:$A$1436,1))-INDEX(VN_국채일별!$D$4:$D$1436,MATCH($B381,VN_국채일별!$A$4:$A$1436,1)))*($J381-3)/2,IF($J381&lt;=7,INDEX(VN_국채일별!$E$4:$E$1436,MATCH($B381,VN_국채일별!$A$4:$A$1436,1))+(INDEX(VN_국채일별!$F$4:$F$1436,MATCH($B381,VN_국채일별!$A$4:$A$1436,1))-INDEX(VN_국채일별!$E$4:$E$1436,MATCH($B381,VN_국채일별!$A$4:$A$1436,1)))*($J381-5)/2,IF($J381&lt;=10,INDEX(VN_국채일별!$F$4:$F$1436,MATCH($B381,VN_국채일별!$A$4:$A$1436,1))+(INDEX(VN_국채일별!$G$4:$G$1436,MATCH($B381,VN_국채일별!$A$4:$A$1436,1))-INDEX(VN_국채일별!$F$4:$F$1436,MATCH($B381,VN_국채일별!$A$4:$A$1436,1)))*($J381-7)/3,INDEX(VN_국채일별!$G$4:$G$1436,MATCH($B381,VN_국채일별!$A$4:$A$1436,1)))))))),""))</f>
        <v>0.0253666666666667</v>
      </c>
      <c r="R381" s="58" t="str">
        <f aca="false">IF(OR(L381="",Q381=""),"",(L381-Q381)*10000)</f>
        <v/>
      </c>
      <c r="S381" s="30" t="n">
        <f aca="false">IF(AND(K381="고정",N381="N",J381&gt;=2,J381&lt;=4,I381&lt;&gt;""),1,0)</f>
        <v>0</v>
      </c>
      <c r="T381" s="59" t="n">
        <f aca="false">IF(S381=1,I381*L381,0)</f>
        <v>0</v>
      </c>
      <c r="U381" s="60" t="n">
        <f aca="false">IF(AND(S381=1,ISNUMBER(R381)),I381*R381,0)</f>
        <v>0</v>
      </c>
      <c r="V381" s="30" t="n">
        <f aca="false">IF(AND(F381="Big4(국영)",K381="고정",N381="N",I381&lt;&gt;""),1,0)</f>
        <v>0</v>
      </c>
      <c r="W381" s="59" t="n">
        <f aca="false">IF(V381=1,I381*L381,0)</f>
        <v>0</v>
      </c>
      <c r="X381" s="60" t="n">
        <f aca="false">IF(AND(V381=1,ISNUMBER(R381)),I381*R381,0)</f>
        <v>0</v>
      </c>
      <c r="Y381" s="61" t="n">
        <f aca="false">IF(AND(S381=1,ISNUMBER(R381)),I381,0)</f>
        <v>0</v>
      </c>
      <c r="Z381" s="61" t="n">
        <f aca="false">IF(AND(V381=1,ISNUMBER(R381)),I381,0)</f>
        <v>0</v>
      </c>
    </row>
    <row r="382" customFormat="false" ht="15" hidden="false" customHeight="false" outlineLevel="0" collapsed="false">
      <c r="A382" s="47" t="s">
        <v>763</v>
      </c>
      <c r="B382" s="52" t="n">
        <v>45630</v>
      </c>
      <c r="C382" s="53" t="n">
        <f aca="false">DATE(YEAR(B382),MONTH(B382),1)</f>
        <v>45627</v>
      </c>
      <c r="D382" s="5" t="str">
        <f aca="false">YEAR(B382)&amp;"Q"&amp;ROUNDUP(MONTH(B382)/3,0)</f>
        <v>2024Q4</v>
      </c>
      <c r="E382" s="47" t="s">
        <v>150</v>
      </c>
      <c r="F382" s="54" t="s">
        <v>139</v>
      </c>
      <c r="G382" s="47" t="s">
        <v>170</v>
      </c>
      <c r="H382" s="47" t="s">
        <v>766</v>
      </c>
      <c r="I382" s="55" t="n">
        <v>2000</v>
      </c>
      <c r="J382" s="56" t="n">
        <v>3</v>
      </c>
      <c r="K382" s="54" t="s">
        <v>142</v>
      </c>
      <c r="L382" s="57" t="n">
        <v>0.053</v>
      </c>
      <c r="N382" s="47" t="s">
        <v>148</v>
      </c>
      <c r="O382" s="47" t="s">
        <v>582</v>
      </c>
      <c r="P382" s="47"/>
      <c r="Q382" s="48" t="n">
        <f aca="false">IF($J382="","",IFERROR(IF($J382&lt;=1,INDEX(VN_국채일별!$B$4:$B$1436,MATCH($B382,VN_국채일별!$A$4:$A$1436,1)),IF($J382&lt;=2,INDEX(VN_국채일별!$B$4:$B$1436,MATCH($B382,VN_국채일별!$A$4:$A$1436,1))+(INDEX(VN_국채일별!$C$4:$C$1436,MATCH($B382,VN_국채일별!$A$4:$A$1436,1))-INDEX(VN_국채일별!$B$4:$B$1436,MATCH($B382,VN_국채일별!$A$4:$A$1436,1)))*($J382-1),IF($J382&lt;=3,INDEX(VN_국채일별!$C$4:$C$1436,MATCH($B382,VN_국채일별!$A$4:$A$1436,1))+(INDEX(VN_국채일별!$D$4:$D$1436,MATCH($B382,VN_국채일별!$A$4:$A$1436,1))-INDEX(VN_국채일별!$C$4:$C$1436,MATCH($B382,VN_국채일별!$A$4:$A$1436,1)))*($J382-2),IF($J382&lt;=5,INDEX(VN_국채일별!$D$4:$D$1436,MATCH($B382,VN_국채일별!$A$4:$A$1436,1))+(INDEX(VN_국채일별!$E$4:$E$1436,MATCH($B382,VN_국채일별!$A$4:$A$1436,1))-INDEX(VN_국채일별!$D$4:$D$1436,MATCH($B382,VN_국채일별!$A$4:$A$1436,1)))*($J382-3)/2,IF($J382&lt;=7,INDEX(VN_국채일별!$E$4:$E$1436,MATCH($B382,VN_국채일별!$A$4:$A$1436,1))+(INDEX(VN_국채일별!$F$4:$F$1436,MATCH($B382,VN_국채일별!$A$4:$A$1436,1))-INDEX(VN_국채일별!$E$4:$E$1436,MATCH($B382,VN_국채일별!$A$4:$A$1436,1)))*($J382-5)/2,IF($J382&lt;=10,INDEX(VN_국채일별!$F$4:$F$1436,MATCH($B382,VN_국채일별!$A$4:$A$1436,1))+(INDEX(VN_국채일별!$G$4:$G$1436,MATCH($B382,VN_국채일별!$A$4:$A$1436,1))-INDEX(VN_국채일별!$F$4:$F$1436,MATCH($B382,VN_국채일별!$A$4:$A$1436,1)))*($J382-7)/3,INDEX(VN_국채일별!$G$4:$G$1436,MATCH($B382,VN_국채일별!$A$4:$A$1436,1)))))))),""))</f>
        <v>0.01962</v>
      </c>
      <c r="R382" s="58" t="n">
        <f aca="false">IF(OR(L382="",Q382=""),"",(L382-Q382)*10000)</f>
        <v>333.8</v>
      </c>
      <c r="S382" s="30" t="n">
        <f aca="false">IF(AND(K382="고정",N382="N",J382&gt;=2,J382&lt;=4,I382&lt;&gt;""),1,0)</f>
        <v>1</v>
      </c>
      <c r="T382" s="59" t="n">
        <f aca="false">IF(S382=1,I382*L382,0)</f>
        <v>106</v>
      </c>
      <c r="U382" s="60" t="n">
        <f aca="false">IF(AND(S382=1,ISNUMBER(R382)),I382*R382,0)</f>
        <v>667600</v>
      </c>
      <c r="V382" s="30" t="n">
        <f aca="false">IF(AND(F382="Big4(국영)",K382="고정",N382="N",I382&lt;&gt;""),1,0)</f>
        <v>0</v>
      </c>
      <c r="W382" s="59" t="n">
        <f aca="false">IF(V382=1,I382*L382,0)</f>
        <v>0</v>
      </c>
      <c r="X382" s="60" t="n">
        <f aca="false">IF(AND(V382=1,ISNUMBER(R382)),I382*R382,0)</f>
        <v>0</v>
      </c>
      <c r="Y382" s="61" t="n">
        <f aca="false">IF(AND(S382=1,ISNUMBER(R382)),I382,0)</f>
        <v>2000</v>
      </c>
      <c r="Z382" s="61" t="n">
        <f aca="false">IF(AND(V382=1,ISNUMBER(R382)),I382,0)</f>
        <v>0</v>
      </c>
    </row>
    <row r="383" customFormat="false" ht="15" hidden="false" customHeight="false" outlineLevel="0" collapsed="false">
      <c r="A383" s="47" t="s">
        <v>763</v>
      </c>
      <c r="B383" s="52" t="n">
        <v>45630</v>
      </c>
      <c r="C383" s="53" t="n">
        <f aca="false">DATE(YEAR(B383),MONTH(B383),1)</f>
        <v>45627</v>
      </c>
      <c r="D383" s="5" t="str">
        <f aca="false">YEAR(B383)&amp;"Q"&amp;ROUNDUP(MONTH(B383)/3,0)</f>
        <v>2024Q4</v>
      </c>
      <c r="E383" s="47" t="s">
        <v>365</v>
      </c>
      <c r="F383" s="54" t="s">
        <v>139</v>
      </c>
      <c r="G383" s="47" t="s">
        <v>366</v>
      </c>
      <c r="H383" s="47" t="s">
        <v>767</v>
      </c>
      <c r="I383" s="55" t="n">
        <v>1000</v>
      </c>
      <c r="J383" s="56" t="n">
        <v>3</v>
      </c>
      <c r="K383" s="54" t="s">
        <v>153</v>
      </c>
      <c r="N383" s="47" t="s">
        <v>148</v>
      </c>
      <c r="O383" s="47" t="s">
        <v>768</v>
      </c>
      <c r="P383" s="47"/>
      <c r="Q383" s="48" t="n">
        <f aca="false">IF($J383="","",IFERROR(IF($J383&lt;=1,INDEX(VN_국채일별!$B$4:$B$1436,MATCH($B383,VN_국채일별!$A$4:$A$1436,1)),IF($J383&lt;=2,INDEX(VN_국채일별!$B$4:$B$1436,MATCH($B383,VN_국채일별!$A$4:$A$1436,1))+(INDEX(VN_국채일별!$C$4:$C$1436,MATCH($B383,VN_국채일별!$A$4:$A$1436,1))-INDEX(VN_국채일별!$B$4:$B$1436,MATCH($B383,VN_국채일별!$A$4:$A$1436,1)))*($J383-1),IF($J383&lt;=3,INDEX(VN_국채일별!$C$4:$C$1436,MATCH($B383,VN_국채일별!$A$4:$A$1436,1))+(INDEX(VN_국채일별!$D$4:$D$1436,MATCH($B383,VN_국채일별!$A$4:$A$1436,1))-INDEX(VN_국채일별!$C$4:$C$1436,MATCH($B383,VN_국채일별!$A$4:$A$1436,1)))*($J383-2),IF($J383&lt;=5,INDEX(VN_국채일별!$D$4:$D$1436,MATCH($B383,VN_국채일별!$A$4:$A$1436,1))+(INDEX(VN_국채일별!$E$4:$E$1436,MATCH($B383,VN_국채일별!$A$4:$A$1436,1))-INDEX(VN_국채일별!$D$4:$D$1436,MATCH($B383,VN_국채일별!$A$4:$A$1436,1)))*($J383-3)/2,IF($J383&lt;=7,INDEX(VN_국채일별!$E$4:$E$1436,MATCH($B383,VN_국채일별!$A$4:$A$1436,1))+(INDEX(VN_국채일별!$F$4:$F$1436,MATCH($B383,VN_국채일별!$A$4:$A$1436,1))-INDEX(VN_국채일별!$E$4:$E$1436,MATCH($B383,VN_국채일별!$A$4:$A$1436,1)))*($J383-5)/2,IF($J383&lt;=10,INDEX(VN_국채일별!$F$4:$F$1436,MATCH($B383,VN_국채일별!$A$4:$A$1436,1))+(INDEX(VN_국채일별!$G$4:$G$1436,MATCH($B383,VN_국채일별!$A$4:$A$1436,1))-INDEX(VN_국채일별!$F$4:$F$1436,MATCH($B383,VN_국채일별!$A$4:$A$1436,1)))*($J383-7)/3,INDEX(VN_국채일별!$G$4:$G$1436,MATCH($B383,VN_국채일별!$A$4:$A$1436,1)))))))),""))</f>
        <v>0.01962</v>
      </c>
      <c r="R383" s="58" t="str">
        <f aca="false">IF(OR(L383="",Q383=""),"",(L383-Q383)*10000)</f>
        <v/>
      </c>
      <c r="S383" s="30" t="n">
        <f aca="false">IF(AND(K383="고정",N383="N",J383&gt;=2,J383&lt;=4,I383&lt;&gt;""),1,0)</f>
        <v>0</v>
      </c>
      <c r="T383" s="59" t="n">
        <f aca="false">IF(S383=1,I383*L383,0)</f>
        <v>0</v>
      </c>
      <c r="U383" s="60" t="n">
        <f aca="false">IF(AND(S383=1,ISNUMBER(R383)),I383*R383,0)</f>
        <v>0</v>
      </c>
      <c r="V383" s="30" t="n">
        <f aca="false">IF(AND(F383="Big4(국영)",K383="고정",N383="N",I383&lt;&gt;""),1,0)</f>
        <v>0</v>
      </c>
      <c r="W383" s="59" t="n">
        <f aca="false">IF(V383=1,I383*L383,0)</f>
        <v>0</v>
      </c>
      <c r="X383" s="60" t="n">
        <f aca="false">IF(AND(V383=1,ISNUMBER(R383)),I383*R383,0)</f>
        <v>0</v>
      </c>
      <c r="Y383" s="61" t="n">
        <f aca="false">IF(AND(S383=1,ISNUMBER(R383)),I383,0)</f>
        <v>0</v>
      </c>
      <c r="Z383" s="61" t="n">
        <f aca="false">IF(AND(V383=1,ISNUMBER(R383)),I383,0)</f>
        <v>0</v>
      </c>
    </row>
    <row r="384" customFormat="false" ht="15" hidden="false" customHeight="false" outlineLevel="0" collapsed="false">
      <c r="A384" s="47" t="s">
        <v>763</v>
      </c>
      <c r="B384" s="52" t="n">
        <v>45636</v>
      </c>
      <c r="C384" s="53" t="n">
        <f aca="false">DATE(YEAR(B384),MONTH(B384),1)</f>
        <v>45627</v>
      </c>
      <c r="D384" s="5" t="str">
        <f aca="false">YEAR(B384)&amp;"Q"&amp;ROUNDUP(MONTH(B384)/3,0)</f>
        <v>2024Q4</v>
      </c>
      <c r="E384" s="47" t="s">
        <v>181</v>
      </c>
      <c r="F384" s="54" t="s">
        <v>139</v>
      </c>
      <c r="G384" s="47" t="s">
        <v>182</v>
      </c>
      <c r="H384" s="47" t="s">
        <v>769</v>
      </c>
      <c r="I384" s="55" t="n">
        <v>700</v>
      </c>
      <c r="J384" s="56" t="n">
        <v>3</v>
      </c>
      <c r="K384" s="54" t="s">
        <v>142</v>
      </c>
      <c r="L384" s="57" t="n">
        <v>0.055</v>
      </c>
      <c r="N384" s="47" t="s">
        <v>148</v>
      </c>
      <c r="O384" s="47" t="s">
        <v>591</v>
      </c>
      <c r="P384" s="47"/>
      <c r="Q384" s="48" t="n">
        <f aca="false">IF($J384="","",IFERROR(IF($J384&lt;=1,INDEX(VN_국채일별!$B$4:$B$1436,MATCH($B384,VN_국채일별!$A$4:$A$1436,1)),IF($J384&lt;=2,INDEX(VN_국채일별!$B$4:$B$1436,MATCH($B384,VN_국채일별!$A$4:$A$1436,1))+(INDEX(VN_국채일별!$C$4:$C$1436,MATCH($B384,VN_국채일별!$A$4:$A$1436,1))-INDEX(VN_국채일별!$B$4:$B$1436,MATCH($B384,VN_국채일별!$A$4:$A$1436,1)))*($J384-1),IF($J384&lt;=3,INDEX(VN_국채일별!$C$4:$C$1436,MATCH($B384,VN_국채일별!$A$4:$A$1436,1))+(INDEX(VN_국채일별!$D$4:$D$1436,MATCH($B384,VN_국채일별!$A$4:$A$1436,1))-INDEX(VN_국채일별!$C$4:$C$1436,MATCH($B384,VN_국채일별!$A$4:$A$1436,1)))*($J384-2),IF($J384&lt;=5,INDEX(VN_국채일별!$D$4:$D$1436,MATCH($B384,VN_국채일별!$A$4:$A$1436,1))+(INDEX(VN_국채일별!$E$4:$E$1436,MATCH($B384,VN_국채일별!$A$4:$A$1436,1))-INDEX(VN_국채일별!$D$4:$D$1436,MATCH($B384,VN_국채일별!$A$4:$A$1436,1)))*($J384-3)/2,IF($J384&lt;=7,INDEX(VN_국채일별!$E$4:$E$1436,MATCH($B384,VN_국채일별!$A$4:$A$1436,1))+(INDEX(VN_국채일별!$F$4:$F$1436,MATCH($B384,VN_국채일별!$A$4:$A$1436,1))-INDEX(VN_국채일별!$E$4:$E$1436,MATCH($B384,VN_국채일별!$A$4:$A$1436,1)))*($J384-5)/2,IF($J384&lt;=10,INDEX(VN_국채일별!$F$4:$F$1436,MATCH($B384,VN_국채일별!$A$4:$A$1436,1))+(INDEX(VN_국채일별!$G$4:$G$1436,MATCH($B384,VN_국채일별!$A$4:$A$1436,1))-INDEX(VN_국채일별!$F$4:$F$1436,MATCH($B384,VN_국채일별!$A$4:$A$1436,1)))*($J384-7)/3,INDEX(VN_국채일별!$G$4:$G$1436,MATCH($B384,VN_국채일별!$A$4:$A$1436,1)))))))),""))</f>
        <v>0.01971</v>
      </c>
      <c r="R384" s="58" t="n">
        <f aca="false">IF(OR(L384="",Q384=""),"",(L384-Q384)*10000)</f>
        <v>352.9</v>
      </c>
      <c r="S384" s="30" t="n">
        <f aca="false">IF(AND(K384="고정",N384="N",J384&gt;=2,J384&lt;=4,I384&lt;&gt;""),1,0)</f>
        <v>1</v>
      </c>
      <c r="T384" s="59" t="n">
        <f aca="false">IF(S384=1,I384*L384,0)</f>
        <v>38.5</v>
      </c>
      <c r="U384" s="60" t="n">
        <f aca="false">IF(AND(S384=1,ISNUMBER(R384)),I384*R384,0)</f>
        <v>247030</v>
      </c>
      <c r="V384" s="30" t="n">
        <f aca="false">IF(AND(F384="Big4(국영)",K384="고정",N384="N",I384&lt;&gt;""),1,0)</f>
        <v>0</v>
      </c>
      <c r="W384" s="59" t="n">
        <f aca="false">IF(V384=1,I384*L384,0)</f>
        <v>0</v>
      </c>
      <c r="X384" s="60" t="n">
        <f aca="false">IF(AND(V384=1,ISNUMBER(R384)),I384*R384,0)</f>
        <v>0</v>
      </c>
      <c r="Y384" s="61" t="n">
        <f aca="false">IF(AND(S384=1,ISNUMBER(R384)),I384,0)</f>
        <v>700</v>
      </c>
      <c r="Z384" s="61" t="n">
        <f aca="false">IF(AND(V384=1,ISNUMBER(R384)),I384,0)</f>
        <v>0</v>
      </c>
    </row>
    <row r="385" customFormat="false" ht="15" hidden="false" customHeight="false" outlineLevel="0" collapsed="false">
      <c r="A385" s="47" t="s">
        <v>763</v>
      </c>
      <c r="B385" s="52" t="n">
        <v>45636</v>
      </c>
      <c r="C385" s="53" t="n">
        <f aca="false">DATE(YEAR(B385),MONTH(B385),1)</f>
        <v>45627</v>
      </c>
      <c r="D385" s="5" t="str">
        <f aca="false">YEAR(B385)&amp;"Q"&amp;ROUNDUP(MONTH(B385)/3,0)</f>
        <v>2024Q4</v>
      </c>
      <c r="E385" s="47" t="s">
        <v>365</v>
      </c>
      <c r="F385" s="54" t="s">
        <v>139</v>
      </c>
      <c r="G385" s="47" t="s">
        <v>366</v>
      </c>
      <c r="H385" s="47" t="s">
        <v>770</v>
      </c>
      <c r="I385" s="55" t="n">
        <v>67.4</v>
      </c>
      <c r="J385" s="56" t="n">
        <v>10</v>
      </c>
      <c r="K385" s="54" t="s">
        <v>153</v>
      </c>
      <c r="N385" s="47" t="s">
        <v>143</v>
      </c>
      <c r="O385" s="47" t="s">
        <v>771</v>
      </c>
      <c r="P385" s="47"/>
      <c r="Q385" s="48" t="n">
        <f aca="false">IF($J385="","",IFERROR(IF($J385&lt;=1,INDEX(VN_국채일별!$B$4:$B$1436,MATCH($B385,VN_국채일별!$A$4:$A$1436,1)),IF($J385&lt;=2,INDEX(VN_국채일별!$B$4:$B$1436,MATCH($B385,VN_국채일별!$A$4:$A$1436,1))+(INDEX(VN_국채일별!$C$4:$C$1436,MATCH($B385,VN_국채일별!$A$4:$A$1436,1))-INDEX(VN_국채일별!$B$4:$B$1436,MATCH($B385,VN_국채일별!$A$4:$A$1436,1)))*($J385-1),IF($J385&lt;=3,INDEX(VN_국채일별!$C$4:$C$1436,MATCH($B385,VN_국채일별!$A$4:$A$1436,1))+(INDEX(VN_국채일별!$D$4:$D$1436,MATCH($B385,VN_국채일별!$A$4:$A$1436,1))-INDEX(VN_국채일별!$C$4:$C$1436,MATCH($B385,VN_국채일별!$A$4:$A$1436,1)))*($J385-2),IF($J385&lt;=5,INDEX(VN_국채일별!$D$4:$D$1436,MATCH($B385,VN_국채일별!$A$4:$A$1436,1))+(INDEX(VN_국채일별!$E$4:$E$1436,MATCH($B385,VN_국채일별!$A$4:$A$1436,1))-INDEX(VN_국채일별!$D$4:$D$1436,MATCH($B385,VN_국채일별!$A$4:$A$1436,1)))*($J385-3)/2,IF($J385&lt;=7,INDEX(VN_국채일별!$E$4:$E$1436,MATCH($B385,VN_국채일별!$A$4:$A$1436,1))+(INDEX(VN_국채일별!$F$4:$F$1436,MATCH($B385,VN_국채일별!$A$4:$A$1436,1))-INDEX(VN_국채일별!$E$4:$E$1436,MATCH($B385,VN_국채일별!$A$4:$A$1436,1)))*($J385-5)/2,IF($J385&lt;=10,INDEX(VN_국채일별!$F$4:$F$1436,MATCH($B385,VN_국채일별!$A$4:$A$1436,1))+(INDEX(VN_국채일별!$G$4:$G$1436,MATCH($B385,VN_국채일별!$A$4:$A$1436,1))-INDEX(VN_국채일별!$F$4:$F$1436,MATCH($B385,VN_국채일별!$A$4:$A$1436,1)))*($J385-7)/3,INDEX(VN_국채일별!$G$4:$G$1436,MATCH($B385,VN_국채일별!$A$4:$A$1436,1)))))))),""))</f>
        <v>0.02856</v>
      </c>
      <c r="R385" s="58" t="str">
        <f aca="false">IF(OR(L385="",Q385=""),"",(L385-Q385)*10000)</f>
        <v/>
      </c>
      <c r="S385" s="30" t="n">
        <f aca="false">IF(AND(K385="고정",N385="N",J385&gt;=2,J385&lt;=4,I385&lt;&gt;""),1,0)</f>
        <v>0</v>
      </c>
      <c r="T385" s="59" t="n">
        <f aca="false">IF(S385=1,I385*L385,0)</f>
        <v>0</v>
      </c>
      <c r="U385" s="60" t="n">
        <f aca="false">IF(AND(S385=1,ISNUMBER(R385)),I385*R385,0)</f>
        <v>0</v>
      </c>
      <c r="V385" s="30" t="n">
        <f aca="false">IF(AND(F385="Big4(국영)",K385="고정",N385="N",I385&lt;&gt;""),1,0)</f>
        <v>0</v>
      </c>
      <c r="W385" s="59" t="n">
        <f aca="false">IF(V385=1,I385*L385,0)</f>
        <v>0</v>
      </c>
      <c r="X385" s="60" t="n">
        <f aca="false">IF(AND(V385=1,ISNUMBER(R385)),I385*R385,0)</f>
        <v>0</v>
      </c>
      <c r="Y385" s="61" t="n">
        <f aca="false">IF(AND(S385=1,ISNUMBER(R385)),I385,0)</f>
        <v>0</v>
      </c>
      <c r="Z385" s="61" t="n">
        <f aca="false">IF(AND(V385=1,ISNUMBER(R385)),I385,0)</f>
        <v>0</v>
      </c>
    </row>
    <row r="386" customFormat="false" ht="15" hidden="false" customHeight="false" outlineLevel="0" collapsed="false">
      <c r="A386" s="47" t="s">
        <v>763</v>
      </c>
      <c r="B386" s="52" t="n">
        <v>45636</v>
      </c>
      <c r="C386" s="53" t="n">
        <f aca="false">DATE(YEAR(B386),MONTH(B386),1)</f>
        <v>45627</v>
      </c>
      <c r="D386" s="5" t="str">
        <f aca="false">YEAR(B386)&amp;"Q"&amp;ROUNDUP(MONTH(B386)/3,0)</f>
        <v>2024Q4</v>
      </c>
      <c r="E386" s="47" t="s">
        <v>365</v>
      </c>
      <c r="F386" s="54" t="s">
        <v>139</v>
      </c>
      <c r="G386" s="47" t="s">
        <v>366</v>
      </c>
      <c r="H386" s="47" t="s">
        <v>772</v>
      </c>
      <c r="I386" s="55" t="n">
        <v>200</v>
      </c>
      <c r="J386" s="56" t="n">
        <v>10</v>
      </c>
      <c r="K386" s="54" t="s">
        <v>153</v>
      </c>
      <c r="N386" s="47" t="s">
        <v>143</v>
      </c>
      <c r="O386" s="47" t="s">
        <v>773</v>
      </c>
      <c r="P386" s="47"/>
      <c r="Q386" s="48" t="n">
        <f aca="false">IF($J386="","",IFERROR(IF($J386&lt;=1,INDEX(VN_국채일별!$B$4:$B$1436,MATCH($B386,VN_국채일별!$A$4:$A$1436,1)),IF($J386&lt;=2,INDEX(VN_국채일별!$B$4:$B$1436,MATCH($B386,VN_국채일별!$A$4:$A$1436,1))+(INDEX(VN_국채일별!$C$4:$C$1436,MATCH($B386,VN_국채일별!$A$4:$A$1436,1))-INDEX(VN_국채일별!$B$4:$B$1436,MATCH($B386,VN_국채일별!$A$4:$A$1436,1)))*($J386-1),IF($J386&lt;=3,INDEX(VN_국채일별!$C$4:$C$1436,MATCH($B386,VN_국채일별!$A$4:$A$1436,1))+(INDEX(VN_국채일별!$D$4:$D$1436,MATCH($B386,VN_국채일별!$A$4:$A$1436,1))-INDEX(VN_국채일별!$C$4:$C$1436,MATCH($B386,VN_국채일별!$A$4:$A$1436,1)))*($J386-2),IF($J386&lt;=5,INDEX(VN_국채일별!$D$4:$D$1436,MATCH($B386,VN_국채일별!$A$4:$A$1436,1))+(INDEX(VN_국채일별!$E$4:$E$1436,MATCH($B386,VN_국채일별!$A$4:$A$1436,1))-INDEX(VN_국채일별!$D$4:$D$1436,MATCH($B386,VN_국채일별!$A$4:$A$1436,1)))*($J386-3)/2,IF($J386&lt;=7,INDEX(VN_국채일별!$E$4:$E$1436,MATCH($B386,VN_국채일별!$A$4:$A$1436,1))+(INDEX(VN_국채일별!$F$4:$F$1436,MATCH($B386,VN_국채일별!$A$4:$A$1436,1))-INDEX(VN_국채일별!$E$4:$E$1436,MATCH($B386,VN_국채일별!$A$4:$A$1436,1)))*($J386-5)/2,IF($J386&lt;=10,INDEX(VN_국채일별!$F$4:$F$1436,MATCH($B386,VN_국채일별!$A$4:$A$1436,1))+(INDEX(VN_국채일별!$G$4:$G$1436,MATCH($B386,VN_국채일별!$A$4:$A$1436,1))-INDEX(VN_국채일별!$F$4:$F$1436,MATCH($B386,VN_국채일별!$A$4:$A$1436,1)))*($J386-7)/3,INDEX(VN_국채일별!$G$4:$G$1436,MATCH($B386,VN_국채일별!$A$4:$A$1436,1)))))))),""))</f>
        <v>0.02856</v>
      </c>
      <c r="R386" s="58" t="str">
        <f aca="false">IF(OR(L386="",Q386=""),"",(L386-Q386)*10000)</f>
        <v/>
      </c>
      <c r="S386" s="30" t="n">
        <f aca="false">IF(AND(K386="고정",N386="N",J386&gt;=2,J386&lt;=4,I386&lt;&gt;""),1,0)</f>
        <v>0</v>
      </c>
      <c r="T386" s="59" t="n">
        <f aca="false">IF(S386=1,I386*L386,0)</f>
        <v>0</v>
      </c>
      <c r="U386" s="60" t="n">
        <f aca="false">IF(AND(S386=1,ISNUMBER(R386)),I386*R386,0)</f>
        <v>0</v>
      </c>
      <c r="V386" s="30" t="n">
        <f aca="false">IF(AND(F386="Big4(국영)",K386="고정",N386="N",I386&lt;&gt;""),1,0)</f>
        <v>0</v>
      </c>
      <c r="W386" s="59" t="n">
        <f aca="false">IF(V386=1,I386*L386,0)</f>
        <v>0</v>
      </c>
      <c r="X386" s="60" t="n">
        <f aca="false">IF(AND(V386=1,ISNUMBER(R386)),I386*R386,0)</f>
        <v>0</v>
      </c>
      <c r="Y386" s="61" t="n">
        <f aca="false">IF(AND(S386=1,ISNUMBER(R386)),I386,0)</f>
        <v>0</v>
      </c>
      <c r="Z386" s="61" t="n">
        <f aca="false">IF(AND(V386=1,ISNUMBER(R386)),I386,0)</f>
        <v>0</v>
      </c>
    </row>
    <row r="387" customFormat="false" ht="15" hidden="false" customHeight="false" outlineLevel="0" collapsed="false">
      <c r="A387" s="47" t="s">
        <v>763</v>
      </c>
      <c r="B387" s="52" t="n">
        <v>45637</v>
      </c>
      <c r="C387" s="53" t="n">
        <f aca="false">DATE(YEAR(B387),MONTH(B387),1)</f>
        <v>45627</v>
      </c>
      <c r="D387" s="5" t="str">
        <f aca="false">YEAR(B387)&amp;"Q"&amp;ROUNDUP(MONTH(B387)/3,0)</f>
        <v>2024Q4</v>
      </c>
      <c r="E387" s="47" t="s">
        <v>181</v>
      </c>
      <c r="F387" s="54" t="s">
        <v>139</v>
      </c>
      <c r="G387" s="47" t="s">
        <v>182</v>
      </c>
      <c r="H387" s="47" t="s">
        <v>774</v>
      </c>
      <c r="I387" s="55" t="n">
        <v>1000</v>
      </c>
      <c r="J387" s="56" t="n">
        <v>3</v>
      </c>
      <c r="K387" s="54" t="s">
        <v>142</v>
      </c>
      <c r="L387" s="57" t="n">
        <v>0.055</v>
      </c>
      <c r="N387" s="47" t="s">
        <v>148</v>
      </c>
      <c r="O387" s="47" t="s">
        <v>591</v>
      </c>
      <c r="P387" s="47"/>
      <c r="Q387" s="48" t="n">
        <f aca="false">IF($J387="","",IFERROR(IF($J387&lt;=1,INDEX(VN_국채일별!$B$4:$B$1436,MATCH($B387,VN_국채일별!$A$4:$A$1436,1)),IF($J387&lt;=2,INDEX(VN_국채일별!$B$4:$B$1436,MATCH($B387,VN_국채일별!$A$4:$A$1436,1))+(INDEX(VN_국채일별!$C$4:$C$1436,MATCH($B387,VN_국채일별!$A$4:$A$1436,1))-INDEX(VN_국채일별!$B$4:$B$1436,MATCH($B387,VN_국채일별!$A$4:$A$1436,1)))*($J387-1),IF($J387&lt;=3,INDEX(VN_국채일별!$C$4:$C$1436,MATCH($B387,VN_국채일별!$A$4:$A$1436,1))+(INDEX(VN_국채일별!$D$4:$D$1436,MATCH($B387,VN_국채일별!$A$4:$A$1436,1))-INDEX(VN_국채일별!$C$4:$C$1436,MATCH($B387,VN_국채일별!$A$4:$A$1436,1)))*($J387-2),IF($J387&lt;=5,INDEX(VN_국채일별!$D$4:$D$1436,MATCH($B387,VN_국채일별!$A$4:$A$1436,1))+(INDEX(VN_국채일별!$E$4:$E$1436,MATCH($B387,VN_국채일별!$A$4:$A$1436,1))-INDEX(VN_국채일별!$D$4:$D$1436,MATCH($B387,VN_국채일별!$A$4:$A$1436,1)))*($J387-3)/2,IF($J387&lt;=7,INDEX(VN_국채일별!$E$4:$E$1436,MATCH($B387,VN_국채일별!$A$4:$A$1436,1))+(INDEX(VN_국채일별!$F$4:$F$1436,MATCH($B387,VN_국채일별!$A$4:$A$1436,1))-INDEX(VN_국채일별!$E$4:$E$1436,MATCH($B387,VN_국채일별!$A$4:$A$1436,1)))*($J387-5)/2,IF($J387&lt;=10,INDEX(VN_국채일별!$F$4:$F$1436,MATCH($B387,VN_국채일별!$A$4:$A$1436,1))+(INDEX(VN_국채일별!$G$4:$G$1436,MATCH($B387,VN_국채일별!$A$4:$A$1436,1))-INDEX(VN_국채일별!$F$4:$F$1436,MATCH($B387,VN_국채일별!$A$4:$A$1436,1)))*($J387-7)/3,INDEX(VN_국채일별!$G$4:$G$1436,MATCH($B387,VN_국채일별!$A$4:$A$1436,1)))))))),""))</f>
        <v>0.01972</v>
      </c>
      <c r="R387" s="58" t="n">
        <f aca="false">IF(OR(L387="",Q387=""),"",(L387-Q387)*10000)</f>
        <v>352.8</v>
      </c>
      <c r="S387" s="30" t="n">
        <f aca="false">IF(AND(K387="고정",N387="N",J387&gt;=2,J387&lt;=4,I387&lt;&gt;""),1,0)</f>
        <v>1</v>
      </c>
      <c r="T387" s="59" t="n">
        <f aca="false">IF(S387=1,I387*L387,0)</f>
        <v>55</v>
      </c>
      <c r="U387" s="60" t="n">
        <f aca="false">IF(AND(S387=1,ISNUMBER(R387)),I387*R387,0)</f>
        <v>352800</v>
      </c>
      <c r="V387" s="30" t="n">
        <f aca="false">IF(AND(F387="Big4(국영)",K387="고정",N387="N",I387&lt;&gt;""),1,0)</f>
        <v>0</v>
      </c>
      <c r="W387" s="59" t="n">
        <f aca="false">IF(V387=1,I387*L387,0)</f>
        <v>0</v>
      </c>
      <c r="X387" s="60" t="n">
        <f aca="false">IF(AND(V387=1,ISNUMBER(R387)),I387*R387,0)</f>
        <v>0</v>
      </c>
      <c r="Y387" s="61" t="n">
        <f aca="false">IF(AND(S387=1,ISNUMBER(R387)),I387,0)</f>
        <v>1000</v>
      </c>
      <c r="Z387" s="61" t="n">
        <f aca="false">IF(AND(V387=1,ISNUMBER(R387)),I387,0)</f>
        <v>0</v>
      </c>
    </row>
    <row r="388" customFormat="false" ht="15" hidden="false" customHeight="false" outlineLevel="0" collapsed="false">
      <c r="A388" s="47" t="s">
        <v>763</v>
      </c>
      <c r="B388" s="52" t="n">
        <v>45638</v>
      </c>
      <c r="C388" s="53" t="n">
        <f aca="false">DATE(YEAR(B388),MONTH(B388),1)</f>
        <v>45627</v>
      </c>
      <c r="D388" s="5" t="str">
        <f aca="false">YEAR(B388)&amp;"Q"&amp;ROUNDUP(MONTH(B388)/3,0)</f>
        <v>2024Q4</v>
      </c>
      <c r="E388" s="47" t="s">
        <v>365</v>
      </c>
      <c r="F388" s="54" t="s">
        <v>139</v>
      </c>
      <c r="G388" s="47" t="s">
        <v>366</v>
      </c>
      <c r="H388" s="47" t="s">
        <v>775</v>
      </c>
      <c r="I388" s="55" t="n">
        <v>50</v>
      </c>
      <c r="J388" s="56" t="n">
        <v>10</v>
      </c>
      <c r="K388" s="54" t="s">
        <v>153</v>
      </c>
      <c r="N388" s="47" t="s">
        <v>143</v>
      </c>
      <c r="O388" s="47" t="s">
        <v>776</v>
      </c>
      <c r="P388" s="47"/>
      <c r="Q388" s="48" t="n">
        <f aca="false">IF($J388="","",IFERROR(IF($J388&lt;=1,INDEX(VN_국채일별!$B$4:$B$1436,MATCH($B388,VN_국채일별!$A$4:$A$1436,1)),IF($J388&lt;=2,INDEX(VN_국채일별!$B$4:$B$1436,MATCH($B388,VN_국채일별!$A$4:$A$1436,1))+(INDEX(VN_국채일별!$C$4:$C$1436,MATCH($B388,VN_국채일별!$A$4:$A$1436,1))-INDEX(VN_국채일별!$B$4:$B$1436,MATCH($B388,VN_국채일별!$A$4:$A$1436,1)))*($J388-1),IF($J388&lt;=3,INDEX(VN_국채일별!$C$4:$C$1436,MATCH($B388,VN_국채일별!$A$4:$A$1436,1))+(INDEX(VN_국채일별!$D$4:$D$1436,MATCH($B388,VN_국채일별!$A$4:$A$1436,1))-INDEX(VN_국채일별!$C$4:$C$1436,MATCH($B388,VN_국채일별!$A$4:$A$1436,1)))*($J388-2),IF($J388&lt;=5,INDEX(VN_국채일별!$D$4:$D$1436,MATCH($B388,VN_국채일별!$A$4:$A$1436,1))+(INDEX(VN_국채일별!$E$4:$E$1436,MATCH($B388,VN_국채일별!$A$4:$A$1436,1))-INDEX(VN_국채일별!$D$4:$D$1436,MATCH($B388,VN_국채일별!$A$4:$A$1436,1)))*($J388-3)/2,IF($J388&lt;=7,INDEX(VN_국채일별!$E$4:$E$1436,MATCH($B388,VN_국채일별!$A$4:$A$1436,1))+(INDEX(VN_국채일별!$F$4:$F$1436,MATCH($B388,VN_국채일별!$A$4:$A$1436,1))-INDEX(VN_국채일별!$E$4:$E$1436,MATCH($B388,VN_국채일별!$A$4:$A$1436,1)))*($J388-5)/2,IF($J388&lt;=10,INDEX(VN_국채일별!$F$4:$F$1436,MATCH($B388,VN_국채일별!$A$4:$A$1436,1))+(INDEX(VN_국채일별!$G$4:$G$1436,MATCH($B388,VN_국채일별!$A$4:$A$1436,1))-INDEX(VN_국채일별!$F$4:$F$1436,MATCH($B388,VN_국채일별!$A$4:$A$1436,1)))*($J388-7)/3,INDEX(VN_국채일별!$G$4:$G$1436,MATCH($B388,VN_국채일별!$A$4:$A$1436,1)))))))),""))</f>
        <v>0.02903</v>
      </c>
      <c r="R388" s="58" t="str">
        <f aca="false">IF(OR(L388="",Q388=""),"",(L388-Q388)*10000)</f>
        <v/>
      </c>
      <c r="S388" s="30" t="n">
        <f aca="false">IF(AND(K388="고정",N388="N",J388&gt;=2,J388&lt;=4,I388&lt;&gt;""),1,0)</f>
        <v>0</v>
      </c>
      <c r="T388" s="59" t="n">
        <f aca="false">IF(S388=1,I388*L388,0)</f>
        <v>0</v>
      </c>
      <c r="U388" s="60" t="n">
        <f aca="false">IF(AND(S388=1,ISNUMBER(R388)),I388*R388,0)</f>
        <v>0</v>
      </c>
      <c r="V388" s="30" t="n">
        <f aca="false">IF(AND(F388="Big4(국영)",K388="고정",N388="N",I388&lt;&gt;""),1,0)</f>
        <v>0</v>
      </c>
      <c r="W388" s="59" t="n">
        <f aca="false">IF(V388=1,I388*L388,0)</f>
        <v>0</v>
      </c>
      <c r="X388" s="60" t="n">
        <f aca="false">IF(AND(V388=1,ISNUMBER(R388)),I388*R388,0)</f>
        <v>0</v>
      </c>
      <c r="Y388" s="61" t="n">
        <f aca="false">IF(AND(S388=1,ISNUMBER(R388)),I388,0)</f>
        <v>0</v>
      </c>
      <c r="Z388" s="61" t="n">
        <f aca="false">IF(AND(V388=1,ISNUMBER(R388)),I388,0)</f>
        <v>0</v>
      </c>
    </row>
    <row r="389" customFormat="false" ht="15" hidden="false" customHeight="false" outlineLevel="0" collapsed="false">
      <c r="A389" s="47" t="s">
        <v>763</v>
      </c>
      <c r="B389" s="52" t="n">
        <v>45638</v>
      </c>
      <c r="C389" s="53" t="n">
        <f aca="false">DATE(YEAR(B389),MONTH(B389),1)</f>
        <v>45627</v>
      </c>
      <c r="D389" s="5" t="str">
        <f aca="false">YEAR(B389)&amp;"Q"&amp;ROUNDUP(MONTH(B389)/3,0)</f>
        <v>2024Q4</v>
      </c>
      <c r="E389" s="47" t="s">
        <v>181</v>
      </c>
      <c r="F389" s="54" t="s">
        <v>139</v>
      </c>
      <c r="G389" s="47" t="s">
        <v>182</v>
      </c>
      <c r="H389" s="47" t="s">
        <v>777</v>
      </c>
      <c r="I389" s="55" t="n">
        <v>2000</v>
      </c>
      <c r="J389" s="56" t="n">
        <v>3</v>
      </c>
      <c r="K389" s="54" t="s">
        <v>142</v>
      </c>
      <c r="L389" s="57" t="n">
        <v>0.056</v>
      </c>
      <c r="N389" s="47" t="s">
        <v>148</v>
      </c>
      <c r="O389" s="47" t="s">
        <v>660</v>
      </c>
      <c r="P389" s="47"/>
      <c r="Q389" s="48" t="n">
        <f aca="false">IF($J389="","",IFERROR(IF($J389&lt;=1,INDEX(VN_국채일별!$B$4:$B$1436,MATCH($B389,VN_국채일별!$A$4:$A$1436,1)),IF($J389&lt;=2,INDEX(VN_국채일별!$B$4:$B$1436,MATCH($B389,VN_국채일별!$A$4:$A$1436,1))+(INDEX(VN_국채일별!$C$4:$C$1436,MATCH($B389,VN_국채일별!$A$4:$A$1436,1))-INDEX(VN_국채일별!$B$4:$B$1436,MATCH($B389,VN_국채일별!$A$4:$A$1436,1)))*($J389-1),IF($J389&lt;=3,INDEX(VN_국채일별!$C$4:$C$1436,MATCH($B389,VN_국채일별!$A$4:$A$1436,1))+(INDEX(VN_국채일별!$D$4:$D$1436,MATCH($B389,VN_국채일별!$A$4:$A$1436,1))-INDEX(VN_국채일별!$C$4:$C$1436,MATCH($B389,VN_국채일별!$A$4:$A$1436,1)))*($J389-2),IF($J389&lt;=5,INDEX(VN_국채일별!$D$4:$D$1436,MATCH($B389,VN_국채일별!$A$4:$A$1436,1))+(INDEX(VN_국채일별!$E$4:$E$1436,MATCH($B389,VN_국채일별!$A$4:$A$1436,1))-INDEX(VN_국채일별!$D$4:$D$1436,MATCH($B389,VN_국채일별!$A$4:$A$1436,1)))*($J389-3)/2,IF($J389&lt;=7,INDEX(VN_국채일별!$E$4:$E$1436,MATCH($B389,VN_국채일별!$A$4:$A$1436,1))+(INDEX(VN_국채일별!$F$4:$F$1436,MATCH($B389,VN_국채일별!$A$4:$A$1436,1))-INDEX(VN_국채일별!$E$4:$E$1436,MATCH($B389,VN_국채일별!$A$4:$A$1436,1)))*($J389-5)/2,IF($J389&lt;=10,INDEX(VN_국채일별!$F$4:$F$1436,MATCH($B389,VN_국채일별!$A$4:$A$1436,1))+(INDEX(VN_국채일별!$G$4:$G$1436,MATCH($B389,VN_국채일별!$A$4:$A$1436,1))-INDEX(VN_국채일별!$F$4:$F$1436,MATCH($B389,VN_국채일별!$A$4:$A$1436,1)))*($J389-7)/3,INDEX(VN_국채일별!$G$4:$G$1436,MATCH($B389,VN_국채일별!$A$4:$A$1436,1)))))))),""))</f>
        <v>0.01981</v>
      </c>
      <c r="R389" s="58" t="n">
        <f aca="false">IF(OR(L389="",Q389=""),"",(L389-Q389)*10000)</f>
        <v>361.9</v>
      </c>
      <c r="S389" s="30" t="n">
        <f aca="false">IF(AND(K389="고정",N389="N",J389&gt;=2,J389&lt;=4,I389&lt;&gt;""),1,0)</f>
        <v>1</v>
      </c>
      <c r="T389" s="59" t="n">
        <f aca="false">IF(S389=1,I389*L389,0)</f>
        <v>112</v>
      </c>
      <c r="U389" s="60" t="n">
        <f aca="false">IF(AND(S389=1,ISNUMBER(R389)),I389*R389,0)</f>
        <v>723800</v>
      </c>
      <c r="V389" s="30" t="n">
        <f aca="false">IF(AND(F389="Big4(국영)",K389="고정",N389="N",I389&lt;&gt;""),1,0)</f>
        <v>0</v>
      </c>
      <c r="W389" s="59" t="n">
        <f aca="false">IF(V389=1,I389*L389,0)</f>
        <v>0</v>
      </c>
      <c r="X389" s="60" t="n">
        <f aca="false">IF(AND(V389=1,ISNUMBER(R389)),I389*R389,0)</f>
        <v>0</v>
      </c>
      <c r="Y389" s="61" t="n">
        <f aca="false">IF(AND(S389=1,ISNUMBER(R389)),I389,0)</f>
        <v>2000</v>
      </c>
      <c r="Z389" s="61" t="n">
        <f aca="false">IF(AND(V389=1,ISNUMBER(R389)),I389,0)</f>
        <v>0</v>
      </c>
    </row>
    <row r="390" customFormat="false" ht="15" hidden="false" customHeight="false" outlineLevel="0" collapsed="false">
      <c r="A390" s="47" t="s">
        <v>763</v>
      </c>
      <c r="B390" s="52" t="n">
        <v>45639</v>
      </c>
      <c r="C390" s="53" t="n">
        <f aca="false">DATE(YEAR(B390),MONTH(B390),1)</f>
        <v>45627</v>
      </c>
      <c r="D390" s="5" t="str">
        <f aca="false">YEAR(B390)&amp;"Q"&amp;ROUNDUP(MONTH(B390)/3,0)</f>
        <v>2024Q4</v>
      </c>
      <c r="E390" s="47" t="s">
        <v>150</v>
      </c>
      <c r="F390" s="54" t="s">
        <v>139</v>
      </c>
      <c r="G390" s="47" t="s">
        <v>170</v>
      </c>
      <c r="H390" s="47" t="s">
        <v>778</v>
      </c>
      <c r="I390" s="55" t="n">
        <v>2000</v>
      </c>
      <c r="J390" s="56" t="n">
        <v>3</v>
      </c>
      <c r="K390" s="54" t="s">
        <v>142</v>
      </c>
      <c r="L390" s="57" t="n">
        <v>0.053</v>
      </c>
      <c r="N390" s="47" t="s">
        <v>148</v>
      </c>
      <c r="O390" s="47" t="s">
        <v>582</v>
      </c>
      <c r="P390" s="47"/>
      <c r="Q390" s="48" t="n">
        <f aca="false">IF($J390="","",IFERROR(IF($J390&lt;=1,INDEX(VN_국채일별!$B$4:$B$1436,MATCH($B390,VN_국채일별!$A$4:$A$1436,1)),IF($J390&lt;=2,INDEX(VN_국채일별!$B$4:$B$1436,MATCH($B390,VN_국채일별!$A$4:$A$1436,1))+(INDEX(VN_국채일별!$C$4:$C$1436,MATCH($B390,VN_국채일별!$A$4:$A$1436,1))-INDEX(VN_국채일별!$B$4:$B$1436,MATCH($B390,VN_국채일별!$A$4:$A$1436,1)))*($J390-1),IF($J390&lt;=3,INDEX(VN_국채일별!$C$4:$C$1436,MATCH($B390,VN_국채일별!$A$4:$A$1436,1))+(INDEX(VN_국채일별!$D$4:$D$1436,MATCH($B390,VN_국채일별!$A$4:$A$1436,1))-INDEX(VN_국채일별!$C$4:$C$1436,MATCH($B390,VN_국채일별!$A$4:$A$1436,1)))*($J390-2),IF($J390&lt;=5,INDEX(VN_국채일별!$D$4:$D$1436,MATCH($B390,VN_국채일별!$A$4:$A$1436,1))+(INDEX(VN_국채일별!$E$4:$E$1436,MATCH($B390,VN_국채일별!$A$4:$A$1436,1))-INDEX(VN_국채일별!$D$4:$D$1436,MATCH($B390,VN_국채일별!$A$4:$A$1436,1)))*($J390-3)/2,IF($J390&lt;=7,INDEX(VN_국채일별!$E$4:$E$1436,MATCH($B390,VN_국채일별!$A$4:$A$1436,1))+(INDEX(VN_국채일별!$F$4:$F$1436,MATCH($B390,VN_국채일별!$A$4:$A$1436,1))-INDEX(VN_국채일별!$E$4:$E$1436,MATCH($B390,VN_국채일별!$A$4:$A$1436,1)))*($J390-5)/2,IF($J390&lt;=10,INDEX(VN_국채일별!$F$4:$F$1436,MATCH($B390,VN_국채일별!$A$4:$A$1436,1))+(INDEX(VN_국채일별!$G$4:$G$1436,MATCH($B390,VN_국채일별!$A$4:$A$1436,1))-INDEX(VN_국채일별!$F$4:$F$1436,MATCH($B390,VN_국채일별!$A$4:$A$1436,1)))*($J390-7)/3,INDEX(VN_국채일별!$G$4:$G$1436,MATCH($B390,VN_국채일별!$A$4:$A$1436,1)))))))),""))</f>
        <v>0.01997</v>
      </c>
      <c r="R390" s="58" t="n">
        <f aca="false">IF(OR(L390="",Q390=""),"",(L390-Q390)*10000)</f>
        <v>330.3</v>
      </c>
      <c r="S390" s="30" t="n">
        <f aca="false">IF(AND(K390="고정",N390="N",J390&gt;=2,J390&lt;=4,I390&lt;&gt;""),1,0)</f>
        <v>1</v>
      </c>
      <c r="T390" s="59" t="n">
        <f aca="false">IF(S390=1,I390*L390,0)</f>
        <v>106</v>
      </c>
      <c r="U390" s="60" t="n">
        <f aca="false">IF(AND(S390=1,ISNUMBER(R390)),I390*R390,0)</f>
        <v>660600</v>
      </c>
      <c r="V390" s="30" t="n">
        <f aca="false">IF(AND(F390="Big4(국영)",K390="고정",N390="N",I390&lt;&gt;""),1,0)</f>
        <v>0</v>
      </c>
      <c r="W390" s="59" t="n">
        <f aca="false">IF(V390=1,I390*L390,0)</f>
        <v>0</v>
      </c>
      <c r="X390" s="60" t="n">
        <f aca="false">IF(AND(V390=1,ISNUMBER(R390)),I390*R390,0)</f>
        <v>0</v>
      </c>
      <c r="Y390" s="61" t="n">
        <f aca="false">IF(AND(S390=1,ISNUMBER(R390)),I390,0)</f>
        <v>2000</v>
      </c>
      <c r="Z390" s="61" t="n">
        <f aca="false">IF(AND(V390=1,ISNUMBER(R390)),I390,0)</f>
        <v>0</v>
      </c>
    </row>
    <row r="391" customFormat="false" ht="15" hidden="false" customHeight="false" outlineLevel="0" collapsed="false">
      <c r="A391" s="47" t="s">
        <v>763</v>
      </c>
      <c r="B391" s="52" t="n">
        <v>45642</v>
      </c>
      <c r="C391" s="53" t="n">
        <f aca="false">DATE(YEAR(B391),MONTH(B391),1)</f>
        <v>45627</v>
      </c>
      <c r="D391" s="5" t="str">
        <f aca="false">YEAR(B391)&amp;"Q"&amp;ROUNDUP(MONTH(B391)/3,0)</f>
        <v>2024Q4</v>
      </c>
      <c r="E391" s="47" t="s">
        <v>166</v>
      </c>
      <c r="F391" s="54" t="s">
        <v>139</v>
      </c>
      <c r="G391" s="47" t="s">
        <v>167</v>
      </c>
      <c r="H391" s="47" t="s">
        <v>779</v>
      </c>
      <c r="I391" s="55" t="n">
        <v>1600</v>
      </c>
      <c r="J391" s="56" t="n">
        <v>2</v>
      </c>
      <c r="K391" s="54" t="s">
        <v>153</v>
      </c>
      <c r="N391" s="47" t="s">
        <v>148</v>
      </c>
      <c r="O391" s="47" t="s">
        <v>780</v>
      </c>
      <c r="P391" s="47"/>
      <c r="Q391" s="48" t="n">
        <f aca="false">IF($J391="","",IFERROR(IF($J391&lt;=1,INDEX(VN_국채일별!$B$4:$B$1436,MATCH($B391,VN_국채일별!$A$4:$A$1436,1)),IF($J391&lt;=2,INDEX(VN_국채일별!$B$4:$B$1436,MATCH($B391,VN_국채일별!$A$4:$A$1436,1))+(INDEX(VN_국채일별!$C$4:$C$1436,MATCH($B391,VN_국채일별!$A$4:$A$1436,1))-INDEX(VN_국채일별!$B$4:$B$1436,MATCH($B391,VN_국채일별!$A$4:$A$1436,1)))*($J391-1),IF($J391&lt;=3,INDEX(VN_국채일별!$C$4:$C$1436,MATCH($B391,VN_국채일별!$A$4:$A$1436,1))+(INDEX(VN_국채일별!$D$4:$D$1436,MATCH($B391,VN_국채일별!$A$4:$A$1436,1))-INDEX(VN_국채일별!$C$4:$C$1436,MATCH($B391,VN_국채일별!$A$4:$A$1436,1)))*($J391-2),IF($J391&lt;=5,INDEX(VN_국채일별!$D$4:$D$1436,MATCH($B391,VN_국채일별!$A$4:$A$1436,1))+(INDEX(VN_국채일별!$E$4:$E$1436,MATCH($B391,VN_국채일별!$A$4:$A$1436,1))-INDEX(VN_국채일별!$D$4:$D$1436,MATCH($B391,VN_국채일별!$A$4:$A$1436,1)))*($J391-3)/2,IF($J391&lt;=7,INDEX(VN_국채일별!$E$4:$E$1436,MATCH($B391,VN_국채일별!$A$4:$A$1436,1))+(INDEX(VN_국채일별!$F$4:$F$1436,MATCH($B391,VN_국채일별!$A$4:$A$1436,1))-INDEX(VN_국채일별!$E$4:$E$1436,MATCH($B391,VN_국채일별!$A$4:$A$1436,1)))*($J391-5)/2,IF($J391&lt;=10,INDEX(VN_국채일별!$F$4:$F$1436,MATCH($B391,VN_국채일별!$A$4:$A$1436,1))+(INDEX(VN_국채일별!$G$4:$G$1436,MATCH($B391,VN_국채일별!$A$4:$A$1436,1))-INDEX(VN_국채일별!$F$4:$F$1436,MATCH($B391,VN_국채일별!$A$4:$A$1436,1)))*($J391-7)/3,INDEX(VN_국채일별!$G$4:$G$1436,MATCH($B391,VN_국채일별!$A$4:$A$1436,1)))))))),""))</f>
        <v>0.01978</v>
      </c>
      <c r="R391" s="58" t="str">
        <f aca="false">IF(OR(L391="",Q391=""),"",(L391-Q391)*10000)</f>
        <v/>
      </c>
      <c r="S391" s="30" t="n">
        <f aca="false">IF(AND(K391="고정",N391="N",J391&gt;=2,J391&lt;=4,I391&lt;&gt;""),1,0)</f>
        <v>0</v>
      </c>
      <c r="T391" s="59" t="n">
        <f aca="false">IF(S391=1,I391*L391,0)</f>
        <v>0</v>
      </c>
      <c r="U391" s="60" t="n">
        <f aca="false">IF(AND(S391=1,ISNUMBER(R391)),I391*R391,0)</f>
        <v>0</v>
      </c>
      <c r="V391" s="30" t="n">
        <f aca="false">IF(AND(F391="Big4(국영)",K391="고정",N391="N",I391&lt;&gt;""),1,0)</f>
        <v>0</v>
      </c>
      <c r="W391" s="59" t="n">
        <f aca="false">IF(V391=1,I391*L391,0)</f>
        <v>0</v>
      </c>
      <c r="X391" s="60" t="n">
        <f aca="false">IF(AND(V391=1,ISNUMBER(R391)),I391*R391,0)</f>
        <v>0</v>
      </c>
      <c r="Y391" s="61" t="n">
        <f aca="false">IF(AND(S391=1,ISNUMBER(R391)),I391,0)</f>
        <v>0</v>
      </c>
      <c r="Z391" s="61" t="n">
        <f aca="false">IF(AND(V391=1,ISNUMBER(R391)),I391,0)</f>
        <v>0</v>
      </c>
    </row>
    <row r="392" customFormat="false" ht="15" hidden="false" customHeight="false" outlineLevel="0" collapsed="false">
      <c r="A392" s="47" t="s">
        <v>763</v>
      </c>
      <c r="B392" s="52" t="n">
        <v>45643</v>
      </c>
      <c r="C392" s="53" t="n">
        <f aca="false">DATE(YEAR(B392),MONTH(B392),1)</f>
        <v>45627</v>
      </c>
      <c r="D392" s="5" t="str">
        <f aca="false">YEAR(B392)&amp;"Q"&amp;ROUNDUP(MONTH(B392)/3,0)</f>
        <v>2024Q4</v>
      </c>
      <c r="E392" s="47" t="s">
        <v>365</v>
      </c>
      <c r="F392" s="54" t="s">
        <v>139</v>
      </c>
      <c r="G392" s="47" t="s">
        <v>366</v>
      </c>
      <c r="H392" s="47" t="s">
        <v>781</v>
      </c>
      <c r="I392" s="55" t="n">
        <v>87.8</v>
      </c>
      <c r="J392" s="56" t="n">
        <v>10</v>
      </c>
      <c r="K392" s="54" t="s">
        <v>153</v>
      </c>
      <c r="N392" s="47" t="s">
        <v>143</v>
      </c>
      <c r="O392" s="47" t="s">
        <v>782</v>
      </c>
      <c r="P392" s="47"/>
      <c r="Q392" s="48" t="n">
        <f aca="false">IF($J392="","",IFERROR(IF($J392&lt;=1,INDEX(VN_국채일별!$B$4:$B$1436,MATCH($B392,VN_국채일별!$A$4:$A$1436,1)),IF($J392&lt;=2,INDEX(VN_국채일별!$B$4:$B$1436,MATCH($B392,VN_국채일별!$A$4:$A$1436,1))+(INDEX(VN_국채일별!$C$4:$C$1436,MATCH($B392,VN_국채일별!$A$4:$A$1436,1))-INDEX(VN_국채일별!$B$4:$B$1436,MATCH($B392,VN_국채일별!$A$4:$A$1436,1)))*($J392-1),IF($J392&lt;=3,INDEX(VN_국채일별!$C$4:$C$1436,MATCH($B392,VN_국채일별!$A$4:$A$1436,1))+(INDEX(VN_국채일별!$D$4:$D$1436,MATCH($B392,VN_국채일별!$A$4:$A$1436,1))-INDEX(VN_국채일별!$C$4:$C$1436,MATCH($B392,VN_국채일별!$A$4:$A$1436,1)))*($J392-2),IF($J392&lt;=5,INDEX(VN_국채일별!$D$4:$D$1436,MATCH($B392,VN_국채일별!$A$4:$A$1436,1))+(INDEX(VN_국채일별!$E$4:$E$1436,MATCH($B392,VN_국채일별!$A$4:$A$1436,1))-INDEX(VN_국채일별!$D$4:$D$1436,MATCH($B392,VN_국채일별!$A$4:$A$1436,1)))*($J392-3)/2,IF($J392&lt;=7,INDEX(VN_국채일별!$E$4:$E$1436,MATCH($B392,VN_국채일별!$A$4:$A$1436,1))+(INDEX(VN_국채일별!$F$4:$F$1436,MATCH($B392,VN_국채일별!$A$4:$A$1436,1))-INDEX(VN_국채일별!$E$4:$E$1436,MATCH($B392,VN_국채일별!$A$4:$A$1436,1)))*($J392-5)/2,IF($J392&lt;=10,INDEX(VN_국채일별!$F$4:$F$1436,MATCH($B392,VN_국채일별!$A$4:$A$1436,1))+(INDEX(VN_국채일별!$G$4:$G$1436,MATCH($B392,VN_국채일별!$A$4:$A$1436,1))-INDEX(VN_국채일별!$F$4:$F$1436,MATCH($B392,VN_국채일별!$A$4:$A$1436,1)))*($J392-7)/3,INDEX(VN_국채일별!$G$4:$G$1436,MATCH($B392,VN_국채일별!$A$4:$A$1436,1)))))))),""))</f>
        <v>0.02935</v>
      </c>
      <c r="R392" s="58" t="str">
        <f aca="false">IF(OR(L392="",Q392=""),"",(L392-Q392)*10000)</f>
        <v/>
      </c>
      <c r="S392" s="30" t="n">
        <f aca="false">IF(AND(K392="고정",N392="N",J392&gt;=2,J392&lt;=4,I392&lt;&gt;""),1,0)</f>
        <v>0</v>
      </c>
      <c r="T392" s="59" t="n">
        <f aca="false">IF(S392=1,I392*L392,0)</f>
        <v>0</v>
      </c>
      <c r="U392" s="60" t="n">
        <f aca="false">IF(AND(S392=1,ISNUMBER(R392)),I392*R392,0)</f>
        <v>0</v>
      </c>
      <c r="V392" s="30" t="n">
        <f aca="false">IF(AND(F392="Big4(국영)",K392="고정",N392="N",I392&lt;&gt;""),1,0)</f>
        <v>0</v>
      </c>
      <c r="W392" s="59" t="n">
        <f aca="false">IF(V392=1,I392*L392,0)</f>
        <v>0</v>
      </c>
      <c r="X392" s="60" t="n">
        <f aca="false">IF(AND(V392=1,ISNUMBER(R392)),I392*R392,0)</f>
        <v>0</v>
      </c>
      <c r="Y392" s="61" t="n">
        <f aca="false">IF(AND(S392=1,ISNUMBER(R392)),I392,0)</f>
        <v>0</v>
      </c>
      <c r="Z392" s="61" t="n">
        <f aca="false">IF(AND(V392=1,ISNUMBER(R392)),I392,0)</f>
        <v>0</v>
      </c>
    </row>
    <row r="393" customFormat="false" ht="15" hidden="false" customHeight="false" outlineLevel="0" collapsed="false">
      <c r="A393" s="47" t="s">
        <v>763</v>
      </c>
      <c r="B393" s="52" t="n">
        <v>45643</v>
      </c>
      <c r="C393" s="53" t="n">
        <f aca="false">DATE(YEAR(B393),MONTH(B393),1)</f>
        <v>45627</v>
      </c>
      <c r="D393" s="5" t="str">
        <f aca="false">YEAR(B393)&amp;"Q"&amp;ROUNDUP(MONTH(B393)/3,0)</f>
        <v>2024Q4</v>
      </c>
      <c r="E393" s="47" t="s">
        <v>160</v>
      </c>
      <c r="F393" s="54" t="s">
        <v>139</v>
      </c>
      <c r="G393" s="47" t="s">
        <v>161</v>
      </c>
      <c r="H393" s="47" t="s">
        <v>783</v>
      </c>
      <c r="I393" s="55" t="n">
        <v>1000</v>
      </c>
      <c r="J393" s="56" t="n">
        <v>8</v>
      </c>
      <c r="K393" s="54" t="s">
        <v>142</v>
      </c>
      <c r="L393" s="57" t="n">
        <v>0.064</v>
      </c>
      <c r="N393" s="47" t="s">
        <v>143</v>
      </c>
      <c r="O393" s="47" t="s">
        <v>424</v>
      </c>
      <c r="P393" s="47"/>
      <c r="Q393" s="48" t="n">
        <f aca="false">IF($J393="","",IFERROR(IF($J393&lt;=1,INDEX(VN_국채일별!$B$4:$B$1436,MATCH($B393,VN_국채일별!$A$4:$A$1436,1)),IF($J393&lt;=2,INDEX(VN_국채일별!$B$4:$B$1436,MATCH($B393,VN_국채일별!$A$4:$A$1436,1))+(INDEX(VN_국채일별!$C$4:$C$1436,MATCH($B393,VN_국채일별!$A$4:$A$1436,1))-INDEX(VN_국채일별!$B$4:$B$1436,MATCH($B393,VN_국채일별!$A$4:$A$1436,1)))*($J393-1),IF($J393&lt;=3,INDEX(VN_국채일별!$C$4:$C$1436,MATCH($B393,VN_국채일별!$A$4:$A$1436,1))+(INDEX(VN_국채일별!$D$4:$D$1436,MATCH($B393,VN_국채일별!$A$4:$A$1436,1))-INDEX(VN_국채일별!$C$4:$C$1436,MATCH($B393,VN_국채일별!$A$4:$A$1436,1)))*($J393-2),IF($J393&lt;=5,INDEX(VN_국채일별!$D$4:$D$1436,MATCH($B393,VN_국채일별!$A$4:$A$1436,1))+(INDEX(VN_국채일별!$E$4:$E$1436,MATCH($B393,VN_국채일별!$A$4:$A$1436,1))-INDEX(VN_국채일별!$D$4:$D$1436,MATCH($B393,VN_국채일별!$A$4:$A$1436,1)))*($J393-3)/2,IF($J393&lt;=7,INDEX(VN_국채일별!$E$4:$E$1436,MATCH($B393,VN_국채일별!$A$4:$A$1436,1))+(INDEX(VN_국채일별!$F$4:$F$1436,MATCH($B393,VN_국채일별!$A$4:$A$1436,1))-INDEX(VN_국채일별!$E$4:$E$1436,MATCH($B393,VN_국채일별!$A$4:$A$1436,1)))*($J393-5)/2,IF($J393&lt;=10,INDEX(VN_국채일별!$F$4:$F$1436,MATCH($B393,VN_국채일별!$A$4:$A$1436,1))+(INDEX(VN_국채일별!$G$4:$G$1436,MATCH($B393,VN_국채일별!$A$4:$A$1436,1))-INDEX(VN_국채일별!$F$4:$F$1436,MATCH($B393,VN_국채일별!$A$4:$A$1436,1)))*($J393-7)/3,INDEX(VN_국채일별!$G$4:$G$1436,MATCH($B393,VN_국채일별!$A$4:$A$1436,1)))))))),""))</f>
        <v>0.02617</v>
      </c>
      <c r="R393" s="58" t="n">
        <f aca="false">IF(OR(L393="",Q393=""),"",(L393-Q393)*10000)</f>
        <v>378.3</v>
      </c>
      <c r="S393" s="30" t="n">
        <f aca="false">IF(AND(K393="고정",N393="N",J393&gt;=2,J393&lt;=4,I393&lt;&gt;""),1,0)</f>
        <v>0</v>
      </c>
      <c r="T393" s="59" t="n">
        <f aca="false">IF(S393=1,I393*L393,0)</f>
        <v>0</v>
      </c>
      <c r="U393" s="60" t="n">
        <f aca="false">IF(AND(S393=1,ISNUMBER(R393)),I393*R393,0)</f>
        <v>0</v>
      </c>
      <c r="V393" s="30" t="n">
        <f aca="false">IF(AND(F393="Big4(국영)",K393="고정",N393="N",I393&lt;&gt;""),1,0)</f>
        <v>0</v>
      </c>
      <c r="W393" s="59" t="n">
        <f aca="false">IF(V393=1,I393*L393,0)</f>
        <v>0</v>
      </c>
      <c r="X393" s="60" t="n">
        <f aca="false">IF(AND(V393=1,ISNUMBER(R393)),I393*R393,0)</f>
        <v>0</v>
      </c>
      <c r="Y393" s="61" t="n">
        <f aca="false">IF(AND(S393=1,ISNUMBER(R393)),I393,0)</f>
        <v>0</v>
      </c>
      <c r="Z393" s="61" t="n">
        <f aca="false">IF(AND(V393=1,ISNUMBER(R393)),I393,0)</f>
        <v>0</v>
      </c>
    </row>
    <row r="394" customFormat="false" ht="15" hidden="false" customHeight="false" outlineLevel="0" collapsed="false">
      <c r="A394" s="47" t="s">
        <v>763</v>
      </c>
      <c r="B394" s="52" t="n">
        <v>45644</v>
      </c>
      <c r="C394" s="53" t="n">
        <f aca="false">DATE(YEAR(B394),MONTH(B394),1)</f>
        <v>45627</v>
      </c>
      <c r="D394" s="5" t="str">
        <f aca="false">YEAR(B394)&amp;"Q"&amp;ROUNDUP(MONTH(B394)/3,0)</f>
        <v>2024Q4</v>
      </c>
      <c r="E394" s="47" t="s">
        <v>254</v>
      </c>
      <c r="F394" s="54" t="s">
        <v>139</v>
      </c>
      <c r="G394" s="47" t="s">
        <v>339</v>
      </c>
      <c r="H394" s="47" t="s">
        <v>784</v>
      </c>
      <c r="I394" s="55" t="n">
        <v>250</v>
      </c>
      <c r="J394" s="56" t="n">
        <v>5</v>
      </c>
      <c r="K394" s="54" t="s">
        <v>142</v>
      </c>
      <c r="L394" s="57" t="n">
        <v>0.061</v>
      </c>
      <c r="N394" s="47" t="s">
        <v>148</v>
      </c>
      <c r="O394" s="47" t="s">
        <v>467</v>
      </c>
      <c r="P394" s="47"/>
      <c r="Q394" s="48" t="n">
        <f aca="false">IF($J394="","",IFERROR(IF($J394&lt;=1,INDEX(VN_국채일별!$B$4:$B$1436,MATCH($B394,VN_국채일별!$A$4:$A$1436,1)),IF($J394&lt;=2,INDEX(VN_국채일별!$B$4:$B$1436,MATCH($B394,VN_국채일별!$A$4:$A$1436,1))+(INDEX(VN_국채일별!$C$4:$C$1436,MATCH($B394,VN_국채일별!$A$4:$A$1436,1))-INDEX(VN_국채일별!$B$4:$B$1436,MATCH($B394,VN_국채일별!$A$4:$A$1436,1)))*($J394-1),IF($J394&lt;=3,INDEX(VN_국채일별!$C$4:$C$1436,MATCH($B394,VN_국채일별!$A$4:$A$1436,1))+(INDEX(VN_국채일별!$D$4:$D$1436,MATCH($B394,VN_국채일별!$A$4:$A$1436,1))-INDEX(VN_국채일별!$C$4:$C$1436,MATCH($B394,VN_국채일별!$A$4:$A$1436,1)))*($J394-2),IF($J394&lt;=5,INDEX(VN_국채일별!$D$4:$D$1436,MATCH($B394,VN_국채일별!$A$4:$A$1436,1))+(INDEX(VN_국채일별!$E$4:$E$1436,MATCH($B394,VN_국채일별!$A$4:$A$1436,1))-INDEX(VN_국채일별!$D$4:$D$1436,MATCH($B394,VN_국채일별!$A$4:$A$1436,1)))*($J394-3)/2,IF($J394&lt;=7,INDEX(VN_국채일별!$E$4:$E$1436,MATCH($B394,VN_국채일별!$A$4:$A$1436,1))+(INDEX(VN_국채일별!$F$4:$F$1436,MATCH($B394,VN_국채일별!$A$4:$A$1436,1))-INDEX(VN_국채일별!$E$4:$E$1436,MATCH($B394,VN_국채일별!$A$4:$A$1436,1)))*($J394-5)/2,IF($J394&lt;=10,INDEX(VN_국채일별!$F$4:$F$1436,MATCH($B394,VN_국채일별!$A$4:$A$1436,1))+(INDEX(VN_국채일별!$G$4:$G$1436,MATCH($B394,VN_국채일별!$A$4:$A$1436,1))-INDEX(VN_국채일별!$F$4:$F$1436,MATCH($B394,VN_국채일별!$A$4:$A$1436,1)))*($J394-7)/3,INDEX(VN_국채일별!$G$4:$G$1436,MATCH($B394,VN_국채일별!$A$4:$A$1436,1)))))))),""))</f>
        <v>0.02206</v>
      </c>
      <c r="R394" s="58" t="n">
        <f aca="false">IF(OR(L394="",Q394=""),"",(L394-Q394)*10000)</f>
        <v>389.4</v>
      </c>
      <c r="S394" s="30" t="n">
        <f aca="false">IF(AND(K394="고정",N394="N",J394&gt;=2,J394&lt;=4,I394&lt;&gt;""),1,0)</f>
        <v>0</v>
      </c>
      <c r="T394" s="59" t="n">
        <f aca="false">IF(S394=1,I394*L394,0)</f>
        <v>0</v>
      </c>
      <c r="U394" s="60" t="n">
        <f aca="false">IF(AND(S394=1,ISNUMBER(R394)),I394*R394,0)</f>
        <v>0</v>
      </c>
      <c r="V394" s="30" t="n">
        <f aca="false">IF(AND(F394="Big4(국영)",K394="고정",N394="N",I394&lt;&gt;""),1,0)</f>
        <v>0</v>
      </c>
      <c r="W394" s="59" t="n">
        <f aca="false">IF(V394=1,I394*L394,0)</f>
        <v>0</v>
      </c>
      <c r="X394" s="60" t="n">
        <f aca="false">IF(AND(V394=1,ISNUMBER(R394)),I394*R394,0)</f>
        <v>0</v>
      </c>
      <c r="Y394" s="61" t="n">
        <f aca="false">IF(AND(S394=1,ISNUMBER(R394)),I394,0)</f>
        <v>0</v>
      </c>
      <c r="Z394" s="61" t="n">
        <f aca="false">IF(AND(V394=1,ISNUMBER(R394)),I394,0)</f>
        <v>0</v>
      </c>
    </row>
    <row r="395" customFormat="false" ht="15" hidden="false" customHeight="false" outlineLevel="0" collapsed="false">
      <c r="A395" s="47" t="s">
        <v>763</v>
      </c>
      <c r="B395" s="52" t="n">
        <v>45644</v>
      </c>
      <c r="C395" s="53" t="n">
        <f aca="false">DATE(YEAR(B395),MONTH(B395),1)</f>
        <v>45627</v>
      </c>
      <c r="D395" s="5" t="str">
        <f aca="false">YEAR(B395)&amp;"Q"&amp;ROUNDUP(MONTH(B395)/3,0)</f>
        <v>2024Q4</v>
      </c>
      <c r="E395" s="47" t="s">
        <v>150</v>
      </c>
      <c r="F395" s="54" t="s">
        <v>139</v>
      </c>
      <c r="G395" s="47" t="s">
        <v>170</v>
      </c>
      <c r="H395" s="47" t="s">
        <v>785</v>
      </c>
      <c r="I395" s="55" t="n">
        <v>2000</v>
      </c>
      <c r="J395" s="56" t="n">
        <v>7</v>
      </c>
      <c r="K395" s="54" t="s">
        <v>153</v>
      </c>
      <c r="N395" s="47" t="s">
        <v>143</v>
      </c>
      <c r="O395" s="47" t="s">
        <v>786</v>
      </c>
      <c r="P395" s="47"/>
      <c r="Q395" s="48" t="n">
        <f aca="false">IF($J395="","",IFERROR(IF($J395&lt;=1,INDEX(VN_국채일별!$B$4:$B$1436,MATCH($B395,VN_국채일별!$A$4:$A$1436,1)),IF($J395&lt;=2,INDEX(VN_국채일별!$B$4:$B$1436,MATCH($B395,VN_국채일별!$A$4:$A$1436,1))+(INDEX(VN_국채일별!$C$4:$C$1436,MATCH($B395,VN_국채일별!$A$4:$A$1436,1))-INDEX(VN_국채일별!$B$4:$B$1436,MATCH($B395,VN_국채일별!$A$4:$A$1436,1)))*($J395-1),IF($J395&lt;=3,INDEX(VN_국채일별!$C$4:$C$1436,MATCH($B395,VN_국채일별!$A$4:$A$1436,1))+(INDEX(VN_국채일별!$D$4:$D$1436,MATCH($B395,VN_국채일별!$A$4:$A$1436,1))-INDEX(VN_국채일별!$C$4:$C$1436,MATCH($B395,VN_국채일별!$A$4:$A$1436,1)))*($J395-2),IF($J395&lt;=5,INDEX(VN_국채일별!$D$4:$D$1436,MATCH($B395,VN_국채일별!$A$4:$A$1436,1))+(INDEX(VN_국채일별!$E$4:$E$1436,MATCH($B395,VN_국채일별!$A$4:$A$1436,1))-INDEX(VN_국채일별!$D$4:$D$1436,MATCH($B395,VN_국채일별!$A$4:$A$1436,1)))*($J395-3)/2,IF($J395&lt;=7,INDEX(VN_국채일별!$E$4:$E$1436,MATCH($B395,VN_국채일별!$A$4:$A$1436,1))+(INDEX(VN_국채일별!$F$4:$F$1436,MATCH($B395,VN_국채일별!$A$4:$A$1436,1))-INDEX(VN_국채일별!$E$4:$E$1436,MATCH($B395,VN_국채일별!$A$4:$A$1436,1)))*($J395-5)/2,IF($J395&lt;=10,INDEX(VN_국채일별!$F$4:$F$1436,MATCH($B395,VN_국채일별!$A$4:$A$1436,1))+(INDEX(VN_국채일별!$G$4:$G$1436,MATCH($B395,VN_국채일별!$A$4:$A$1436,1))-INDEX(VN_국채일별!$F$4:$F$1436,MATCH($B395,VN_국채일별!$A$4:$A$1436,1)))*($J395-7)/3,INDEX(VN_국채일별!$G$4:$G$1436,MATCH($B395,VN_국채일별!$A$4:$A$1436,1)))))))),""))</f>
        <v>0.02459</v>
      </c>
      <c r="R395" s="58" t="str">
        <f aca="false">IF(OR(L395="",Q395=""),"",(L395-Q395)*10000)</f>
        <v/>
      </c>
      <c r="S395" s="30" t="n">
        <f aca="false">IF(AND(K395="고정",N395="N",J395&gt;=2,J395&lt;=4,I395&lt;&gt;""),1,0)</f>
        <v>0</v>
      </c>
      <c r="T395" s="59" t="n">
        <f aca="false">IF(S395=1,I395*L395,0)</f>
        <v>0</v>
      </c>
      <c r="U395" s="60" t="n">
        <f aca="false">IF(AND(S395=1,ISNUMBER(R395)),I395*R395,0)</f>
        <v>0</v>
      </c>
      <c r="V395" s="30" t="n">
        <f aca="false">IF(AND(F395="Big4(국영)",K395="고정",N395="N",I395&lt;&gt;""),1,0)</f>
        <v>0</v>
      </c>
      <c r="W395" s="59" t="n">
        <f aca="false">IF(V395=1,I395*L395,0)</f>
        <v>0</v>
      </c>
      <c r="X395" s="60" t="n">
        <f aca="false">IF(AND(V395=1,ISNUMBER(R395)),I395*R395,0)</f>
        <v>0</v>
      </c>
      <c r="Y395" s="61" t="n">
        <f aca="false">IF(AND(S395=1,ISNUMBER(R395)),I395,0)</f>
        <v>0</v>
      </c>
      <c r="Z395" s="61" t="n">
        <f aca="false">IF(AND(V395=1,ISNUMBER(R395)),I395,0)</f>
        <v>0</v>
      </c>
    </row>
    <row r="396" customFormat="false" ht="15" hidden="false" customHeight="false" outlineLevel="0" collapsed="false">
      <c r="A396" s="47" t="s">
        <v>763</v>
      </c>
      <c r="B396" s="52" t="n">
        <v>45644</v>
      </c>
      <c r="C396" s="53" t="n">
        <f aca="false">DATE(YEAR(B396),MONTH(B396),1)</f>
        <v>45627</v>
      </c>
      <c r="D396" s="5" t="str">
        <f aca="false">YEAR(B396)&amp;"Q"&amp;ROUNDUP(MONTH(B396)/3,0)</f>
        <v>2024Q4</v>
      </c>
      <c r="E396" s="47" t="s">
        <v>365</v>
      </c>
      <c r="F396" s="54" t="s">
        <v>139</v>
      </c>
      <c r="G396" s="47" t="s">
        <v>366</v>
      </c>
      <c r="H396" s="47" t="s">
        <v>787</v>
      </c>
      <c r="I396" s="55" t="n">
        <v>109.5</v>
      </c>
      <c r="J396" s="56" t="n">
        <v>10</v>
      </c>
      <c r="K396" s="54" t="s">
        <v>153</v>
      </c>
      <c r="N396" s="47" t="s">
        <v>143</v>
      </c>
      <c r="O396" s="47" t="s">
        <v>788</v>
      </c>
      <c r="P396" s="47"/>
      <c r="Q396" s="48" t="n">
        <f aca="false">IF($J396="","",IFERROR(IF($J396&lt;=1,INDEX(VN_국채일별!$B$4:$B$1436,MATCH($B396,VN_국채일별!$A$4:$A$1436,1)),IF($J396&lt;=2,INDEX(VN_국채일별!$B$4:$B$1436,MATCH($B396,VN_국채일별!$A$4:$A$1436,1))+(INDEX(VN_국채일별!$C$4:$C$1436,MATCH($B396,VN_국채일별!$A$4:$A$1436,1))-INDEX(VN_국채일별!$B$4:$B$1436,MATCH($B396,VN_국채일별!$A$4:$A$1436,1)))*($J396-1),IF($J396&lt;=3,INDEX(VN_국채일별!$C$4:$C$1436,MATCH($B396,VN_국채일별!$A$4:$A$1436,1))+(INDEX(VN_국채일별!$D$4:$D$1436,MATCH($B396,VN_국채일별!$A$4:$A$1436,1))-INDEX(VN_국채일별!$C$4:$C$1436,MATCH($B396,VN_국채일별!$A$4:$A$1436,1)))*($J396-2),IF($J396&lt;=5,INDEX(VN_국채일별!$D$4:$D$1436,MATCH($B396,VN_국채일별!$A$4:$A$1436,1))+(INDEX(VN_국채일별!$E$4:$E$1436,MATCH($B396,VN_국채일별!$A$4:$A$1436,1))-INDEX(VN_국채일별!$D$4:$D$1436,MATCH($B396,VN_국채일별!$A$4:$A$1436,1)))*($J396-3)/2,IF($J396&lt;=7,INDEX(VN_국채일별!$E$4:$E$1436,MATCH($B396,VN_국채일별!$A$4:$A$1436,1))+(INDEX(VN_국채일별!$F$4:$F$1436,MATCH($B396,VN_국채일별!$A$4:$A$1436,1))-INDEX(VN_국채일별!$E$4:$E$1436,MATCH($B396,VN_국채일별!$A$4:$A$1436,1)))*($J396-5)/2,IF($J396&lt;=10,INDEX(VN_국채일별!$F$4:$F$1436,MATCH($B396,VN_국채일별!$A$4:$A$1436,1))+(INDEX(VN_국채일별!$G$4:$G$1436,MATCH($B396,VN_국채일별!$A$4:$A$1436,1))-INDEX(VN_국채일별!$F$4:$F$1436,MATCH($B396,VN_국채일별!$A$4:$A$1436,1)))*($J396-7)/3,INDEX(VN_국채일별!$G$4:$G$1436,MATCH($B396,VN_국채일별!$A$4:$A$1436,1)))))))),""))</f>
        <v>0.0294</v>
      </c>
      <c r="R396" s="58" t="str">
        <f aca="false">IF(OR(L396="",Q396=""),"",(L396-Q396)*10000)</f>
        <v/>
      </c>
      <c r="S396" s="30" t="n">
        <f aca="false">IF(AND(K396="고정",N396="N",J396&gt;=2,J396&lt;=4,I396&lt;&gt;""),1,0)</f>
        <v>0</v>
      </c>
      <c r="T396" s="59" t="n">
        <f aca="false">IF(S396=1,I396*L396,0)</f>
        <v>0</v>
      </c>
      <c r="U396" s="60" t="n">
        <f aca="false">IF(AND(S396=1,ISNUMBER(R396)),I396*R396,0)</f>
        <v>0</v>
      </c>
      <c r="V396" s="30" t="n">
        <f aca="false">IF(AND(F396="Big4(국영)",K396="고정",N396="N",I396&lt;&gt;""),1,0)</f>
        <v>0</v>
      </c>
      <c r="W396" s="59" t="n">
        <f aca="false">IF(V396=1,I396*L396,0)</f>
        <v>0</v>
      </c>
      <c r="X396" s="60" t="n">
        <f aca="false">IF(AND(V396=1,ISNUMBER(R396)),I396*R396,0)</f>
        <v>0</v>
      </c>
      <c r="Y396" s="61" t="n">
        <f aca="false">IF(AND(S396=1,ISNUMBER(R396)),I396,0)</f>
        <v>0</v>
      </c>
      <c r="Z396" s="61" t="n">
        <f aca="false">IF(AND(V396=1,ISNUMBER(R396)),I396,0)</f>
        <v>0</v>
      </c>
    </row>
    <row r="397" customFormat="false" ht="15" hidden="false" customHeight="false" outlineLevel="0" collapsed="false">
      <c r="A397" s="47" t="s">
        <v>763</v>
      </c>
      <c r="B397" s="52" t="n">
        <v>45645</v>
      </c>
      <c r="C397" s="53" t="n">
        <f aca="false">DATE(YEAR(B397),MONTH(B397),1)</f>
        <v>45627</v>
      </c>
      <c r="D397" s="5" t="str">
        <f aca="false">YEAR(B397)&amp;"Q"&amp;ROUNDUP(MONTH(B397)/3,0)</f>
        <v>2024Q4</v>
      </c>
      <c r="E397" s="47" t="s">
        <v>160</v>
      </c>
      <c r="F397" s="54" t="s">
        <v>139</v>
      </c>
      <c r="G397" s="47" t="s">
        <v>161</v>
      </c>
      <c r="H397" s="47" t="s">
        <v>789</v>
      </c>
      <c r="I397" s="55" t="n">
        <v>50</v>
      </c>
      <c r="J397" s="56" t="n">
        <v>7</v>
      </c>
      <c r="K397" s="54" t="s">
        <v>153</v>
      </c>
      <c r="N397" s="47" t="s">
        <v>143</v>
      </c>
      <c r="O397" s="47" t="s">
        <v>790</v>
      </c>
      <c r="P397" s="47"/>
      <c r="Q397" s="48" t="n">
        <f aca="false">IF($J397="","",IFERROR(IF($J397&lt;=1,INDEX(VN_국채일별!$B$4:$B$1436,MATCH($B397,VN_국채일별!$A$4:$A$1436,1)),IF($J397&lt;=2,INDEX(VN_국채일별!$B$4:$B$1436,MATCH($B397,VN_국채일별!$A$4:$A$1436,1))+(INDEX(VN_국채일별!$C$4:$C$1436,MATCH($B397,VN_국채일별!$A$4:$A$1436,1))-INDEX(VN_국채일별!$B$4:$B$1436,MATCH($B397,VN_국채일별!$A$4:$A$1436,1)))*($J397-1),IF($J397&lt;=3,INDEX(VN_국채일별!$C$4:$C$1436,MATCH($B397,VN_국채일별!$A$4:$A$1436,1))+(INDEX(VN_국채일별!$D$4:$D$1436,MATCH($B397,VN_국채일별!$A$4:$A$1436,1))-INDEX(VN_국채일별!$C$4:$C$1436,MATCH($B397,VN_국채일별!$A$4:$A$1436,1)))*($J397-2),IF($J397&lt;=5,INDEX(VN_국채일별!$D$4:$D$1436,MATCH($B397,VN_국채일별!$A$4:$A$1436,1))+(INDEX(VN_국채일별!$E$4:$E$1436,MATCH($B397,VN_국채일별!$A$4:$A$1436,1))-INDEX(VN_국채일별!$D$4:$D$1436,MATCH($B397,VN_국채일별!$A$4:$A$1436,1)))*($J397-3)/2,IF($J397&lt;=7,INDEX(VN_국채일별!$E$4:$E$1436,MATCH($B397,VN_국채일별!$A$4:$A$1436,1))+(INDEX(VN_국채일별!$F$4:$F$1436,MATCH($B397,VN_국채일별!$A$4:$A$1436,1))-INDEX(VN_국채일별!$E$4:$E$1436,MATCH($B397,VN_국채일별!$A$4:$A$1436,1)))*($J397-5)/2,IF($J397&lt;=10,INDEX(VN_국채일별!$F$4:$F$1436,MATCH($B397,VN_국채일별!$A$4:$A$1436,1))+(INDEX(VN_국채일별!$G$4:$G$1436,MATCH($B397,VN_국채일별!$A$4:$A$1436,1))-INDEX(VN_국채일별!$F$4:$F$1436,MATCH($B397,VN_국채일별!$A$4:$A$1436,1)))*($J397-7)/3,INDEX(VN_국채일별!$G$4:$G$1436,MATCH($B397,VN_국채일별!$A$4:$A$1436,1)))))))),""))</f>
        <v>0.0258</v>
      </c>
      <c r="R397" s="58" t="str">
        <f aca="false">IF(OR(L397="",Q397=""),"",(L397-Q397)*10000)</f>
        <v/>
      </c>
      <c r="S397" s="30" t="n">
        <f aca="false">IF(AND(K397="고정",N397="N",J397&gt;=2,J397&lt;=4,I397&lt;&gt;""),1,0)</f>
        <v>0</v>
      </c>
      <c r="T397" s="59" t="n">
        <f aca="false">IF(S397=1,I397*L397,0)</f>
        <v>0</v>
      </c>
      <c r="U397" s="60" t="n">
        <f aca="false">IF(AND(S397=1,ISNUMBER(R397)),I397*R397,0)</f>
        <v>0</v>
      </c>
      <c r="V397" s="30" t="n">
        <f aca="false">IF(AND(F397="Big4(국영)",K397="고정",N397="N",I397&lt;&gt;""),1,0)</f>
        <v>0</v>
      </c>
      <c r="W397" s="59" t="n">
        <f aca="false">IF(V397=1,I397*L397,0)</f>
        <v>0</v>
      </c>
      <c r="X397" s="60" t="n">
        <f aca="false">IF(AND(V397=1,ISNUMBER(R397)),I397*R397,0)</f>
        <v>0</v>
      </c>
      <c r="Y397" s="61" t="n">
        <f aca="false">IF(AND(S397=1,ISNUMBER(R397)),I397,0)</f>
        <v>0</v>
      </c>
      <c r="Z397" s="61" t="n">
        <f aca="false">IF(AND(V397=1,ISNUMBER(R397)),I397,0)</f>
        <v>0</v>
      </c>
    </row>
    <row r="398" customFormat="false" ht="15" hidden="false" customHeight="false" outlineLevel="0" collapsed="false">
      <c r="A398" s="47" t="s">
        <v>763</v>
      </c>
      <c r="B398" s="52" t="n">
        <v>45645</v>
      </c>
      <c r="C398" s="53" t="n">
        <f aca="false">DATE(YEAR(B398),MONTH(B398),1)</f>
        <v>45627</v>
      </c>
      <c r="D398" s="5" t="str">
        <f aca="false">YEAR(B398)&amp;"Q"&amp;ROUNDUP(MONTH(B398)/3,0)</f>
        <v>2024Q4</v>
      </c>
      <c r="E398" s="47" t="s">
        <v>365</v>
      </c>
      <c r="F398" s="54" t="s">
        <v>139</v>
      </c>
      <c r="G398" s="47" t="s">
        <v>366</v>
      </c>
      <c r="H398" s="47" t="s">
        <v>791</v>
      </c>
      <c r="I398" s="55" t="n">
        <v>1000</v>
      </c>
      <c r="J398" s="56" t="n">
        <v>3</v>
      </c>
      <c r="K398" s="54" t="s">
        <v>142</v>
      </c>
      <c r="L398" s="57" t="n">
        <v>0.056</v>
      </c>
      <c r="N398" s="47" t="s">
        <v>148</v>
      </c>
      <c r="O398" s="47" t="s">
        <v>660</v>
      </c>
      <c r="P398" s="47"/>
      <c r="Q398" s="48" t="n">
        <f aca="false">IF($J398="","",IFERROR(IF($J398&lt;=1,INDEX(VN_국채일별!$B$4:$B$1436,MATCH($B398,VN_국채일별!$A$4:$A$1436,1)),IF($J398&lt;=2,INDEX(VN_국채일별!$B$4:$B$1436,MATCH($B398,VN_국채일별!$A$4:$A$1436,1))+(INDEX(VN_국채일별!$C$4:$C$1436,MATCH($B398,VN_국채일별!$A$4:$A$1436,1))-INDEX(VN_국채일별!$B$4:$B$1436,MATCH($B398,VN_국채일별!$A$4:$A$1436,1)))*($J398-1),IF($J398&lt;=3,INDEX(VN_국채일별!$C$4:$C$1436,MATCH($B398,VN_국채일별!$A$4:$A$1436,1))+(INDEX(VN_국채일별!$D$4:$D$1436,MATCH($B398,VN_국채일별!$A$4:$A$1436,1))-INDEX(VN_국채일별!$C$4:$C$1436,MATCH($B398,VN_국채일별!$A$4:$A$1436,1)))*($J398-2),IF($J398&lt;=5,INDEX(VN_국채일별!$D$4:$D$1436,MATCH($B398,VN_국채일별!$A$4:$A$1436,1))+(INDEX(VN_국채일별!$E$4:$E$1436,MATCH($B398,VN_국채일별!$A$4:$A$1436,1))-INDEX(VN_국채일별!$D$4:$D$1436,MATCH($B398,VN_국채일별!$A$4:$A$1436,1)))*($J398-3)/2,IF($J398&lt;=7,INDEX(VN_국채일별!$E$4:$E$1436,MATCH($B398,VN_국채일별!$A$4:$A$1436,1))+(INDEX(VN_국채일별!$F$4:$F$1436,MATCH($B398,VN_국채일별!$A$4:$A$1436,1))-INDEX(VN_국채일별!$E$4:$E$1436,MATCH($B398,VN_국채일별!$A$4:$A$1436,1)))*($J398-5)/2,IF($J398&lt;=10,INDEX(VN_국채일별!$F$4:$F$1436,MATCH($B398,VN_국채일별!$A$4:$A$1436,1))+(INDEX(VN_국채일별!$G$4:$G$1436,MATCH($B398,VN_국채일별!$A$4:$A$1436,1))-INDEX(VN_국채일별!$F$4:$F$1436,MATCH($B398,VN_국채일별!$A$4:$A$1436,1)))*($J398-7)/3,INDEX(VN_국채일별!$G$4:$G$1436,MATCH($B398,VN_국채일별!$A$4:$A$1436,1)))))))),""))</f>
        <v>0.02056</v>
      </c>
      <c r="R398" s="58" t="n">
        <f aca="false">IF(OR(L398="",Q398=""),"",(L398-Q398)*10000)</f>
        <v>354.4</v>
      </c>
      <c r="S398" s="30" t="n">
        <f aca="false">IF(AND(K398="고정",N398="N",J398&gt;=2,J398&lt;=4,I398&lt;&gt;""),1,0)</f>
        <v>1</v>
      </c>
      <c r="T398" s="59" t="n">
        <f aca="false">IF(S398=1,I398*L398,0)</f>
        <v>56</v>
      </c>
      <c r="U398" s="60" t="n">
        <f aca="false">IF(AND(S398=1,ISNUMBER(R398)),I398*R398,0)</f>
        <v>354400</v>
      </c>
      <c r="V398" s="30" t="n">
        <f aca="false">IF(AND(F398="Big4(국영)",K398="고정",N398="N",I398&lt;&gt;""),1,0)</f>
        <v>0</v>
      </c>
      <c r="W398" s="59" t="n">
        <f aca="false">IF(V398=1,I398*L398,0)</f>
        <v>0</v>
      </c>
      <c r="X398" s="60" t="n">
        <f aca="false">IF(AND(V398=1,ISNUMBER(R398)),I398*R398,0)</f>
        <v>0</v>
      </c>
      <c r="Y398" s="61" t="n">
        <f aca="false">IF(AND(S398=1,ISNUMBER(R398)),I398,0)</f>
        <v>1000</v>
      </c>
      <c r="Z398" s="61" t="n">
        <f aca="false">IF(AND(V398=1,ISNUMBER(R398)),I398,0)</f>
        <v>0</v>
      </c>
    </row>
    <row r="399" customFormat="false" ht="15" hidden="false" customHeight="false" outlineLevel="0" collapsed="false">
      <c r="A399" s="47" t="s">
        <v>763</v>
      </c>
      <c r="B399" s="52" t="n">
        <v>45646</v>
      </c>
      <c r="C399" s="53" t="n">
        <f aca="false">DATE(YEAR(B399),MONTH(B399),1)</f>
        <v>45627</v>
      </c>
      <c r="D399" s="5" t="str">
        <f aca="false">YEAR(B399)&amp;"Q"&amp;ROUNDUP(MONTH(B399)/3,0)</f>
        <v>2024Q4</v>
      </c>
      <c r="E399" s="47" t="s">
        <v>160</v>
      </c>
      <c r="F399" s="54" t="s">
        <v>139</v>
      </c>
      <c r="G399" s="47" t="s">
        <v>161</v>
      </c>
      <c r="H399" s="47" t="s">
        <v>792</v>
      </c>
      <c r="I399" s="55" t="n">
        <v>100</v>
      </c>
      <c r="J399" s="56" t="n">
        <v>7</v>
      </c>
      <c r="K399" s="54" t="s">
        <v>153</v>
      </c>
      <c r="N399" s="47" t="s">
        <v>143</v>
      </c>
      <c r="O399" s="47" t="s">
        <v>793</v>
      </c>
      <c r="P399" s="47"/>
      <c r="Q399" s="48" t="n">
        <f aca="false">IF($J399="","",IFERROR(IF($J399&lt;=1,INDEX(VN_국채일별!$B$4:$B$1436,MATCH($B399,VN_국채일별!$A$4:$A$1436,1)),IF($J399&lt;=2,INDEX(VN_국채일별!$B$4:$B$1436,MATCH($B399,VN_국채일별!$A$4:$A$1436,1))+(INDEX(VN_국채일별!$C$4:$C$1436,MATCH($B399,VN_국채일별!$A$4:$A$1436,1))-INDEX(VN_국채일별!$B$4:$B$1436,MATCH($B399,VN_국채일별!$A$4:$A$1436,1)))*($J399-1),IF($J399&lt;=3,INDEX(VN_국채일별!$C$4:$C$1436,MATCH($B399,VN_국채일별!$A$4:$A$1436,1))+(INDEX(VN_국채일별!$D$4:$D$1436,MATCH($B399,VN_국채일별!$A$4:$A$1436,1))-INDEX(VN_국채일별!$C$4:$C$1436,MATCH($B399,VN_국채일별!$A$4:$A$1436,1)))*($J399-2),IF($J399&lt;=5,INDEX(VN_국채일별!$D$4:$D$1436,MATCH($B399,VN_국채일별!$A$4:$A$1436,1))+(INDEX(VN_국채일별!$E$4:$E$1436,MATCH($B399,VN_국채일별!$A$4:$A$1436,1))-INDEX(VN_국채일별!$D$4:$D$1436,MATCH($B399,VN_국채일별!$A$4:$A$1436,1)))*($J399-3)/2,IF($J399&lt;=7,INDEX(VN_국채일별!$E$4:$E$1436,MATCH($B399,VN_국채일별!$A$4:$A$1436,1))+(INDEX(VN_국채일별!$F$4:$F$1436,MATCH($B399,VN_국채일별!$A$4:$A$1436,1))-INDEX(VN_국채일별!$E$4:$E$1436,MATCH($B399,VN_국채일별!$A$4:$A$1436,1)))*($J399-5)/2,IF($J399&lt;=10,INDEX(VN_국채일별!$F$4:$F$1436,MATCH($B399,VN_국채일별!$A$4:$A$1436,1))+(INDEX(VN_국채일별!$G$4:$G$1436,MATCH($B399,VN_국채일별!$A$4:$A$1436,1))-INDEX(VN_국채일별!$F$4:$F$1436,MATCH($B399,VN_국채일별!$A$4:$A$1436,1)))*($J399-7)/3,INDEX(VN_국채일별!$G$4:$G$1436,MATCH($B399,VN_국채일별!$A$4:$A$1436,1)))))))),""))</f>
        <v>0.02603</v>
      </c>
      <c r="R399" s="58" t="str">
        <f aca="false">IF(OR(L399="",Q399=""),"",(L399-Q399)*10000)</f>
        <v/>
      </c>
      <c r="S399" s="30" t="n">
        <f aca="false">IF(AND(K399="고정",N399="N",J399&gt;=2,J399&lt;=4,I399&lt;&gt;""),1,0)</f>
        <v>0</v>
      </c>
      <c r="T399" s="59" t="n">
        <f aca="false">IF(S399=1,I399*L399,0)</f>
        <v>0</v>
      </c>
      <c r="U399" s="60" t="n">
        <f aca="false">IF(AND(S399=1,ISNUMBER(R399)),I399*R399,0)</f>
        <v>0</v>
      </c>
      <c r="V399" s="30" t="n">
        <f aca="false">IF(AND(F399="Big4(국영)",K399="고정",N399="N",I399&lt;&gt;""),1,0)</f>
        <v>0</v>
      </c>
      <c r="W399" s="59" t="n">
        <f aca="false">IF(V399=1,I399*L399,0)</f>
        <v>0</v>
      </c>
      <c r="X399" s="60" t="n">
        <f aca="false">IF(AND(V399=1,ISNUMBER(R399)),I399*R399,0)</f>
        <v>0</v>
      </c>
      <c r="Y399" s="61" t="n">
        <f aca="false">IF(AND(S399=1,ISNUMBER(R399)),I399,0)</f>
        <v>0</v>
      </c>
      <c r="Z399" s="61" t="n">
        <f aca="false">IF(AND(V399=1,ISNUMBER(R399)),I399,0)</f>
        <v>0</v>
      </c>
    </row>
    <row r="400" customFormat="false" ht="15" hidden="false" customHeight="false" outlineLevel="0" collapsed="false">
      <c r="A400" s="47" t="s">
        <v>763</v>
      </c>
      <c r="B400" s="52" t="n">
        <v>45646</v>
      </c>
      <c r="C400" s="53" t="n">
        <f aca="false">DATE(YEAR(B400),MONTH(B400),1)</f>
        <v>45627</v>
      </c>
      <c r="D400" s="5" t="str">
        <f aca="false">YEAR(B400)&amp;"Q"&amp;ROUNDUP(MONTH(B400)/3,0)</f>
        <v>2024Q4</v>
      </c>
      <c r="E400" s="47" t="s">
        <v>365</v>
      </c>
      <c r="F400" s="54" t="s">
        <v>139</v>
      </c>
      <c r="G400" s="47" t="s">
        <v>366</v>
      </c>
      <c r="H400" s="47" t="s">
        <v>794</v>
      </c>
      <c r="I400" s="55" t="n">
        <v>1000</v>
      </c>
      <c r="J400" s="56" t="n">
        <v>3</v>
      </c>
      <c r="K400" s="54" t="s">
        <v>153</v>
      </c>
      <c r="N400" s="47" t="s">
        <v>148</v>
      </c>
      <c r="O400" s="47" t="s">
        <v>795</v>
      </c>
      <c r="P400" s="47"/>
      <c r="Q400" s="48" t="n">
        <f aca="false">IF($J400="","",IFERROR(IF($J400&lt;=1,INDEX(VN_국채일별!$B$4:$B$1436,MATCH($B400,VN_국채일별!$A$4:$A$1436,1)),IF($J400&lt;=2,INDEX(VN_국채일별!$B$4:$B$1436,MATCH($B400,VN_국채일별!$A$4:$A$1436,1))+(INDEX(VN_국채일별!$C$4:$C$1436,MATCH($B400,VN_국채일별!$A$4:$A$1436,1))-INDEX(VN_국채일별!$B$4:$B$1436,MATCH($B400,VN_국채일별!$A$4:$A$1436,1)))*($J400-1),IF($J400&lt;=3,INDEX(VN_국채일별!$C$4:$C$1436,MATCH($B400,VN_국채일별!$A$4:$A$1436,1))+(INDEX(VN_국채일별!$D$4:$D$1436,MATCH($B400,VN_국채일별!$A$4:$A$1436,1))-INDEX(VN_국채일별!$C$4:$C$1436,MATCH($B400,VN_국채일별!$A$4:$A$1436,1)))*($J400-2),IF($J400&lt;=5,INDEX(VN_국채일별!$D$4:$D$1436,MATCH($B400,VN_국채일별!$A$4:$A$1436,1))+(INDEX(VN_국채일별!$E$4:$E$1436,MATCH($B400,VN_국채일별!$A$4:$A$1436,1))-INDEX(VN_국채일별!$D$4:$D$1436,MATCH($B400,VN_국채일별!$A$4:$A$1436,1)))*($J400-3)/2,IF($J400&lt;=7,INDEX(VN_국채일별!$E$4:$E$1436,MATCH($B400,VN_국채일별!$A$4:$A$1436,1))+(INDEX(VN_국채일별!$F$4:$F$1436,MATCH($B400,VN_국채일별!$A$4:$A$1436,1))-INDEX(VN_국채일별!$E$4:$E$1436,MATCH($B400,VN_국채일별!$A$4:$A$1436,1)))*($J400-5)/2,IF($J400&lt;=10,INDEX(VN_국채일별!$F$4:$F$1436,MATCH($B400,VN_국채일별!$A$4:$A$1436,1))+(INDEX(VN_국채일별!$G$4:$G$1436,MATCH($B400,VN_국채일별!$A$4:$A$1436,1))-INDEX(VN_국채일별!$F$4:$F$1436,MATCH($B400,VN_국채일별!$A$4:$A$1436,1)))*($J400-7)/3,INDEX(VN_국채일별!$G$4:$G$1436,MATCH($B400,VN_국채일별!$A$4:$A$1436,1)))))))),""))</f>
        <v>0.02076</v>
      </c>
      <c r="R400" s="58" t="str">
        <f aca="false">IF(OR(L400="",Q400=""),"",(L400-Q400)*10000)</f>
        <v/>
      </c>
      <c r="S400" s="30" t="n">
        <f aca="false">IF(AND(K400="고정",N400="N",J400&gt;=2,J400&lt;=4,I400&lt;&gt;""),1,0)</f>
        <v>0</v>
      </c>
      <c r="T400" s="59" t="n">
        <f aca="false">IF(S400=1,I400*L400,0)</f>
        <v>0</v>
      </c>
      <c r="U400" s="60" t="n">
        <f aca="false">IF(AND(S400=1,ISNUMBER(R400)),I400*R400,0)</f>
        <v>0</v>
      </c>
      <c r="V400" s="30" t="n">
        <f aca="false">IF(AND(F400="Big4(국영)",K400="고정",N400="N",I400&lt;&gt;""),1,0)</f>
        <v>0</v>
      </c>
      <c r="W400" s="59" t="n">
        <f aca="false">IF(V400=1,I400*L400,0)</f>
        <v>0</v>
      </c>
      <c r="X400" s="60" t="n">
        <f aca="false">IF(AND(V400=1,ISNUMBER(R400)),I400*R400,0)</f>
        <v>0</v>
      </c>
      <c r="Y400" s="61" t="n">
        <f aca="false">IF(AND(S400=1,ISNUMBER(R400)),I400,0)</f>
        <v>0</v>
      </c>
      <c r="Z400" s="61" t="n">
        <f aca="false">IF(AND(V400=1,ISNUMBER(R400)),I400,0)</f>
        <v>0</v>
      </c>
    </row>
    <row r="401" customFormat="false" ht="15" hidden="false" customHeight="false" outlineLevel="0" collapsed="false">
      <c r="A401" s="47" t="s">
        <v>763</v>
      </c>
      <c r="B401" s="52" t="n">
        <v>45646</v>
      </c>
      <c r="C401" s="53" t="n">
        <f aca="false">DATE(YEAR(B401),MONTH(B401),1)</f>
        <v>45627</v>
      </c>
      <c r="D401" s="5" t="str">
        <f aca="false">YEAR(B401)&amp;"Q"&amp;ROUNDUP(MONTH(B401)/3,0)</f>
        <v>2024Q4</v>
      </c>
      <c r="E401" s="47" t="s">
        <v>248</v>
      </c>
      <c r="F401" s="54" t="s">
        <v>139</v>
      </c>
      <c r="G401" s="47" t="s">
        <v>361</v>
      </c>
      <c r="H401" s="47" t="s">
        <v>796</v>
      </c>
      <c r="I401" s="55" t="n">
        <v>850</v>
      </c>
      <c r="J401" s="56" t="n">
        <v>2</v>
      </c>
      <c r="K401" s="54" t="s">
        <v>142</v>
      </c>
      <c r="L401" s="57" t="n">
        <v>0.057</v>
      </c>
      <c r="N401" s="47" t="s">
        <v>148</v>
      </c>
      <c r="O401" s="47" t="s">
        <v>649</v>
      </c>
      <c r="P401" s="47"/>
      <c r="Q401" s="48" t="n">
        <f aca="false">IF($J401="","",IFERROR(IF($J401&lt;=1,INDEX(VN_국채일별!$B$4:$B$1436,MATCH($B401,VN_국채일별!$A$4:$A$1436,1)),IF($J401&lt;=2,INDEX(VN_국채일별!$B$4:$B$1436,MATCH($B401,VN_국채일별!$A$4:$A$1436,1))+(INDEX(VN_국채일별!$C$4:$C$1436,MATCH($B401,VN_국채일별!$A$4:$A$1436,1))-INDEX(VN_국채일별!$B$4:$B$1436,MATCH($B401,VN_국채일별!$A$4:$A$1436,1)))*($J401-1),IF($J401&lt;=3,INDEX(VN_국채일별!$C$4:$C$1436,MATCH($B401,VN_국채일별!$A$4:$A$1436,1))+(INDEX(VN_국채일별!$D$4:$D$1436,MATCH($B401,VN_국채일별!$A$4:$A$1436,1))-INDEX(VN_국채일별!$C$4:$C$1436,MATCH($B401,VN_국채일별!$A$4:$A$1436,1)))*($J401-2),IF($J401&lt;=5,INDEX(VN_국채일별!$D$4:$D$1436,MATCH($B401,VN_국채일별!$A$4:$A$1436,1))+(INDEX(VN_국채일별!$E$4:$E$1436,MATCH($B401,VN_국채일별!$A$4:$A$1436,1))-INDEX(VN_국채일별!$D$4:$D$1436,MATCH($B401,VN_국채일별!$A$4:$A$1436,1)))*($J401-3)/2,IF($J401&lt;=7,INDEX(VN_국채일별!$E$4:$E$1436,MATCH($B401,VN_국채일별!$A$4:$A$1436,1))+(INDEX(VN_국채일별!$F$4:$F$1436,MATCH($B401,VN_국채일별!$A$4:$A$1436,1))-INDEX(VN_국채일별!$E$4:$E$1436,MATCH($B401,VN_국채일별!$A$4:$A$1436,1)))*($J401-5)/2,IF($J401&lt;=10,INDEX(VN_국채일별!$F$4:$F$1436,MATCH($B401,VN_국채일별!$A$4:$A$1436,1))+(INDEX(VN_국채일별!$G$4:$G$1436,MATCH($B401,VN_국채일별!$A$4:$A$1436,1))-INDEX(VN_국채일별!$F$4:$F$1436,MATCH($B401,VN_국채일별!$A$4:$A$1436,1)))*($J401-7)/3,INDEX(VN_국채일별!$G$4:$G$1436,MATCH($B401,VN_국채일별!$A$4:$A$1436,1)))))))),""))</f>
        <v>0.02051</v>
      </c>
      <c r="R401" s="58" t="n">
        <f aca="false">IF(OR(L401="",Q401=""),"",(L401-Q401)*10000)</f>
        <v>364.9</v>
      </c>
      <c r="S401" s="30" t="n">
        <f aca="false">IF(AND(K401="고정",N401="N",J401&gt;=2,J401&lt;=4,I401&lt;&gt;""),1,0)</f>
        <v>1</v>
      </c>
      <c r="T401" s="59" t="n">
        <f aca="false">IF(S401=1,I401*L401,0)</f>
        <v>48.45</v>
      </c>
      <c r="U401" s="60" t="n">
        <f aca="false">IF(AND(S401=1,ISNUMBER(R401)),I401*R401,0)</f>
        <v>310165</v>
      </c>
      <c r="V401" s="30" t="n">
        <f aca="false">IF(AND(F401="Big4(국영)",K401="고정",N401="N",I401&lt;&gt;""),1,0)</f>
        <v>0</v>
      </c>
      <c r="W401" s="59" t="n">
        <f aca="false">IF(V401=1,I401*L401,0)</f>
        <v>0</v>
      </c>
      <c r="X401" s="60" t="n">
        <f aca="false">IF(AND(V401=1,ISNUMBER(R401)),I401*R401,0)</f>
        <v>0</v>
      </c>
      <c r="Y401" s="61" t="n">
        <f aca="false">IF(AND(S401=1,ISNUMBER(R401)),I401,0)</f>
        <v>850</v>
      </c>
      <c r="Z401" s="61" t="n">
        <f aca="false">IF(AND(V401=1,ISNUMBER(R401)),I401,0)</f>
        <v>0</v>
      </c>
    </row>
    <row r="402" customFormat="false" ht="15" hidden="false" customHeight="false" outlineLevel="0" collapsed="false">
      <c r="A402" s="47" t="s">
        <v>763</v>
      </c>
      <c r="B402" s="52" t="n">
        <v>45646</v>
      </c>
      <c r="C402" s="53" t="n">
        <f aca="false">DATE(YEAR(B402),MONTH(B402),1)</f>
        <v>45627</v>
      </c>
      <c r="D402" s="5" t="str">
        <f aca="false">YEAR(B402)&amp;"Q"&amp;ROUNDUP(MONTH(B402)/3,0)</f>
        <v>2024Q4</v>
      </c>
      <c r="E402" s="47" t="s">
        <v>160</v>
      </c>
      <c r="F402" s="54" t="s">
        <v>139</v>
      </c>
      <c r="G402" s="47" t="s">
        <v>161</v>
      </c>
      <c r="H402" s="47" t="s">
        <v>797</v>
      </c>
      <c r="I402" s="55" t="n">
        <v>300</v>
      </c>
      <c r="J402" s="56" t="n">
        <v>8</v>
      </c>
      <c r="K402" s="54" t="s">
        <v>153</v>
      </c>
      <c r="N402" s="47" t="s">
        <v>143</v>
      </c>
      <c r="O402" s="47" t="s">
        <v>798</v>
      </c>
      <c r="P402" s="47"/>
      <c r="Q402" s="48" t="n">
        <f aca="false">IF($J402="","",IFERROR(IF($J402&lt;=1,INDEX(VN_국채일별!$B$4:$B$1436,MATCH($B402,VN_국채일별!$A$4:$A$1436,1)),IF($J402&lt;=2,INDEX(VN_국채일별!$B$4:$B$1436,MATCH($B402,VN_국채일별!$A$4:$A$1436,1))+(INDEX(VN_국채일별!$C$4:$C$1436,MATCH($B402,VN_국채일별!$A$4:$A$1436,1))-INDEX(VN_국채일별!$B$4:$B$1436,MATCH($B402,VN_국채일별!$A$4:$A$1436,1)))*($J402-1),IF($J402&lt;=3,INDEX(VN_국채일별!$C$4:$C$1436,MATCH($B402,VN_국채일별!$A$4:$A$1436,1))+(INDEX(VN_국채일별!$D$4:$D$1436,MATCH($B402,VN_국채일별!$A$4:$A$1436,1))-INDEX(VN_국채일별!$C$4:$C$1436,MATCH($B402,VN_국채일별!$A$4:$A$1436,1)))*($J402-2),IF($J402&lt;=5,INDEX(VN_국채일별!$D$4:$D$1436,MATCH($B402,VN_국채일별!$A$4:$A$1436,1))+(INDEX(VN_국채일별!$E$4:$E$1436,MATCH($B402,VN_국채일별!$A$4:$A$1436,1))-INDEX(VN_국채일별!$D$4:$D$1436,MATCH($B402,VN_국채일별!$A$4:$A$1436,1)))*($J402-3)/2,IF($J402&lt;=7,INDEX(VN_국채일별!$E$4:$E$1436,MATCH($B402,VN_국채일별!$A$4:$A$1436,1))+(INDEX(VN_국채일별!$F$4:$F$1436,MATCH($B402,VN_국채일별!$A$4:$A$1436,1))-INDEX(VN_국채일별!$E$4:$E$1436,MATCH($B402,VN_국채일별!$A$4:$A$1436,1)))*($J402-5)/2,IF($J402&lt;=10,INDEX(VN_국채일별!$F$4:$F$1436,MATCH($B402,VN_국채일별!$A$4:$A$1436,1))+(INDEX(VN_국채일별!$G$4:$G$1436,MATCH($B402,VN_국채일별!$A$4:$A$1436,1))-INDEX(VN_국채일별!$F$4:$F$1436,MATCH($B402,VN_국채일별!$A$4:$A$1436,1)))*($J402-7)/3,INDEX(VN_국채일별!$G$4:$G$1436,MATCH($B402,VN_국채일별!$A$4:$A$1436,1)))))))),""))</f>
        <v>0.02751</v>
      </c>
      <c r="R402" s="58" t="str">
        <f aca="false">IF(OR(L402="",Q402=""),"",(L402-Q402)*10000)</f>
        <v/>
      </c>
      <c r="S402" s="30" t="n">
        <f aca="false">IF(AND(K402="고정",N402="N",J402&gt;=2,J402&lt;=4,I402&lt;&gt;""),1,0)</f>
        <v>0</v>
      </c>
      <c r="T402" s="59" t="n">
        <f aca="false">IF(S402=1,I402*L402,0)</f>
        <v>0</v>
      </c>
      <c r="U402" s="60" t="n">
        <f aca="false">IF(AND(S402=1,ISNUMBER(R402)),I402*R402,0)</f>
        <v>0</v>
      </c>
      <c r="V402" s="30" t="n">
        <f aca="false">IF(AND(F402="Big4(국영)",K402="고정",N402="N",I402&lt;&gt;""),1,0)</f>
        <v>0</v>
      </c>
      <c r="W402" s="59" t="n">
        <f aca="false">IF(V402=1,I402*L402,0)</f>
        <v>0</v>
      </c>
      <c r="X402" s="60" t="n">
        <f aca="false">IF(AND(V402=1,ISNUMBER(R402)),I402*R402,0)</f>
        <v>0</v>
      </c>
      <c r="Y402" s="61" t="n">
        <f aca="false">IF(AND(S402=1,ISNUMBER(R402)),I402,0)</f>
        <v>0</v>
      </c>
      <c r="Z402" s="61" t="n">
        <f aca="false">IF(AND(V402=1,ISNUMBER(R402)),I402,0)</f>
        <v>0</v>
      </c>
    </row>
    <row r="403" customFormat="false" ht="15" hidden="false" customHeight="false" outlineLevel="0" collapsed="false">
      <c r="A403" s="47" t="s">
        <v>763</v>
      </c>
      <c r="B403" s="52" t="n">
        <v>45646</v>
      </c>
      <c r="C403" s="53" t="n">
        <f aca="false">DATE(YEAR(B403),MONTH(B403),1)</f>
        <v>45627</v>
      </c>
      <c r="D403" s="5" t="str">
        <f aca="false">YEAR(B403)&amp;"Q"&amp;ROUNDUP(MONTH(B403)/3,0)</f>
        <v>2024Q4</v>
      </c>
      <c r="E403" s="47" t="s">
        <v>365</v>
      </c>
      <c r="F403" s="54" t="s">
        <v>139</v>
      </c>
      <c r="G403" s="47" t="s">
        <v>366</v>
      </c>
      <c r="H403" s="47" t="s">
        <v>799</v>
      </c>
      <c r="I403" s="55" t="n">
        <v>195.5</v>
      </c>
      <c r="J403" s="56" t="n">
        <v>10</v>
      </c>
      <c r="K403" s="54" t="s">
        <v>153</v>
      </c>
      <c r="N403" s="47" t="s">
        <v>143</v>
      </c>
      <c r="O403" s="47" t="s">
        <v>788</v>
      </c>
      <c r="P403" s="47"/>
      <c r="Q403" s="48" t="n">
        <f aca="false">IF($J403="","",IFERROR(IF($J403&lt;=1,INDEX(VN_국채일별!$B$4:$B$1436,MATCH($B403,VN_국채일별!$A$4:$A$1436,1)),IF($J403&lt;=2,INDEX(VN_국채일별!$B$4:$B$1436,MATCH($B403,VN_국채일별!$A$4:$A$1436,1))+(INDEX(VN_국채일별!$C$4:$C$1436,MATCH($B403,VN_국채일별!$A$4:$A$1436,1))-INDEX(VN_국채일별!$B$4:$B$1436,MATCH($B403,VN_국채일별!$A$4:$A$1436,1)))*($J403-1),IF($J403&lt;=3,INDEX(VN_국채일별!$C$4:$C$1436,MATCH($B403,VN_국채일별!$A$4:$A$1436,1))+(INDEX(VN_국채일별!$D$4:$D$1436,MATCH($B403,VN_국채일별!$A$4:$A$1436,1))-INDEX(VN_국채일별!$C$4:$C$1436,MATCH($B403,VN_국채일별!$A$4:$A$1436,1)))*($J403-2),IF($J403&lt;=5,INDEX(VN_국채일별!$D$4:$D$1436,MATCH($B403,VN_국채일별!$A$4:$A$1436,1))+(INDEX(VN_국채일별!$E$4:$E$1436,MATCH($B403,VN_국채일별!$A$4:$A$1436,1))-INDEX(VN_국채일별!$D$4:$D$1436,MATCH($B403,VN_국채일별!$A$4:$A$1436,1)))*($J403-3)/2,IF($J403&lt;=7,INDEX(VN_국채일별!$E$4:$E$1436,MATCH($B403,VN_국채일별!$A$4:$A$1436,1))+(INDEX(VN_국채일별!$F$4:$F$1436,MATCH($B403,VN_국채일별!$A$4:$A$1436,1))-INDEX(VN_국채일별!$E$4:$E$1436,MATCH($B403,VN_국채일별!$A$4:$A$1436,1)))*($J403-5)/2,IF($J403&lt;=10,INDEX(VN_국채일별!$F$4:$F$1436,MATCH($B403,VN_국채일별!$A$4:$A$1436,1))+(INDEX(VN_국채일별!$G$4:$G$1436,MATCH($B403,VN_국채일별!$A$4:$A$1436,1))-INDEX(VN_국채일별!$F$4:$F$1436,MATCH($B403,VN_국채일별!$A$4:$A$1436,1)))*($J403-7)/3,INDEX(VN_국채일별!$G$4:$G$1436,MATCH($B403,VN_국채일별!$A$4:$A$1436,1)))))))),""))</f>
        <v>0.03047</v>
      </c>
      <c r="R403" s="58" t="str">
        <f aca="false">IF(OR(L403="",Q403=""),"",(L403-Q403)*10000)</f>
        <v/>
      </c>
      <c r="S403" s="30" t="n">
        <f aca="false">IF(AND(K403="고정",N403="N",J403&gt;=2,J403&lt;=4,I403&lt;&gt;""),1,0)</f>
        <v>0</v>
      </c>
      <c r="T403" s="59" t="n">
        <f aca="false">IF(S403=1,I403*L403,0)</f>
        <v>0</v>
      </c>
      <c r="U403" s="60" t="n">
        <f aca="false">IF(AND(S403=1,ISNUMBER(R403)),I403*R403,0)</f>
        <v>0</v>
      </c>
      <c r="V403" s="30" t="n">
        <f aca="false">IF(AND(F403="Big4(국영)",K403="고정",N403="N",I403&lt;&gt;""),1,0)</f>
        <v>0</v>
      </c>
      <c r="W403" s="59" t="n">
        <f aca="false">IF(V403=1,I403*L403,0)</f>
        <v>0</v>
      </c>
      <c r="X403" s="60" t="n">
        <f aca="false">IF(AND(V403=1,ISNUMBER(R403)),I403*R403,0)</f>
        <v>0</v>
      </c>
      <c r="Y403" s="61" t="n">
        <f aca="false">IF(AND(S403=1,ISNUMBER(R403)),I403,0)</f>
        <v>0</v>
      </c>
      <c r="Z403" s="61" t="n">
        <f aca="false">IF(AND(V403=1,ISNUMBER(R403)),I403,0)</f>
        <v>0</v>
      </c>
    </row>
    <row r="404" customFormat="false" ht="15" hidden="false" customHeight="false" outlineLevel="0" collapsed="false">
      <c r="A404" s="47" t="s">
        <v>763</v>
      </c>
      <c r="B404" s="52" t="n">
        <v>45646</v>
      </c>
      <c r="C404" s="53" t="n">
        <f aca="false">DATE(YEAR(B404),MONTH(B404),1)</f>
        <v>45627</v>
      </c>
      <c r="D404" s="5" t="str">
        <f aca="false">YEAR(B404)&amp;"Q"&amp;ROUNDUP(MONTH(B404)/3,0)</f>
        <v>2024Q4</v>
      </c>
      <c r="E404" s="47" t="s">
        <v>145</v>
      </c>
      <c r="F404" s="54" t="s">
        <v>139</v>
      </c>
      <c r="G404" s="47" t="s">
        <v>146</v>
      </c>
      <c r="H404" s="47" t="s">
        <v>800</v>
      </c>
      <c r="I404" s="55" t="n">
        <v>1000</v>
      </c>
      <c r="J404" s="56" t="n">
        <v>3</v>
      </c>
      <c r="K404" s="54" t="s">
        <v>142</v>
      </c>
      <c r="L404" s="57" t="n">
        <v>0.056</v>
      </c>
      <c r="N404" s="47" t="s">
        <v>148</v>
      </c>
      <c r="O404" s="47" t="s">
        <v>660</v>
      </c>
      <c r="P404" s="47"/>
      <c r="Q404" s="48" t="n">
        <f aca="false">IF($J404="","",IFERROR(IF($J404&lt;=1,INDEX(VN_국채일별!$B$4:$B$1436,MATCH($B404,VN_국채일별!$A$4:$A$1436,1)),IF($J404&lt;=2,INDEX(VN_국채일별!$B$4:$B$1436,MATCH($B404,VN_국채일별!$A$4:$A$1436,1))+(INDEX(VN_국채일별!$C$4:$C$1436,MATCH($B404,VN_국채일별!$A$4:$A$1436,1))-INDEX(VN_국채일별!$B$4:$B$1436,MATCH($B404,VN_국채일별!$A$4:$A$1436,1)))*($J404-1),IF($J404&lt;=3,INDEX(VN_국채일별!$C$4:$C$1436,MATCH($B404,VN_국채일별!$A$4:$A$1436,1))+(INDEX(VN_국채일별!$D$4:$D$1436,MATCH($B404,VN_국채일별!$A$4:$A$1436,1))-INDEX(VN_국채일별!$C$4:$C$1436,MATCH($B404,VN_국채일별!$A$4:$A$1436,1)))*($J404-2),IF($J404&lt;=5,INDEX(VN_국채일별!$D$4:$D$1436,MATCH($B404,VN_국채일별!$A$4:$A$1436,1))+(INDEX(VN_국채일별!$E$4:$E$1436,MATCH($B404,VN_국채일별!$A$4:$A$1436,1))-INDEX(VN_국채일별!$D$4:$D$1436,MATCH($B404,VN_국채일별!$A$4:$A$1436,1)))*($J404-3)/2,IF($J404&lt;=7,INDEX(VN_국채일별!$E$4:$E$1436,MATCH($B404,VN_국채일별!$A$4:$A$1436,1))+(INDEX(VN_국채일별!$F$4:$F$1436,MATCH($B404,VN_국채일별!$A$4:$A$1436,1))-INDEX(VN_국채일별!$E$4:$E$1436,MATCH($B404,VN_국채일별!$A$4:$A$1436,1)))*($J404-5)/2,IF($J404&lt;=10,INDEX(VN_국채일별!$F$4:$F$1436,MATCH($B404,VN_국채일별!$A$4:$A$1436,1))+(INDEX(VN_국채일별!$G$4:$G$1436,MATCH($B404,VN_국채일별!$A$4:$A$1436,1))-INDEX(VN_국채일별!$F$4:$F$1436,MATCH($B404,VN_국채일별!$A$4:$A$1436,1)))*($J404-7)/3,INDEX(VN_국채일별!$G$4:$G$1436,MATCH($B404,VN_국채일별!$A$4:$A$1436,1)))))))),""))</f>
        <v>0.02076</v>
      </c>
      <c r="R404" s="58" t="n">
        <f aca="false">IF(OR(L404="",Q404=""),"",(L404-Q404)*10000)</f>
        <v>352.4</v>
      </c>
      <c r="S404" s="30" t="n">
        <f aca="false">IF(AND(K404="고정",N404="N",J404&gt;=2,J404&lt;=4,I404&lt;&gt;""),1,0)</f>
        <v>1</v>
      </c>
      <c r="T404" s="59" t="n">
        <f aca="false">IF(S404=1,I404*L404,0)</f>
        <v>56</v>
      </c>
      <c r="U404" s="60" t="n">
        <f aca="false">IF(AND(S404=1,ISNUMBER(R404)),I404*R404,0)</f>
        <v>352400</v>
      </c>
      <c r="V404" s="30" t="n">
        <f aca="false">IF(AND(F404="Big4(국영)",K404="고정",N404="N",I404&lt;&gt;""),1,0)</f>
        <v>0</v>
      </c>
      <c r="W404" s="59" t="n">
        <f aca="false">IF(V404=1,I404*L404,0)</f>
        <v>0</v>
      </c>
      <c r="X404" s="60" t="n">
        <f aca="false">IF(AND(V404=1,ISNUMBER(R404)),I404*R404,0)</f>
        <v>0</v>
      </c>
      <c r="Y404" s="61" t="n">
        <f aca="false">IF(AND(S404=1,ISNUMBER(R404)),I404,0)</f>
        <v>1000</v>
      </c>
      <c r="Z404" s="61" t="n">
        <f aca="false">IF(AND(V404=1,ISNUMBER(R404)),I404,0)</f>
        <v>0</v>
      </c>
    </row>
    <row r="405" customFormat="false" ht="15" hidden="false" customHeight="false" outlineLevel="0" collapsed="false">
      <c r="A405" s="47" t="s">
        <v>763</v>
      </c>
      <c r="B405" s="52" t="n">
        <v>45646</v>
      </c>
      <c r="C405" s="53" t="n">
        <f aca="false">DATE(YEAR(B405),MONTH(B405),1)</f>
        <v>45627</v>
      </c>
      <c r="D405" s="5" t="str">
        <f aca="false">YEAR(B405)&amp;"Q"&amp;ROUNDUP(MONTH(B405)/3,0)</f>
        <v>2024Q4</v>
      </c>
      <c r="E405" s="47" t="s">
        <v>365</v>
      </c>
      <c r="F405" s="54" t="s">
        <v>139</v>
      </c>
      <c r="G405" s="47" t="s">
        <v>366</v>
      </c>
      <c r="H405" s="47" t="s">
        <v>801</v>
      </c>
      <c r="I405" s="55" t="n">
        <v>2000</v>
      </c>
      <c r="J405" s="56" t="n">
        <v>3</v>
      </c>
      <c r="K405" s="54" t="s">
        <v>142</v>
      </c>
      <c r="L405" s="57" t="n">
        <v>0.058</v>
      </c>
      <c r="N405" s="47" t="s">
        <v>148</v>
      </c>
      <c r="O405" s="47" t="s">
        <v>451</v>
      </c>
      <c r="P405" s="47"/>
      <c r="Q405" s="48" t="n">
        <f aca="false">IF($J405="","",IFERROR(IF($J405&lt;=1,INDEX(VN_국채일별!$B$4:$B$1436,MATCH($B405,VN_국채일별!$A$4:$A$1436,1)),IF($J405&lt;=2,INDEX(VN_국채일별!$B$4:$B$1436,MATCH($B405,VN_국채일별!$A$4:$A$1436,1))+(INDEX(VN_국채일별!$C$4:$C$1436,MATCH($B405,VN_국채일별!$A$4:$A$1436,1))-INDEX(VN_국채일별!$B$4:$B$1436,MATCH($B405,VN_국채일별!$A$4:$A$1436,1)))*($J405-1),IF($J405&lt;=3,INDEX(VN_국채일별!$C$4:$C$1436,MATCH($B405,VN_국채일별!$A$4:$A$1436,1))+(INDEX(VN_국채일별!$D$4:$D$1436,MATCH($B405,VN_국채일별!$A$4:$A$1436,1))-INDEX(VN_국채일별!$C$4:$C$1436,MATCH($B405,VN_국채일별!$A$4:$A$1436,1)))*($J405-2),IF($J405&lt;=5,INDEX(VN_국채일별!$D$4:$D$1436,MATCH($B405,VN_국채일별!$A$4:$A$1436,1))+(INDEX(VN_국채일별!$E$4:$E$1436,MATCH($B405,VN_국채일별!$A$4:$A$1436,1))-INDEX(VN_국채일별!$D$4:$D$1436,MATCH($B405,VN_국채일별!$A$4:$A$1436,1)))*($J405-3)/2,IF($J405&lt;=7,INDEX(VN_국채일별!$E$4:$E$1436,MATCH($B405,VN_국채일별!$A$4:$A$1436,1))+(INDEX(VN_국채일별!$F$4:$F$1436,MATCH($B405,VN_국채일별!$A$4:$A$1436,1))-INDEX(VN_국채일별!$E$4:$E$1436,MATCH($B405,VN_국채일별!$A$4:$A$1436,1)))*($J405-5)/2,IF($J405&lt;=10,INDEX(VN_국채일별!$F$4:$F$1436,MATCH($B405,VN_국채일별!$A$4:$A$1436,1))+(INDEX(VN_국채일별!$G$4:$G$1436,MATCH($B405,VN_국채일별!$A$4:$A$1436,1))-INDEX(VN_국채일별!$F$4:$F$1436,MATCH($B405,VN_국채일별!$A$4:$A$1436,1)))*($J405-7)/3,INDEX(VN_국채일별!$G$4:$G$1436,MATCH($B405,VN_국채일별!$A$4:$A$1436,1)))))))),""))</f>
        <v>0.02076</v>
      </c>
      <c r="R405" s="58" t="n">
        <f aca="false">IF(OR(L405="",Q405=""),"",(L405-Q405)*10000)</f>
        <v>372.4</v>
      </c>
      <c r="S405" s="30" t="n">
        <f aca="false">IF(AND(K405="고정",N405="N",J405&gt;=2,J405&lt;=4,I405&lt;&gt;""),1,0)</f>
        <v>1</v>
      </c>
      <c r="T405" s="59" t="n">
        <f aca="false">IF(S405=1,I405*L405,0)</f>
        <v>116</v>
      </c>
      <c r="U405" s="60" t="n">
        <f aca="false">IF(AND(S405=1,ISNUMBER(R405)),I405*R405,0)</f>
        <v>744800</v>
      </c>
      <c r="V405" s="30" t="n">
        <f aca="false">IF(AND(F405="Big4(국영)",K405="고정",N405="N",I405&lt;&gt;""),1,0)</f>
        <v>0</v>
      </c>
      <c r="W405" s="59" t="n">
        <f aca="false">IF(V405=1,I405*L405,0)</f>
        <v>0</v>
      </c>
      <c r="X405" s="60" t="n">
        <f aca="false">IF(AND(V405=1,ISNUMBER(R405)),I405*R405,0)</f>
        <v>0</v>
      </c>
      <c r="Y405" s="61" t="n">
        <f aca="false">IF(AND(S405=1,ISNUMBER(R405)),I405,0)</f>
        <v>2000</v>
      </c>
      <c r="Z405" s="61" t="n">
        <f aca="false">IF(AND(V405=1,ISNUMBER(R405)),I405,0)</f>
        <v>0</v>
      </c>
    </row>
    <row r="406" customFormat="false" ht="15" hidden="false" customHeight="false" outlineLevel="0" collapsed="false">
      <c r="A406" s="47" t="s">
        <v>763</v>
      </c>
      <c r="B406" s="52" t="n">
        <v>45646</v>
      </c>
      <c r="C406" s="53" t="n">
        <f aca="false">DATE(YEAR(B406),MONTH(B406),1)</f>
        <v>45627</v>
      </c>
      <c r="D406" s="5" t="str">
        <f aca="false">YEAR(B406)&amp;"Q"&amp;ROUNDUP(MONTH(B406)/3,0)</f>
        <v>2024Q4</v>
      </c>
      <c r="E406" s="47" t="s">
        <v>365</v>
      </c>
      <c r="F406" s="54" t="s">
        <v>139</v>
      </c>
      <c r="G406" s="47" t="s">
        <v>366</v>
      </c>
      <c r="H406" s="47" t="s">
        <v>802</v>
      </c>
      <c r="I406" s="55" t="n">
        <v>67.4</v>
      </c>
      <c r="J406" s="56" t="n">
        <v>10</v>
      </c>
      <c r="K406" s="54" t="s">
        <v>153</v>
      </c>
      <c r="N406" s="47" t="s">
        <v>143</v>
      </c>
      <c r="O406" s="47" t="s">
        <v>782</v>
      </c>
      <c r="P406" s="47"/>
      <c r="Q406" s="48" t="n">
        <f aca="false">IF($J406="","",IFERROR(IF($J406&lt;=1,INDEX(VN_국채일별!$B$4:$B$1436,MATCH($B406,VN_국채일별!$A$4:$A$1436,1)),IF($J406&lt;=2,INDEX(VN_국채일별!$B$4:$B$1436,MATCH($B406,VN_국채일별!$A$4:$A$1436,1))+(INDEX(VN_국채일별!$C$4:$C$1436,MATCH($B406,VN_국채일별!$A$4:$A$1436,1))-INDEX(VN_국채일별!$B$4:$B$1436,MATCH($B406,VN_국채일별!$A$4:$A$1436,1)))*($J406-1),IF($J406&lt;=3,INDEX(VN_국채일별!$C$4:$C$1436,MATCH($B406,VN_국채일별!$A$4:$A$1436,1))+(INDEX(VN_국채일별!$D$4:$D$1436,MATCH($B406,VN_국채일별!$A$4:$A$1436,1))-INDEX(VN_국채일별!$C$4:$C$1436,MATCH($B406,VN_국채일별!$A$4:$A$1436,1)))*($J406-2),IF($J406&lt;=5,INDEX(VN_국채일별!$D$4:$D$1436,MATCH($B406,VN_국채일별!$A$4:$A$1436,1))+(INDEX(VN_국채일별!$E$4:$E$1436,MATCH($B406,VN_국채일별!$A$4:$A$1436,1))-INDEX(VN_국채일별!$D$4:$D$1436,MATCH($B406,VN_국채일별!$A$4:$A$1436,1)))*($J406-3)/2,IF($J406&lt;=7,INDEX(VN_국채일별!$E$4:$E$1436,MATCH($B406,VN_국채일별!$A$4:$A$1436,1))+(INDEX(VN_국채일별!$F$4:$F$1436,MATCH($B406,VN_국채일별!$A$4:$A$1436,1))-INDEX(VN_국채일별!$E$4:$E$1436,MATCH($B406,VN_국채일별!$A$4:$A$1436,1)))*($J406-5)/2,IF($J406&lt;=10,INDEX(VN_국채일별!$F$4:$F$1436,MATCH($B406,VN_국채일별!$A$4:$A$1436,1))+(INDEX(VN_국채일별!$G$4:$G$1436,MATCH($B406,VN_국채일별!$A$4:$A$1436,1))-INDEX(VN_국채일별!$F$4:$F$1436,MATCH($B406,VN_국채일별!$A$4:$A$1436,1)))*($J406-7)/3,INDEX(VN_국채일별!$G$4:$G$1436,MATCH($B406,VN_국채일별!$A$4:$A$1436,1)))))))),""))</f>
        <v>0.03047</v>
      </c>
      <c r="R406" s="58" t="str">
        <f aca="false">IF(OR(L406="",Q406=""),"",(L406-Q406)*10000)</f>
        <v/>
      </c>
      <c r="S406" s="30" t="n">
        <f aca="false">IF(AND(K406="고정",N406="N",J406&gt;=2,J406&lt;=4,I406&lt;&gt;""),1,0)</f>
        <v>0</v>
      </c>
      <c r="T406" s="59" t="n">
        <f aca="false">IF(S406=1,I406*L406,0)</f>
        <v>0</v>
      </c>
      <c r="U406" s="60" t="n">
        <f aca="false">IF(AND(S406=1,ISNUMBER(R406)),I406*R406,0)</f>
        <v>0</v>
      </c>
      <c r="V406" s="30" t="n">
        <f aca="false">IF(AND(F406="Big4(국영)",K406="고정",N406="N",I406&lt;&gt;""),1,0)</f>
        <v>0</v>
      </c>
      <c r="W406" s="59" t="n">
        <f aca="false">IF(V406=1,I406*L406,0)</f>
        <v>0</v>
      </c>
      <c r="X406" s="60" t="n">
        <f aca="false">IF(AND(V406=1,ISNUMBER(R406)),I406*R406,0)</f>
        <v>0</v>
      </c>
      <c r="Y406" s="61" t="n">
        <f aca="false">IF(AND(S406=1,ISNUMBER(R406)),I406,0)</f>
        <v>0</v>
      </c>
      <c r="Z406" s="61" t="n">
        <f aca="false">IF(AND(V406=1,ISNUMBER(R406)),I406,0)</f>
        <v>0</v>
      </c>
    </row>
    <row r="407" customFormat="false" ht="15" hidden="false" customHeight="false" outlineLevel="0" collapsed="false">
      <c r="A407" s="47" t="s">
        <v>763</v>
      </c>
      <c r="B407" s="52" t="n">
        <v>45647</v>
      </c>
      <c r="C407" s="53" t="n">
        <f aca="false">DATE(YEAR(B407),MONTH(B407),1)</f>
        <v>45627</v>
      </c>
      <c r="D407" s="5" t="str">
        <f aca="false">YEAR(B407)&amp;"Q"&amp;ROUNDUP(MONTH(B407)/3,0)</f>
        <v>2024Q4</v>
      </c>
      <c r="E407" s="47" t="s">
        <v>803</v>
      </c>
      <c r="F407" s="54" t="s">
        <v>139</v>
      </c>
      <c r="G407" s="47" t="s">
        <v>804</v>
      </c>
      <c r="H407" s="47" t="s">
        <v>805</v>
      </c>
      <c r="I407" s="55" t="n">
        <v>800</v>
      </c>
      <c r="J407" s="56" t="n">
        <v>7</v>
      </c>
      <c r="K407" s="54" t="s">
        <v>153</v>
      </c>
      <c r="N407" s="47" t="s">
        <v>143</v>
      </c>
      <c r="O407" s="47" t="s">
        <v>806</v>
      </c>
      <c r="P407" s="47"/>
      <c r="Q407" s="48" t="n">
        <f aca="false">IF($J407="","",IFERROR(IF($J407&lt;=1,INDEX(VN_국채일별!$B$4:$B$1436,MATCH($B407,VN_국채일별!$A$4:$A$1436,1)),IF($J407&lt;=2,INDEX(VN_국채일별!$B$4:$B$1436,MATCH($B407,VN_국채일별!$A$4:$A$1436,1))+(INDEX(VN_국채일별!$C$4:$C$1436,MATCH($B407,VN_국채일별!$A$4:$A$1436,1))-INDEX(VN_국채일별!$B$4:$B$1436,MATCH($B407,VN_국채일별!$A$4:$A$1436,1)))*($J407-1),IF($J407&lt;=3,INDEX(VN_국채일별!$C$4:$C$1436,MATCH($B407,VN_국채일별!$A$4:$A$1436,1))+(INDEX(VN_국채일별!$D$4:$D$1436,MATCH($B407,VN_국채일별!$A$4:$A$1436,1))-INDEX(VN_국채일별!$C$4:$C$1436,MATCH($B407,VN_국채일별!$A$4:$A$1436,1)))*($J407-2),IF($J407&lt;=5,INDEX(VN_국채일별!$D$4:$D$1436,MATCH($B407,VN_국채일별!$A$4:$A$1436,1))+(INDEX(VN_국채일별!$E$4:$E$1436,MATCH($B407,VN_국채일별!$A$4:$A$1436,1))-INDEX(VN_국채일별!$D$4:$D$1436,MATCH($B407,VN_국채일별!$A$4:$A$1436,1)))*($J407-3)/2,IF($J407&lt;=7,INDEX(VN_국채일별!$E$4:$E$1436,MATCH($B407,VN_국채일별!$A$4:$A$1436,1))+(INDEX(VN_국채일별!$F$4:$F$1436,MATCH($B407,VN_국채일별!$A$4:$A$1436,1))-INDEX(VN_국채일별!$E$4:$E$1436,MATCH($B407,VN_국채일별!$A$4:$A$1436,1)))*($J407-5)/2,IF($J407&lt;=10,INDEX(VN_국채일별!$F$4:$F$1436,MATCH($B407,VN_국채일별!$A$4:$A$1436,1))+(INDEX(VN_국채일별!$G$4:$G$1436,MATCH($B407,VN_국채일별!$A$4:$A$1436,1))-INDEX(VN_국채일별!$F$4:$F$1436,MATCH($B407,VN_국채일별!$A$4:$A$1436,1)))*($J407-7)/3,INDEX(VN_국채일별!$G$4:$G$1436,MATCH($B407,VN_국채일별!$A$4:$A$1436,1)))))))),""))</f>
        <v>0.02603</v>
      </c>
      <c r="R407" s="58" t="str">
        <f aca="false">IF(OR(L407="",Q407=""),"",(L407-Q407)*10000)</f>
        <v/>
      </c>
      <c r="S407" s="30" t="n">
        <f aca="false">IF(AND(K407="고정",N407="N",J407&gt;=2,J407&lt;=4,I407&lt;&gt;""),1,0)</f>
        <v>0</v>
      </c>
      <c r="T407" s="59" t="n">
        <f aca="false">IF(S407=1,I407*L407,0)</f>
        <v>0</v>
      </c>
      <c r="U407" s="60" t="n">
        <f aca="false">IF(AND(S407=1,ISNUMBER(R407)),I407*R407,0)</f>
        <v>0</v>
      </c>
      <c r="V407" s="30" t="n">
        <f aca="false">IF(AND(F407="Big4(국영)",K407="고정",N407="N",I407&lt;&gt;""),1,0)</f>
        <v>0</v>
      </c>
      <c r="W407" s="59" t="n">
        <f aca="false">IF(V407=1,I407*L407,0)</f>
        <v>0</v>
      </c>
      <c r="X407" s="60" t="n">
        <f aca="false">IF(AND(V407=1,ISNUMBER(R407)),I407*R407,0)</f>
        <v>0</v>
      </c>
      <c r="Y407" s="61" t="n">
        <f aca="false">IF(AND(S407=1,ISNUMBER(R407)),I407,0)</f>
        <v>0</v>
      </c>
      <c r="Z407" s="61" t="n">
        <f aca="false">IF(AND(V407=1,ISNUMBER(R407)),I407,0)</f>
        <v>0</v>
      </c>
    </row>
    <row r="408" customFormat="false" ht="15" hidden="false" customHeight="false" outlineLevel="0" collapsed="false">
      <c r="A408" s="47" t="s">
        <v>763</v>
      </c>
      <c r="B408" s="52" t="n">
        <v>45649</v>
      </c>
      <c r="C408" s="53" t="n">
        <f aca="false">DATE(YEAR(B408),MONTH(B408),1)</f>
        <v>45627</v>
      </c>
      <c r="D408" s="5" t="str">
        <f aca="false">YEAR(B408)&amp;"Q"&amp;ROUNDUP(MONTH(B408)/3,0)</f>
        <v>2024Q4</v>
      </c>
      <c r="E408" s="47" t="s">
        <v>160</v>
      </c>
      <c r="F408" s="54" t="s">
        <v>139</v>
      </c>
      <c r="G408" s="47" t="s">
        <v>161</v>
      </c>
      <c r="H408" s="47" t="s">
        <v>807</v>
      </c>
      <c r="I408" s="55" t="n">
        <v>50</v>
      </c>
      <c r="J408" s="56" t="n">
        <v>8</v>
      </c>
      <c r="K408" s="54" t="s">
        <v>153</v>
      </c>
      <c r="N408" s="47" t="s">
        <v>143</v>
      </c>
      <c r="O408" s="47" t="s">
        <v>808</v>
      </c>
      <c r="P408" s="47"/>
      <c r="Q408" s="48" t="n">
        <f aca="false">IF($J408="","",IFERROR(IF($J408&lt;=1,INDEX(VN_국채일별!$B$4:$B$1436,MATCH($B408,VN_국채일별!$A$4:$A$1436,1)),IF($J408&lt;=2,INDEX(VN_국채일별!$B$4:$B$1436,MATCH($B408,VN_국채일별!$A$4:$A$1436,1))+(INDEX(VN_국채일별!$C$4:$C$1436,MATCH($B408,VN_국채일별!$A$4:$A$1436,1))-INDEX(VN_국채일별!$B$4:$B$1436,MATCH($B408,VN_국채일별!$A$4:$A$1436,1)))*($J408-1),IF($J408&lt;=3,INDEX(VN_국채일별!$C$4:$C$1436,MATCH($B408,VN_국채일별!$A$4:$A$1436,1))+(INDEX(VN_국채일별!$D$4:$D$1436,MATCH($B408,VN_국채일별!$A$4:$A$1436,1))-INDEX(VN_국채일별!$C$4:$C$1436,MATCH($B408,VN_국채일별!$A$4:$A$1436,1)))*($J408-2),IF($J408&lt;=5,INDEX(VN_국채일별!$D$4:$D$1436,MATCH($B408,VN_국채일별!$A$4:$A$1436,1))+(INDEX(VN_국채일별!$E$4:$E$1436,MATCH($B408,VN_국채일별!$A$4:$A$1436,1))-INDEX(VN_국채일별!$D$4:$D$1436,MATCH($B408,VN_국채일별!$A$4:$A$1436,1)))*($J408-3)/2,IF($J408&lt;=7,INDEX(VN_국채일별!$E$4:$E$1436,MATCH($B408,VN_국채일별!$A$4:$A$1436,1))+(INDEX(VN_국채일별!$F$4:$F$1436,MATCH($B408,VN_국채일별!$A$4:$A$1436,1))-INDEX(VN_국채일별!$E$4:$E$1436,MATCH($B408,VN_국채일별!$A$4:$A$1436,1)))*($J408-5)/2,IF($J408&lt;=10,INDEX(VN_국채일별!$F$4:$F$1436,MATCH($B408,VN_국채일별!$A$4:$A$1436,1))+(INDEX(VN_국채일별!$G$4:$G$1436,MATCH($B408,VN_국채일별!$A$4:$A$1436,1))-INDEX(VN_국채일별!$F$4:$F$1436,MATCH($B408,VN_국채일별!$A$4:$A$1436,1)))*($J408-7)/3,INDEX(VN_국채일별!$G$4:$G$1436,MATCH($B408,VN_국채일별!$A$4:$A$1436,1)))))))),""))</f>
        <v>0.0276066666666667</v>
      </c>
      <c r="R408" s="58" t="str">
        <f aca="false">IF(OR(L408="",Q408=""),"",(L408-Q408)*10000)</f>
        <v/>
      </c>
      <c r="S408" s="30" t="n">
        <f aca="false">IF(AND(K408="고정",N408="N",J408&gt;=2,J408&lt;=4,I408&lt;&gt;""),1,0)</f>
        <v>0</v>
      </c>
      <c r="T408" s="59" t="n">
        <f aca="false">IF(S408=1,I408*L408,0)</f>
        <v>0</v>
      </c>
      <c r="U408" s="60" t="n">
        <f aca="false">IF(AND(S408=1,ISNUMBER(R408)),I408*R408,0)</f>
        <v>0</v>
      </c>
      <c r="V408" s="30" t="n">
        <f aca="false">IF(AND(F408="Big4(국영)",K408="고정",N408="N",I408&lt;&gt;""),1,0)</f>
        <v>0</v>
      </c>
      <c r="W408" s="59" t="n">
        <f aca="false">IF(V408=1,I408*L408,0)</f>
        <v>0</v>
      </c>
      <c r="X408" s="60" t="n">
        <f aca="false">IF(AND(V408=1,ISNUMBER(R408)),I408*R408,0)</f>
        <v>0</v>
      </c>
      <c r="Y408" s="61" t="n">
        <f aca="false">IF(AND(S408=1,ISNUMBER(R408)),I408,0)</f>
        <v>0</v>
      </c>
      <c r="Z408" s="61" t="n">
        <f aca="false">IF(AND(V408=1,ISNUMBER(R408)),I408,0)</f>
        <v>0</v>
      </c>
    </row>
    <row r="409" customFormat="false" ht="15" hidden="false" customHeight="false" outlineLevel="0" collapsed="false">
      <c r="A409" s="47" t="s">
        <v>763</v>
      </c>
      <c r="B409" s="52" t="n">
        <v>45649</v>
      </c>
      <c r="C409" s="53" t="n">
        <f aca="false">DATE(YEAR(B409),MONTH(B409),1)</f>
        <v>45627</v>
      </c>
      <c r="D409" s="5" t="str">
        <f aca="false">YEAR(B409)&amp;"Q"&amp;ROUNDUP(MONTH(B409)/3,0)</f>
        <v>2024Q4</v>
      </c>
      <c r="E409" s="47" t="s">
        <v>145</v>
      </c>
      <c r="F409" s="54" t="s">
        <v>139</v>
      </c>
      <c r="G409" s="47" t="s">
        <v>146</v>
      </c>
      <c r="H409" s="47" t="s">
        <v>809</v>
      </c>
      <c r="I409" s="55" t="n">
        <v>1000</v>
      </c>
      <c r="J409" s="56" t="n">
        <v>3</v>
      </c>
      <c r="K409" s="54" t="s">
        <v>142</v>
      </c>
      <c r="L409" s="57" t="n">
        <v>0.056</v>
      </c>
      <c r="N409" s="47" t="s">
        <v>148</v>
      </c>
      <c r="O409" s="47" t="s">
        <v>660</v>
      </c>
      <c r="P409" s="47"/>
      <c r="Q409" s="48" t="n">
        <f aca="false">IF($J409="","",IFERROR(IF($J409&lt;=1,INDEX(VN_국채일별!$B$4:$B$1436,MATCH($B409,VN_국채일별!$A$4:$A$1436,1)),IF($J409&lt;=2,INDEX(VN_국채일별!$B$4:$B$1436,MATCH($B409,VN_국채일별!$A$4:$A$1436,1))+(INDEX(VN_국채일별!$C$4:$C$1436,MATCH($B409,VN_국채일별!$A$4:$A$1436,1))-INDEX(VN_국채일별!$B$4:$B$1436,MATCH($B409,VN_국채일별!$A$4:$A$1436,1)))*($J409-1),IF($J409&lt;=3,INDEX(VN_국채일별!$C$4:$C$1436,MATCH($B409,VN_국채일별!$A$4:$A$1436,1))+(INDEX(VN_국채일별!$D$4:$D$1436,MATCH($B409,VN_국채일별!$A$4:$A$1436,1))-INDEX(VN_국채일별!$C$4:$C$1436,MATCH($B409,VN_국채일별!$A$4:$A$1436,1)))*($J409-2),IF($J409&lt;=5,INDEX(VN_국채일별!$D$4:$D$1436,MATCH($B409,VN_국채일별!$A$4:$A$1436,1))+(INDEX(VN_국채일별!$E$4:$E$1436,MATCH($B409,VN_국채일별!$A$4:$A$1436,1))-INDEX(VN_국채일별!$D$4:$D$1436,MATCH($B409,VN_국채일별!$A$4:$A$1436,1)))*($J409-3)/2,IF($J409&lt;=7,INDEX(VN_국채일별!$E$4:$E$1436,MATCH($B409,VN_국채일별!$A$4:$A$1436,1))+(INDEX(VN_국채일별!$F$4:$F$1436,MATCH($B409,VN_국채일별!$A$4:$A$1436,1))-INDEX(VN_국채일별!$E$4:$E$1436,MATCH($B409,VN_국채일별!$A$4:$A$1436,1)))*($J409-5)/2,IF($J409&lt;=10,INDEX(VN_국채일별!$F$4:$F$1436,MATCH($B409,VN_국채일별!$A$4:$A$1436,1))+(INDEX(VN_국채일별!$G$4:$G$1436,MATCH($B409,VN_국채일별!$A$4:$A$1436,1))-INDEX(VN_국채일별!$F$4:$F$1436,MATCH($B409,VN_국채일별!$A$4:$A$1436,1)))*($J409-7)/3,INDEX(VN_국채일별!$G$4:$G$1436,MATCH($B409,VN_국채일별!$A$4:$A$1436,1)))))))),""))</f>
        <v>0.02112</v>
      </c>
      <c r="R409" s="58" t="n">
        <f aca="false">IF(OR(L409="",Q409=""),"",(L409-Q409)*10000)</f>
        <v>348.8</v>
      </c>
      <c r="S409" s="30" t="n">
        <f aca="false">IF(AND(K409="고정",N409="N",J409&gt;=2,J409&lt;=4,I409&lt;&gt;""),1,0)</f>
        <v>1</v>
      </c>
      <c r="T409" s="59" t="n">
        <f aca="false">IF(S409=1,I409*L409,0)</f>
        <v>56</v>
      </c>
      <c r="U409" s="60" t="n">
        <f aca="false">IF(AND(S409=1,ISNUMBER(R409)),I409*R409,0)</f>
        <v>348800</v>
      </c>
      <c r="V409" s="30" t="n">
        <f aca="false">IF(AND(F409="Big4(국영)",K409="고정",N409="N",I409&lt;&gt;""),1,0)</f>
        <v>0</v>
      </c>
      <c r="W409" s="59" t="n">
        <f aca="false">IF(V409=1,I409*L409,0)</f>
        <v>0</v>
      </c>
      <c r="X409" s="60" t="n">
        <f aca="false">IF(AND(V409=1,ISNUMBER(R409)),I409*R409,0)</f>
        <v>0</v>
      </c>
      <c r="Y409" s="61" t="n">
        <f aca="false">IF(AND(S409=1,ISNUMBER(R409)),I409,0)</f>
        <v>1000</v>
      </c>
      <c r="Z409" s="61" t="n">
        <f aca="false">IF(AND(V409=1,ISNUMBER(R409)),I409,0)</f>
        <v>0</v>
      </c>
    </row>
    <row r="410" customFormat="false" ht="15" hidden="false" customHeight="false" outlineLevel="0" collapsed="false">
      <c r="A410" s="47" t="s">
        <v>763</v>
      </c>
      <c r="B410" s="52" t="n">
        <v>45649</v>
      </c>
      <c r="C410" s="53" t="n">
        <f aca="false">DATE(YEAR(B410),MONTH(B410),1)</f>
        <v>45627</v>
      </c>
      <c r="D410" s="5" t="str">
        <f aca="false">YEAR(B410)&amp;"Q"&amp;ROUNDUP(MONTH(B410)/3,0)</f>
        <v>2024Q4</v>
      </c>
      <c r="E410" s="47" t="s">
        <v>248</v>
      </c>
      <c r="F410" s="54" t="s">
        <v>139</v>
      </c>
      <c r="G410" s="47" t="s">
        <v>361</v>
      </c>
      <c r="H410" s="47" t="s">
        <v>810</v>
      </c>
      <c r="I410" s="55" t="n">
        <v>1150</v>
      </c>
      <c r="J410" s="56" t="n">
        <v>5</v>
      </c>
      <c r="K410" s="54" t="s">
        <v>142</v>
      </c>
      <c r="L410" s="57" t="n">
        <v>0.062</v>
      </c>
      <c r="N410" s="47" t="s">
        <v>148</v>
      </c>
      <c r="O410" s="47" t="s">
        <v>485</v>
      </c>
      <c r="P410" s="47"/>
      <c r="Q410" s="48" t="n">
        <f aca="false">IF($J410="","",IFERROR(IF($J410&lt;=1,INDEX(VN_국채일별!$B$4:$B$1436,MATCH($B410,VN_국채일별!$A$4:$A$1436,1)),IF($J410&lt;=2,INDEX(VN_국채일별!$B$4:$B$1436,MATCH($B410,VN_국채일별!$A$4:$A$1436,1))+(INDEX(VN_국채일별!$C$4:$C$1436,MATCH($B410,VN_국채일별!$A$4:$A$1436,1))-INDEX(VN_국채일별!$B$4:$B$1436,MATCH($B410,VN_국채일별!$A$4:$A$1436,1)))*($J410-1),IF($J410&lt;=3,INDEX(VN_국채일별!$C$4:$C$1436,MATCH($B410,VN_국채일별!$A$4:$A$1436,1))+(INDEX(VN_국채일별!$D$4:$D$1436,MATCH($B410,VN_국채일별!$A$4:$A$1436,1))-INDEX(VN_국채일별!$C$4:$C$1436,MATCH($B410,VN_국채일별!$A$4:$A$1436,1)))*($J410-2),IF($J410&lt;=5,INDEX(VN_국채일별!$D$4:$D$1436,MATCH($B410,VN_국채일별!$A$4:$A$1436,1))+(INDEX(VN_국채일별!$E$4:$E$1436,MATCH($B410,VN_국채일별!$A$4:$A$1436,1))-INDEX(VN_국채일별!$D$4:$D$1436,MATCH($B410,VN_국채일별!$A$4:$A$1436,1)))*($J410-3)/2,IF($J410&lt;=7,INDEX(VN_국채일별!$E$4:$E$1436,MATCH($B410,VN_국채일별!$A$4:$A$1436,1))+(INDEX(VN_국채일별!$F$4:$F$1436,MATCH($B410,VN_국채일별!$A$4:$A$1436,1))-INDEX(VN_국채일별!$E$4:$E$1436,MATCH($B410,VN_국채일별!$A$4:$A$1436,1)))*($J410-5)/2,IF($J410&lt;=10,INDEX(VN_국채일별!$F$4:$F$1436,MATCH($B410,VN_국채일별!$A$4:$A$1436,1))+(INDEX(VN_국채일별!$G$4:$G$1436,MATCH($B410,VN_국채일별!$A$4:$A$1436,1))-INDEX(VN_국채일별!$F$4:$F$1436,MATCH($B410,VN_국채일별!$A$4:$A$1436,1)))*($J410-7)/3,INDEX(VN_국채일별!$G$4:$G$1436,MATCH($B410,VN_국채일별!$A$4:$A$1436,1)))))))),""))</f>
        <v>0.02408</v>
      </c>
      <c r="R410" s="58" t="n">
        <f aca="false">IF(OR(L410="",Q410=""),"",(L410-Q410)*10000)</f>
        <v>379.2</v>
      </c>
      <c r="S410" s="30" t="n">
        <f aca="false">IF(AND(K410="고정",N410="N",J410&gt;=2,J410&lt;=4,I410&lt;&gt;""),1,0)</f>
        <v>0</v>
      </c>
      <c r="T410" s="59" t="n">
        <f aca="false">IF(S410=1,I410*L410,0)</f>
        <v>0</v>
      </c>
      <c r="U410" s="60" t="n">
        <f aca="false">IF(AND(S410=1,ISNUMBER(R410)),I410*R410,0)</f>
        <v>0</v>
      </c>
      <c r="V410" s="30" t="n">
        <f aca="false">IF(AND(F410="Big4(국영)",K410="고정",N410="N",I410&lt;&gt;""),1,0)</f>
        <v>0</v>
      </c>
      <c r="W410" s="59" t="n">
        <f aca="false">IF(V410=1,I410*L410,0)</f>
        <v>0</v>
      </c>
      <c r="X410" s="60" t="n">
        <f aca="false">IF(AND(V410=1,ISNUMBER(R410)),I410*R410,0)</f>
        <v>0</v>
      </c>
      <c r="Y410" s="61" t="n">
        <f aca="false">IF(AND(S410=1,ISNUMBER(R410)),I410,0)</f>
        <v>0</v>
      </c>
      <c r="Z410" s="61" t="n">
        <f aca="false">IF(AND(V410=1,ISNUMBER(R410)),I410,0)</f>
        <v>0</v>
      </c>
    </row>
    <row r="411" customFormat="false" ht="15" hidden="false" customHeight="false" outlineLevel="0" collapsed="false">
      <c r="A411" s="47" t="s">
        <v>763</v>
      </c>
      <c r="B411" s="52" t="n">
        <v>45649</v>
      </c>
      <c r="C411" s="53" t="n">
        <f aca="false">DATE(YEAR(B411),MONTH(B411),1)</f>
        <v>45627</v>
      </c>
      <c r="D411" s="5" t="str">
        <f aca="false">YEAR(B411)&amp;"Q"&amp;ROUNDUP(MONTH(B411)/3,0)</f>
        <v>2024Q4</v>
      </c>
      <c r="E411" s="47" t="s">
        <v>160</v>
      </c>
      <c r="F411" s="54" t="s">
        <v>139</v>
      </c>
      <c r="G411" s="47" t="s">
        <v>161</v>
      </c>
      <c r="H411" s="47" t="s">
        <v>811</v>
      </c>
      <c r="I411" s="55" t="n">
        <v>700</v>
      </c>
      <c r="J411" s="56" t="n">
        <v>8</v>
      </c>
      <c r="K411" s="54" t="s">
        <v>153</v>
      </c>
      <c r="N411" s="47" t="s">
        <v>143</v>
      </c>
      <c r="O411" s="47" t="s">
        <v>808</v>
      </c>
      <c r="P411" s="47"/>
      <c r="Q411" s="48" t="n">
        <f aca="false">IF($J411="","",IFERROR(IF($J411&lt;=1,INDEX(VN_국채일별!$B$4:$B$1436,MATCH($B411,VN_국채일별!$A$4:$A$1436,1)),IF($J411&lt;=2,INDEX(VN_국채일별!$B$4:$B$1436,MATCH($B411,VN_국채일별!$A$4:$A$1436,1))+(INDEX(VN_국채일별!$C$4:$C$1436,MATCH($B411,VN_국채일별!$A$4:$A$1436,1))-INDEX(VN_국채일별!$B$4:$B$1436,MATCH($B411,VN_국채일별!$A$4:$A$1436,1)))*($J411-1),IF($J411&lt;=3,INDEX(VN_국채일별!$C$4:$C$1436,MATCH($B411,VN_국채일별!$A$4:$A$1436,1))+(INDEX(VN_국채일별!$D$4:$D$1436,MATCH($B411,VN_국채일별!$A$4:$A$1436,1))-INDEX(VN_국채일별!$C$4:$C$1436,MATCH($B411,VN_국채일별!$A$4:$A$1436,1)))*($J411-2),IF($J411&lt;=5,INDEX(VN_국채일별!$D$4:$D$1436,MATCH($B411,VN_국채일별!$A$4:$A$1436,1))+(INDEX(VN_국채일별!$E$4:$E$1436,MATCH($B411,VN_국채일별!$A$4:$A$1436,1))-INDEX(VN_국채일별!$D$4:$D$1436,MATCH($B411,VN_국채일별!$A$4:$A$1436,1)))*($J411-3)/2,IF($J411&lt;=7,INDEX(VN_국채일별!$E$4:$E$1436,MATCH($B411,VN_국채일별!$A$4:$A$1436,1))+(INDEX(VN_국채일별!$F$4:$F$1436,MATCH($B411,VN_국채일별!$A$4:$A$1436,1))-INDEX(VN_국채일별!$E$4:$E$1436,MATCH($B411,VN_국채일별!$A$4:$A$1436,1)))*($J411-5)/2,IF($J411&lt;=10,INDEX(VN_국채일별!$F$4:$F$1436,MATCH($B411,VN_국채일별!$A$4:$A$1436,1))+(INDEX(VN_국채일별!$G$4:$G$1436,MATCH($B411,VN_국채일별!$A$4:$A$1436,1))-INDEX(VN_국채일별!$F$4:$F$1436,MATCH($B411,VN_국채일별!$A$4:$A$1436,1)))*($J411-7)/3,INDEX(VN_국채일별!$G$4:$G$1436,MATCH($B411,VN_국채일별!$A$4:$A$1436,1)))))))),""))</f>
        <v>0.0276066666666667</v>
      </c>
      <c r="R411" s="58" t="str">
        <f aca="false">IF(OR(L411="",Q411=""),"",(L411-Q411)*10000)</f>
        <v/>
      </c>
      <c r="S411" s="30" t="n">
        <f aca="false">IF(AND(K411="고정",N411="N",J411&gt;=2,J411&lt;=4,I411&lt;&gt;""),1,0)</f>
        <v>0</v>
      </c>
      <c r="T411" s="59" t="n">
        <f aca="false">IF(S411=1,I411*L411,0)</f>
        <v>0</v>
      </c>
      <c r="U411" s="60" t="n">
        <f aca="false">IF(AND(S411=1,ISNUMBER(R411)),I411*R411,0)</f>
        <v>0</v>
      </c>
      <c r="V411" s="30" t="n">
        <f aca="false">IF(AND(F411="Big4(국영)",K411="고정",N411="N",I411&lt;&gt;""),1,0)</f>
        <v>0</v>
      </c>
      <c r="W411" s="59" t="n">
        <f aca="false">IF(V411=1,I411*L411,0)</f>
        <v>0</v>
      </c>
      <c r="X411" s="60" t="n">
        <f aca="false">IF(AND(V411=1,ISNUMBER(R411)),I411*R411,0)</f>
        <v>0</v>
      </c>
      <c r="Y411" s="61" t="n">
        <f aca="false">IF(AND(S411=1,ISNUMBER(R411)),I411,0)</f>
        <v>0</v>
      </c>
      <c r="Z411" s="61" t="n">
        <f aca="false">IF(AND(V411=1,ISNUMBER(R411)),I411,0)</f>
        <v>0</v>
      </c>
    </row>
    <row r="412" customFormat="false" ht="15" hidden="false" customHeight="false" outlineLevel="0" collapsed="false">
      <c r="A412" s="47" t="s">
        <v>763</v>
      </c>
      <c r="B412" s="52" t="n">
        <v>45650</v>
      </c>
      <c r="C412" s="53" t="n">
        <f aca="false">DATE(YEAR(B412),MONTH(B412),1)</f>
        <v>45627</v>
      </c>
      <c r="D412" s="5" t="str">
        <f aca="false">YEAR(B412)&amp;"Q"&amp;ROUNDUP(MONTH(B412)/3,0)</f>
        <v>2024Q4</v>
      </c>
      <c r="E412" s="47" t="s">
        <v>248</v>
      </c>
      <c r="F412" s="54" t="s">
        <v>139</v>
      </c>
      <c r="G412" s="47" t="s">
        <v>361</v>
      </c>
      <c r="H412" s="47" t="s">
        <v>812</v>
      </c>
      <c r="I412" s="55" t="n">
        <v>500</v>
      </c>
      <c r="J412" s="56" t="n">
        <v>7</v>
      </c>
      <c r="K412" s="54" t="s">
        <v>153</v>
      </c>
      <c r="N412" s="47" t="s">
        <v>143</v>
      </c>
      <c r="O412" s="47" t="s">
        <v>411</v>
      </c>
      <c r="P412" s="47"/>
      <c r="Q412" s="48" t="n">
        <f aca="false">IF($J412="","",IFERROR(IF($J412&lt;=1,INDEX(VN_국채일별!$B$4:$B$1436,MATCH($B412,VN_국채일별!$A$4:$A$1436,1)),IF($J412&lt;=2,INDEX(VN_국채일별!$B$4:$B$1436,MATCH($B412,VN_국채일별!$A$4:$A$1436,1))+(INDEX(VN_국채일별!$C$4:$C$1436,MATCH($B412,VN_국채일별!$A$4:$A$1436,1))-INDEX(VN_국채일별!$B$4:$B$1436,MATCH($B412,VN_국채일별!$A$4:$A$1436,1)))*($J412-1),IF($J412&lt;=3,INDEX(VN_국채일별!$C$4:$C$1436,MATCH($B412,VN_국채일별!$A$4:$A$1436,1))+(INDEX(VN_국채일별!$D$4:$D$1436,MATCH($B412,VN_국채일별!$A$4:$A$1436,1))-INDEX(VN_국채일별!$C$4:$C$1436,MATCH($B412,VN_국채일별!$A$4:$A$1436,1)))*($J412-2),IF($J412&lt;=5,INDEX(VN_국채일별!$D$4:$D$1436,MATCH($B412,VN_국채일별!$A$4:$A$1436,1))+(INDEX(VN_국채일별!$E$4:$E$1436,MATCH($B412,VN_국채일별!$A$4:$A$1436,1))-INDEX(VN_국채일별!$D$4:$D$1436,MATCH($B412,VN_국채일별!$A$4:$A$1436,1)))*($J412-3)/2,IF($J412&lt;=7,INDEX(VN_국채일별!$E$4:$E$1436,MATCH($B412,VN_국채일별!$A$4:$A$1436,1))+(INDEX(VN_국채일별!$F$4:$F$1436,MATCH($B412,VN_국채일별!$A$4:$A$1436,1))-INDEX(VN_국채일별!$E$4:$E$1436,MATCH($B412,VN_국채일별!$A$4:$A$1436,1)))*($J412-5)/2,IF($J412&lt;=10,INDEX(VN_국채일별!$F$4:$F$1436,MATCH($B412,VN_국채일별!$A$4:$A$1436,1))+(INDEX(VN_국채일별!$G$4:$G$1436,MATCH($B412,VN_국채일별!$A$4:$A$1436,1))-INDEX(VN_국채일별!$F$4:$F$1436,MATCH($B412,VN_국채일별!$A$4:$A$1436,1)))*($J412-7)/3,INDEX(VN_국채일별!$G$4:$G$1436,MATCH($B412,VN_국채일별!$A$4:$A$1436,1)))))))),""))</f>
        <v>0.02627</v>
      </c>
      <c r="R412" s="58" t="str">
        <f aca="false">IF(OR(L412="",Q412=""),"",(L412-Q412)*10000)</f>
        <v/>
      </c>
      <c r="S412" s="30" t="n">
        <f aca="false">IF(AND(K412="고정",N412="N",J412&gt;=2,J412&lt;=4,I412&lt;&gt;""),1,0)</f>
        <v>0</v>
      </c>
      <c r="T412" s="59" t="n">
        <f aca="false">IF(S412=1,I412*L412,0)</f>
        <v>0</v>
      </c>
      <c r="U412" s="60" t="n">
        <f aca="false">IF(AND(S412=1,ISNUMBER(R412)),I412*R412,0)</f>
        <v>0</v>
      </c>
      <c r="V412" s="30" t="n">
        <f aca="false">IF(AND(F412="Big4(국영)",K412="고정",N412="N",I412&lt;&gt;""),1,0)</f>
        <v>0</v>
      </c>
      <c r="W412" s="59" t="n">
        <f aca="false">IF(V412=1,I412*L412,0)</f>
        <v>0</v>
      </c>
      <c r="X412" s="60" t="n">
        <f aca="false">IF(AND(V412=1,ISNUMBER(R412)),I412*R412,0)</f>
        <v>0</v>
      </c>
      <c r="Y412" s="61" t="n">
        <f aca="false">IF(AND(S412=1,ISNUMBER(R412)),I412,0)</f>
        <v>0</v>
      </c>
      <c r="Z412" s="61" t="n">
        <f aca="false">IF(AND(V412=1,ISNUMBER(R412)),I412,0)</f>
        <v>0</v>
      </c>
    </row>
    <row r="413" customFormat="false" ht="15" hidden="false" customHeight="false" outlineLevel="0" collapsed="false">
      <c r="A413" s="47" t="s">
        <v>763</v>
      </c>
      <c r="B413" s="52" t="n">
        <v>45650</v>
      </c>
      <c r="C413" s="53" t="n">
        <f aca="false">DATE(YEAR(B413),MONTH(B413),1)</f>
        <v>45627</v>
      </c>
      <c r="D413" s="5" t="str">
        <f aca="false">YEAR(B413)&amp;"Q"&amp;ROUNDUP(MONTH(B413)/3,0)</f>
        <v>2024Q4</v>
      </c>
      <c r="E413" s="47" t="s">
        <v>307</v>
      </c>
      <c r="F413" s="54" t="s">
        <v>139</v>
      </c>
      <c r="G413" s="47" t="s">
        <v>308</v>
      </c>
      <c r="H413" s="47" t="s">
        <v>813</v>
      </c>
      <c r="I413" s="55" t="n">
        <v>450</v>
      </c>
      <c r="J413" s="56" t="n">
        <v>5</v>
      </c>
      <c r="K413" s="54" t="s">
        <v>142</v>
      </c>
      <c r="L413" s="57" t="n">
        <v>0.06</v>
      </c>
      <c r="N413" s="47" t="s">
        <v>148</v>
      </c>
      <c r="O413" s="47" t="s">
        <v>449</v>
      </c>
      <c r="P413" s="47"/>
      <c r="Q413" s="48" t="n">
        <f aca="false">IF($J413="","",IFERROR(IF($J413&lt;=1,INDEX(VN_국채일별!$B$4:$B$1436,MATCH($B413,VN_국채일별!$A$4:$A$1436,1)),IF($J413&lt;=2,INDEX(VN_국채일별!$B$4:$B$1436,MATCH($B413,VN_국채일별!$A$4:$A$1436,1))+(INDEX(VN_국채일별!$C$4:$C$1436,MATCH($B413,VN_국채일별!$A$4:$A$1436,1))-INDEX(VN_국채일별!$B$4:$B$1436,MATCH($B413,VN_국채일별!$A$4:$A$1436,1)))*($J413-1),IF($J413&lt;=3,INDEX(VN_국채일별!$C$4:$C$1436,MATCH($B413,VN_국채일별!$A$4:$A$1436,1))+(INDEX(VN_국채일별!$D$4:$D$1436,MATCH($B413,VN_국채일별!$A$4:$A$1436,1))-INDEX(VN_국채일별!$C$4:$C$1436,MATCH($B413,VN_국채일별!$A$4:$A$1436,1)))*($J413-2),IF($J413&lt;=5,INDEX(VN_국채일별!$D$4:$D$1436,MATCH($B413,VN_국채일별!$A$4:$A$1436,1))+(INDEX(VN_국채일별!$E$4:$E$1436,MATCH($B413,VN_국채일별!$A$4:$A$1436,1))-INDEX(VN_국채일별!$D$4:$D$1436,MATCH($B413,VN_국채일별!$A$4:$A$1436,1)))*($J413-3)/2,IF($J413&lt;=7,INDEX(VN_국채일별!$E$4:$E$1436,MATCH($B413,VN_국채일별!$A$4:$A$1436,1))+(INDEX(VN_국채일별!$F$4:$F$1436,MATCH($B413,VN_국채일별!$A$4:$A$1436,1))-INDEX(VN_국채일별!$E$4:$E$1436,MATCH($B413,VN_국채일별!$A$4:$A$1436,1)))*($J413-5)/2,IF($J413&lt;=10,INDEX(VN_국채일별!$F$4:$F$1436,MATCH($B413,VN_국채일별!$A$4:$A$1436,1))+(INDEX(VN_국채일별!$G$4:$G$1436,MATCH($B413,VN_국채일별!$A$4:$A$1436,1))-INDEX(VN_국채일별!$F$4:$F$1436,MATCH($B413,VN_국채일별!$A$4:$A$1436,1)))*($J413-7)/3,INDEX(VN_국채일별!$G$4:$G$1436,MATCH($B413,VN_국채일별!$A$4:$A$1436,1)))))))),""))</f>
        <v>0.02405</v>
      </c>
      <c r="R413" s="58" t="n">
        <f aca="false">IF(OR(L413="",Q413=""),"",(L413-Q413)*10000)</f>
        <v>359.5</v>
      </c>
      <c r="S413" s="30" t="n">
        <f aca="false">IF(AND(K413="고정",N413="N",J413&gt;=2,J413&lt;=4,I413&lt;&gt;""),1,0)</f>
        <v>0</v>
      </c>
      <c r="T413" s="59" t="n">
        <f aca="false">IF(S413=1,I413*L413,0)</f>
        <v>0</v>
      </c>
      <c r="U413" s="60" t="n">
        <f aca="false">IF(AND(S413=1,ISNUMBER(R413)),I413*R413,0)</f>
        <v>0</v>
      </c>
      <c r="V413" s="30" t="n">
        <f aca="false">IF(AND(F413="Big4(국영)",K413="고정",N413="N",I413&lt;&gt;""),1,0)</f>
        <v>0</v>
      </c>
      <c r="W413" s="59" t="n">
        <f aca="false">IF(V413=1,I413*L413,0)</f>
        <v>0</v>
      </c>
      <c r="X413" s="60" t="n">
        <f aca="false">IF(AND(V413=1,ISNUMBER(R413)),I413*R413,0)</f>
        <v>0</v>
      </c>
      <c r="Y413" s="61" t="n">
        <f aca="false">IF(AND(S413=1,ISNUMBER(R413)),I413,0)</f>
        <v>0</v>
      </c>
      <c r="Z413" s="61" t="n">
        <f aca="false">IF(AND(V413=1,ISNUMBER(R413)),I413,0)</f>
        <v>0</v>
      </c>
    </row>
    <row r="414" customFormat="false" ht="15" hidden="false" customHeight="false" outlineLevel="0" collapsed="false">
      <c r="A414" s="47" t="s">
        <v>763</v>
      </c>
      <c r="B414" s="52" t="n">
        <v>45650</v>
      </c>
      <c r="C414" s="53" t="n">
        <f aca="false">DATE(YEAR(B414),MONTH(B414),1)</f>
        <v>45627</v>
      </c>
      <c r="D414" s="5" t="str">
        <f aca="false">YEAR(B414)&amp;"Q"&amp;ROUNDUP(MONTH(B414)/3,0)</f>
        <v>2024Q4</v>
      </c>
      <c r="E414" s="47" t="s">
        <v>166</v>
      </c>
      <c r="F414" s="54" t="s">
        <v>139</v>
      </c>
      <c r="G414" s="47" t="s">
        <v>167</v>
      </c>
      <c r="H414" s="47" t="s">
        <v>814</v>
      </c>
      <c r="I414" s="55" t="n">
        <v>400</v>
      </c>
      <c r="J414" s="56" t="n">
        <v>2</v>
      </c>
      <c r="K414" s="54" t="s">
        <v>142</v>
      </c>
      <c r="L414" s="57" t="n">
        <v>0.055</v>
      </c>
      <c r="N414" s="47" t="s">
        <v>148</v>
      </c>
      <c r="O414" s="47" t="s">
        <v>591</v>
      </c>
      <c r="P414" s="47"/>
      <c r="Q414" s="48" t="n">
        <f aca="false">IF($J414="","",IFERROR(IF($J414&lt;=1,INDEX(VN_국채일별!$B$4:$B$1436,MATCH($B414,VN_국채일별!$A$4:$A$1436,1)),IF($J414&lt;=2,INDEX(VN_국채일별!$B$4:$B$1436,MATCH($B414,VN_국채일별!$A$4:$A$1436,1))+(INDEX(VN_국채일별!$C$4:$C$1436,MATCH($B414,VN_국채일별!$A$4:$A$1436,1))-INDEX(VN_국채일별!$B$4:$B$1436,MATCH($B414,VN_국채일별!$A$4:$A$1436,1)))*($J414-1),IF($J414&lt;=3,INDEX(VN_국채일별!$C$4:$C$1436,MATCH($B414,VN_국채일별!$A$4:$A$1436,1))+(INDEX(VN_국채일별!$D$4:$D$1436,MATCH($B414,VN_국채일별!$A$4:$A$1436,1))-INDEX(VN_국채일별!$C$4:$C$1436,MATCH($B414,VN_국채일별!$A$4:$A$1436,1)))*($J414-2),IF($J414&lt;=5,INDEX(VN_국채일별!$D$4:$D$1436,MATCH($B414,VN_국채일별!$A$4:$A$1436,1))+(INDEX(VN_국채일별!$E$4:$E$1436,MATCH($B414,VN_국채일별!$A$4:$A$1436,1))-INDEX(VN_국채일별!$D$4:$D$1436,MATCH($B414,VN_국채일별!$A$4:$A$1436,1)))*($J414-3)/2,IF($J414&lt;=7,INDEX(VN_국채일별!$E$4:$E$1436,MATCH($B414,VN_국채일별!$A$4:$A$1436,1))+(INDEX(VN_국채일별!$F$4:$F$1436,MATCH($B414,VN_국채일별!$A$4:$A$1436,1))-INDEX(VN_국채일별!$E$4:$E$1436,MATCH($B414,VN_국채일별!$A$4:$A$1436,1)))*($J414-5)/2,IF($J414&lt;=10,INDEX(VN_국채일별!$F$4:$F$1436,MATCH($B414,VN_국채일별!$A$4:$A$1436,1))+(INDEX(VN_국채일별!$G$4:$G$1436,MATCH($B414,VN_국채일별!$A$4:$A$1436,1))-INDEX(VN_국채일별!$F$4:$F$1436,MATCH($B414,VN_국채일별!$A$4:$A$1436,1)))*($J414-7)/3,INDEX(VN_국채일별!$G$4:$G$1436,MATCH($B414,VN_국채일별!$A$4:$A$1436,1)))))))),""))</f>
        <v>0.02081</v>
      </c>
      <c r="R414" s="58" t="n">
        <f aca="false">IF(OR(L414="",Q414=""),"",(L414-Q414)*10000)</f>
        <v>341.9</v>
      </c>
      <c r="S414" s="30" t="n">
        <f aca="false">IF(AND(K414="고정",N414="N",J414&gt;=2,J414&lt;=4,I414&lt;&gt;""),1,0)</f>
        <v>1</v>
      </c>
      <c r="T414" s="59" t="n">
        <f aca="false">IF(S414=1,I414*L414,0)</f>
        <v>22</v>
      </c>
      <c r="U414" s="60" t="n">
        <f aca="false">IF(AND(S414=1,ISNUMBER(R414)),I414*R414,0)</f>
        <v>136760</v>
      </c>
      <c r="V414" s="30" t="n">
        <f aca="false">IF(AND(F414="Big4(국영)",K414="고정",N414="N",I414&lt;&gt;""),1,0)</f>
        <v>0</v>
      </c>
      <c r="W414" s="59" t="n">
        <f aca="false">IF(V414=1,I414*L414,0)</f>
        <v>0</v>
      </c>
      <c r="X414" s="60" t="n">
        <f aca="false">IF(AND(V414=1,ISNUMBER(R414)),I414*R414,0)</f>
        <v>0</v>
      </c>
      <c r="Y414" s="61" t="n">
        <f aca="false">IF(AND(S414=1,ISNUMBER(R414)),I414,0)</f>
        <v>400</v>
      </c>
      <c r="Z414" s="61" t="n">
        <f aca="false">IF(AND(V414=1,ISNUMBER(R414)),I414,0)</f>
        <v>0</v>
      </c>
    </row>
    <row r="415" customFormat="false" ht="15" hidden="false" customHeight="false" outlineLevel="0" collapsed="false">
      <c r="A415" s="47" t="s">
        <v>763</v>
      </c>
      <c r="B415" s="52" t="n">
        <v>45650</v>
      </c>
      <c r="C415" s="53" t="n">
        <f aca="false">DATE(YEAR(B415),MONTH(B415),1)</f>
        <v>45627</v>
      </c>
      <c r="D415" s="5" t="str">
        <f aca="false">YEAR(B415)&amp;"Q"&amp;ROUNDUP(MONTH(B415)/3,0)</f>
        <v>2024Q4</v>
      </c>
      <c r="E415" s="47" t="s">
        <v>248</v>
      </c>
      <c r="F415" s="54" t="s">
        <v>139</v>
      </c>
      <c r="G415" s="47" t="s">
        <v>361</v>
      </c>
      <c r="H415" s="47" t="s">
        <v>815</v>
      </c>
      <c r="I415" s="55" t="n">
        <v>1000</v>
      </c>
      <c r="J415" s="56" t="n">
        <v>3</v>
      </c>
      <c r="K415" s="54" t="s">
        <v>142</v>
      </c>
      <c r="L415" s="57" t="n">
        <v>0.057</v>
      </c>
      <c r="N415" s="47" t="s">
        <v>148</v>
      </c>
      <c r="O415" s="47" t="s">
        <v>649</v>
      </c>
      <c r="P415" s="47"/>
      <c r="Q415" s="48" t="n">
        <f aca="false">IF($J415="","",IFERROR(IF($J415&lt;=1,INDEX(VN_국채일별!$B$4:$B$1436,MATCH($B415,VN_국채일별!$A$4:$A$1436,1)),IF($J415&lt;=2,INDEX(VN_국채일별!$B$4:$B$1436,MATCH($B415,VN_국채일별!$A$4:$A$1436,1))+(INDEX(VN_국채일별!$C$4:$C$1436,MATCH($B415,VN_국채일별!$A$4:$A$1436,1))-INDEX(VN_국채일별!$B$4:$B$1436,MATCH($B415,VN_국채일별!$A$4:$A$1436,1)))*($J415-1),IF($J415&lt;=3,INDEX(VN_국채일별!$C$4:$C$1436,MATCH($B415,VN_국채일별!$A$4:$A$1436,1))+(INDEX(VN_국채일별!$D$4:$D$1436,MATCH($B415,VN_국채일별!$A$4:$A$1436,1))-INDEX(VN_국채일별!$C$4:$C$1436,MATCH($B415,VN_국채일별!$A$4:$A$1436,1)))*($J415-2),IF($J415&lt;=5,INDEX(VN_국채일별!$D$4:$D$1436,MATCH($B415,VN_국채일별!$A$4:$A$1436,1))+(INDEX(VN_국채일별!$E$4:$E$1436,MATCH($B415,VN_국채일별!$A$4:$A$1436,1))-INDEX(VN_국채일별!$D$4:$D$1436,MATCH($B415,VN_국채일별!$A$4:$A$1436,1)))*($J415-3)/2,IF($J415&lt;=7,INDEX(VN_국채일별!$E$4:$E$1436,MATCH($B415,VN_국채일별!$A$4:$A$1436,1))+(INDEX(VN_국채일별!$F$4:$F$1436,MATCH($B415,VN_국채일별!$A$4:$A$1436,1))-INDEX(VN_국채일별!$E$4:$E$1436,MATCH($B415,VN_국채일별!$A$4:$A$1436,1)))*($J415-5)/2,IF($J415&lt;=10,INDEX(VN_국채일별!$F$4:$F$1436,MATCH($B415,VN_국채일별!$A$4:$A$1436,1))+(INDEX(VN_국채일별!$G$4:$G$1436,MATCH($B415,VN_국채일별!$A$4:$A$1436,1))-INDEX(VN_국채일별!$F$4:$F$1436,MATCH($B415,VN_국채일별!$A$4:$A$1436,1)))*($J415-7)/3,INDEX(VN_국채일별!$G$4:$G$1436,MATCH($B415,VN_국채일별!$A$4:$A$1436,1)))))))),""))</f>
        <v>0.02112</v>
      </c>
      <c r="R415" s="58" t="n">
        <f aca="false">IF(OR(L415="",Q415=""),"",(L415-Q415)*10000)</f>
        <v>358.8</v>
      </c>
      <c r="S415" s="30" t="n">
        <f aca="false">IF(AND(K415="고정",N415="N",J415&gt;=2,J415&lt;=4,I415&lt;&gt;""),1,0)</f>
        <v>1</v>
      </c>
      <c r="T415" s="59" t="n">
        <f aca="false">IF(S415=1,I415*L415,0)</f>
        <v>57</v>
      </c>
      <c r="U415" s="60" t="n">
        <f aca="false">IF(AND(S415=1,ISNUMBER(R415)),I415*R415,0)</f>
        <v>358800</v>
      </c>
      <c r="V415" s="30" t="n">
        <f aca="false">IF(AND(F415="Big4(국영)",K415="고정",N415="N",I415&lt;&gt;""),1,0)</f>
        <v>0</v>
      </c>
      <c r="W415" s="59" t="n">
        <f aca="false">IF(V415=1,I415*L415,0)</f>
        <v>0</v>
      </c>
      <c r="X415" s="60" t="n">
        <f aca="false">IF(AND(V415=1,ISNUMBER(R415)),I415*R415,0)</f>
        <v>0</v>
      </c>
      <c r="Y415" s="61" t="n">
        <f aca="false">IF(AND(S415=1,ISNUMBER(R415)),I415,0)</f>
        <v>1000</v>
      </c>
      <c r="Z415" s="61" t="n">
        <f aca="false">IF(AND(V415=1,ISNUMBER(R415)),I415,0)</f>
        <v>0</v>
      </c>
    </row>
    <row r="416" customFormat="false" ht="15" hidden="false" customHeight="false" outlineLevel="0" collapsed="false">
      <c r="A416" s="47" t="s">
        <v>816</v>
      </c>
      <c r="B416" s="52" t="n">
        <v>45663</v>
      </c>
      <c r="C416" s="53" t="n">
        <f aca="false">DATE(YEAR(B416),MONTH(B416),1)</f>
        <v>45658</v>
      </c>
      <c r="D416" s="5" t="str">
        <f aca="false">YEAR(B416)&amp;"Q"&amp;ROUNDUP(MONTH(B416)/3,0)</f>
        <v>2025Q1</v>
      </c>
      <c r="E416" s="47" t="s">
        <v>138</v>
      </c>
      <c r="F416" s="54" t="s">
        <v>139</v>
      </c>
      <c r="G416" s="47" t="s">
        <v>140</v>
      </c>
      <c r="H416" s="47"/>
      <c r="I416" s="55" t="n">
        <v>1254.38</v>
      </c>
      <c r="J416" s="56" t="n">
        <v>6</v>
      </c>
      <c r="K416" s="54" t="s">
        <v>153</v>
      </c>
      <c r="M416" s="57" t="n">
        <v>0.082</v>
      </c>
      <c r="N416" s="47" t="s">
        <v>148</v>
      </c>
      <c r="O416" s="47" t="s">
        <v>817</v>
      </c>
      <c r="P416" s="47"/>
      <c r="Q416" s="48" t="n">
        <f aca="false">IF($J416="","",IFERROR(IF($J416&lt;=1,INDEX(VN_국채일별!$B$4:$B$1436,MATCH($B416,VN_국채일별!$A$4:$A$1436,1)),IF($J416&lt;=2,INDEX(VN_국채일별!$B$4:$B$1436,MATCH($B416,VN_국채일별!$A$4:$A$1436,1))+(INDEX(VN_국채일별!$C$4:$C$1436,MATCH($B416,VN_국채일별!$A$4:$A$1436,1))-INDEX(VN_국채일별!$B$4:$B$1436,MATCH($B416,VN_국채일별!$A$4:$A$1436,1)))*($J416-1),IF($J416&lt;=3,INDEX(VN_국채일별!$C$4:$C$1436,MATCH($B416,VN_국채일별!$A$4:$A$1436,1))+(INDEX(VN_국채일별!$D$4:$D$1436,MATCH($B416,VN_국채일별!$A$4:$A$1436,1))-INDEX(VN_국채일별!$C$4:$C$1436,MATCH($B416,VN_국채일별!$A$4:$A$1436,1)))*($J416-2),IF($J416&lt;=5,INDEX(VN_국채일별!$D$4:$D$1436,MATCH($B416,VN_국채일별!$A$4:$A$1436,1))+(INDEX(VN_국채일별!$E$4:$E$1436,MATCH($B416,VN_국채일별!$A$4:$A$1436,1))-INDEX(VN_국채일별!$D$4:$D$1436,MATCH($B416,VN_국채일별!$A$4:$A$1436,1)))*($J416-3)/2,IF($J416&lt;=7,INDEX(VN_국채일별!$E$4:$E$1436,MATCH($B416,VN_국채일별!$A$4:$A$1436,1))+(INDEX(VN_국채일별!$F$4:$F$1436,MATCH($B416,VN_국채일별!$A$4:$A$1436,1))-INDEX(VN_국채일별!$E$4:$E$1436,MATCH($B416,VN_국채일별!$A$4:$A$1436,1)))*($J416-5)/2,IF($J416&lt;=10,INDEX(VN_국채일별!$F$4:$F$1436,MATCH($B416,VN_국채일별!$A$4:$A$1436,1))+(INDEX(VN_국채일별!$G$4:$G$1436,MATCH($B416,VN_국채일별!$A$4:$A$1436,1))-INDEX(VN_국채일별!$F$4:$F$1436,MATCH($B416,VN_국채일별!$A$4:$A$1436,1)))*($J416-7)/3,INDEX(VN_국채일별!$G$4:$G$1436,MATCH($B416,VN_국채일별!$A$4:$A$1436,1)))))))),""))</f>
        <v>0.025145</v>
      </c>
      <c r="R416" s="58" t="str">
        <f aca="false">IF(OR(L416="",Q416=""),"",(L416-Q416)*10000)</f>
        <v/>
      </c>
      <c r="S416" s="30" t="n">
        <f aca="false">IF(AND(K416="고정",N416="N",J416&gt;=2,J416&lt;=4,I416&lt;&gt;""),1,0)</f>
        <v>0</v>
      </c>
      <c r="T416" s="59" t="n">
        <f aca="false">IF(S416=1,I416*L416,0)</f>
        <v>0</v>
      </c>
      <c r="U416" s="60" t="n">
        <f aca="false">IF(AND(S416=1,ISNUMBER(R416)),I416*R416,0)</f>
        <v>0</v>
      </c>
      <c r="V416" s="30" t="n">
        <f aca="false">IF(AND(F416="Big4(국영)",K416="고정",N416="N",I416&lt;&gt;""),1,0)</f>
        <v>0</v>
      </c>
      <c r="W416" s="59" t="n">
        <f aca="false">IF(V416=1,I416*L416,0)</f>
        <v>0</v>
      </c>
      <c r="X416" s="60" t="n">
        <f aca="false">IF(AND(V416=1,ISNUMBER(R416)),I416*R416,0)</f>
        <v>0</v>
      </c>
      <c r="Y416" s="61" t="n">
        <f aca="false">IF(AND(S416=1,ISNUMBER(R416)),I416,0)</f>
        <v>0</v>
      </c>
      <c r="Z416" s="61" t="n">
        <f aca="false">IF(AND(V416=1,ISNUMBER(R416)),I416,0)</f>
        <v>0</v>
      </c>
    </row>
    <row r="417" customFormat="false" ht="15" hidden="false" customHeight="false" outlineLevel="0" collapsed="false">
      <c r="A417" s="47" t="s">
        <v>816</v>
      </c>
      <c r="B417" s="52" t="n">
        <v>45672</v>
      </c>
      <c r="C417" s="53" t="n">
        <f aca="false">DATE(YEAR(B417),MONTH(B417),1)</f>
        <v>45658</v>
      </c>
      <c r="D417" s="5" t="str">
        <f aca="false">YEAR(B417)&amp;"Q"&amp;ROUNDUP(MONTH(B417)/3,0)</f>
        <v>2025Q1</v>
      </c>
      <c r="E417" s="62" t="s">
        <v>173</v>
      </c>
      <c r="F417" s="62" t="s">
        <v>156</v>
      </c>
      <c r="G417" s="47" t="s">
        <v>174</v>
      </c>
      <c r="H417" s="47" t="s">
        <v>818</v>
      </c>
      <c r="I417" s="55" t="n">
        <v>3000</v>
      </c>
      <c r="J417" s="56" t="n">
        <v>8</v>
      </c>
      <c r="K417" s="54" t="s">
        <v>153</v>
      </c>
      <c r="N417" s="47" t="s">
        <v>143</v>
      </c>
      <c r="O417" s="47" t="s">
        <v>819</v>
      </c>
      <c r="P417" s="47"/>
      <c r="Q417" s="48" t="n">
        <f aca="false">IF($J417="","",IFERROR(IF($J417&lt;=1,INDEX(VN_국채일별!$B$4:$B$1436,MATCH($B417,VN_국채일별!$A$4:$A$1436,1)),IF($J417&lt;=2,INDEX(VN_국채일별!$B$4:$B$1436,MATCH($B417,VN_국채일별!$A$4:$A$1436,1))+(INDEX(VN_국채일별!$C$4:$C$1436,MATCH($B417,VN_국채일별!$A$4:$A$1436,1))-INDEX(VN_국채일별!$B$4:$B$1436,MATCH($B417,VN_국채일별!$A$4:$A$1436,1)))*($J417-1),IF($J417&lt;=3,INDEX(VN_국채일별!$C$4:$C$1436,MATCH($B417,VN_국채일별!$A$4:$A$1436,1))+(INDEX(VN_국채일별!$D$4:$D$1436,MATCH($B417,VN_국채일별!$A$4:$A$1436,1))-INDEX(VN_국채일별!$C$4:$C$1436,MATCH($B417,VN_국채일별!$A$4:$A$1436,1)))*($J417-2),IF($J417&lt;=5,INDEX(VN_국채일별!$D$4:$D$1436,MATCH($B417,VN_국채일별!$A$4:$A$1436,1))+(INDEX(VN_국채일별!$E$4:$E$1436,MATCH($B417,VN_국채일별!$A$4:$A$1436,1))-INDEX(VN_국채일별!$D$4:$D$1436,MATCH($B417,VN_국채일별!$A$4:$A$1436,1)))*($J417-3)/2,IF($J417&lt;=7,INDEX(VN_국채일별!$E$4:$E$1436,MATCH($B417,VN_국채일별!$A$4:$A$1436,1))+(INDEX(VN_국채일별!$F$4:$F$1436,MATCH($B417,VN_국채일별!$A$4:$A$1436,1))-INDEX(VN_국채일별!$E$4:$E$1436,MATCH($B417,VN_국채일별!$A$4:$A$1436,1)))*($J417-5)/2,IF($J417&lt;=10,INDEX(VN_국채일별!$F$4:$F$1436,MATCH($B417,VN_국채일별!$A$4:$A$1436,1))+(INDEX(VN_국채일별!$G$4:$G$1436,MATCH($B417,VN_국채일별!$A$4:$A$1436,1))-INDEX(VN_국채일별!$F$4:$F$1436,MATCH($B417,VN_국채일별!$A$4:$A$1436,1)))*($J417-7)/3,INDEX(VN_국채일별!$G$4:$G$1436,MATCH($B417,VN_국채일별!$A$4:$A$1436,1)))))))),""))</f>
        <v>0.0286866666666667</v>
      </c>
      <c r="R417" s="58" t="str">
        <f aca="false">IF(OR(L417="",Q417=""),"",(L417-Q417)*10000)</f>
        <v/>
      </c>
      <c r="S417" s="30" t="n">
        <f aca="false">IF(AND(K417="고정",N417="N",J417&gt;=2,J417&lt;=4,I417&lt;&gt;""),1,0)</f>
        <v>0</v>
      </c>
      <c r="T417" s="59" t="n">
        <f aca="false">IF(S417=1,I417*L417,0)</f>
        <v>0</v>
      </c>
      <c r="U417" s="60" t="n">
        <f aca="false">IF(AND(S417=1,ISNUMBER(R417)),I417*R417,0)</f>
        <v>0</v>
      </c>
      <c r="V417" s="30" t="n">
        <f aca="false">IF(AND(F417="Big4(국영)",K417="고정",N417="N",I417&lt;&gt;""),1,0)</f>
        <v>0</v>
      </c>
      <c r="W417" s="59" t="n">
        <f aca="false">IF(V417=1,I417*L417,0)</f>
        <v>0</v>
      </c>
      <c r="X417" s="60" t="n">
        <f aca="false">IF(AND(V417=1,ISNUMBER(R417)),I417*R417,0)</f>
        <v>0</v>
      </c>
      <c r="Y417" s="61" t="n">
        <f aca="false">IF(AND(S417=1,ISNUMBER(R417)),I417,0)</f>
        <v>0</v>
      </c>
      <c r="Z417" s="61" t="n">
        <f aca="false">IF(AND(V417=1,ISNUMBER(R417)),I417,0)</f>
        <v>0</v>
      </c>
    </row>
    <row r="418" customFormat="false" ht="15" hidden="false" customHeight="false" outlineLevel="0" collapsed="false">
      <c r="A418" s="47" t="s">
        <v>816</v>
      </c>
      <c r="B418" s="52" t="n">
        <v>45672</v>
      </c>
      <c r="C418" s="53" t="n">
        <f aca="false">DATE(YEAR(B418),MONTH(B418),1)</f>
        <v>45658</v>
      </c>
      <c r="D418" s="5" t="str">
        <f aca="false">YEAR(B418)&amp;"Q"&amp;ROUNDUP(MONTH(B418)/3,0)</f>
        <v>2025Q1</v>
      </c>
      <c r="E418" s="62" t="s">
        <v>173</v>
      </c>
      <c r="F418" s="62" t="s">
        <v>156</v>
      </c>
      <c r="G418" s="47" t="s">
        <v>174</v>
      </c>
      <c r="H418" s="47" t="s">
        <v>820</v>
      </c>
      <c r="I418" s="55" t="n">
        <v>1000</v>
      </c>
      <c r="J418" s="56" t="n">
        <v>10</v>
      </c>
      <c r="K418" s="54" t="s">
        <v>153</v>
      </c>
      <c r="N418" s="47" t="s">
        <v>143</v>
      </c>
      <c r="O418" s="47" t="s">
        <v>821</v>
      </c>
      <c r="P418" s="47"/>
      <c r="Q418" s="48" t="n">
        <f aca="false">IF($J418="","",IFERROR(IF($J418&lt;=1,INDEX(VN_국채일별!$B$4:$B$1436,MATCH($B418,VN_국채일별!$A$4:$A$1436,1)),IF($J418&lt;=2,INDEX(VN_국채일별!$B$4:$B$1436,MATCH($B418,VN_국채일별!$A$4:$A$1436,1))+(INDEX(VN_국채일별!$C$4:$C$1436,MATCH($B418,VN_국채일별!$A$4:$A$1436,1))-INDEX(VN_국채일별!$B$4:$B$1436,MATCH($B418,VN_국채일별!$A$4:$A$1436,1)))*($J418-1),IF($J418&lt;=3,INDEX(VN_국채일별!$C$4:$C$1436,MATCH($B418,VN_국채일별!$A$4:$A$1436,1))+(INDEX(VN_국채일별!$D$4:$D$1436,MATCH($B418,VN_국채일별!$A$4:$A$1436,1))-INDEX(VN_국채일별!$C$4:$C$1436,MATCH($B418,VN_국채일별!$A$4:$A$1436,1)))*($J418-2),IF($J418&lt;=5,INDEX(VN_국채일별!$D$4:$D$1436,MATCH($B418,VN_국채일별!$A$4:$A$1436,1))+(INDEX(VN_국채일별!$E$4:$E$1436,MATCH($B418,VN_국채일별!$A$4:$A$1436,1))-INDEX(VN_국채일별!$D$4:$D$1436,MATCH($B418,VN_국채일별!$A$4:$A$1436,1)))*($J418-3)/2,IF($J418&lt;=7,INDEX(VN_국채일별!$E$4:$E$1436,MATCH($B418,VN_국채일별!$A$4:$A$1436,1))+(INDEX(VN_국채일별!$F$4:$F$1436,MATCH($B418,VN_국채일별!$A$4:$A$1436,1))-INDEX(VN_국채일별!$E$4:$E$1436,MATCH($B418,VN_국채일별!$A$4:$A$1436,1)))*($J418-5)/2,IF($J418&lt;=10,INDEX(VN_국채일별!$F$4:$F$1436,MATCH($B418,VN_국채일별!$A$4:$A$1436,1))+(INDEX(VN_국채일별!$G$4:$G$1436,MATCH($B418,VN_국채일별!$A$4:$A$1436,1))-INDEX(VN_국채일별!$F$4:$F$1436,MATCH($B418,VN_국채일별!$A$4:$A$1436,1)))*($J418-7)/3,INDEX(VN_국채일별!$G$4:$G$1436,MATCH($B418,VN_국채일별!$A$4:$A$1436,1)))))))),""))</f>
        <v>0.03156</v>
      </c>
      <c r="R418" s="58" t="str">
        <f aca="false">IF(OR(L418="",Q418=""),"",(L418-Q418)*10000)</f>
        <v/>
      </c>
      <c r="S418" s="30" t="n">
        <f aca="false">IF(AND(K418="고정",N418="N",J418&gt;=2,J418&lt;=4,I418&lt;&gt;""),1,0)</f>
        <v>0</v>
      </c>
      <c r="T418" s="59" t="n">
        <f aca="false">IF(S418=1,I418*L418,0)</f>
        <v>0</v>
      </c>
      <c r="U418" s="60" t="n">
        <f aca="false">IF(AND(S418=1,ISNUMBER(R418)),I418*R418,0)</f>
        <v>0</v>
      </c>
      <c r="V418" s="30" t="n">
        <f aca="false">IF(AND(F418="Big4(국영)",K418="고정",N418="N",I418&lt;&gt;""),1,0)</f>
        <v>0</v>
      </c>
      <c r="W418" s="59" t="n">
        <f aca="false">IF(V418=1,I418*L418,0)</f>
        <v>0</v>
      </c>
      <c r="X418" s="60" t="n">
        <f aca="false">IF(AND(V418=1,ISNUMBER(R418)),I418*R418,0)</f>
        <v>0</v>
      </c>
      <c r="Y418" s="61" t="n">
        <f aca="false">IF(AND(S418=1,ISNUMBER(R418)),I418,0)</f>
        <v>0</v>
      </c>
      <c r="Z418" s="61" t="n">
        <f aca="false">IF(AND(V418=1,ISNUMBER(R418)),I418,0)</f>
        <v>0</v>
      </c>
    </row>
    <row r="419" customFormat="false" ht="15" hidden="false" customHeight="false" outlineLevel="0" collapsed="false">
      <c r="A419" s="47" t="s">
        <v>822</v>
      </c>
      <c r="B419" s="52" t="n">
        <v>45721</v>
      </c>
      <c r="C419" s="53" t="n">
        <f aca="false">DATE(YEAR(B419),MONTH(B419),1)</f>
        <v>45717</v>
      </c>
      <c r="D419" s="5" t="str">
        <f aca="false">YEAR(B419)&amp;"Q"&amp;ROUNDUP(MONTH(B419)/3,0)</f>
        <v>2025Q1</v>
      </c>
      <c r="E419" s="47" t="s">
        <v>242</v>
      </c>
      <c r="F419" s="54" t="s">
        <v>139</v>
      </c>
      <c r="G419" s="47" t="s">
        <v>724</v>
      </c>
      <c r="H419" s="47" t="s">
        <v>823</v>
      </c>
      <c r="I419" s="55" t="n">
        <v>2900</v>
      </c>
      <c r="J419" s="56" t="n">
        <v>7</v>
      </c>
      <c r="K419" s="54" t="s">
        <v>153</v>
      </c>
      <c r="N419" s="47" t="s">
        <v>143</v>
      </c>
      <c r="O419" s="47" t="s">
        <v>688</v>
      </c>
      <c r="P419" s="47"/>
      <c r="Q419" s="48" t="n">
        <f aca="false">IF($J419="","",IFERROR(IF($J419&lt;=1,INDEX(VN_국채일별!$B$4:$B$1436,MATCH($B419,VN_국채일별!$A$4:$A$1436,1)),IF($J419&lt;=2,INDEX(VN_국채일별!$B$4:$B$1436,MATCH($B419,VN_국채일별!$A$4:$A$1436,1))+(INDEX(VN_국채일별!$C$4:$C$1436,MATCH($B419,VN_국채일별!$A$4:$A$1436,1))-INDEX(VN_국채일별!$B$4:$B$1436,MATCH($B419,VN_국채일별!$A$4:$A$1436,1)))*($J419-1),IF($J419&lt;=3,INDEX(VN_국채일별!$C$4:$C$1436,MATCH($B419,VN_국채일별!$A$4:$A$1436,1))+(INDEX(VN_국채일별!$D$4:$D$1436,MATCH($B419,VN_국채일별!$A$4:$A$1436,1))-INDEX(VN_국채일별!$C$4:$C$1436,MATCH($B419,VN_국채일별!$A$4:$A$1436,1)))*($J419-2),IF($J419&lt;=5,INDEX(VN_국채일별!$D$4:$D$1436,MATCH($B419,VN_국채일별!$A$4:$A$1436,1))+(INDEX(VN_국채일별!$E$4:$E$1436,MATCH($B419,VN_국채일별!$A$4:$A$1436,1))-INDEX(VN_국채일별!$D$4:$D$1436,MATCH($B419,VN_국채일별!$A$4:$A$1436,1)))*($J419-3)/2,IF($J419&lt;=7,INDEX(VN_국채일별!$E$4:$E$1436,MATCH($B419,VN_국채일별!$A$4:$A$1436,1))+(INDEX(VN_국채일별!$F$4:$F$1436,MATCH($B419,VN_국채일별!$A$4:$A$1436,1))-INDEX(VN_국채일별!$E$4:$E$1436,MATCH($B419,VN_국채일별!$A$4:$A$1436,1)))*($J419-5)/2,IF($J419&lt;=10,INDEX(VN_국채일별!$F$4:$F$1436,MATCH($B419,VN_국채일별!$A$4:$A$1436,1))+(INDEX(VN_국채일별!$G$4:$G$1436,MATCH($B419,VN_국채일별!$A$4:$A$1436,1))-INDEX(VN_국채일별!$F$4:$F$1436,MATCH($B419,VN_국채일별!$A$4:$A$1436,1)))*($J419-7)/3,INDEX(VN_국채일별!$G$4:$G$1436,MATCH($B419,VN_국채일별!$A$4:$A$1436,1)))))))),""))</f>
        <v>0.02832</v>
      </c>
      <c r="R419" s="58" t="str">
        <f aca="false">IF(OR(L419="",Q419=""),"",(L419-Q419)*10000)</f>
        <v/>
      </c>
      <c r="S419" s="30" t="n">
        <f aca="false">IF(AND(K419="고정",N419="N",J419&gt;=2,J419&lt;=4,I419&lt;&gt;""),1,0)</f>
        <v>0</v>
      </c>
      <c r="T419" s="59" t="n">
        <f aca="false">IF(S419=1,I419*L419,0)</f>
        <v>0</v>
      </c>
      <c r="U419" s="60" t="n">
        <f aca="false">IF(AND(S419=1,ISNUMBER(R419)),I419*R419,0)</f>
        <v>0</v>
      </c>
      <c r="V419" s="30" t="n">
        <f aca="false">IF(AND(F419="Big4(국영)",K419="고정",N419="N",I419&lt;&gt;""),1,0)</f>
        <v>0</v>
      </c>
      <c r="W419" s="59" t="n">
        <f aca="false">IF(V419=1,I419*L419,0)</f>
        <v>0</v>
      </c>
      <c r="X419" s="60" t="n">
        <f aca="false">IF(AND(V419=1,ISNUMBER(R419)),I419*R419,0)</f>
        <v>0</v>
      </c>
      <c r="Y419" s="61" t="n">
        <f aca="false">IF(AND(S419=1,ISNUMBER(R419)),I419,0)</f>
        <v>0</v>
      </c>
      <c r="Z419" s="61" t="n">
        <f aca="false">IF(AND(V419=1,ISNUMBER(R419)),I419,0)</f>
        <v>0</v>
      </c>
    </row>
    <row r="420" customFormat="false" ht="15" hidden="false" customHeight="false" outlineLevel="0" collapsed="false">
      <c r="A420" s="47" t="s">
        <v>822</v>
      </c>
      <c r="B420" s="52" t="n">
        <v>45721</v>
      </c>
      <c r="C420" s="53" t="n">
        <f aca="false">DATE(YEAR(B420),MONTH(B420),1)</f>
        <v>45717</v>
      </c>
      <c r="D420" s="5" t="str">
        <f aca="false">YEAR(B420)&amp;"Q"&amp;ROUNDUP(MONTH(B420)/3,0)</f>
        <v>2025Q1</v>
      </c>
      <c r="E420" s="47" t="s">
        <v>242</v>
      </c>
      <c r="F420" s="54" t="s">
        <v>139</v>
      </c>
      <c r="G420" s="47" t="s">
        <v>724</v>
      </c>
      <c r="H420" s="47" t="s">
        <v>824</v>
      </c>
      <c r="I420" s="55" t="n">
        <v>100</v>
      </c>
      <c r="J420" s="56" t="n">
        <v>10</v>
      </c>
      <c r="K420" s="54" t="s">
        <v>153</v>
      </c>
      <c r="N420" s="47" t="s">
        <v>143</v>
      </c>
      <c r="O420" s="47" t="s">
        <v>825</v>
      </c>
      <c r="P420" s="47"/>
      <c r="Q420" s="48" t="n">
        <f aca="false">IF($J420="","",IFERROR(IF($J420&lt;=1,INDEX(VN_국채일별!$B$4:$B$1436,MATCH($B420,VN_국채일별!$A$4:$A$1436,1)),IF($J420&lt;=2,INDEX(VN_국채일별!$B$4:$B$1436,MATCH($B420,VN_국채일별!$A$4:$A$1436,1))+(INDEX(VN_국채일별!$C$4:$C$1436,MATCH($B420,VN_국채일별!$A$4:$A$1436,1))-INDEX(VN_국채일별!$B$4:$B$1436,MATCH($B420,VN_국채일별!$A$4:$A$1436,1)))*($J420-1),IF($J420&lt;=3,INDEX(VN_국채일별!$C$4:$C$1436,MATCH($B420,VN_국채일별!$A$4:$A$1436,1))+(INDEX(VN_국채일별!$D$4:$D$1436,MATCH($B420,VN_국채일별!$A$4:$A$1436,1))-INDEX(VN_국채일별!$C$4:$C$1436,MATCH($B420,VN_국채일별!$A$4:$A$1436,1)))*($J420-2),IF($J420&lt;=5,INDEX(VN_국채일별!$D$4:$D$1436,MATCH($B420,VN_국채일별!$A$4:$A$1436,1))+(INDEX(VN_국채일별!$E$4:$E$1436,MATCH($B420,VN_국채일별!$A$4:$A$1436,1))-INDEX(VN_국채일별!$D$4:$D$1436,MATCH($B420,VN_국채일별!$A$4:$A$1436,1)))*($J420-3)/2,IF($J420&lt;=7,INDEX(VN_국채일별!$E$4:$E$1436,MATCH($B420,VN_국채일별!$A$4:$A$1436,1))+(INDEX(VN_국채일별!$F$4:$F$1436,MATCH($B420,VN_국채일별!$A$4:$A$1436,1))-INDEX(VN_국채일별!$E$4:$E$1436,MATCH($B420,VN_국채일별!$A$4:$A$1436,1)))*($J420-5)/2,IF($J420&lt;=10,INDEX(VN_국채일별!$F$4:$F$1436,MATCH($B420,VN_국채일별!$A$4:$A$1436,1))+(INDEX(VN_국채일별!$G$4:$G$1436,MATCH($B420,VN_국채일별!$A$4:$A$1436,1))-INDEX(VN_국채일별!$F$4:$F$1436,MATCH($B420,VN_국채일별!$A$4:$A$1436,1)))*($J420-7)/3,INDEX(VN_국채일별!$G$4:$G$1436,MATCH($B420,VN_국채일별!$A$4:$A$1436,1)))))))),""))</f>
        <v>0.0307</v>
      </c>
      <c r="R420" s="58" t="str">
        <f aca="false">IF(OR(L420="",Q420=""),"",(L420-Q420)*10000)</f>
        <v/>
      </c>
      <c r="S420" s="30" t="n">
        <f aca="false">IF(AND(K420="고정",N420="N",J420&gt;=2,J420&lt;=4,I420&lt;&gt;""),1,0)</f>
        <v>0</v>
      </c>
      <c r="T420" s="59" t="n">
        <f aca="false">IF(S420=1,I420*L420,0)</f>
        <v>0</v>
      </c>
      <c r="U420" s="60" t="n">
        <f aca="false">IF(AND(S420=1,ISNUMBER(R420)),I420*R420,0)</f>
        <v>0</v>
      </c>
      <c r="V420" s="30" t="n">
        <f aca="false">IF(AND(F420="Big4(국영)",K420="고정",N420="N",I420&lt;&gt;""),1,0)</f>
        <v>0</v>
      </c>
      <c r="W420" s="59" t="n">
        <f aca="false">IF(V420=1,I420*L420,0)</f>
        <v>0</v>
      </c>
      <c r="X420" s="60" t="n">
        <f aca="false">IF(AND(V420=1,ISNUMBER(R420)),I420*R420,0)</f>
        <v>0</v>
      </c>
      <c r="Y420" s="61" t="n">
        <f aca="false">IF(AND(S420=1,ISNUMBER(R420)),I420,0)</f>
        <v>0</v>
      </c>
      <c r="Z420" s="61" t="n">
        <f aca="false">IF(AND(V420=1,ISNUMBER(R420)),I420,0)</f>
        <v>0</v>
      </c>
    </row>
    <row r="421" customFormat="false" ht="15" hidden="false" customHeight="false" outlineLevel="0" collapsed="false">
      <c r="A421" s="47" t="s">
        <v>822</v>
      </c>
      <c r="B421" s="52" t="n">
        <v>45721</v>
      </c>
      <c r="C421" s="53" t="n">
        <f aca="false">DATE(YEAR(B421),MONTH(B421),1)</f>
        <v>45717</v>
      </c>
      <c r="D421" s="5" t="str">
        <f aca="false">YEAR(B421)&amp;"Q"&amp;ROUNDUP(MONTH(B421)/3,0)</f>
        <v>2025Q1</v>
      </c>
      <c r="E421" s="47" t="s">
        <v>160</v>
      </c>
      <c r="F421" s="54" t="s">
        <v>139</v>
      </c>
      <c r="G421" s="47" t="s">
        <v>161</v>
      </c>
      <c r="H421" s="47" t="s">
        <v>826</v>
      </c>
      <c r="I421" s="55" t="n">
        <v>2199</v>
      </c>
      <c r="J421" s="56" t="n">
        <v>6</v>
      </c>
      <c r="K421" s="54" t="s">
        <v>153</v>
      </c>
      <c r="N421" s="47" t="s">
        <v>148</v>
      </c>
      <c r="O421" s="47" t="s">
        <v>827</v>
      </c>
      <c r="P421" s="47"/>
      <c r="Q421" s="48" t="n">
        <f aca="false">IF($J421="","",IFERROR(IF($J421&lt;=1,INDEX(VN_국채일별!$B$4:$B$1436,MATCH($B421,VN_국채일별!$A$4:$A$1436,1)),IF($J421&lt;=2,INDEX(VN_국채일별!$B$4:$B$1436,MATCH($B421,VN_국채일별!$A$4:$A$1436,1))+(INDEX(VN_국채일별!$C$4:$C$1436,MATCH($B421,VN_국채일별!$A$4:$A$1436,1))-INDEX(VN_국채일별!$B$4:$B$1436,MATCH($B421,VN_국채일별!$A$4:$A$1436,1)))*($J421-1),IF($J421&lt;=3,INDEX(VN_국채일별!$C$4:$C$1436,MATCH($B421,VN_국채일별!$A$4:$A$1436,1))+(INDEX(VN_국채일별!$D$4:$D$1436,MATCH($B421,VN_국채일별!$A$4:$A$1436,1))-INDEX(VN_국채일별!$C$4:$C$1436,MATCH($B421,VN_국채일별!$A$4:$A$1436,1)))*($J421-2),IF($J421&lt;=5,INDEX(VN_국채일별!$D$4:$D$1436,MATCH($B421,VN_국채일별!$A$4:$A$1436,1))+(INDEX(VN_국채일별!$E$4:$E$1436,MATCH($B421,VN_국채일별!$A$4:$A$1436,1))-INDEX(VN_국채일별!$D$4:$D$1436,MATCH($B421,VN_국채일별!$A$4:$A$1436,1)))*($J421-3)/2,IF($J421&lt;=7,INDEX(VN_국채일별!$E$4:$E$1436,MATCH($B421,VN_국채일별!$A$4:$A$1436,1))+(INDEX(VN_국채일별!$F$4:$F$1436,MATCH($B421,VN_국채일별!$A$4:$A$1436,1))-INDEX(VN_국채일별!$E$4:$E$1436,MATCH($B421,VN_국채일별!$A$4:$A$1436,1)))*($J421-5)/2,IF($J421&lt;=10,INDEX(VN_국채일별!$F$4:$F$1436,MATCH($B421,VN_국채일별!$A$4:$A$1436,1))+(INDEX(VN_국채일별!$G$4:$G$1436,MATCH($B421,VN_국채일별!$A$4:$A$1436,1))-INDEX(VN_국채일별!$F$4:$F$1436,MATCH($B421,VN_국채일별!$A$4:$A$1436,1)))*($J421-7)/3,INDEX(VN_국채일별!$G$4:$G$1436,MATCH($B421,VN_국채일별!$A$4:$A$1436,1)))))))),""))</f>
        <v>0.026525</v>
      </c>
      <c r="R421" s="58" t="str">
        <f aca="false">IF(OR(L421="",Q421=""),"",(L421-Q421)*10000)</f>
        <v/>
      </c>
      <c r="S421" s="30" t="n">
        <f aca="false">IF(AND(K421="고정",N421="N",J421&gt;=2,J421&lt;=4,I421&lt;&gt;""),1,0)</f>
        <v>0</v>
      </c>
      <c r="T421" s="59" t="n">
        <f aca="false">IF(S421=1,I421*L421,0)</f>
        <v>0</v>
      </c>
      <c r="U421" s="60" t="n">
        <f aca="false">IF(AND(S421=1,ISNUMBER(R421)),I421*R421,0)</f>
        <v>0</v>
      </c>
      <c r="V421" s="30" t="n">
        <f aca="false">IF(AND(F421="Big4(국영)",K421="고정",N421="N",I421&lt;&gt;""),1,0)</f>
        <v>0</v>
      </c>
      <c r="W421" s="59" t="n">
        <f aca="false">IF(V421=1,I421*L421,0)</f>
        <v>0</v>
      </c>
      <c r="X421" s="60" t="n">
        <f aca="false">IF(AND(V421=1,ISNUMBER(R421)),I421*R421,0)</f>
        <v>0</v>
      </c>
      <c r="Y421" s="61" t="n">
        <f aca="false">IF(AND(S421=1,ISNUMBER(R421)),I421,0)</f>
        <v>0</v>
      </c>
      <c r="Z421" s="61" t="n">
        <f aca="false">IF(AND(V421=1,ISNUMBER(R421)),I421,0)</f>
        <v>0</v>
      </c>
    </row>
    <row r="422" customFormat="false" ht="15" hidden="false" customHeight="false" outlineLevel="0" collapsed="false">
      <c r="A422" s="47" t="s">
        <v>828</v>
      </c>
      <c r="B422" s="52" t="n">
        <v>45757</v>
      </c>
      <c r="C422" s="53" t="n">
        <f aca="false">DATE(YEAR(B422),MONTH(B422),1)</f>
        <v>45748</v>
      </c>
      <c r="D422" s="5" t="str">
        <f aca="false">YEAR(B422)&amp;"Q"&amp;ROUNDUP(MONTH(B422)/3,0)</f>
        <v>2025Q2</v>
      </c>
      <c r="E422" s="47" t="s">
        <v>254</v>
      </c>
      <c r="F422" s="54" t="s">
        <v>139</v>
      </c>
      <c r="G422" s="47" t="s">
        <v>339</v>
      </c>
      <c r="H422" s="47" t="s">
        <v>829</v>
      </c>
      <c r="I422" s="55" t="n">
        <v>1000</v>
      </c>
      <c r="J422" s="56" t="n">
        <v>2</v>
      </c>
      <c r="K422" s="54" t="s">
        <v>142</v>
      </c>
      <c r="L422" s="57" t="n">
        <v>0.056</v>
      </c>
      <c r="N422" s="47" t="s">
        <v>148</v>
      </c>
      <c r="O422" s="47" t="s">
        <v>660</v>
      </c>
      <c r="P422" s="47"/>
      <c r="Q422" s="48" t="n">
        <f aca="false">IF($J422="","",IFERROR(IF($J422&lt;=1,INDEX(VN_국채일별!$B$4:$B$1436,MATCH($B422,VN_국채일별!$A$4:$A$1436,1)),IF($J422&lt;=2,INDEX(VN_국채일별!$B$4:$B$1436,MATCH($B422,VN_국채일별!$A$4:$A$1436,1))+(INDEX(VN_국채일별!$C$4:$C$1436,MATCH($B422,VN_국채일별!$A$4:$A$1436,1))-INDEX(VN_국채일별!$B$4:$B$1436,MATCH($B422,VN_국채일별!$A$4:$A$1436,1)))*($J422-1),IF($J422&lt;=3,INDEX(VN_국채일별!$C$4:$C$1436,MATCH($B422,VN_국채일별!$A$4:$A$1436,1))+(INDEX(VN_국채일별!$D$4:$D$1436,MATCH($B422,VN_국채일별!$A$4:$A$1436,1))-INDEX(VN_국채일별!$C$4:$C$1436,MATCH($B422,VN_국채일별!$A$4:$A$1436,1)))*($J422-2),IF($J422&lt;=5,INDEX(VN_국채일별!$D$4:$D$1436,MATCH($B422,VN_국채일별!$A$4:$A$1436,1))+(INDEX(VN_국채일별!$E$4:$E$1436,MATCH($B422,VN_국채일별!$A$4:$A$1436,1))-INDEX(VN_국채일별!$D$4:$D$1436,MATCH($B422,VN_국채일별!$A$4:$A$1436,1)))*($J422-3)/2,IF($J422&lt;=7,INDEX(VN_국채일별!$E$4:$E$1436,MATCH($B422,VN_국채일별!$A$4:$A$1436,1))+(INDEX(VN_국채일별!$F$4:$F$1436,MATCH($B422,VN_국채일별!$A$4:$A$1436,1))-INDEX(VN_국채일별!$E$4:$E$1436,MATCH($B422,VN_국채일별!$A$4:$A$1436,1)))*($J422-5)/2,IF($J422&lt;=10,INDEX(VN_국채일별!$F$4:$F$1436,MATCH($B422,VN_국채일별!$A$4:$A$1436,1))+(INDEX(VN_국채일별!$G$4:$G$1436,MATCH($B422,VN_국채일별!$A$4:$A$1436,1))-INDEX(VN_국채일별!$F$4:$F$1436,MATCH($B422,VN_국채일별!$A$4:$A$1436,1)))*($J422-7)/3,INDEX(VN_국채일별!$G$4:$G$1436,MATCH($B422,VN_국채일별!$A$4:$A$1436,1)))))))),""))</f>
        <v>0.02212</v>
      </c>
      <c r="R422" s="58" t="n">
        <f aca="false">IF(OR(L422="",Q422=""),"",(L422-Q422)*10000)</f>
        <v>338.8</v>
      </c>
      <c r="S422" s="30" t="n">
        <f aca="false">IF(AND(K422="고정",N422="N",J422&gt;=2,J422&lt;=4,I422&lt;&gt;""),1,0)</f>
        <v>1</v>
      </c>
      <c r="T422" s="59" t="n">
        <f aca="false">IF(S422=1,I422*L422,0)</f>
        <v>56</v>
      </c>
      <c r="U422" s="60" t="n">
        <f aca="false">IF(AND(S422=1,ISNUMBER(R422)),I422*R422,0)</f>
        <v>338800</v>
      </c>
      <c r="V422" s="30" t="n">
        <f aca="false">IF(AND(F422="Big4(국영)",K422="고정",N422="N",I422&lt;&gt;""),1,0)</f>
        <v>0</v>
      </c>
      <c r="W422" s="59" t="n">
        <f aca="false">IF(V422=1,I422*L422,0)</f>
        <v>0</v>
      </c>
      <c r="X422" s="60" t="n">
        <f aca="false">IF(AND(V422=1,ISNUMBER(R422)),I422*R422,0)</f>
        <v>0</v>
      </c>
      <c r="Y422" s="61" t="n">
        <f aca="false">IF(AND(S422=1,ISNUMBER(R422)),I422,0)</f>
        <v>1000</v>
      </c>
      <c r="Z422" s="61" t="n">
        <f aca="false">IF(AND(V422=1,ISNUMBER(R422)),I422,0)</f>
        <v>0</v>
      </c>
    </row>
    <row r="423" customFormat="false" ht="15" hidden="false" customHeight="false" outlineLevel="0" collapsed="false">
      <c r="A423" s="47" t="s">
        <v>828</v>
      </c>
      <c r="B423" s="52" t="n">
        <v>45762</v>
      </c>
      <c r="C423" s="53" t="n">
        <f aca="false">DATE(YEAR(B423),MONTH(B423),1)</f>
        <v>45748</v>
      </c>
      <c r="D423" s="5" t="str">
        <f aca="false">YEAR(B423)&amp;"Q"&amp;ROUNDUP(MONTH(B423)/3,0)</f>
        <v>2025Q2</v>
      </c>
      <c r="E423" s="47" t="s">
        <v>196</v>
      </c>
      <c r="F423" s="54" t="s">
        <v>139</v>
      </c>
      <c r="G423" s="47" t="s">
        <v>830</v>
      </c>
      <c r="H423" s="47" t="s">
        <v>831</v>
      </c>
      <c r="I423" s="55" t="n">
        <v>700</v>
      </c>
      <c r="J423" s="56" t="n">
        <v>2</v>
      </c>
      <c r="K423" s="54" t="s">
        <v>142</v>
      </c>
      <c r="L423" s="57" t="n">
        <v>0.058</v>
      </c>
      <c r="N423" s="47" t="s">
        <v>148</v>
      </c>
      <c r="O423" s="47" t="s">
        <v>451</v>
      </c>
      <c r="P423" s="47"/>
      <c r="Q423" s="48" t="n">
        <f aca="false">IF($J423="","",IFERROR(IF($J423&lt;=1,INDEX(VN_국채일별!$B$4:$B$1436,MATCH($B423,VN_국채일별!$A$4:$A$1436,1)),IF($J423&lt;=2,INDEX(VN_국채일별!$B$4:$B$1436,MATCH($B423,VN_국채일별!$A$4:$A$1436,1))+(INDEX(VN_국채일별!$C$4:$C$1436,MATCH($B423,VN_국채일별!$A$4:$A$1436,1))-INDEX(VN_국채일별!$B$4:$B$1436,MATCH($B423,VN_국채일별!$A$4:$A$1436,1)))*($J423-1),IF($J423&lt;=3,INDEX(VN_국채일별!$C$4:$C$1436,MATCH($B423,VN_국채일별!$A$4:$A$1436,1))+(INDEX(VN_국채일별!$D$4:$D$1436,MATCH($B423,VN_국채일별!$A$4:$A$1436,1))-INDEX(VN_국채일별!$C$4:$C$1436,MATCH($B423,VN_국채일별!$A$4:$A$1436,1)))*($J423-2),IF($J423&lt;=5,INDEX(VN_국채일별!$D$4:$D$1436,MATCH($B423,VN_국채일별!$A$4:$A$1436,1))+(INDEX(VN_국채일별!$E$4:$E$1436,MATCH($B423,VN_국채일별!$A$4:$A$1436,1))-INDEX(VN_국채일별!$D$4:$D$1436,MATCH($B423,VN_국채일별!$A$4:$A$1436,1)))*($J423-3)/2,IF($J423&lt;=7,INDEX(VN_국채일별!$E$4:$E$1436,MATCH($B423,VN_국채일별!$A$4:$A$1436,1))+(INDEX(VN_국채일별!$F$4:$F$1436,MATCH($B423,VN_국채일별!$A$4:$A$1436,1))-INDEX(VN_국채일별!$E$4:$E$1436,MATCH($B423,VN_국채일별!$A$4:$A$1436,1)))*($J423-5)/2,IF($J423&lt;=10,INDEX(VN_국채일별!$F$4:$F$1436,MATCH($B423,VN_국채일별!$A$4:$A$1436,1))+(INDEX(VN_국채일별!$G$4:$G$1436,MATCH($B423,VN_국채일별!$A$4:$A$1436,1))-INDEX(VN_국채일별!$F$4:$F$1436,MATCH($B423,VN_국채일별!$A$4:$A$1436,1)))*($J423-7)/3,INDEX(VN_국채일별!$G$4:$G$1436,MATCH($B423,VN_국채일별!$A$4:$A$1436,1)))))))),""))</f>
        <v>0.02211</v>
      </c>
      <c r="R423" s="58" t="n">
        <f aca="false">IF(OR(L423="",Q423=""),"",(L423-Q423)*10000)</f>
        <v>358.9</v>
      </c>
      <c r="S423" s="30" t="n">
        <f aca="false">IF(AND(K423="고정",N423="N",J423&gt;=2,J423&lt;=4,I423&lt;&gt;""),1,0)</f>
        <v>1</v>
      </c>
      <c r="T423" s="59" t="n">
        <f aca="false">IF(S423=1,I423*L423,0)</f>
        <v>40.6</v>
      </c>
      <c r="U423" s="60" t="n">
        <f aca="false">IF(AND(S423=1,ISNUMBER(R423)),I423*R423,0)</f>
        <v>251230</v>
      </c>
      <c r="V423" s="30" t="n">
        <f aca="false">IF(AND(F423="Big4(국영)",K423="고정",N423="N",I423&lt;&gt;""),1,0)</f>
        <v>0</v>
      </c>
      <c r="W423" s="59" t="n">
        <f aca="false">IF(V423=1,I423*L423,0)</f>
        <v>0</v>
      </c>
      <c r="X423" s="60" t="n">
        <f aca="false">IF(AND(V423=1,ISNUMBER(R423)),I423*R423,0)</f>
        <v>0</v>
      </c>
      <c r="Y423" s="61" t="n">
        <f aca="false">IF(AND(S423=1,ISNUMBER(R423)),I423,0)</f>
        <v>700</v>
      </c>
      <c r="Z423" s="61" t="n">
        <f aca="false">IF(AND(V423=1,ISNUMBER(R423)),I423,0)</f>
        <v>0</v>
      </c>
    </row>
    <row r="424" customFormat="false" ht="15" hidden="false" customHeight="false" outlineLevel="0" collapsed="false">
      <c r="A424" s="47" t="s">
        <v>828</v>
      </c>
      <c r="B424" s="52" t="n">
        <v>45763</v>
      </c>
      <c r="C424" s="53" t="n">
        <f aca="false">DATE(YEAR(B424),MONTH(B424),1)</f>
        <v>45748</v>
      </c>
      <c r="D424" s="5" t="str">
        <f aca="false">YEAR(B424)&amp;"Q"&amp;ROUNDUP(MONTH(B424)/3,0)</f>
        <v>2025Q2</v>
      </c>
      <c r="E424" s="62" t="s">
        <v>173</v>
      </c>
      <c r="F424" s="62" t="s">
        <v>156</v>
      </c>
      <c r="G424" s="47" t="s">
        <v>174</v>
      </c>
      <c r="H424" s="47" t="s">
        <v>832</v>
      </c>
      <c r="I424" s="55" t="n">
        <v>3000</v>
      </c>
      <c r="J424" s="56" t="n">
        <v>8</v>
      </c>
      <c r="K424" s="54" t="s">
        <v>153</v>
      </c>
      <c r="N424" s="47" t="s">
        <v>143</v>
      </c>
      <c r="O424" s="47" t="s">
        <v>819</v>
      </c>
      <c r="P424" s="47"/>
      <c r="Q424" s="48" t="n">
        <f aca="false">IF($J424="","",IFERROR(IF($J424&lt;=1,INDEX(VN_국채일별!$B$4:$B$1436,MATCH($B424,VN_국채일별!$A$4:$A$1436,1)),IF($J424&lt;=2,INDEX(VN_국채일별!$B$4:$B$1436,MATCH($B424,VN_국채일별!$A$4:$A$1436,1))+(INDEX(VN_국채일별!$C$4:$C$1436,MATCH($B424,VN_국채일별!$A$4:$A$1436,1))-INDEX(VN_국채일별!$B$4:$B$1436,MATCH($B424,VN_국채일별!$A$4:$A$1436,1)))*($J424-1),IF($J424&lt;=3,INDEX(VN_국채일별!$C$4:$C$1436,MATCH($B424,VN_국채일별!$A$4:$A$1436,1))+(INDEX(VN_국채일별!$D$4:$D$1436,MATCH($B424,VN_국채일별!$A$4:$A$1436,1))-INDEX(VN_국채일별!$C$4:$C$1436,MATCH($B424,VN_국채일별!$A$4:$A$1436,1)))*($J424-2),IF($J424&lt;=5,INDEX(VN_국채일별!$D$4:$D$1436,MATCH($B424,VN_국채일별!$A$4:$A$1436,1))+(INDEX(VN_국채일별!$E$4:$E$1436,MATCH($B424,VN_국채일별!$A$4:$A$1436,1))-INDEX(VN_국채일별!$D$4:$D$1436,MATCH($B424,VN_국채일별!$A$4:$A$1436,1)))*($J424-3)/2,IF($J424&lt;=7,INDEX(VN_국채일별!$E$4:$E$1436,MATCH($B424,VN_국채일별!$A$4:$A$1436,1))+(INDEX(VN_국채일별!$F$4:$F$1436,MATCH($B424,VN_국채일별!$A$4:$A$1436,1))-INDEX(VN_국채일별!$E$4:$E$1436,MATCH($B424,VN_국채일별!$A$4:$A$1436,1)))*($J424-5)/2,IF($J424&lt;=10,INDEX(VN_국채일별!$F$4:$F$1436,MATCH($B424,VN_국채일별!$A$4:$A$1436,1))+(INDEX(VN_국채일별!$G$4:$G$1436,MATCH($B424,VN_국채일별!$A$4:$A$1436,1))-INDEX(VN_국채일별!$F$4:$F$1436,MATCH($B424,VN_국채일별!$A$4:$A$1436,1)))*($J424-7)/3,INDEX(VN_국채일별!$G$4:$G$1436,MATCH($B424,VN_국채일별!$A$4:$A$1436,1)))))))),""))</f>
        <v>0.02898</v>
      </c>
      <c r="R424" s="58" t="str">
        <f aca="false">IF(OR(L424="",Q424=""),"",(L424-Q424)*10000)</f>
        <v/>
      </c>
      <c r="S424" s="30" t="n">
        <f aca="false">IF(AND(K424="고정",N424="N",J424&gt;=2,J424&lt;=4,I424&lt;&gt;""),1,0)</f>
        <v>0</v>
      </c>
      <c r="T424" s="59" t="n">
        <f aca="false">IF(S424=1,I424*L424,0)</f>
        <v>0</v>
      </c>
      <c r="U424" s="60" t="n">
        <f aca="false">IF(AND(S424=1,ISNUMBER(R424)),I424*R424,0)</f>
        <v>0</v>
      </c>
      <c r="V424" s="30" t="n">
        <f aca="false">IF(AND(F424="Big4(국영)",K424="고정",N424="N",I424&lt;&gt;""),1,0)</f>
        <v>0</v>
      </c>
      <c r="W424" s="59" t="n">
        <f aca="false">IF(V424=1,I424*L424,0)</f>
        <v>0</v>
      </c>
      <c r="X424" s="60" t="n">
        <f aca="false">IF(AND(V424=1,ISNUMBER(R424)),I424*R424,0)</f>
        <v>0</v>
      </c>
      <c r="Y424" s="61" t="n">
        <f aca="false">IF(AND(S424=1,ISNUMBER(R424)),I424,0)</f>
        <v>0</v>
      </c>
      <c r="Z424" s="61" t="n">
        <f aca="false">IF(AND(V424=1,ISNUMBER(R424)),I424,0)</f>
        <v>0</v>
      </c>
    </row>
    <row r="425" customFormat="false" ht="15" hidden="false" customHeight="false" outlineLevel="0" collapsed="false">
      <c r="A425" s="47" t="s">
        <v>828</v>
      </c>
      <c r="B425" s="52" t="n">
        <v>45763</v>
      </c>
      <c r="C425" s="53" t="n">
        <f aca="false">DATE(YEAR(B425),MONTH(B425),1)</f>
        <v>45748</v>
      </c>
      <c r="D425" s="5" t="str">
        <f aca="false">YEAR(B425)&amp;"Q"&amp;ROUNDUP(MONTH(B425)/3,0)</f>
        <v>2025Q2</v>
      </c>
      <c r="E425" s="62" t="s">
        <v>173</v>
      </c>
      <c r="F425" s="62" t="s">
        <v>156</v>
      </c>
      <c r="G425" s="47" t="s">
        <v>174</v>
      </c>
      <c r="H425" s="47" t="s">
        <v>833</v>
      </c>
      <c r="I425" s="55" t="n">
        <v>1000</v>
      </c>
      <c r="J425" s="56" t="n">
        <v>10</v>
      </c>
      <c r="K425" s="54" t="s">
        <v>153</v>
      </c>
      <c r="N425" s="47" t="s">
        <v>143</v>
      </c>
      <c r="O425" s="47" t="s">
        <v>821</v>
      </c>
      <c r="P425" s="47"/>
      <c r="Q425" s="48" t="n">
        <f aca="false">IF($J425="","",IFERROR(IF($J425&lt;=1,INDEX(VN_국채일별!$B$4:$B$1436,MATCH($B425,VN_국채일별!$A$4:$A$1436,1)),IF($J425&lt;=2,INDEX(VN_국채일별!$B$4:$B$1436,MATCH($B425,VN_국채일별!$A$4:$A$1436,1))+(INDEX(VN_국채일별!$C$4:$C$1436,MATCH($B425,VN_국채일별!$A$4:$A$1436,1))-INDEX(VN_국채일별!$B$4:$B$1436,MATCH($B425,VN_국채일별!$A$4:$A$1436,1)))*($J425-1),IF($J425&lt;=3,INDEX(VN_국채일별!$C$4:$C$1436,MATCH($B425,VN_국채일별!$A$4:$A$1436,1))+(INDEX(VN_국채일별!$D$4:$D$1436,MATCH($B425,VN_국채일별!$A$4:$A$1436,1))-INDEX(VN_국채일별!$C$4:$C$1436,MATCH($B425,VN_국채일별!$A$4:$A$1436,1)))*($J425-2),IF($J425&lt;=5,INDEX(VN_국채일별!$D$4:$D$1436,MATCH($B425,VN_국채일별!$A$4:$A$1436,1))+(INDEX(VN_국채일별!$E$4:$E$1436,MATCH($B425,VN_국채일별!$A$4:$A$1436,1))-INDEX(VN_국채일별!$D$4:$D$1436,MATCH($B425,VN_국채일별!$A$4:$A$1436,1)))*($J425-3)/2,IF($J425&lt;=7,INDEX(VN_국채일별!$E$4:$E$1436,MATCH($B425,VN_국채일별!$A$4:$A$1436,1))+(INDEX(VN_국채일별!$F$4:$F$1436,MATCH($B425,VN_국채일별!$A$4:$A$1436,1))-INDEX(VN_국채일별!$E$4:$E$1436,MATCH($B425,VN_국채일별!$A$4:$A$1436,1)))*($J425-5)/2,IF($J425&lt;=10,INDEX(VN_국채일별!$F$4:$F$1436,MATCH($B425,VN_국채일별!$A$4:$A$1436,1))+(INDEX(VN_국채일별!$G$4:$G$1436,MATCH($B425,VN_국채일별!$A$4:$A$1436,1))-INDEX(VN_국채일별!$F$4:$F$1436,MATCH($B425,VN_국채일별!$A$4:$A$1436,1)))*($J425-7)/3,INDEX(VN_국채일별!$G$4:$G$1436,MATCH($B425,VN_국채일별!$A$4:$A$1436,1)))))))),""))</f>
        <v>0.03076</v>
      </c>
      <c r="R425" s="58" t="str">
        <f aca="false">IF(OR(L425="",Q425=""),"",(L425-Q425)*10000)</f>
        <v/>
      </c>
      <c r="S425" s="30" t="n">
        <f aca="false">IF(AND(K425="고정",N425="N",J425&gt;=2,J425&lt;=4,I425&lt;&gt;""),1,0)</f>
        <v>0</v>
      </c>
      <c r="T425" s="59" t="n">
        <f aca="false">IF(S425=1,I425*L425,0)</f>
        <v>0</v>
      </c>
      <c r="U425" s="60" t="n">
        <f aca="false">IF(AND(S425=1,ISNUMBER(R425)),I425*R425,0)</f>
        <v>0</v>
      </c>
      <c r="V425" s="30" t="n">
        <f aca="false">IF(AND(F425="Big4(국영)",K425="고정",N425="N",I425&lt;&gt;""),1,0)</f>
        <v>0</v>
      </c>
      <c r="W425" s="59" t="n">
        <f aca="false">IF(V425=1,I425*L425,0)</f>
        <v>0</v>
      </c>
      <c r="X425" s="60" t="n">
        <f aca="false">IF(AND(V425=1,ISNUMBER(R425)),I425*R425,0)</f>
        <v>0</v>
      </c>
      <c r="Y425" s="61" t="n">
        <f aca="false">IF(AND(S425=1,ISNUMBER(R425)),I425,0)</f>
        <v>0</v>
      </c>
      <c r="Z425" s="61" t="n">
        <f aca="false">IF(AND(V425=1,ISNUMBER(R425)),I425,0)</f>
        <v>0</v>
      </c>
    </row>
    <row r="426" customFormat="false" ht="15" hidden="false" customHeight="false" outlineLevel="0" collapsed="false">
      <c r="A426" s="47" t="s">
        <v>828</v>
      </c>
      <c r="B426" s="52" t="n">
        <v>45764</v>
      </c>
      <c r="C426" s="53" t="n">
        <f aca="false">DATE(YEAR(B426),MONTH(B426),1)</f>
        <v>45748</v>
      </c>
      <c r="D426" s="5" t="str">
        <f aca="false">YEAR(B426)&amp;"Q"&amp;ROUNDUP(MONTH(B426)/3,0)</f>
        <v>2025Q2</v>
      </c>
      <c r="E426" s="47" t="s">
        <v>145</v>
      </c>
      <c r="F426" s="54" t="s">
        <v>139</v>
      </c>
      <c r="G426" s="47" t="s">
        <v>146</v>
      </c>
      <c r="H426" s="47" t="s">
        <v>834</v>
      </c>
      <c r="I426" s="55" t="n">
        <v>1000</v>
      </c>
      <c r="J426" s="56" t="n">
        <v>3</v>
      </c>
      <c r="K426" s="54" t="s">
        <v>142</v>
      </c>
      <c r="L426" s="57" t="n">
        <v>0.053</v>
      </c>
      <c r="N426" s="47" t="s">
        <v>148</v>
      </c>
      <c r="O426" s="47" t="s">
        <v>582</v>
      </c>
      <c r="P426" s="47"/>
      <c r="Q426" s="48" t="n">
        <f aca="false">IF($J426="","",IFERROR(IF($J426&lt;=1,INDEX(VN_국채일별!$B$4:$B$1436,MATCH($B426,VN_국채일별!$A$4:$A$1436,1)),IF($J426&lt;=2,INDEX(VN_국채일별!$B$4:$B$1436,MATCH($B426,VN_국채일별!$A$4:$A$1436,1))+(INDEX(VN_국채일별!$C$4:$C$1436,MATCH($B426,VN_국채일별!$A$4:$A$1436,1))-INDEX(VN_국채일별!$B$4:$B$1436,MATCH($B426,VN_국채일별!$A$4:$A$1436,1)))*($J426-1),IF($J426&lt;=3,INDEX(VN_국채일별!$C$4:$C$1436,MATCH($B426,VN_국채일별!$A$4:$A$1436,1))+(INDEX(VN_국채일별!$D$4:$D$1436,MATCH($B426,VN_국채일별!$A$4:$A$1436,1))-INDEX(VN_국채일별!$C$4:$C$1436,MATCH($B426,VN_국채일별!$A$4:$A$1436,1)))*($J426-2),IF($J426&lt;=5,INDEX(VN_국채일별!$D$4:$D$1436,MATCH($B426,VN_국채일별!$A$4:$A$1436,1))+(INDEX(VN_국채일별!$E$4:$E$1436,MATCH($B426,VN_국채일별!$A$4:$A$1436,1))-INDEX(VN_국채일별!$D$4:$D$1436,MATCH($B426,VN_국채일별!$A$4:$A$1436,1)))*($J426-3)/2,IF($J426&lt;=7,INDEX(VN_국채일별!$E$4:$E$1436,MATCH($B426,VN_국채일별!$A$4:$A$1436,1))+(INDEX(VN_국채일별!$F$4:$F$1436,MATCH($B426,VN_국채일별!$A$4:$A$1436,1))-INDEX(VN_국채일별!$E$4:$E$1436,MATCH($B426,VN_국채일별!$A$4:$A$1436,1)))*($J426-5)/2,IF($J426&lt;=10,INDEX(VN_국채일별!$F$4:$F$1436,MATCH($B426,VN_국채일별!$A$4:$A$1436,1))+(INDEX(VN_국채일별!$G$4:$G$1436,MATCH($B426,VN_국채일별!$A$4:$A$1436,1))-INDEX(VN_국채일별!$F$4:$F$1436,MATCH($B426,VN_국채일별!$A$4:$A$1436,1)))*($J426-7)/3,INDEX(VN_국채일별!$G$4:$G$1436,MATCH($B426,VN_국채일별!$A$4:$A$1436,1)))))))),""))</f>
        <v>0.0228</v>
      </c>
      <c r="R426" s="58" t="n">
        <f aca="false">IF(OR(L426="",Q426=""),"",(L426-Q426)*10000)</f>
        <v>302</v>
      </c>
      <c r="S426" s="30" t="n">
        <f aca="false">IF(AND(K426="고정",N426="N",J426&gt;=2,J426&lt;=4,I426&lt;&gt;""),1,0)</f>
        <v>1</v>
      </c>
      <c r="T426" s="59" t="n">
        <f aca="false">IF(S426=1,I426*L426,0)</f>
        <v>53</v>
      </c>
      <c r="U426" s="60" t="n">
        <f aca="false">IF(AND(S426=1,ISNUMBER(R426)),I426*R426,0)</f>
        <v>302000</v>
      </c>
      <c r="V426" s="30" t="n">
        <f aca="false">IF(AND(F426="Big4(국영)",K426="고정",N426="N",I426&lt;&gt;""),1,0)</f>
        <v>0</v>
      </c>
      <c r="W426" s="59" t="n">
        <f aca="false">IF(V426=1,I426*L426,0)</f>
        <v>0</v>
      </c>
      <c r="X426" s="60" t="n">
        <f aca="false">IF(AND(V426=1,ISNUMBER(R426)),I426*R426,0)</f>
        <v>0</v>
      </c>
      <c r="Y426" s="61" t="n">
        <f aca="false">IF(AND(S426=1,ISNUMBER(R426)),I426,0)</f>
        <v>1000</v>
      </c>
      <c r="Z426" s="61" t="n">
        <f aca="false">IF(AND(V426=1,ISNUMBER(R426)),I426,0)</f>
        <v>0</v>
      </c>
    </row>
    <row r="427" customFormat="false" ht="15" hidden="false" customHeight="false" outlineLevel="0" collapsed="false">
      <c r="A427" s="47" t="s">
        <v>828</v>
      </c>
      <c r="B427" s="52" t="n">
        <v>45765</v>
      </c>
      <c r="C427" s="53" t="n">
        <f aca="false">DATE(YEAR(B427),MONTH(B427),1)</f>
        <v>45748</v>
      </c>
      <c r="D427" s="5" t="str">
        <f aca="false">YEAR(B427)&amp;"Q"&amp;ROUNDUP(MONTH(B427)/3,0)</f>
        <v>2025Q2</v>
      </c>
      <c r="E427" s="47" t="s">
        <v>254</v>
      </c>
      <c r="F427" s="54" t="s">
        <v>139</v>
      </c>
      <c r="G427" s="47" t="s">
        <v>339</v>
      </c>
      <c r="H427" s="47" t="s">
        <v>835</v>
      </c>
      <c r="I427" s="55" t="n">
        <v>500</v>
      </c>
      <c r="J427" s="56" t="n">
        <v>3</v>
      </c>
      <c r="K427" s="54" t="s">
        <v>153</v>
      </c>
      <c r="M427" s="57" t="n">
        <v>0.058</v>
      </c>
      <c r="N427" s="47" t="s">
        <v>148</v>
      </c>
      <c r="O427" s="47" t="s">
        <v>836</v>
      </c>
      <c r="P427" s="47"/>
      <c r="Q427" s="48" t="n">
        <f aca="false">IF($J427="","",IFERROR(IF($J427&lt;=1,INDEX(VN_국채일별!$B$4:$B$1436,MATCH($B427,VN_국채일별!$A$4:$A$1436,1)),IF($J427&lt;=2,INDEX(VN_국채일별!$B$4:$B$1436,MATCH($B427,VN_국채일별!$A$4:$A$1436,1))+(INDEX(VN_국채일별!$C$4:$C$1436,MATCH($B427,VN_국채일별!$A$4:$A$1436,1))-INDEX(VN_국채일별!$B$4:$B$1436,MATCH($B427,VN_국채일별!$A$4:$A$1436,1)))*($J427-1),IF($J427&lt;=3,INDEX(VN_국채일별!$C$4:$C$1436,MATCH($B427,VN_국채일별!$A$4:$A$1436,1))+(INDEX(VN_국채일별!$D$4:$D$1436,MATCH($B427,VN_국채일별!$A$4:$A$1436,1))-INDEX(VN_국채일별!$C$4:$C$1436,MATCH($B427,VN_국채일별!$A$4:$A$1436,1)))*($J427-2),IF($J427&lt;=5,INDEX(VN_국채일별!$D$4:$D$1436,MATCH($B427,VN_국채일별!$A$4:$A$1436,1))+(INDEX(VN_국채일별!$E$4:$E$1436,MATCH($B427,VN_국채일별!$A$4:$A$1436,1))-INDEX(VN_국채일별!$D$4:$D$1436,MATCH($B427,VN_국채일별!$A$4:$A$1436,1)))*($J427-3)/2,IF($J427&lt;=7,INDEX(VN_국채일별!$E$4:$E$1436,MATCH($B427,VN_국채일별!$A$4:$A$1436,1))+(INDEX(VN_국채일별!$F$4:$F$1436,MATCH($B427,VN_국채일별!$A$4:$A$1436,1))-INDEX(VN_국채일별!$E$4:$E$1436,MATCH($B427,VN_국채일별!$A$4:$A$1436,1)))*($J427-5)/2,IF($J427&lt;=10,INDEX(VN_국채일별!$F$4:$F$1436,MATCH($B427,VN_국채일별!$A$4:$A$1436,1))+(INDEX(VN_국채일별!$G$4:$G$1436,MATCH($B427,VN_국채일별!$A$4:$A$1436,1))-INDEX(VN_국채일별!$F$4:$F$1436,MATCH($B427,VN_국채일별!$A$4:$A$1436,1)))*($J427-7)/3,INDEX(VN_국채일별!$G$4:$G$1436,MATCH($B427,VN_국채일별!$A$4:$A$1436,1)))))))),""))</f>
        <v>0.02279</v>
      </c>
      <c r="R427" s="58" t="str">
        <f aca="false">IF(OR(L427="",Q427=""),"",(L427-Q427)*10000)</f>
        <v/>
      </c>
      <c r="S427" s="30" t="n">
        <f aca="false">IF(AND(K427="고정",N427="N",J427&gt;=2,J427&lt;=4,I427&lt;&gt;""),1,0)</f>
        <v>0</v>
      </c>
      <c r="T427" s="59" t="n">
        <f aca="false">IF(S427=1,I427*L427,0)</f>
        <v>0</v>
      </c>
      <c r="U427" s="60" t="n">
        <f aca="false">IF(AND(S427=1,ISNUMBER(R427)),I427*R427,0)</f>
        <v>0</v>
      </c>
      <c r="V427" s="30" t="n">
        <f aca="false">IF(AND(F427="Big4(국영)",K427="고정",N427="N",I427&lt;&gt;""),1,0)</f>
        <v>0</v>
      </c>
      <c r="W427" s="59" t="n">
        <f aca="false">IF(V427=1,I427*L427,0)</f>
        <v>0</v>
      </c>
      <c r="X427" s="60" t="n">
        <f aca="false">IF(AND(V427=1,ISNUMBER(R427)),I427*R427,0)</f>
        <v>0</v>
      </c>
      <c r="Y427" s="61" t="n">
        <f aca="false">IF(AND(S427=1,ISNUMBER(R427)),I427,0)</f>
        <v>0</v>
      </c>
      <c r="Z427" s="61" t="n">
        <f aca="false">IF(AND(V427=1,ISNUMBER(R427)),I427,0)</f>
        <v>0</v>
      </c>
    </row>
    <row r="428" customFormat="false" ht="15" hidden="false" customHeight="false" outlineLevel="0" collapsed="false">
      <c r="A428" s="47" t="s">
        <v>828</v>
      </c>
      <c r="B428" s="52" t="n">
        <v>45768</v>
      </c>
      <c r="C428" s="53" t="n">
        <f aca="false">DATE(YEAR(B428),MONTH(B428),1)</f>
        <v>45748</v>
      </c>
      <c r="D428" s="5" t="str">
        <f aca="false">YEAR(B428)&amp;"Q"&amp;ROUNDUP(MONTH(B428)/3,0)</f>
        <v>2025Q2</v>
      </c>
      <c r="E428" s="47" t="s">
        <v>307</v>
      </c>
      <c r="F428" s="54" t="s">
        <v>139</v>
      </c>
      <c r="G428" s="47" t="s">
        <v>308</v>
      </c>
      <c r="H428" s="47" t="s">
        <v>837</v>
      </c>
      <c r="I428" s="55" t="n">
        <v>1000</v>
      </c>
      <c r="J428" s="56" t="n">
        <v>3</v>
      </c>
      <c r="K428" s="54" t="s">
        <v>142</v>
      </c>
      <c r="L428" s="57" t="n">
        <v>0.052</v>
      </c>
      <c r="N428" s="47" t="s">
        <v>148</v>
      </c>
      <c r="O428" s="47" t="s">
        <v>538</v>
      </c>
      <c r="P428" s="47"/>
      <c r="Q428" s="48" t="n">
        <f aca="false">IF($J428="","",IFERROR(IF($J428&lt;=1,INDEX(VN_국채일별!$B$4:$B$1436,MATCH($B428,VN_국채일별!$A$4:$A$1436,1)),IF($J428&lt;=2,INDEX(VN_국채일별!$B$4:$B$1436,MATCH($B428,VN_국채일별!$A$4:$A$1436,1))+(INDEX(VN_국채일별!$C$4:$C$1436,MATCH($B428,VN_국채일별!$A$4:$A$1436,1))-INDEX(VN_국채일별!$B$4:$B$1436,MATCH($B428,VN_국채일별!$A$4:$A$1436,1)))*($J428-1),IF($J428&lt;=3,INDEX(VN_국채일별!$C$4:$C$1436,MATCH($B428,VN_국채일별!$A$4:$A$1436,1))+(INDEX(VN_국채일별!$D$4:$D$1436,MATCH($B428,VN_국채일별!$A$4:$A$1436,1))-INDEX(VN_국채일별!$C$4:$C$1436,MATCH($B428,VN_국채일별!$A$4:$A$1436,1)))*($J428-2),IF($J428&lt;=5,INDEX(VN_국채일별!$D$4:$D$1436,MATCH($B428,VN_국채일별!$A$4:$A$1436,1))+(INDEX(VN_국채일별!$E$4:$E$1436,MATCH($B428,VN_국채일별!$A$4:$A$1436,1))-INDEX(VN_국채일별!$D$4:$D$1436,MATCH($B428,VN_국채일별!$A$4:$A$1436,1)))*($J428-3)/2,IF($J428&lt;=7,INDEX(VN_국채일별!$E$4:$E$1436,MATCH($B428,VN_국채일별!$A$4:$A$1436,1))+(INDEX(VN_국채일별!$F$4:$F$1436,MATCH($B428,VN_국채일별!$A$4:$A$1436,1))-INDEX(VN_국채일별!$E$4:$E$1436,MATCH($B428,VN_국채일별!$A$4:$A$1436,1)))*($J428-5)/2,IF($J428&lt;=10,INDEX(VN_국채일별!$F$4:$F$1436,MATCH($B428,VN_국채일별!$A$4:$A$1436,1))+(INDEX(VN_국채일별!$G$4:$G$1436,MATCH($B428,VN_국채일별!$A$4:$A$1436,1))-INDEX(VN_국채일별!$F$4:$F$1436,MATCH($B428,VN_국채일별!$A$4:$A$1436,1)))*($J428-7)/3,INDEX(VN_국채일별!$G$4:$G$1436,MATCH($B428,VN_국채일별!$A$4:$A$1436,1)))))))),""))</f>
        <v>0.02279</v>
      </c>
      <c r="R428" s="58" t="n">
        <f aca="false">IF(OR(L428="",Q428=""),"",(L428-Q428)*10000)</f>
        <v>292.1</v>
      </c>
      <c r="S428" s="30" t="n">
        <f aca="false">IF(AND(K428="고정",N428="N",J428&gt;=2,J428&lt;=4,I428&lt;&gt;""),1,0)</f>
        <v>1</v>
      </c>
      <c r="T428" s="59" t="n">
        <f aca="false">IF(S428=1,I428*L428,0)</f>
        <v>52</v>
      </c>
      <c r="U428" s="60" t="n">
        <f aca="false">IF(AND(S428=1,ISNUMBER(R428)),I428*R428,0)</f>
        <v>292100</v>
      </c>
      <c r="V428" s="30" t="n">
        <f aca="false">IF(AND(F428="Big4(국영)",K428="고정",N428="N",I428&lt;&gt;""),1,0)</f>
        <v>0</v>
      </c>
      <c r="W428" s="59" t="n">
        <f aca="false">IF(V428=1,I428*L428,0)</f>
        <v>0</v>
      </c>
      <c r="X428" s="60" t="n">
        <f aca="false">IF(AND(V428=1,ISNUMBER(R428)),I428*R428,0)</f>
        <v>0</v>
      </c>
      <c r="Y428" s="61" t="n">
        <f aca="false">IF(AND(S428=1,ISNUMBER(R428)),I428,0)</f>
        <v>1000</v>
      </c>
      <c r="Z428" s="61" t="n">
        <f aca="false">IF(AND(V428=1,ISNUMBER(R428)),I428,0)</f>
        <v>0</v>
      </c>
    </row>
    <row r="429" customFormat="false" ht="15" hidden="false" customHeight="false" outlineLevel="0" collapsed="false">
      <c r="A429" s="47" t="s">
        <v>828</v>
      </c>
      <c r="B429" s="52" t="n">
        <v>45768</v>
      </c>
      <c r="C429" s="53" t="n">
        <f aca="false">DATE(YEAR(B429),MONTH(B429),1)</f>
        <v>45748</v>
      </c>
      <c r="D429" s="5" t="str">
        <f aca="false">YEAR(B429)&amp;"Q"&amp;ROUNDUP(MONTH(B429)/3,0)</f>
        <v>2025Q2</v>
      </c>
      <c r="E429" s="47" t="s">
        <v>307</v>
      </c>
      <c r="F429" s="54" t="s">
        <v>139</v>
      </c>
      <c r="G429" s="47" t="s">
        <v>308</v>
      </c>
      <c r="H429" s="47" t="s">
        <v>838</v>
      </c>
      <c r="I429" s="55" t="n">
        <v>3200</v>
      </c>
      <c r="J429" s="56" t="n">
        <v>3</v>
      </c>
      <c r="K429" s="54" t="s">
        <v>142</v>
      </c>
      <c r="L429" s="57" t="n">
        <v>0.052</v>
      </c>
      <c r="N429" s="47" t="s">
        <v>148</v>
      </c>
      <c r="O429" s="47" t="s">
        <v>538</v>
      </c>
      <c r="P429" s="47"/>
      <c r="Q429" s="48" t="n">
        <f aca="false">IF($J429="","",IFERROR(IF($J429&lt;=1,INDEX(VN_국채일별!$B$4:$B$1436,MATCH($B429,VN_국채일별!$A$4:$A$1436,1)),IF($J429&lt;=2,INDEX(VN_국채일별!$B$4:$B$1436,MATCH($B429,VN_국채일별!$A$4:$A$1436,1))+(INDEX(VN_국채일별!$C$4:$C$1436,MATCH($B429,VN_국채일별!$A$4:$A$1436,1))-INDEX(VN_국채일별!$B$4:$B$1436,MATCH($B429,VN_국채일별!$A$4:$A$1436,1)))*($J429-1),IF($J429&lt;=3,INDEX(VN_국채일별!$C$4:$C$1436,MATCH($B429,VN_국채일별!$A$4:$A$1436,1))+(INDEX(VN_국채일별!$D$4:$D$1436,MATCH($B429,VN_국채일별!$A$4:$A$1436,1))-INDEX(VN_국채일별!$C$4:$C$1436,MATCH($B429,VN_국채일별!$A$4:$A$1436,1)))*($J429-2),IF($J429&lt;=5,INDEX(VN_국채일별!$D$4:$D$1436,MATCH($B429,VN_국채일별!$A$4:$A$1436,1))+(INDEX(VN_국채일별!$E$4:$E$1436,MATCH($B429,VN_국채일별!$A$4:$A$1436,1))-INDEX(VN_국채일별!$D$4:$D$1436,MATCH($B429,VN_국채일별!$A$4:$A$1436,1)))*($J429-3)/2,IF($J429&lt;=7,INDEX(VN_국채일별!$E$4:$E$1436,MATCH($B429,VN_국채일별!$A$4:$A$1436,1))+(INDEX(VN_국채일별!$F$4:$F$1436,MATCH($B429,VN_국채일별!$A$4:$A$1436,1))-INDEX(VN_국채일별!$E$4:$E$1436,MATCH($B429,VN_국채일별!$A$4:$A$1436,1)))*($J429-5)/2,IF($J429&lt;=10,INDEX(VN_국채일별!$F$4:$F$1436,MATCH($B429,VN_국채일별!$A$4:$A$1436,1))+(INDEX(VN_국채일별!$G$4:$G$1436,MATCH($B429,VN_국채일별!$A$4:$A$1436,1))-INDEX(VN_국채일별!$F$4:$F$1436,MATCH($B429,VN_국채일별!$A$4:$A$1436,1)))*($J429-7)/3,INDEX(VN_국채일별!$G$4:$G$1436,MATCH($B429,VN_국채일별!$A$4:$A$1436,1)))))))),""))</f>
        <v>0.02279</v>
      </c>
      <c r="R429" s="58" t="n">
        <f aca="false">IF(OR(L429="",Q429=""),"",(L429-Q429)*10000)</f>
        <v>292.1</v>
      </c>
      <c r="S429" s="30" t="n">
        <f aca="false">IF(AND(K429="고정",N429="N",J429&gt;=2,J429&lt;=4,I429&lt;&gt;""),1,0)</f>
        <v>1</v>
      </c>
      <c r="T429" s="59" t="n">
        <f aca="false">IF(S429=1,I429*L429,0)</f>
        <v>166.4</v>
      </c>
      <c r="U429" s="60" t="n">
        <f aca="false">IF(AND(S429=1,ISNUMBER(R429)),I429*R429,0)</f>
        <v>934720</v>
      </c>
      <c r="V429" s="30" t="n">
        <f aca="false">IF(AND(F429="Big4(국영)",K429="고정",N429="N",I429&lt;&gt;""),1,0)</f>
        <v>0</v>
      </c>
      <c r="W429" s="59" t="n">
        <f aca="false">IF(V429=1,I429*L429,0)</f>
        <v>0</v>
      </c>
      <c r="X429" s="60" t="n">
        <f aca="false">IF(AND(V429=1,ISNUMBER(R429)),I429*R429,0)</f>
        <v>0</v>
      </c>
      <c r="Y429" s="61" t="n">
        <f aca="false">IF(AND(S429=1,ISNUMBER(R429)),I429,0)</f>
        <v>3200</v>
      </c>
      <c r="Z429" s="61" t="n">
        <f aca="false">IF(AND(V429=1,ISNUMBER(R429)),I429,0)</f>
        <v>0</v>
      </c>
    </row>
    <row r="430" customFormat="false" ht="15" hidden="false" customHeight="false" outlineLevel="0" collapsed="false">
      <c r="A430" s="47" t="s">
        <v>828</v>
      </c>
      <c r="B430" s="52" t="n">
        <v>45769</v>
      </c>
      <c r="C430" s="53" t="n">
        <f aca="false">DATE(YEAR(B430),MONTH(B430),1)</f>
        <v>45748</v>
      </c>
      <c r="D430" s="5" t="str">
        <f aca="false">YEAR(B430)&amp;"Q"&amp;ROUNDUP(MONTH(B430)/3,0)</f>
        <v>2025Q2</v>
      </c>
      <c r="E430" s="47" t="s">
        <v>307</v>
      </c>
      <c r="F430" s="54" t="s">
        <v>139</v>
      </c>
      <c r="G430" s="47" t="s">
        <v>308</v>
      </c>
      <c r="H430" s="47" t="s">
        <v>839</v>
      </c>
      <c r="I430" s="55" t="n">
        <v>2500</v>
      </c>
      <c r="J430" s="56" t="n">
        <v>2</v>
      </c>
      <c r="K430" s="54" t="s">
        <v>142</v>
      </c>
      <c r="L430" s="57" t="n">
        <v>0.052</v>
      </c>
      <c r="N430" s="47" t="s">
        <v>148</v>
      </c>
      <c r="O430" s="47" t="s">
        <v>538</v>
      </c>
      <c r="P430" s="47"/>
      <c r="Q430" s="48" t="n">
        <f aca="false">IF($J430="","",IFERROR(IF($J430&lt;=1,INDEX(VN_국채일별!$B$4:$B$1436,MATCH($B430,VN_국채일별!$A$4:$A$1436,1)),IF($J430&lt;=2,INDEX(VN_국채일별!$B$4:$B$1436,MATCH($B430,VN_국채일별!$A$4:$A$1436,1))+(INDEX(VN_국채일별!$C$4:$C$1436,MATCH($B430,VN_국채일별!$A$4:$A$1436,1))-INDEX(VN_국채일별!$B$4:$B$1436,MATCH($B430,VN_국채일별!$A$4:$A$1436,1)))*($J430-1),IF($J430&lt;=3,INDEX(VN_국채일별!$C$4:$C$1436,MATCH($B430,VN_국채일별!$A$4:$A$1436,1))+(INDEX(VN_국채일별!$D$4:$D$1436,MATCH($B430,VN_국채일별!$A$4:$A$1436,1))-INDEX(VN_국채일별!$C$4:$C$1436,MATCH($B430,VN_국채일별!$A$4:$A$1436,1)))*($J430-2),IF($J430&lt;=5,INDEX(VN_국채일별!$D$4:$D$1436,MATCH($B430,VN_국채일별!$A$4:$A$1436,1))+(INDEX(VN_국채일별!$E$4:$E$1436,MATCH($B430,VN_국채일별!$A$4:$A$1436,1))-INDEX(VN_국채일별!$D$4:$D$1436,MATCH($B430,VN_국채일별!$A$4:$A$1436,1)))*($J430-3)/2,IF($J430&lt;=7,INDEX(VN_국채일별!$E$4:$E$1436,MATCH($B430,VN_국채일별!$A$4:$A$1436,1))+(INDEX(VN_국채일별!$F$4:$F$1436,MATCH($B430,VN_국채일별!$A$4:$A$1436,1))-INDEX(VN_국채일별!$E$4:$E$1436,MATCH($B430,VN_국채일별!$A$4:$A$1436,1)))*($J430-5)/2,IF($J430&lt;=10,INDEX(VN_국채일별!$F$4:$F$1436,MATCH($B430,VN_국채일별!$A$4:$A$1436,1))+(INDEX(VN_국채일별!$G$4:$G$1436,MATCH($B430,VN_국채일별!$A$4:$A$1436,1))-INDEX(VN_국채일별!$F$4:$F$1436,MATCH($B430,VN_국채일별!$A$4:$A$1436,1)))*($J430-7)/3,INDEX(VN_국채일별!$G$4:$G$1436,MATCH($B430,VN_국채일별!$A$4:$A$1436,1)))))))),""))</f>
        <v>0.0221</v>
      </c>
      <c r="R430" s="58" t="n">
        <f aca="false">IF(OR(L430="",Q430=""),"",(L430-Q430)*10000)</f>
        <v>299</v>
      </c>
      <c r="S430" s="30" t="n">
        <f aca="false">IF(AND(K430="고정",N430="N",J430&gt;=2,J430&lt;=4,I430&lt;&gt;""),1,0)</f>
        <v>1</v>
      </c>
      <c r="T430" s="59" t="n">
        <f aca="false">IF(S430=1,I430*L430,0)</f>
        <v>130</v>
      </c>
      <c r="U430" s="60" t="n">
        <f aca="false">IF(AND(S430=1,ISNUMBER(R430)),I430*R430,0)</f>
        <v>747500</v>
      </c>
      <c r="V430" s="30" t="n">
        <f aca="false">IF(AND(F430="Big4(국영)",K430="고정",N430="N",I430&lt;&gt;""),1,0)</f>
        <v>0</v>
      </c>
      <c r="W430" s="59" t="n">
        <f aca="false">IF(V430=1,I430*L430,0)</f>
        <v>0</v>
      </c>
      <c r="X430" s="60" t="n">
        <f aca="false">IF(AND(V430=1,ISNUMBER(R430)),I430*R430,0)</f>
        <v>0</v>
      </c>
      <c r="Y430" s="61" t="n">
        <f aca="false">IF(AND(S430=1,ISNUMBER(R430)),I430,0)</f>
        <v>2500</v>
      </c>
      <c r="Z430" s="61" t="n">
        <f aca="false">IF(AND(V430=1,ISNUMBER(R430)),I430,0)</f>
        <v>0</v>
      </c>
    </row>
    <row r="431" customFormat="false" ht="15" hidden="false" customHeight="false" outlineLevel="0" collapsed="false">
      <c r="A431" s="47" t="s">
        <v>828</v>
      </c>
      <c r="B431" s="52" t="n">
        <v>45770</v>
      </c>
      <c r="C431" s="53" t="n">
        <f aca="false">DATE(YEAR(B431),MONTH(B431),1)</f>
        <v>45748</v>
      </c>
      <c r="D431" s="5" t="str">
        <f aca="false">YEAR(B431)&amp;"Q"&amp;ROUNDUP(MONTH(B431)/3,0)</f>
        <v>2025Q2</v>
      </c>
      <c r="E431" s="47" t="s">
        <v>307</v>
      </c>
      <c r="F431" s="54" t="s">
        <v>139</v>
      </c>
      <c r="G431" s="47" t="s">
        <v>308</v>
      </c>
      <c r="H431" s="47" t="s">
        <v>840</v>
      </c>
      <c r="I431" s="55" t="n">
        <v>2500</v>
      </c>
      <c r="J431" s="56" t="n">
        <v>2</v>
      </c>
      <c r="K431" s="54" t="s">
        <v>142</v>
      </c>
      <c r="L431" s="57" t="n">
        <v>0.052</v>
      </c>
      <c r="N431" s="47" t="s">
        <v>148</v>
      </c>
      <c r="O431" s="47" t="s">
        <v>538</v>
      </c>
      <c r="P431" s="47"/>
      <c r="Q431" s="48" t="n">
        <f aca="false">IF($J431="","",IFERROR(IF($J431&lt;=1,INDEX(VN_국채일별!$B$4:$B$1436,MATCH($B431,VN_국채일별!$A$4:$A$1436,1)),IF($J431&lt;=2,INDEX(VN_국채일별!$B$4:$B$1436,MATCH($B431,VN_국채일별!$A$4:$A$1436,1))+(INDEX(VN_국채일별!$C$4:$C$1436,MATCH($B431,VN_국채일별!$A$4:$A$1436,1))-INDEX(VN_국채일별!$B$4:$B$1436,MATCH($B431,VN_국채일별!$A$4:$A$1436,1)))*($J431-1),IF($J431&lt;=3,INDEX(VN_국채일별!$C$4:$C$1436,MATCH($B431,VN_국채일별!$A$4:$A$1436,1))+(INDEX(VN_국채일별!$D$4:$D$1436,MATCH($B431,VN_국채일별!$A$4:$A$1436,1))-INDEX(VN_국채일별!$C$4:$C$1436,MATCH($B431,VN_국채일별!$A$4:$A$1436,1)))*($J431-2),IF($J431&lt;=5,INDEX(VN_국채일별!$D$4:$D$1436,MATCH($B431,VN_국채일별!$A$4:$A$1436,1))+(INDEX(VN_국채일별!$E$4:$E$1436,MATCH($B431,VN_국채일별!$A$4:$A$1436,1))-INDEX(VN_국채일별!$D$4:$D$1436,MATCH($B431,VN_국채일별!$A$4:$A$1436,1)))*($J431-3)/2,IF($J431&lt;=7,INDEX(VN_국채일별!$E$4:$E$1436,MATCH($B431,VN_국채일별!$A$4:$A$1436,1))+(INDEX(VN_국채일별!$F$4:$F$1436,MATCH($B431,VN_국채일별!$A$4:$A$1436,1))-INDEX(VN_국채일별!$E$4:$E$1436,MATCH($B431,VN_국채일별!$A$4:$A$1436,1)))*($J431-5)/2,IF($J431&lt;=10,INDEX(VN_국채일별!$F$4:$F$1436,MATCH($B431,VN_국채일별!$A$4:$A$1436,1))+(INDEX(VN_국채일별!$G$4:$G$1436,MATCH($B431,VN_국채일별!$A$4:$A$1436,1))-INDEX(VN_국채일별!$F$4:$F$1436,MATCH($B431,VN_국채일별!$A$4:$A$1436,1)))*($J431-7)/3,INDEX(VN_국채일별!$G$4:$G$1436,MATCH($B431,VN_국채일별!$A$4:$A$1436,1)))))))),""))</f>
        <v>0.0221</v>
      </c>
      <c r="R431" s="58" t="n">
        <f aca="false">IF(OR(L431="",Q431=""),"",(L431-Q431)*10000)</f>
        <v>299</v>
      </c>
      <c r="S431" s="30" t="n">
        <f aca="false">IF(AND(K431="고정",N431="N",J431&gt;=2,J431&lt;=4,I431&lt;&gt;""),1,0)</f>
        <v>1</v>
      </c>
      <c r="T431" s="59" t="n">
        <f aca="false">IF(S431=1,I431*L431,0)</f>
        <v>130</v>
      </c>
      <c r="U431" s="60" t="n">
        <f aca="false">IF(AND(S431=1,ISNUMBER(R431)),I431*R431,0)</f>
        <v>747500</v>
      </c>
      <c r="V431" s="30" t="n">
        <f aca="false">IF(AND(F431="Big4(국영)",K431="고정",N431="N",I431&lt;&gt;""),1,0)</f>
        <v>0</v>
      </c>
      <c r="W431" s="59" t="n">
        <f aca="false">IF(V431=1,I431*L431,0)</f>
        <v>0</v>
      </c>
      <c r="X431" s="60" t="n">
        <f aca="false">IF(AND(V431=1,ISNUMBER(R431)),I431*R431,0)</f>
        <v>0</v>
      </c>
      <c r="Y431" s="61" t="n">
        <f aca="false">IF(AND(S431=1,ISNUMBER(R431)),I431,0)</f>
        <v>2500</v>
      </c>
      <c r="Z431" s="61" t="n">
        <f aca="false">IF(AND(V431=1,ISNUMBER(R431)),I431,0)</f>
        <v>0</v>
      </c>
    </row>
    <row r="432" customFormat="false" ht="15" hidden="false" customHeight="false" outlineLevel="0" collapsed="false">
      <c r="A432" s="47" t="s">
        <v>828</v>
      </c>
      <c r="B432" s="52" t="n">
        <v>45770</v>
      </c>
      <c r="C432" s="53" t="n">
        <f aca="false">DATE(YEAR(B432),MONTH(B432),1)</f>
        <v>45748</v>
      </c>
      <c r="D432" s="5" t="str">
        <f aca="false">YEAR(B432)&amp;"Q"&amp;ROUNDUP(MONTH(B432)/3,0)</f>
        <v>2025Q2</v>
      </c>
      <c r="E432" s="47" t="s">
        <v>145</v>
      </c>
      <c r="F432" s="54" t="s">
        <v>139</v>
      </c>
      <c r="G432" s="47" t="s">
        <v>146</v>
      </c>
      <c r="H432" s="47" t="s">
        <v>841</v>
      </c>
      <c r="I432" s="55" t="n">
        <v>2000</v>
      </c>
      <c r="J432" s="56" t="n">
        <v>3</v>
      </c>
      <c r="K432" s="54" t="s">
        <v>142</v>
      </c>
      <c r="L432" s="57" t="n">
        <v>0.053</v>
      </c>
      <c r="N432" s="47" t="s">
        <v>148</v>
      </c>
      <c r="O432" s="47" t="s">
        <v>582</v>
      </c>
      <c r="P432" s="47"/>
      <c r="Q432" s="48" t="n">
        <f aca="false">IF($J432="","",IFERROR(IF($J432&lt;=1,INDEX(VN_국채일별!$B$4:$B$1436,MATCH($B432,VN_국채일별!$A$4:$A$1436,1)),IF($J432&lt;=2,INDEX(VN_국채일별!$B$4:$B$1436,MATCH($B432,VN_국채일별!$A$4:$A$1436,1))+(INDEX(VN_국채일별!$C$4:$C$1436,MATCH($B432,VN_국채일별!$A$4:$A$1436,1))-INDEX(VN_국채일별!$B$4:$B$1436,MATCH($B432,VN_국채일별!$A$4:$A$1436,1)))*($J432-1),IF($J432&lt;=3,INDEX(VN_국채일별!$C$4:$C$1436,MATCH($B432,VN_국채일별!$A$4:$A$1436,1))+(INDEX(VN_국채일별!$D$4:$D$1436,MATCH($B432,VN_국채일별!$A$4:$A$1436,1))-INDEX(VN_국채일별!$C$4:$C$1436,MATCH($B432,VN_국채일별!$A$4:$A$1436,1)))*($J432-2),IF($J432&lt;=5,INDEX(VN_국채일별!$D$4:$D$1436,MATCH($B432,VN_국채일별!$A$4:$A$1436,1))+(INDEX(VN_국채일별!$E$4:$E$1436,MATCH($B432,VN_국채일별!$A$4:$A$1436,1))-INDEX(VN_국채일별!$D$4:$D$1436,MATCH($B432,VN_국채일별!$A$4:$A$1436,1)))*($J432-3)/2,IF($J432&lt;=7,INDEX(VN_국채일별!$E$4:$E$1436,MATCH($B432,VN_국채일별!$A$4:$A$1436,1))+(INDEX(VN_국채일별!$F$4:$F$1436,MATCH($B432,VN_국채일별!$A$4:$A$1436,1))-INDEX(VN_국채일별!$E$4:$E$1436,MATCH($B432,VN_국채일별!$A$4:$A$1436,1)))*($J432-5)/2,IF($J432&lt;=10,INDEX(VN_국채일별!$F$4:$F$1436,MATCH($B432,VN_국채일별!$A$4:$A$1436,1))+(INDEX(VN_국채일별!$G$4:$G$1436,MATCH($B432,VN_국채일별!$A$4:$A$1436,1))-INDEX(VN_국채일별!$F$4:$F$1436,MATCH($B432,VN_국채일별!$A$4:$A$1436,1)))*($J432-7)/3,INDEX(VN_국채일별!$G$4:$G$1436,MATCH($B432,VN_국채일별!$A$4:$A$1436,1)))))))),""))</f>
        <v>0.02279</v>
      </c>
      <c r="R432" s="58" t="n">
        <f aca="false">IF(OR(L432="",Q432=""),"",(L432-Q432)*10000)</f>
        <v>302.1</v>
      </c>
      <c r="S432" s="30" t="n">
        <f aca="false">IF(AND(K432="고정",N432="N",J432&gt;=2,J432&lt;=4,I432&lt;&gt;""),1,0)</f>
        <v>1</v>
      </c>
      <c r="T432" s="59" t="n">
        <f aca="false">IF(S432=1,I432*L432,0)</f>
        <v>106</v>
      </c>
      <c r="U432" s="60" t="n">
        <f aca="false">IF(AND(S432=1,ISNUMBER(R432)),I432*R432,0)</f>
        <v>604200</v>
      </c>
      <c r="V432" s="30" t="n">
        <f aca="false">IF(AND(F432="Big4(국영)",K432="고정",N432="N",I432&lt;&gt;""),1,0)</f>
        <v>0</v>
      </c>
      <c r="W432" s="59" t="n">
        <f aca="false">IF(V432=1,I432*L432,0)</f>
        <v>0</v>
      </c>
      <c r="X432" s="60" t="n">
        <f aca="false">IF(AND(V432=1,ISNUMBER(R432)),I432*R432,0)</f>
        <v>0</v>
      </c>
      <c r="Y432" s="61" t="n">
        <f aca="false">IF(AND(S432=1,ISNUMBER(R432)),I432,0)</f>
        <v>2000</v>
      </c>
      <c r="Z432" s="61" t="n">
        <f aca="false">IF(AND(V432=1,ISNUMBER(R432)),I432,0)</f>
        <v>0</v>
      </c>
    </row>
    <row r="433" customFormat="false" ht="15" hidden="false" customHeight="false" outlineLevel="0" collapsed="false">
      <c r="A433" s="47" t="s">
        <v>828</v>
      </c>
      <c r="B433" s="52" t="n">
        <v>45770</v>
      </c>
      <c r="C433" s="53" t="n">
        <f aca="false">DATE(YEAR(B433),MONTH(B433),1)</f>
        <v>45748</v>
      </c>
      <c r="D433" s="5" t="str">
        <f aca="false">YEAR(B433)&amp;"Q"&amp;ROUNDUP(MONTH(B433)/3,0)</f>
        <v>2025Q2</v>
      </c>
      <c r="E433" s="47" t="s">
        <v>145</v>
      </c>
      <c r="F433" s="54" t="s">
        <v>139</v>
      </c>
      <c r="G433" s="47" t="s">
        <v>146</v>
      </c>
      <c r="H433" s="47" t="s">
        <v>842</v>
      </c>
      <c r="I433" s="55" t="n">
        <v>1000</v>
      </c>
      <c r="J433" s="56" t="n">
        <v>3</v>
      </c>
      <c r="K433" s="54" t="s">
        <v>142</v>
      </c>
      <c r="L433" s="57" t="n">
        <v>0.053</v>
      </c>
      <c r="N433" s="47" t="s">
        <v>148</v>
      </c>
      <c r="O433" s="47" t="s">
        <v>582</v>
      </c>
      <c r="P433" s="47"/>
      <c r="Q433" s="48" t="n">
        <f aca="false">IF($J433="","",IFERROR(IF($J433&lt;=1,INDEX(VN_국채일별!$B$4:$B$1436,MATCH($B433,VN_국채일별!$A$4:$A$1436,1)),IF($J433&lt;=2,INDEX(VN_국채일별!$B$4:$B$1436,MATCH($B433,VN_국채일별!$A$4:$A$1436,1))+(INDEX(VN_국채일별!$C$4:$C$1436,MATCH($B433,VN_국채일별!$A$4:$A$1436,1))-INDEX(VN_국채일별!$B$4:$B$1436,MATCH($B433,VN_국채일별!$A$4:$A$1436,1)))*($J433-1),IF($J433&lt;=3,INDEX(VN_국채일별!$C$4:$C$1436,MATCH($B433,VN_국채일별!$A$4:$A$1436,1))+(INDEX(VN_국채일별!$D$4:$D$1436,MATCH($B433,VN_국채일별!$A$4:$A$1436,1))-INDEX(VN_국채일별!$C$4:$C$1436,MATCH($B433,VN_국채일별!$A$4:$A$1436,1)))*($J433-2),IF($J433&lt;=5,INDEX(VN_국채일별!$D$4:$D$1436,MATCH($B433,VN_국채일별!$A$4:$A$1436,1))+(INDEX(VN_국채일별!$E$4:$E$1436,MATCH($B433,VN_국채일별!$A$4:$A$1436,1))-INDEX(VN_국채일별!$D$4:$D$1436,MATCH($B433,VN_국채일별!$A$4:$A$1436,1)))*($J433-3)/2,IF($J433&lt;=7,INDEX(VN_국채일별!$E$4:$E$1436,MATCH($B433,VN_국채일별!$A$4:$A$1436,1))+(INDEX(VN_국채일별!$F$4:$F$1436,MATCH($B433,VN_국채일별!$A$4:$A$1436,1))-INDEX(VN_국채일별!$E$4:$E$1436,MATCH($B433,VN_국채일별!$A$4:$A$1436,1)))*($J433-5)/2,IF($J433&lt;=10,INDEX(VN_국채일별!$F$4:$F$1436,MATCH($B433,VN_국채일별!$A$4:$A$1436,1))+(INDEX(VN_국채일별!$G$4:$G$1436,MATCH($B433,VN_국채일별!$A$4:$A$1436,1))-INDEX(VN_국채일별!$F$4:$F$1436,MATCH($B433,VN_국채일별!$A$4:$A$1436,1)))*($J433-7)/3,INDEX(VN_국채일별!$G$4:$G$1436,MATCH($B433,VN_국채일별!$A$4:$A$1436,1)))))))),""))</f>
        <v>0.02279</v>
      </c>
      <c r="R433" s="58" t="n">
        <f aca="false">IF(OR(L433="",Q433=""),"",(L433-Q433)*10000)</f>
        <v>302.1</v>
      </c>
      <c r="S433" s="30" t="n">
        <f aca="false">IF(AND(K433="고정",N433="N",J433&gt;=2,J433&lt;=4,I433&lt;&gt;""),1,0)</f>
        <v>1</v>
      </c>
      <c r="T433" s="59" t="n">
        <f aca="false">IF(S433=1,I433*L433,0)</f>
        <v>53</v>
      </c>
      <c r="U433" s="60" t="n">
        <f aca="false">IF(AND(S433=1,ISNUMBER(R433)),I433*R433,0)</f>
        <v>302100</v>
      </c>
      <c r="V433" s="30" t="n">
        <f aca="false">IF(AND(F433="Big4(국영)",K433="고정",N433="N",I433&lt;&gt;""),1,0)</f>
        <v>0</v>
      </c>
      <c r="W433" s="59" t="n">
        <f aca="false">IF(V433=1,I433*L433,0)</f>
        <v>0</v>
      </c>
      <c r="X433" s="60" t="n">
        <f aca="false">IF(AND(V433=1,ISNUMBER(R433)),I433*R433,0)</f>
        <v>0</v>
      </c>
      <c r="Y433" s="61" t="n">
        <f aca="false">IF(AND(S433=1,ISNUMBER(R433)),I433,0)</f>
        <v>1000</v>
      </c>
      <c r="Z433" s="61" t="n">
        <f aca="false">IF(AND(V433=1,ISNUMBER(R433)),I433,0)</f>
        <v>0</v>
      </c>
    </row>
    <row r="434" customFormat="false" ht="15" hidden="false" customHeight="false" outlineLevel="0" collapsed="false">
      <c r="A434" s="47" t="s">
        <v>828</v>
      </c>
      <c r="B434" s="52" t="n">
        <v>45770</v>
      </c>
      <c r="C434" s="53" t="n">
        <f aca="false">DATE(YEAR(B434),MONTH(B434),1)</f>
        <v>45748</v>
      </c>
      <c r="D434" s="5" t="str">
        <f aca="false">YEAR(B434)&amp;"Q"&amp;ROUNDUP(MONTH(B434)/3,0)</f>
        <v>2025Q2</v>
      </c>
      <c r="E434" s="47" t="s">
        <v>166</v>
      </c>
      <c r="F434" s="54" t="s">
        <v>139</v>
      </c>
      <c r="G434" s="47" t="s">
        <v>167</v>
      </c>
      <c r="H434" s="47" t="s">
        <v>843</v>
      </c>
      <c r="I434" s="55" t="n">
        <v>700</v>
      </c>
      <c r="J434" s="56" t="n">
        <v>3</v>
      </c>
      <c r="K434" s="54" t="s">
        <v>142</v>
      </c>
      <c r="L434" s="57" t="n">
        <v>0.06</v>
      </c>
      <c r="N434" s="47" t="s">
        <v>148</v>
      </c>
      <c r="O434" s="47" t="s">
        <v>449</v>
      </c>
      <c r="P434" s="47"/>
      <c r="Q434" s="48" t="n">
        <f aca="false">IF($J434="","",IFERROR(IF($J434&lt;=1,INDEX(VN_국채일별!$B$4:$B$1436,MATCH($B434,VN_국채일별!$A$4:$A$1436,1)),IF($J434&lt;=2,INDEX(VN_국채일별!$B$4:$B$1436,MATCH($B434,VN_국채일별!$A$4:$A$1436,1))+(INDEX(VN_국채일별!$C$4:$C$1436,MATCH($B434,VN_국채일별!$A$4:$A$1436,1))-INDEX(VN_국채일별!$B$4:$B$1436,MATCH($B434,VN_국채일별!$A$4:$A$1436,1)))*($J434-1),IF($J434&lt;=3,INDEX(VN_국채일별!$C$4:$C$1436,MATCH($B434,VN_국채일별!$A$4:$A$1436,1))+(INDEX(VN_국채일별!$D$4:$D$1436,MATCH($B434,VN_국채일별!$A$4:$A$1436,1))-INDEX(VN_국채일별!$C$4:$C$1436,MATCH($B434,VN_국채일별!$A$4:$A$1436,1)))*($J434-2),IF($J434&lt;=5,INDEX(VN_국채일별!$D$4:$D$1436,MATCH($B434,VN_국채일별!$A$4:$A$1436,1))+(INDEX(VN_국채일별!$E$4:$E$1436,MATCH($B434,VN_국채일별!$A$4:$A$1436,1))-INDEX(VN_국채일별!$D$4:$D$1436,MATCH($B434,VN_국채일별!$A$4:$A$1436,1)))*($J434-3)/2,IF($J434&lt;=7,INDEX(VN_국채일별!$E$4:$E$1436,MATCH($B434,VN_국채일별!$A$4:$A$1436,1))+(INDEX(VN_국채일별!$F$4:$F$1436,MATCH($B434,VN_국채일별!$A$4:$A$1436,1))-INDEX(VN_국채일별!$E$4:$E$1436,MATCH($B434,VN_국채일별!$A$4:$A$1436,1)))*($J434-5)/2,IF($J434&lt;=10,INDEX(VN_국채일별!$F$4:$F$1436,MATCH($B434,VN_국채일별!$A$4:$A$1436,1))+(INDEX(VN_국채일별!$G$4:$G$1436,MATCH($B434,VN_국채일별!$A$4:$A$1436,1))-INDEX(VN_국채일별!$F$4:$F$1436,MATCH($B434,VN_국채일별!$A$4:$A$1436,1)))*($J434-7)/3,INDEX(VN_국채일별!$G$4:$G$1436,MATCH($B434,VN_국채일별!$A$4:$A$1436,1)))))))),""))</f>
        <v>0.02279</v>
      </c>
      <c r="R434" s="58" t="n">
        <f aca="false">IF(OR(L434="",Q434=""),"",(L434-Q434)*10000)</f>
        <v>372.1</v>
      </c>
      <c r="S434" s="30" t="n">
        <f aca="false">IF(AND(K434="고정",N434="N",J434&gt;=2,J434&lt;=4,I434&lt;&gt;""),1,0)</f>
        <v>1</v>
      </c>
      <c r="T434" s="59" t="n">
        <f aca="false">IF(S434=1,I434*L434,0)</f>
        <v>42</v>
      </c>
      <c r="U434" s="60" t="n">
        <f aca="false">IF(AND(S434=1,ISNUMBER(R434)),I434*R434,0)</f>
        <v>260470</v>
      </c>
      <c r="V434" s="30" t="n">
        <f aca="false">IF(AND(F434="Big4(국영)",K434="고정",N434="N",I434&lt;&gt;""),1,0)</f>
        <v>0</v>
      </c>
      <c r="W434" s="59" t="n">
        <f aca="false">IF(V434=1,I434*L434,0)</f>
        <v>0</v>
      </c>
      <c r="X434" s="60" t="n">
        <f aca="false">IF(AND(V434=1,ISNUMBER(R434)),I434*R434,0)</f>
        <v>0</v>
      </c>
      <c r="Y434" s="61" t="n">
        <f aca="false">IF(AND(S434=1,ISNUMBER(R434)),I434,0)</f>
        <v>700</v>
      </c>
      <c r="Z434" s="61" t="n">
        <f aca="false">IF(AND(V434=1,ISNUMBER(R434)),I434,0)</f>
        <v>0</v>
      </c>
    </row>
    <row r="435" customFormat="false" ht="15" hidden="false" customHeight="false" outlineLevel="0" collapsed="false">
      <c r="A435" s="47" t="s">
        <v>828</v>
      </c>
      <c r="B435" s="52" t="n">
        <v>45771</v>
      </c>
      <c r="C435" s="53" t="n">
        <f aca="false">DATE(YEAR(B435),MONTH(B435),1)</f>
        <v>45748</v>
      </c>
      <c r="D435" s="5" t="str">
        <f aca="false">YEAR(B435)&amp;"Q"&amp;ROUNDUP(MONTH(B435)/3,0)</f>
        <v>2025Q2</v>
      </c>
      <c r="E435" s="47" t="s">
        <v>166</v>
      </c>
      <c r="F435" s="54" t="s">
        <v>139</v>
      </c>
      <c r="G435" s="47" t="s">
        <v>167</v>
      </c>
      <c r="H435" s="47" t="s">
        <v>844</v>
      </c>
      <c r="I435" s="55" t="n">
        <v>1000</v>
      </c>
      <c r="J435" s="56" t="n">
        <v>2</v>
      </c>
      <c r="K435" s="54" t="s">
        <v>142</v>
      </c>
      <c r="L435" s="57" t="n">
        <v>0.058</v>
      </c>
      <c r="N435" s="47" t="s">
        <v>148</v>
      </c>
      <c r="O435" s="47" t="s">
        <v>451</v>
      </c>
      <c r="P435" s="47"/>
      <c r="Q435" s="48" t="n">
        <f aca="false">IF($J435="","",IFERROR(IF($J435&lt;=1,INDEX(VN_국채일별!$B$4:$B$1436,MATCH($B435,VN_국채일별!$A$4:$A$1436,1)),IF($J435&lt;=2,INDEX(VN_국채일별!$B$4:$B$1436,MATCH($B435,VN_국채일별!$A$4:$A$1436,1))+(INDEX(VN_국채일별!$C$4:$C$1436,MATCH($B435,VN_국채일별!$A$4:$A$1436,1))-INDEX(VN_국채일별!$B$4:$B$1436,MATCH($B435,VN_국채일별!$A$4:$A$1436,1)))*($J435-1),IF($J435&lt;=3,INDEX(VN_국채일별!$C$4:$C$1436,MATCH($B435,VN_국채일별!$A$4:$A$1436,1))+(INDEX(VN_국채일별!$D$4:$D$1436,MATCH($B435,VN_국채일별!$A$4:$A$1436,1))-INDEX(VN_국채일별!$C$4:$C$1436,MATCH($B435,VN_국채일별!$A$4:$A$1436,1)))*($J435-2),IF($J435&lt;=5,INDEX(VN_국채일별!$D$4:$D$1436,MATCH($B435,VN_국채일별!$A$4:$A$1436,1))+(INDEX(VN_국채일별!$E$4:$E$1436,MATCH($B435,VN_국채일별!$A$4:$A$1436,1))-INDEX(VN_국채일별!$D$4:$D$1436,MATCH($B435,VN_국채일별!$A$4:$A$1436,1)))*($J435-3)/2,IF($J435&lt;=7,INDEX(VN_국채일별!$E$4:$E$1436,MATCH($B435,VN_국채일별!$A$4:$A$1436,1))+(INDEX(VN_국채일별!$F$4:$F$1436,MATCH($B435,VN_국채일별!$A$4:$A$1436,1))-INDEX(VN_국채일별!$E$4:$E$1436,MATCH($B435,VN_국채일별!$A$4:$A$1436,1)))*($J435-5)/2,IF($J435&lt;=10,INDEX(VN_국채일별!$F$4:$F$1436,MATCH($B435,VN_국채일별!$A$4:$A$1436,1))+(INDEX(VN_국채일별!$G$4:$G$1436,MATCH($B435,VN_국채일별!$A$4:$A$1436,1))-INDEX(VN_국채일별!$F$4:$F$1436,MATCH($B435,VN_국채일별!$A$4:$A$1436,1)))*($J435-7)/3,INDEX(VN_국채일별!$G$4:$G$1436,MATCH($B435,VN_국채일별!$A$4:$A$1436,1)))))))),""))</f>
        <v>0.02209</v>
      </c>
      <c r="R435" s="58" t="n">
        <f aca="false">IF(OR(L435="",Q435=""),"",(L435-Q435)*10000)</f>
        <v>359.1</v>
      </c>
      <c r="S435" s="30" t="n">
        <f aca="false">IF(AND(K435="고정",N435="N",J435&gt;=2,J435&lt;=4,I435&lt;&gt;""),1,0)</f>
        <v>1</v>
      </c>
      <c r="T435" s="59" t="n">
        <f aca="false">IF(S435=1,I435*L435,0)</f>
        <v>58</v>
      </c>
      <c r="U435" s="60" t="n">
        <f aca="false">IF(AND(S435=1,ISNUMBER(R435)),I435*R435,0)</f>
        <v>359100</v>
      </c>
      <c r="V435" s="30" t="n">
        <f aca="false">IF(AND(F435="Big4(국영)",K435="고정",N435="N",I435&lt;&gt;""),1,0)</f>
        <v>0</v>
      </c>
      <c r="W435" s="59" t="n">
        <f aca="false">IF(V435=1,I435*L435,0)</f>
        <v>0</v>
      </c>
      <c r="X435" s="60" t="n">
        <f aca="false">IF(AND(V435=1,ISNUMBER(R435)),I435*R435,0)</f>
        <v>0</v>
      </c>
      <c r="Y435" s="61" t="n">
        <f aca="false">IF(AND(S435=1,ISNUMBER(R435)),I435,0)</f>
        <v>1000</v>
      </c>
      <c r="Z435" s="61" t="n">
        <f aca="false">IF(AND(V435=1,ISNUMBER(R435)),I435,0)</f>
        <v>0</v>
      </c>
    </row>
    <row r="436" customFormat="false" ht="15" hidden="false" customHeight="false" outlineLevel="0" collapsed="false">
      <c r="A436" s="47" t="s">
        <v>845</v>
      </c>
      <c r="B436" s="52" t="n">
        <v>45786</v>
      </c>
      <c r="C436" s="53" t="n">
        <f aca="false">DATE(YEAR(B436),MONTH(B436),1)</f>
        <v>45778</v>
      </c>
      <c r="D436" s="5" t="str">
        <f aca="false">YEAR(B436)&amp;"Q"&amp;ROUNDUP(MONTH(B436)/3,0)</f>
        <v>2025Q2</v>
      </c>
      <c r="E436" s="47" t="s">
        <v>160</v>
      </c>
      <c r="F436" s="54" t="s">
        <v>139</v>
      </c>
      <c r="G436" s="47" t="s">
        <v>161</v>
      </c>
      <c r="H436" s="47" t="s">
        <v>846</v>
      </c>
      <c r="I436" s="55" t="n">
        <v>200</v>
      </c>
      <c r="J436" s="56" t="n">
        <v>8</v>
      </c>
      <c r="K436" s="54" t="s">
        <v>153</v>
      </c>
      <c r="N436" s="47" t="s">
        <v>143</v>
      </c>
      <c r="O436" s="47" t="s">
        <v>847</v>
      </c>
      <c r="P436" s="47"/>
      <c r="Q436" s="48" t="n">
        <f aca="false">IF($J436="","",IFERROR(IF($J436&lt;=1,INDEX(VN_국채일별!$B$4:$B$1436,MATCH($B436,VN_국채일별!$A$4:$A$1436,1)),IF($J436&lt;=2,INDEX(VN_국채일별!$B$4:$B$1436,MATCH($B436,VN_국채일별!$A$4:$A$1436,1))+(INDEX(VN_국채일별!$C$4:$C$1436,MATCH($B436,VN_국채일별!$A$4:$A$1436,1))-INDEX(VN_국채일별!$B$4:$B$1436,MATCH($B436,VN_국채일별!$A$4:$A$1436,1)))*($J436-1),IF($J436&lt;=3,INDEX(VN_국채일별!$C$4:$C$1436,MATCH($B436,VN_국채일별!$A$4:$A$1436,1))+(INDEX(VN_국채일별!$D$4:$D$1436,MATCH($B436,VN_국채일별!$A$4:$A$1436,1))-INDEX(VN_국채일별!$C$4:$C$1436,MATCH($B436,VN_국채일별!$A$4:$A$1436,1)))*($J436-2),IF($J436&lt;=5,INDEX(VN_국채일별!$D$4:$D$1436,MATCH($B436,VN_국채일별!$A$4:$A$1436,1))+(INDEX(VN_국채일별!$E$4:$E$1436,MATCH($B436,VN_국채일별!$A$4:$A$1436,1))-INDEX(VN_국채일별!$D$4:$D$1436,MATCH($B436,VN_국채일별!$A$4:$A$1436,1)))*($J436-3)/2,IF($J436&lt;=7,INDEX(VN_국채일별!$E$4:$E$1436,MATCH($B436,VN_국채일별!$A$4:$A$1436,1))+(INDEX(VN_국채일별!$F$4:$F$1436,MATCH($B436,VN_국채일별!$A$4:$A$1436,1))-INDEX(VN_국채일별!$E$4:$E$1436,MATCH($B436,VN_국채일별!$A$4:$A$1436,1)))*($J436-5)/2,IF($J436&lt;=10,INDEX(VN_국채일별!$F$4:$F$1436,MATCH($B436,VN_국채일별!$A$4:$A$1436,1))+(INDEX(VN_국채일별!$G$4:$G$1436,MATCH($B436,VN_국채일별!$A$4:$A$1436,1))-INDEX(VN_국채일별!$F$4:$F$1436,MATCH($B436,VN_국채일별!$A$4:$A$1436,1)))*($J436-7)/3,INDEX(VN_국채일별!$G$4:$G$1436,MATCH($B436,VN_국채일별!$A$4:$A$1436,1)))))))),""))</f>
        <v>0.0294966666666667</v>
      </c>
      <c r="R436" s="58" t="str">
        <f aca="false">IF(OR(L436="",Q436=""),"",(L436-Q436)*10000)</f>
        <v/>
      </c>
      <c r="S436" s="30" t="n">
        <f aca="false">IF(AND(K436="고정",N436="N",J436&gt;=2,J436&lt;=4,I436&lt;&gt;""),1,0)</f>
        <v>0</v>
      </c>
      <c r="T436" s="59" t="n">
        <f aca="false">IF(S436=1,I436*L436,0)</f>
        <v>0</v>
      </c>
      <c r="U436" s="60" t="n">
        <f aca="false">IF(AND(S436=1,ISNUMBER(R436)),I436*R436,0)</f>
        <v>0</v>
      </c>
      <c r="V436" s="30" t="n">
        <f aca="false">IF(AND(F436="Big4(국영)",K436="고정",N436="N",I436&lt;&gt;""),1,0)</f>
        <v>0</v>
      </c>
      <c r="W436" s="59" t="n">
        <f aca="false">IF(V436=1,I436*L436,0)</f>
        <v>0</v>
      </c>
      <c r="X436" s="60" t="n">
        <f aca="false">IF(AND(V436=1,ISNUMBER(R436)),I436*R436,0)</f>
        <v>0</v>
      </c>
      <c r="Y436" s="61" t="n">
        <f aca="false">IF(AND(S436=1,ISNUMBER(R436)),I436,0)</f>
        <v>0</v>
      </c>
      <c r="Z436" s="61" t="n">
        <f aca="false">IF(AND(V436=1,ISNUMBER(R436)),I436,0)</f>
        <v>0</v>
      </c>
    </row>
    <row r="437" customFormat="false" ht="15" hidden="false" customHeight="false" outlineLevel="0" collapsed="false">
      <c r="A437" s="47" t="s">
        <v>845</v>
      </c>
      <c r="B437" s="52" t="n">
        <v>45786</v>
      </c>
      <c r="C437" s="53" t="n">
        <f aca="false">DATE(YEAR(B437),MONTH(B437),1)</f>
        <v>45778</v>
      </c>
      <c r="D437" s="5" t="str">
        <f aca="false">YEAR(B437)&amp;"Q"&amp;ROUNDUP(MONTH(B437)/3,0)</f>
        <v>2025Q2</v>
      </c>
      <c r="E437" s="47" t="s">
        <v>254</v>
      </c>
      <c r="F437" s="54" t="s">
        <v>139</v>
      </c>
      <c r="G437" s="47" t="s">
        <v>339</v>
      </c>
      <c r="H437" s="47" t="s">
        <v>848</v>
      </c>
      <c r="I437" s="55" t="n">
        <v>500</v>
      </c>
      <c r="J437" s="56" t="n">
        <v>2</v>
      </c>
      <c r="K437" s="54" t="s">
        <v>142</v>
      </c>
      <c r="L437" s="57" t="n">
        <v>0.054</v>
      </c>
      <c r="N437" s="47" t="s">
        <v>148</v>
      </c>
      <c r="O437" s="47" t="s">
        <v>575</v>
      </c>
      <c r="P437" s="47"/>
      <c r="Q437" s="48" t="n">
        <f aca="false">IF($J437="","",IFERROR(IF($J437&lt;=1,INDEX(VN_국채일별!$B$4:$B$1436,MATCH($B437,VN_국채일별!$A$4:$A$1436,1)),IF($J437&lt;=2,INDEX(VN_국채일별!$B$4:$B$1436,MATCH($B437,VN_국채일별!$A$4:$A$1436,1))+(INDEX(VN_국채일별!$C$4:$C$1436,MATCH($B437,VN_국채일별!$A$4:$A$1436,1))-INDEX(VN_국채일별!$B$4:$B$1436,MATCH($B437,VN_국채일별!$A$4:$A$1436,1)))*($J437-1),IF($J437&lt;=3,INDEX(VN_국채일별!$C$4:$C$1436,MATCH($B437,VN_국채일별!$A$4:$A$1436,1))+(INDEX(VN_국채일별!$D$4:$D$1436,MATCH($B437,VN_국채일별!$A$4:$A$1436,1))-INDEX(VN_국채일별!$C$4:$C$1436,MATCH($B437,VN_국채일별!$A$4:$A$1436,1)))*($J437-2),IF($J437&lt;=5,INDEX(VN_국채일별!$D$4:$D$1436,MATCH($B437,VN_국채일별!$A$4:$A$1436,1))+(INDEX(VN_국채일별!$E$4:$E$1436,MATCH($B437,VN_국채일별!$A$4:$A$1436,1))-INDEX(VN_국채일별!$D$4:$D$1436,MATCH($B437,VN_국채일별!$A$4:$A$1436,1)))*($J437-3)/2,IF($J437&lt;=7,INDEX(VN_국채일별!$E$4:$E$1436,MATCH($B437,VN_국채일별!$A$4:$A$1436,1))+(INDEX(VN_국채일별!$F$4:$F$1436,MATCH($B437,VN_국채일별!$A$4:$A$1436,1))-INDEX(VN_국채일별!$E$4:$E$1436,MATCH($B437,VN_국채일별!$A$4:$A$1436,1)))*($J437-5)/2,IF($J437&lt;=10,INDEX(VN_국채일별!$F$4:$F$1436,MATCH($B437,VN_국채일별!$A$4:$A$1436,1))+(INDEX(VN_국채일별!$G$4:$G$1436,MATCH($B437,VN_국채일별!$A$4:$A$1436,1))-INDEX(VN_국채일별!$F$4:$F$1436,MATCH($B437,VN_국채일별!$A$4:$A$1436,1)))*($J437-7)/3,INDEX(VN_국채일별!$G$4:$G$1436,MATCH($B437,VN_국채일별!$A$4:$A$1436,1)))))))),""))</f>
        <v>0.02216</v>
      </c>
      <c r="R437" s="58" t="n">
        <f aca="false">IF(OR(L437="",Q437=""),"",(L437-Q437)*10000)</f>
        <v>318.4</v>
      </c>
      <c r="S437" s="30" t="n">
        <f aca="false">IF(AND(K437="고정",N437="N",J437&gt;=2,J437&lt;=4,I437&lt;&gt;""),1,0)</f>
        <v>1</v>
      </c>
      <c r="T437" s="59" t="n">
        <f aca="false">IF(S437=1,I437*L437,0)</f>
        <v>27</v>
      </c>
      <c r="U437" s="60" t="n">
        <f aca="false">IF(AND(S437=1,ISNUMBER(R437)),I437*R437,0)</f>
        <v>159200</v>
      </c>
      <c r="V437" s="30" t="n">
        <f aca="false">IF(AND(F437="Big4(국영)",K437="고정",N437="N",I437&lt;&gt;""),1,0)</f>
        <v>0</v>
      </c>
      <c r="W437" s="59" t="n">
        <f aca="false">IF(V437=1,I437*L437,0)</f>
        <v>0</v>
      </c>
      <c r="X437" s="60" t="n">
        <f aca="false">IF(AND(V437=1,ISNUMBER(R437)),I437*R437,0)</f>
        <v>0</v>
      </c>
      <c r="Y437" s="61" t="n">
        <f aca="false">IF(AND(S437=1,ISNUMBER(R437)),I437,0)</f>
        <v>500</v>
      </c>
      <c r="Z437" s="61" t="n">
        <f aca="false">IF(AND(V437=1,ISNUMBER(R437)),I437,0)</f>
        <v>0</v>
      </c>
    </row>
    <row r="438" customFormat="false" ht="15" hidden="false" customHeight="false" outlineLevel="0" collapsed="false">
      <c r="A438" s="47" t="s">
        <v>845</v>
      </c>
      <c r="B438" s="52" t="n">
        <v>45786</v>
      </c>
      <c r="C438" s="53" t="n">
        <f aca="false">DATE(YEAR(B438),MONTH(B438),1)</f>
        <v>45778</v>
      </c>
      <c r="D438" s="5" t="str">
        <f aca="false">YEAR(B438)&amp;"Q"&amp;ROUNDUP(MONTH(B438)/3,0)</f>
        <v>2025Q2</v>
      </c>
      <c r="E438" s="47" t="s">
        <v>307</v>
      </c>
      <c r="F438" s="54" t="s">
        <v>139</v>
      </c>
      <c r="G438" s="47" t="s">
        <v>308</v>
      </c>
      <c r="H438" s="47" t="s">
        <v>849</v>
      </c>
      <c r="I438" s="55" t="n">
        <v>2000</v>
      </c>
      <c r="J438" s="56" t="n">
        <v>2</v>
      </c>
      <c r="K438" s="54" t="s">
        <v>142</v>
      </c>
      <c r="L438" s="57" t="n">
        <v>0.051</v>
      </c>
      <c r="N438" s="47" t="s">
        <v>148</v>
      </c>
      <c r="O438" s="47" t="s">
        <v>510</v>
      </c>
      <c r="P438" s="47"/>
      <c r="Q438" s="48" t="n">
        <f aca="false">IF($J438="","",IFERROR(IF($J438&lt;=1,INDEX(VN_국채일별!$B$4:$B$1436,MATCH($B438,VN_국채일별!$A$4:$A$1436,1)),IF($J438&lt;=2,INDEX(VN_국채일별!$B$4:$B$1436,MATCH($B438,VN_국채일별!$A$4:$A$1436,1))+(INDEX(VN_국채일별!$C$4:$C$1436,MATCH($B438,VN_국채일별!$A$4:$A$1436,1))-INDEX(VN_국채일별!$B$4:$B$1436,MATCH($B438,VN_국채일별!$A$4:$A$1436,1)))*($J438-1),IF($J438&lt;=3,INDEX(VN_국채일별!$C$4:$C$1436,MATCH($B438,VN_국채일별!$A$4:$A$1436,1))+(INDEX(VN_국채일별!$D$4:$D$1436,MATCH($B438,VN_국채일별!$A$4:$A$1436,1))-INDEX(VN_국채일별!$C$4:$C$1436,MATCH($B438,VN_국채일별!$A$4:$A$1436,1)))*($J438-2),IF($J438&lt;=5,INDEX(VN_국채일별!$D$4:$D$1436,MATCH($B438,VN_국채일별!$A$4:$A$1436,1))+(INDEX(VN_국채일별!$E$4:$E$1436,MATCH($B438,VN_국채일별!$A$4:$A$1436,1))-INDEX(VN_국채일별!$D$4:$D$1436,MATCH($B438,VN_국채일별!$A$4:$A$1436,1)))*($J438-3)/2,IF($J438&lt;=7,INDEX(VN_국채일별!$E$4:$E$1436,MATCH($B438,VN_국채일별!$A$4:$A$1436,1))+(INDEX(VN_국채일별!$F$4:$F$1436,MATCH($B438,VN_국채일별!$A$4:$A$1436,1))-INDEX(VN_국채일별!$E$4:$E$1436,MATCH($B438,VN_국채일별!$A$4:$A$1436,1)))*($J438-5)/2,IF($J438&lt;=10,INDEX(VN_국채일별!$F$4:$F$1436,MATCH($B438,VN_국채일별!$A$4:$A$1436,1))+(INDEX(VN_국채일별!$G$4:$G$1436,MATCH($B438,VN_국채일별!$A$4:$A$1436,1))-INDEX(VN_국채일별!$F$4:$F$1436,MATCH($B438,VN_국채일별!$A$4:$A$1436,1)))*($J438-7)/3,INDEX(VN_국채일별!$G$4:$G$1436,MATCH($B438,VN_국채일별!$A$4:$A$1436,1)))))))),""))</f>
        <v>0.02216</v>
      </c>
      <c r="R438" s="58" t="n">
        <f aca="false">IF(OR(L438="",Q438=""),"",(L438-Q438)*10000)</f>
        <v>288.4</v>
      </c>
      <c r="S438" s="30" t="n">
        <f aca="false">IF(AND(K438="고정",N438="N",J438&gt;=2,J438&lt;=4,I438&lt;&gt;""),1,0)</f>
        <v>1</v>
      </c>
      <c r="T438" s="59" t="n">
        <f aca="false">IF(S438=1,I438*L438,0)</f>
        <v>102</v>
      </c>
      <c r="U438" s="60" t="n">
        <f aca="false">IF(AND(S438=1,ISNUMBER(R438)),I438*R438,0)</f>
        <v>576800</v>
      </c>
      <c r="V438" s="30" t="n">
        <f aca="false">IF(AND(F438="Big4(국영)",K438="고정",N438="N",I438&lt;&gt;""),1,0)</f>
        <v>0</v>
      </c>
      <c r="W438" s="59" t="n">
        <f aca="false">IF(V438=1,I438*L438,0)</f>
        <v>0</v>
      </c>
      <c r="X438" s="60" t="n">
        <f aca="false">IF(AND(V438=1,ISNUMBER(R438)),I438*R438,0)</f>
        <v>0</v>
      </c>
      <c r="Y438" s="61" t="n">
        <f aca="false">IF(AND(S438=1,ISNUMBER(R438)),I438,0)</f>
        <v>2000</v>
      </c>
      <c r="Z438" s="61" t="n">
        <f aca="false">IF(AND(V438=1,ISNUMBER(R438)),I438,0)</f>
        <v>0</v>
      </c>
    </row>
    <row r="439" customFormat="false" ht="15" hidden="false" customHeight="false" outlineLevel="0" collapsed="false">
      <c r="A439" s="47" t="s">
        <v>845</v>
      </c>
      <c r="B439" s="52" t="n">
        <v>45789</v>
      </c>
      <c r="C439" s="53" t="n">
        <f aca="false">DATE(YEAR(B439),MONTH(B439),1)</f>
        <v>45778</v>
      </c>
      <c r="D439" s="5" t="str">
        <f aca="false">YEAR(B439)&amp;"Q"&amp;ROUNDUP(MONTH(B439)/3,0)</f>
        <v>2025Q2</v>
      </c>
      <c r="E439" s="62" t="s">
        <v>173</v>
      </c>
      <c r="F439" s="62" t="s">
        <v>156</v>
      </c>
      <c r="G439" s="47" t="s">
        <v>174</v>
      </c>
      <c r="H439" s="47" t="s">
        <v>850</v>
      </c>
      <c r="I439" s="55" t="n">
        <v>600</v>
      </c>
      <c r="J439" s="56" t="n">
        <v>8</v>
      </c>
      <c r="K439" s="54" t="s">
        <v>153</v>
      </c>
      <c r="N439" s="47" t="s">
        <v>143</v>
      </c>
      <c r="O439" s="47" t="s">
        <v>672</v>
      </c>
      <c r="P439" s="47"/>
      <c r="Q439" s="48" t="n">
        <f aca="false">IF($J439="","",IFERROR(IF($J439&lt;=1,INDEX(VN_국채일별!$B$4:$B$1436,MATCH($B439,VN_국채일별!$A$4:$A$1436,1)),IF($J439&lt;=2,INDEX(VN_국채일별!$B$4:$B$1436,MATCH($B439,VN_국채일별!$A$4:$A$1436,1))+(INDEX(VN_국채일별!$C$4:$C$1436,MATCH($B439,VN_국채일별!$A$4:$A$1436,1))-INDEX(VN_국채일별!$B$4:$B$1436,MATCH($B439,VN_국채일별!$A$4:$A$1436,1)))*($J439-1),IF($J439&lt;=3,INDEX(VN_국채일별!$C$4:$C$1436,MATCH($B439,VN_국채일별!$A$4:$A$1436,1))+(INDEX(VN_국채일별!$D$4:$D$1436,MATCH($B439,VN_국채일별!$A$4:$A$1436,1))-INDEX(VN_국채일별!$C$4:$C$1436,MATCH($B439,VN_국채일별!$A$4:$A$1436,1)))*($J439-2),IF($J439&lt;=5,INDEX(VN_국채일별!$D$4:$D$1436,MATCH($B439,VN_국채일별!$A$4:$A$1436,1))+(INDEX(VN_국채일별!$E$4:$E$1436,MATCH($B439,VN_국채일별!$A$4:$A$1436,1))-INDEX(VN_국채일별!$D$4:$D$1436,MATCH($B439,VN_국채일별!$A$4:$A$1436,1)))*($J439-3)/2,IF($J439&lt;=7,INDEX(VN_국채일별!$E$4:$E$1436,MATCH($B439,VN_국채일별!$A$4:$A$1436,1))+(INDEX(VN_국채일별!$F$4:$F$1436,MATCH($B439,VN_국채일별!$A$4:$A$1436,1))-INDEX(VN_국채일별!$E$4:$E$1436,MATCH($B439,VN_국채일별!$A$4:$A$1436,1)))*($J439-5)/2,IF($J439&lt;=10,INDEX(VN_국채일별!$F$4:$F$1436,MATCH($B439,VN_국채일별!$A$4:$A$1436,1))+(INDEX(VN_국채일별!$G$4:$G$1436,MATCH($B439,VN_국채일별!$A$4:$A$1436,1))-INDEX(VN_국채일별!$F$4:$F$1436,MATCH($B439,VN_국채일별!$A$4:$A$1436,1)))*($J439-7)/3,INDEX(VN_국채일별!$G$4:$G$1436,MATCH($B439,VN_국채일별!$A$4:$A$1436,1)))))))),""))</f>
        <v>0.02941</v>
      </c>
      <c r="R439" s="58" t="str">
        <f aca="false">IF(OR(L439="",Q439=""),"",(L439-Q439)*10000)</f>
        <v/>
      </c>
      <c r="S439" s="30" t="n">
        <f aca="false">IF(AND(K439="고정",N439="N",J439&gt;=2,J439&lt;=4,I439&lt;&gt;""),1,0)</f>
        <v>0</v>
      </c>
      <c r="T439" s="59" t="n">
        <f aca="false">IF(S439=1,I439*L439,0)</f>
        <v>0</v>
      </c>
      <c r="U439" s="60" t="n">
        <f aca="false">IF(AND(S439=1,ISNUMBER(R439)),I439*R439,0)</f>
        <v>0</v>
      </c>
      <c r="V439" s="30" t="n">
        <f aca="false">IF(AND(F439="Big4(국영)",K439="고정",N439="N",I439&lt;&gt;""),1,0)</f>
        <v>0</v>
      </c>
      <c r="W439" s="59" t="n">
        <f aca="false">IF(V439=1,I439*L439,0)</f>
        <v>0</v>
      </c>
      <c r="X439" s="60" t="n">
        <f aca="false">IF(AND(V439=1,ISNUMBER(R439)),I439*R439,0)</f>
        <v>0</v>
      </c>
      <c r="Y439" s="61" t="n">
        <f aca="false">IF(AND(S439=1,ISNUMBER(R439)),I439,0)</f>
        <v>0</v>
      </c>
      <c r="Z439" s="61" t="n">
        <f aca="false">IF(AND(V439=1,ISNUMBER(R439)),I439,0)</f>
        <v>0</v>
      </c>
    </row>
    <row r="440" customFormat="false" ht="15" hidden="false" customHeight="false" outlineLevel="0" collapsed="false">
      <c r="A440" s="47" t="s">
        <v>845</v>
      </c>
      <c r="B440" s="52" t="n">
        <v>45790</v>
      </c>
      <c r="C440" s="53" t="n">
        <f aca="false">DATE(YEAR(B440),MONTH(B440),1)</f>
        <v>45778</v>
      </c>
      <c r="D440" s="5" t="str">
        <f aca="false">YEAR(B440)&amp;"Q"&amp;ROUNDUP(MONTH(B440)/3,0)</f>
        <v>2025Q2</v>
      </c>
      <c r="E440" s="47" t="s">
        <v>196</v>
      </c>
      <c r="F440" s="54" t="s">
        <v>139</v>
      </c>
      <c r="G440" s="47" t="s">
        <v>673</v>
      </c>
      <c r="H440" s="47" t="s">
        <v>851</v>
      </c>
      <c r="I440" s="55" t="n">
        <v>1000</v>
      </c>
      <c r="J440" s="56" t="n">
        <v>3</v>
      </c>
      <c r="K440" s="54" t="s">
        <v>142</v>
      </c>
      <c r="L440" s="57" t="n">
        <v>0.052</v>
      </c>
      <c r="N440" s="47" t="s">
        <v>148</v>
      </c>
      <c r="O440" s="47" t="s">
        <v>538</v>
      </c>
      <c r="P440" s="47"/>
      <c r="Q440" s="48" t="n">
        <f aca="false">IF($J440="","",IFERROR(IF($J440&lt;=1,INDEX(VN_국채일별!$B$4:$B$1436,MATCH($B440,VN_국채일별!$A$4:$A$1436,1)),IF($J440&lt;=2,INDEX(VN_국채일별!$B$4:$B$1436,MATCH($B440,VN_국채일별!$A$4:$A$1436,1))+(INDEX(VN_국채일별!$C$4:$C$1436,MATCH($B440,VN_국채일별!$A$4:$A$1436,1))-INDEX(VN_국채일별!$B$4:$B$1436,MATCH($B440,VN_국채일별!$A$4:$A$1436,1)))*($J440-1),IF($J440&lt;=3,INDEX(VN_국채일별!$C$4:$C$1436,MATCH($B440,VN_국채일별!$A$4:$A$1436,1))+(INDEX(VN_국채일별!$D$4:$D$1436,MATCH($B440,VN_국채일별!$A$4:$A$1436,1))-INDEX(VN_국채일별!$C$4:$C$1436,MATCH($B440,VN_국채일별!$A$4:$A$1436,1)))*($J440-2),IF($J440&lt;=5,INDEX(VN_국채일별!$D$4:$D$1436,MATCH($B440,VN_국채일별!$A$4:$A$1436,1))+(INDEX(VN_국채일별!$E$4:$E$1436,MATCH($B440,VN_국채일별!$A$4:$A$1436,1))-INDEX(VN_국채일별!$D$4:$D$1436,MATCH($B440,VN_국채일별!$A$4:$A$1436,1)))*($J440-3)/2,IF($J440&lt;=7,INDEX(VN_국채일별!$E$4:$E$1436,MATCH($B440,VN_국채일별!$A$4:$A$1436,1))+(INDEX(VN_국채일별!$F$4:$F$1436,MATCH($B440,VN_국채일별!$A$4:$A$1436,1))-INDEX(VN_국채일별!$E$4:$E$1436,MATCH($B440,VN_국채일별!$A$4:$A$1436,1)))*($J440-5)/2,IF($J440&lt;=10,INDEX(VN_국채일별!$F$4:$F$1436,MATCH($B440,VN_국채일별!$A$4:$A$1436,1))+(INDEX(VN_국채일별!$G$4:$G$1436,MATCH($B440,VN_국채일별!$A$4:$A$1436,1))-INDEX(VN_국채일별!$F$4:$F$1436,MATCH($B440,VN_국채일별!$A$4:$A$1436,1)))*($J440-7)/3,INDEX(VN_국채일별!$G$4:$G$1436,MATCH($B440,VN_국채일별!$A$4:$A$1436,1)))))))),""))</f>
        <v>0.02282</v>
      </c>
      <c r="R440" s="58" t="n">
        <f aca="false">IF(OR(L440="",Q440=""),"",(L440-Q440)*10000)</f>
        <v>291.8</v>
      </c>
      <c r="S440" s="30" t="n">
        <f aca="false">IF(AND(K440="고정",N440="N",J440&gt;=2,J440&lt;=4,I440&lt;&gt;""),1,0)</f>
        <v>1</v>
      </c>
      <c r="T440" s="59" t="n">
        <f aca="false">IF(S440=1,I440*L440,0)</f>
        <v>52</v>
      </c>
      <c r="U440" s="60" t="n">
        <f aca="false">IF(AND(S440=1,ISNUMBER(R440)),I440*R440,0)</f>
        <v>291800</v>
      </c>
      <c r="V440" s="30" t="n">
        <f aca="false">IF(AND(F440="Big4(국영)",K440="고정",N440="N",I440&lt;&gt;""),1,0)</f>
        <v>0</v>
      </c>
      <c r="W440" s="59" t="n">
        <f aca="false">IF(V440=1,I440*L440,0)</f>
        <v>0</v>
      </c>
      <c r="X440" s="60" t="n">
        <f aca="false">IF(AND(V440=1,ISNUMBER(R440)),I440*R440,0)</f>
        <v>0</v>
      </c>
      <c r="Y440" s="61" t="n">
        <f aca="false">IF(AND(S440=1,ISNUMBER(R440)),I440,0)</f>
        <v>1000</v>
      </c>
      <c r="Z440" s="61" t="n">
        <f aca="false">IF(AND(V440=1,ISNUMBER(R440)),I440,0)</f>
        <v>0</v>
      </c>
    </row>
    <row r="441" customFormat="false" ht="15" hidden="false" customHeight="false" outlineLevel="0" collapsed="false">
      <c r="A441" s="47" t="s">
        <v>845</v>
      </c>
      <c r="B441" s="52" t="n">
        <v>45791</v>
      </c>
      <c r="C441" s="53" t="n">
        <f aca="false">DATE(YEAR(B441),MONTH(B441),1)</f>
        <v>45778</v>
      </c>
      <c r="D441" s="5" t="str">
        <f aca="false">YEAR(B441)&amp;"Q"&amp;ROUNDUP(MONTH(B441)/3,0)</f>
        <v>2025Q2</v>
      </c>
      <c r="E441" s="47" t="s">
        <v>196</v>
      </c>
      <c r="F441" s="54" t="s">
        <v>139</v>
      </c>
      <c r="G441" s="47" t="s">
        <v>673</v>
      </c>
      <c r="H441" s="47" t="s">
        <v>852</v>
      </c>
      <c r="I441" s="55" t="n">
        <v>2000</v>
      </c>
      <c r="J441" s="56" t="n">
        <v>3</v>
      </c>
      <c r="K441" s="54" t="s">
        <v>142</v>
      </c>
      <c r="L441" s="57" t="n">
        <v>0.054</v>
      </c>
      <c r="N441" s="47" t="s">
        <v>148</v>
      </c>
      <c r="O441" s="47" t="s">
        <v>575</v>
      </c>
      <c r="P441" s="47"/>
      <c r="Q441" s="48" t="n">
        <f aca="false">IF($J441="","",IFERROR(IF($J441&lt;=1,INDEX(VN_국채일별!$B$4:$B$1436,MATCH($B441,VN_국채일별!$A$4:$A$1436,1)),IF($J441&lt;=2,INDEX(VN_국채일별!$B$4:$B$1436,MATCH($B441,VN_국채일별!$A$4:$A$1436,1))+(INDEX(VN_국채일별!$C$4:$C$1436,MATCH($B441,VN_국채일별!$A$4:$A$1436,1))-INDEX(VN_국채일별!$B$4:$B$1436,MATCH($B441,VN_국채일별!$A$4:$A$1436,1)))*($J441-1),IF($J441&lt;=3,INDEX(VN_국채일별!$C$4:$C$1436,MATCH($B441,VN_국채일별!$A$4:$A$1436,1))+(INDEX(VN_국채일별!$D$4:$D$1436,MATCH($B441,VN_국채일별!$A$4:$A$1436,1))-INDEX(VN_국채일별!$C$4:$C$1436,MATCH($B441,VN_국채일별!$A$4:$A$1436,1)))*($J441-2),IF($J441&lt;=5,INDEX(VN_국채일별!$D$4:$D$1436,MATCH($B441,VN_국채일별!$A$4:$A$1436,1))+(INDEX(VN_국채일별!$E$4:$E$1436,MATCH($B441,VN_국채일별!$A$4:$A$1436,1))-INDEX(VN_국채일별!$D$4:$D$1436,MATCH($B441,VN_국채일별!$A$4:$A$1436,1)))*($J441-3)/2,IF($J441&lt;=7,INDEX(VN_국채일별!$E$4:$E$1436,MATCH($B441,VN_국채일별!$A$4:$A$1436,1))+(INDEX(VN_국채일별!$F$4:$F$1436,MATCH($B441,VN_국채일별!$A$4:$A$1436,1))-INDEX(VN_국채일별!$E$4:$E$1436,MATCH($B441,VN_국채일별!$A$4:$A$1436,1)))*($J441-5)/2,IF($J441&lt;=10,INDEX(VN_국채일별!$F$4:$F$1436,MATCH($B441,VN_국채일별!$A$4:$A$1436,1))+(INDEX(VN_국채일별!$G$4:$G$1436,MATCH($B441,VN_국채일별!$A$4:$A$1436,1))-INDEX(VN_국채일별!$F$4:$F$1436,MATCH($B441,VN_국채일별!$A$4:$A$1436,1)))*($J441-7)/3,INDEX(VN_국채일별!$G$4:$G$1436,MATCH($B441,VN_국채일별!$A$4:$A$1436,1)))))))),""))</f>
        <v>0.02282</v>
      </c>
      <c r="R441" s="58" t="n">
        <f aca="false">IF(OR(L441="",Q441=""),"",(L441-Q441)*10000)</f>
        <v>311.8</v>
      </c>
      <c r="S441" s="30" t="n">
        <f aca="false">IF(AND(K441="고정",N441="N",J441&gt;=2,J441&lt;=4,I441&lt;&gt;""),1,0)</f>
        <v>1</v>
      </c>
      <c r="T441" s="59" t="n">
        <f aca="false">IF(S441=1,I441*L441,0)</f>
        <v>108</v>
      </c>
      <c r="U441" s="60" t="n">
        <f aca="false">IF(AND(S441=1,ISNUMBER(R441)),I441*R441,0)</f>
        <v>623600</v>
      </c>
      <c r="V441" s="30" t="n">
        <f aca="false">IF(AND(F441="Big4(국영)",K441="고정",N441="N",I441&lt;&gt;""),1,0)</f>
        <v>0</v>
      </c>
      <c r="W441" s="59" t="n">
        <f aca="false">IF(V441=1,I441*L441,0)</f>
        <v>0</v>
      </c>
      <c r="X441" s="60" t="n">
        <f aca="false">IF(AND(V441=1,ISNUMBER(R441)),I441*R441,0)</f>
        <v>0</v>
      </c>
      <c r="Y441" s="61" t="n">
        <f aca="false">IF(AND(S441=1,ISNUMBER(R441)),I441,0)</f>
        <v>2000</v>
      </c>
      <c r="Z441" s="61" t="n">
        <f aca="false">IF(AND(V441=1,ISNUMBER(R441)),I441,0)</f>
        <v>0</v>
      </c>
    </row>
    <row r="442" customFormat="false" ht="15" hidden="false" customHeight="false" outlineLevel="0" collapsed="false">
      <c r="A442" s="47" t="s">
        <v>845</v>
      </c>
      <c r="B442" s="52" t="n">
        <v>45791</v>
      </c>
      <c r="C442" s="53" t="n">
        <f aca="false">DATE(YEAR(B442),MONTH(B442),1)</f>
        <v>45778</v>
      </c>
      <c r="D442" s="5" t="str">
        <f aca="false">YEAR(B442)&amp;"Q"&amp;ROUNDUP(MONTH(B442)/3,0)</f>
        <v>2025Q2</v>
      </c>
      <c r="E442" s="47" t="s">
        <v>160</v>
      </c>
      <c r="F442" s="54" t="s">
        <v>139</v>
      </c>
      <c r="G442" s="47" t="s">
        <v>161</v>
      </c>
      <c r="H442" s="47" t="s">
        <v>853</v>
      </c>
      <c r="I442" s="55" t="n">
        <v>50</v>
      </c>
      <c r="J442" s="56" t="n">
        <v>7</v>
      </c>
      <c r="K442" s="54" t="s">
        <v>153</v>
      </c>
      <c r="N442" s="47" t="s">
        <v>143</v>
      </c>
      <c r="O442" s="47" t="s">
        <v>854</v>
      </c>
      <c r="P442" s="47"/>
      <c r="Q442" s="48" t="n">
        <f aca="false">IF($J442="","",IFERROR(IF($J442&lt;=1,INDEX(VN_국채일별!$B$4:$B$1436,MATCH($B442,VN_국채일별!$A$4:$A$1436,1)),IF($J442&lt;=2,INDEX(VN_국채일별!$B$4:$B$1436,MATCH($B442,VN_국채일별!$A$4:$A$1436,1))+(INDEX(VN_국채일별!$C$4:$C$1436,MATCH($B442,VN_국채일별!$A$4:$A$1436,1))-INDEX(VN_국채일별!$B$4:$B$1436,MATCH($B442,VN_국채일별!$A$4:$A$1436,1)))*($J442-1),IF($J442&lt;=3,INDEX(VN_국채일별!$C$4:$C$1436,MATCH($B442,VN_국채일별!$A$4:$A$1436,1))+(INDEX(VN_국채일별!$D$4:$D$1436,MATCH($B442,VN_국채일별!$A$4:$A$1436,1))-INDEX(VN_국채일별!$C$4:$C$1436,MATCH($B442,VN_국채일별!$A$4:$A$1436,1)))*($J442-2),IF($J442&lt;=5,INDEX(VN_국채일별!$D$4:$D$1436,MATCH($B442,VN_국채일별!$A$4:$A$1436,1))+(INDEX(VN_국채일별!$E$4:$E$1436,MATCH($B442,VN_국채일별!$A$4:$A$1436,1))-INDEX(VN_국채일별!$D$4:$D$1436,MATCH($B442,VN_국채일별!$A$4:$A$1436,1)))*($J442-3)/2,IF($J442&lt;=7,INDEX(VN_국채일별!$E$4:$E$1436,MATCH($B442,VN_국채일별!$A$4:$A$1436,1))+(INDEX(VN_국채일별!$F$4:$F$1436,MATCH($B442,VN_국채일별!$A$4:$A$1436,1))-INDEX(VN_국채일별!$E$4:$E$1436,MATCH($B442,VN_국채일별!$A$4:$A$1436,1)))*($J442-5)/2,IF($J442&lt;=10,INDEX(VN_국채일별!$F$4:$F$1436,MATCH($B442,VN_국채일별!$A$4:$A$1436,1))+(INDEX(VN_국채일별!$G$4:$G$1436,MATCH($B442,VN_국채일별!$A$4:$A$1436,1))-INDEX(VN_국채일별!$F$4:$F$1436,MATCH($B442,VN_국채일별!$A$4:$A$1436,1)))*($J442-7)/3,INDEX(VN_국채일별!$G$4:$G$1436,MATCH($B442,VN_국채일별!$A$4:$A$1436,1)))))))),""))</f>
        <v>0.02843</v>
      </c>
      <c r="R442" s="58" t="str">
        <f aca="false">IF(OR(L442="",Q442=""),"",(L442-Q442)*10000)</f>
        <v/>
      </c>
      <c r="S442" s="30" t="n">
        <f aca="false">IF(AND(K442="고정",N442="N",J442&gt;=2,J442&lt;=4,I442&lt;&gt;""),1,0)</f>
        <v>0</v>
      </c>
      <c r="T442" s="59" t="n">
        <f aca="false">IF(S442=1,I442*L442,0)</f>
        <v>0</v>
      </c>
      <c r="U442" s="60" t="n">
        <f aca="false">IF(AND(S442=1,ISNUMBER(R442)),I442*R442,0)</f>
        <v>0</v>
      </c>
      <c r="V442" s="30" t="n">
        <f aca="false">IF(AND(F442="Big4(국영)",K442="고정",N442="N",I442&lt;&gt;""),1,0)</f>
        <v>0</v>
      </c>
      <c r="W442" s="59" t="n">
        <f aca="false">IF(V442=1,I442*L442,0)</f>
        <v>0</v>
      </c>
      <c r="X442" s="60" t="n">
        <f aca="false">IF(AND(V442=1,ISNUMBER(R442)),I442*R442,0)</f>
        <v>0</v>
      </c>
      <c r="Y442" s="61" t="n">
        <f aca="false">IF(AND(S442=1,ISNUMBER(R442)),I442,0)</f>
        <v>0</v>
      </c>
      <c r="Z442" s="61" t="n">
        <f aca="false">IF(AND(V442=1,ISNUMBER(R442)),I442,0)</f>
        <v>0</v>
      </c>
    </row>
    <row r="443" customFormat="false" ht="15" hidden="false" customHeight="false" outlineLevel="0" collapsed="false">
      <c r="A443" s="47" t="s">
        <v>845</v>
      </c>
      <c r="B443" s="52" t="n">
        <v>45791</v>
      </c>
      <c r="C443" s="53" t="n">
        <f aca="false">DATE(YEAR(B443),MONTH(B443),1)</f>
        <v>45778</v>
      </c>
      <c r="D443" s="5" t="str">
        <f aca="false">YEAR(B443)&amp;"Q"&amp;ROUNDUP(MONTH(B443)/3,0)</f>
        <v>2025Q2</v>
      </c>
      <c r="E443" s="47" t="s">
        <v>323</v>
      </c>
      <c r="F443" s="54" t="s">
        <v>139</v>
      </c>
      <c r="G443" s="47" t="s">
        <v>324</v>
      </c>
      <c r="H443" s="47" t="s">
        <v>855</v>
      </c>
      <c r="I443" s="55" t="n">
        <v>1000</v>
      </c>
      <c r="J443" s="56" t="n">
        <v>2</v>
      </c>
      <c r="K443" s="54" t="s">
        <v>142</v>
      </c>
      <c r="L443" s="57" t="n">
        <v>0.054</v>
      </c>
      <c r="N443" s="47" t="s">
        <v>148</v>
      </c>
      <c r="O443" s="47" t="s">
        <v>575</v>
      </c>
      <c r="P443" s="47"/>
      <c r="Q443" s="48" t="n">
        <f aca="false">IF($J443="","",IFERROR(IF($J443&lt;=1,INDEX(VN_국채일별!$B$4:$B$1436,MATCH($B443,VN_국채일별!$A$4:$A$1436,1)),IF($J443&lt;=2,INDEX(VN_국채일별!$B$4:$B$1436,MATCH($B443,VN_국채일별!$A$4:$A$1436,1))+(INDEX(VN_국채일별!$C$4:$C$1436,MATCH($B443,VN_국채일별!$A$4:$A$1436,1))-INDEX(VN_국채일별!$B$4:$B$1436,MATCH($B443,VN_국채일별!$A$4:$A$1436,1)))*($J443-1),IF($J443&lt;=3,INDEX(VN_국채일별!$C$4:$C$1436,MATCH($B443,VN_국채일별!$A$4:$A$1436,1))+(INDEX(VN_국채일별!$D$4:$D$1436,MATCH($B443,VN_국채일별!$A$4:$A$1436,1))-INDEX(VN_국채일별!$C$4:$C$1436,MATCH($B443,VN_국채일별!$A$4:$A$1436,1)))*($J443-2),IF($J443&lt;=5,INDEX(VN_국채일별!$D$4:$D$1436,MATCH($B443,VN_국채일별!$A$4:$A$1436,1))+(INDEX(VN_국채일별!$E$4:$E$1436,MATCH($B443,VN_국채일별!$A$4:$A$1436,1))-INDEX(VN_국채일별!$D$4:$D$1436,MATCH($B443,VN_국채일별!$A$4:$A$1436,1)))*($J443-3)/2,IF($J443&lt;=7,INDEX(VN_국채일별!$E$4:$E$1436,MATCH($B443,VN_국채일별!$A$4:$A$1436,1))+(INDEX(VN_국채일별!$F$4:$F$1436,MATCH($B443,VN_국채일별!$A$4:$A$1436,1))-INDEX(VN_국채일별!$E$4:$E$1436,MATCH($B443,VN_국채일별!$A$4:$A$1436,1)))*($J443-5)/2,IF($J443&lt;=10,INDEX(VN_국채일별!$F$4:$F$1436,MATCH($B443,VN_국채일별!$A$4:$A$1436,1))+(INDEX(VN_국채일별!$G$4:$G$1436,MATCH($B443,VN_국채일별!$A$4:$A$1436,1))-INDEX(VN_국채일별!$F$4:$F$1436,MATCH($B443,VN_국채일별!$A$4:$A$1436,1)))*($J443-7)/3,INDEX(VN_국채일별!$G$4:$G$1436,MATCH($B443,VN_국채일별!$A$4:$A$1436,1)))))))),""))</f>
        <v>0.02216</v>
      </c>
      <c r="R443" s="58" t="n">
        <f aca="false">IF(OR(L443="",Q443=""),"",(L443-Q443)*10000)</f>
        <v>318.4</v>
      </c>
      <c r="S443" s="30" t="n">
        <f aca="false">IF(AND(K443="고정",N443="N",J443&gt;=2,J443&lt;=4,I443&lt;&gt;""),1,0)</f>
        <v>1</v>
      </c>
      <c r="T443" s="59" t="n">
        <f aca="false">IF(S443=1,I443*L443,0)</f>
        <v>54</v>
      </c>
      <c r="U443" s="60" t="n">
        <f aca="false">IF(AND(S443=1,ISNUMBER(R443)),I443*R443,0)</f>
        <v>318400</v>
      </c>
      <c r="V443" s="30" t="n">
        <f aca="false">IF(AND(F443="Big4(국영)",K443="고정",N443="N",I443&lt;&gt;""),1,0)</f>
        <v>0</v>
      </c>
      <c r="W443" s="59" t="n">
        <f aca="false">IF(V443=1,I443*L443,0)</f>
        <v>0</v>
      </c>
      <c r="X443" s="60" t="n">
        <f aca="false">IF(AND(V443=1,ISNUMBER(R443)),I443*R443,0)</f>
        <v>0</v>
      </c>
      <c r="Y443" s="61" t="n">
        <f aca="false">IF(AND(S443=1,ISNUMBER(R443)),I443,0)</f>
        <v>1000</v>
      </c>
      <c r="Z443" s="61" t="n">
        <f aca="false">IF(AND(V443=1,ISNUMBER(R443)),I443,0)</f>
        <v>0</v>
      </c>
    </row>
    <row r="444" customFormat="false" ht="15" hidden="false" customHeight="false" outlineLevel="0" collapsed="false">
      <c r="A444" s="47" t="s">
        <v>845</v>
      </c>
      <c r="B444" s="52" t="n">
        <v>45792</v>
      </c>
      <c r="C444" s="53" t="n">
        <f aca="false">DATE(YEAR(B444),MONTH(B444),1)</f>
        <v>45778</v>
      </c>
      <c r="D444" s="5" t="str">
        <f aca="false">YEAR(B444)&amp;"Q"&amp;ROUNDUP(MONTH(B444)/3,0)</f>
        <v>2025Q2</v>
      </c>
      <c r="E444" s="62" t="s">
        <v>155</v>
      </c>
      <c r="F444" s="62" t="s">
        <v>156</v>
      </c>
      <c r="G444" s="47" t="s">
        <v>157</v>
      </c>
      <c r="H444" s="47" t="s">
        <v>856</v>
      </c>
      <c r="I444" s="55" t="n">
        <v>173</v>
      </c>
      <c r="J444" s="56" t="n">
        <v>8</v>
      </c>
      <c r="K444" s="54" t="s">
        <v>142</v>
      </c>
      <c r="L444" s="57" t="n">
        <v>0.059</v>
      </c>
      <c r="N444" s="47" t="s">
        <v>143</v>
      </c>
      <c r="O444" s="47" t="s">
        <v>857</v>
      </c>
      <c r="P444" s="47"/>
      <c r="Q444" s="48" t="n">
        <f aca="false">IF($J444="","",IFERROR(IF($J444&lt;=1,INDEX(VN_국채일별!$B$4:$B$1436,MATCH($B444,VN_국채일별!$A$4:$A$1436,1)),IF($J444&lt;=2,INDEX(VN_국채일별!$B$4:$B$1436,MATCH($B444,VN_국채일별!$A$4:$A$1436,1))+(INDEX(VN_국채일별!$C$4:$C$1436,MATCH($B444,VN_국채일별!$A$4:$A$1436,1))-INDEX(VN_국채일별!$B$4:$B$1436,MATCH($B444,VN_국채일별!$A$4:$A$1436,1)))*($J444-1),IF($J444&lt;=3,INDEX(VN_국채일별!$C$4:$C$1436,MATCH($B444,VN_국채일별!$A$4:$A$1436,1))+(INDEX(VN_국채일별!$D$4:$D$1436,MATCH($B444,VN_국채일별!$A$4:$A$1436,1))-INDEX(VN_국채일별!$C$4:$C$1436,MATCH($B444,VN_국채일별!$A$4:$A$1436,1)))*($J444-2),IF($J444&lt;=5,INDEX(VN_국채일별!$D$4:$D$1436,MATCH($B444,VN_국채일별!$A$4:$A$1436,1))+(INDEX(VN_국채일별!$E$4:$E$1436,MATCH($B444,VN_국채일별!$A$4:$A$1436,1))-INDEX(VN_국채일별!$D$4:$D$1436,MATCH($B444,VN_국채일별!$A$4:$A$1436,1)))*($J444-3)/2,IF($J444&lt;=7,INDEX(VN_국채일별!$E$4:$E$1436,MATCH($B444,VN_국채일별!$A$4:$A$1436,1))+(INDEX(VN_국채일별!$F$4:$F$1436,MATCH($B444,VN_국채일별!$A$4:$A$1436,1))-INDEX(VN_국채일별!$E$4:$E$1436,MATCH($B444,VN_국채일별!$A$4:$A$1436,1)))*($J444-5)/2,IF($J444&lt;=10,INDEX(VN_국채일별!$F$4:$F$1436,MATCH($B444,VN_국채일별!$A$4:$A$1436,1))+(INDEX(VN_국채일별!$G$4:$G$1436,MATCH($B444,VN_국채일별!$A$4:$A$1436,1))-INDEX(VN_국채일별!$F$4:$F$1436,MATCH($B444,VN_국채일별!$A$4:$A$1436,1)))*($J444-7)/3,INDEX(VN_국채일별!$G$4:$G$1436,MATCH($B444,VN_국채일별!$A$4:$A$1436,1)))))))),""))</f>
        <v>0.0293433333333333</v>
      </c>
      <c r="R444" s="58" t="n">
        <f aca="false">IF(OR(L444="",Q444=""),"",(L444-Q444)*10000)</f>
        <v>296.566666666667</v>
      </c>
      <c r="S444" s="30" t="n">
        <f aca="false">IF(AND(K444="고정",N444="N",J444&gt;=2,J444&lt;=4,I444&lt;&gt;""),1,0)</f>
        <v>0</v>
      </c>
      <c r="T444" s="59" t="n">
        <f aca="false">IF(S444=1,I444*L444,0)</f>
        <v>0</v>
      </c>
      <c r="U444" s="60" t="n">
        <f aca="false">IF(AND(S444=1,ISNUMBER(R444)),I444*R444,0)</f>
        <v>0</v>
      </c>
      <c r="V444" s="30" t="n">
        <f aca="false">IF(AND(F444="Big4(국영)",K444="고정",N444="N",I444&lt;&gt;""),1,0)</f>
        <v>0</v>
      </c>
      <c r="W444" s="59" t="n">
        <f aca="false">IF(V444=1,I444*L444,0)</f>
        <v>0</v>
      </c>
      <c r="X444" s="60" t="n">
        <f aca="false">IF(AND(V444=1,ISNUMBER(R444)),I444*R444,0)</f>
        <v>0</v>
      </c>
      <c r="Y444" s="61" t="n">
        <f aca="false">IF(AND(S444=1,ISNUMBER(R444)),I444,0)</f>
        <v>0</v>
      </c>
      <c r="Z444" s="61" t="n">
        <f aca="false">IF(AND(V444=1,ISNUMBER(R444)),I444,0)</f>
        <v>0</v>
      </c>
    </row>
    <row r="445" customFormat="false" ht="15" hidden="false" customHeight="false" outlineLevel="0" collapsed="false">
      <c r="A445" s="47" t="s">
        <v>845</v>
      </c>
      <c r="B445" s="52" t="n">
        <v>45792</v>
      </c>
      <c r="C445" s="53" t="n">
        <f aca="false">DATE(YEAR(B445),MONTH(B445),1)</f>
        <v>45778</v>
      </c>
      <c r="D445" s="5" t="str">
        <f aca="false">YEAR(B445)&amp;"Q"&amp;ROUNDUP(MONTH(B445)/3,0)</f>
        <v>2025Q2</v>
      </c>
      <c r="E445" s="62" t="s">
        <v>155</v>
      </c>
      <c r="F445" s="62" t="s">
        <v>156</v>
      </c>
      <c r="G445" s="47" t="s">
        <v>157</v>
      </c>
      <c r="H445" s="47" t="s">
        <v>858</v>
      </c>
      <c r="I445" s="55" t="n">
        <v>305</v>
      </c>
      <c r="J445" s="56" t="n">
        <v>8</v>
      </c>
      <c r="K445" s="54" t="s">
        <v>153</v>
      </c>
      <c r="N445" s="47" t="s">
        <v>143</v>
      </c>
      <c r="O445" s="47" t="s">
        <v>859</v>
      </c>
      <c r="P445" s="47"/>
      <c r="Q445" s="48" t="n">
        <f aca="false">IF($J445="","",IFERROR(IF($J445&lt;=1,INDEX(VN_국채일별!$B$4:$B$1436,MATCH($B445,VN_국채일별!$A$4:$A$1436,1)),IF($J445&lt;=2,INDEX(VN_국채일별!$B$4:$B$1436,MATCH($B445,VN_국채일별!$A$4:$A$1436,1))+(INDEX(VN_국채일별!$C$4:$C$1436,MATCH($B445,VN_국채일별!$A$4:$A$1436,1))-INDEX(VN_국채일별!$B$4:$B$1436,MATCH($B445,VN_국채일별!$A$4:$A$1436,1)))*($J445-1),IF($J445&lt;=3,INDEX(VN_국채일별!$C$4:$C$1436,MATCH($B445,VN_국채일별!$A$4:$A$1436,1))+(INDEX(VN_국채일별!$D$4:$D$1436,MATCH($B445,VN_국채일별!$A$4:$A$1436,1))-INDEX(VN_국채일별!$C$4:$C$1436,MATCH($B445,VN_국채일별!$A$4:$A$1436,1)))*($J445-2),IF($J445&lt;=5,INDEX(VN_국채일별!$D$4:$D$1436,MATCH($B445,VN_국채일별!$A$4:$A$1436,1))+(INDEX(VN_국채일별!$E$4:$E$1436,MATCH($B445,VN_국채일별!$A$4:$A$1436,1))-INDEX(VN_국채일별!$D$4:$D$1436,MATCH($B445,VN_국채일별!$A$4:$A$1436,1)))*($J445-3)/2,IF($J445&lt;=7,INDEX(VN_국채일별!$E$4:$E$1436,MATCH($B445,VN_국채일별!$A$4:$A$1436,1))+(INDEX(VN_국채일별!$F$4:$F$1436,MATCH($B445,VN_국채일별!$A$4:$A$1436,1))-INDEX(VN_국채일별!$E$4:$E$1436,MATCH($B445,VN_국채일별!$A$4:$A$1436,1)))*($J445-5)/2,IF($J445&lt;=10,INDEX(VN_국채일별!$F$4:$F$1436,MATCH($B445,VN_국채일별!$A$4:$A$1436,1))+(INDEX(VN_국채일별!$G$4:$G$1436,MATCH($B445,VN_국채일별!$A$4:$A$1436,1))-INDEX(VN_국채일별!$F$4:$F$1436,MATCH($B445,VN_국채일별!$A$4:$A$1436,1)))*($J445-7)/3,INDEX(VN_국채일별!$G$4:$G$1436,MATCH($B445,VN_국채일별!$A$4:$A$1436,1)))))))),""))</f>
        <v>0.0293433333333333</v>
      </c>
      <c r="R445" s="58" t="str">
        <f aca="false">IF(OR(L445="",Q445=""),"",(L445-Q445)*10000)</f>
        <v/>
      </c>
      <c r="S445" s="30" t="n">
        <f aca="false">IF(AND(K445="고정",N445="N",J445&gt;=2,J445&lt;=4,I445&lt;&gt;""),1,0)</f>
        <v>0</v>
      </c>
      <c r="T445" s="59" t="n">
        <f aca="false">IF(S445=1,I445*L445,0)</f>
        <v>0</v>
      </c>
      <c r="U445" s="60" t="n">
        <f aca="false">IF(AND(S445=1,ISNUMBER(R445)),I445*R445,0)</f>
        <v>0</v>
      </c>
      <c r="V445" s="30" t="n">
        <f aca="false">IF(AND(F445="Big4(국영)",K445="고정",N445="N",I445&lt;&gt;""),1,0)</f>
        <v>0</v>
      </c>
      <c r="W445" s="59" t="n">
        <f aca="false">IF(V445=1,I445*L445,0)</f>
        <v>0</v>
      </c>
      <c r="X445" s="60" t="n">
        <f aca="false">IF(AND(V445=1,ISNUMBER(R445)),I445*R445,0)</f>
        <v>0</v>
      </c>
      <c r="Y445" s="61" t="n">
        <f aca="false">IF(AND(S445=1,ISNUMBER(R445)),I445,0)</f>
        <v>0</v>
      </c>
      <c r="Z445" s="61" t="n">
        <f aca="false">IF(AND(V445=1,ISNUMBER(R445)),I445,0)</f>
        <v>0</v>
      </c>
    </row>
    <row r="446" customFormat="false" ht="15" hidden="false" customHeight="false" outlineLevel="0" collapsed="false">
      <c r="A446" s="47" t="s">
        <v>845</v>
      </c>
      <c r="B446" s="52" t="n">
        <v>45792</v>
      </c>
      <c r="C446" s="53" t="n">
        <f aca="false">DATE(YEAR(B446),MONTH(B446),1)</f>
        <v>45778</v>
      </c>
      <c r="D446" s="5" t="str">
        <f aca="false">YEAR(B446)&amp;"Q"&amp;ROUNDUP(MONTH(B446)/3,0)</f>
        <v>2025Q2</v>
      </c>
      <c r="E446" s="47" t="s">
        <v>323</v>
      </c>
      <c r="F446" s="54" t="s">
        <v>139</v>
      </c>
      <c r="G446" s="47" t="s">
        <v>324</v>
      </c>
      <c r="H446" s="47" t="s">
        <v>860</v>
      </c>
      <c r="I446" s="55" t="n">
        <v>1000</v>
      </c>
      <c r="J446" s="56" t="n">
        <v>2</v>
      </c>
      <c r="K446" s="54" t="s">
        <v>142</v>
      </c>
      <c r="L446" s="57" t="n">
        <v>0.054</v>
      </c>
      <c r="N446" s="47" t="s">
        <v>148</v>
      </c>
      <c r="O446" s="47" t="s">
        <v>575</v>
      </c>
      <c r="P446" s="47"/>
      <c r="Q446" s="48" t="n">
        <f aca="false">IF($J446="","",IFERROR(IF($J446&lt;=1,INDEX(VN_국채일별!$B$4:$B$1436,MATCH($B446,VN_국채일별!$A$4:$A$1436,1)),IF($J446&lt;=2,INDEX(VN_국채일별!$B$4:$B$1436,MATCH($B446,VN_국채일별!$A$4:$A$1436,1))+(INDEX(VN_국채일별!$C$4:$C$1436,MATCH($B446,VN_국채일별!$A$4:$A$1436,1))-INDEX(VN_국채일별!$B$4:$B$1436,MATCH($B446,VN_국채일별!$A$4:$A$1436,1)))*($J446-1),IF($J446&lt;=3,INDEX(VN_국채일별!$C$4:$C$1436,MATCH($B446,VN_국채일별!$A$4:$A$1436,1))+(INDEX(VN_국채일별!$D$4:$D$1436,MATCH($B446,VN_국채일별!$A$4:$A$1436,1))-INDEX(VN_국채일별!$C$4:$C$1436,MATCH($B446,VN_국채일별!$A$4:$A$1436,1)))*($J446-2),IF($J446&lt;=5,INDEX(VN_국채일별!$D$4:$D$1436,MATCH($B446,VN_국채일별!$A$4:$A$1436,1))+(INDEX(VN_국채일별!$E$4:$E$1436,MATCH($B446,VN_국채일별!$A$4:$A$1436,1))-INDEX(VN_국채일별!$D$4:$D$1436,MATCH($B446,VN_국채일별!$A$4:$A$1436,1)))*($J446-3)/2,IF($J446&lt;=7,INDEX(VN_국채일별!$E$4:$E$1436,MATCH($B446,VN_국채일별!$A$4:$A$1436,1))+(INDEX(VN_국채일별!$F$4:$F$1436,MATCH($B446,VN_국채일별!$A$4:$A$1436,1))-INDEX(VN_국채일별!$E$4:$E$1436,MATCH($B446,VN_국채일별!$A$4:$A$1436,1)))*($J446-5)/2,IF($J446&lt;=10,INDEX(VN_국채일별!$F$4:$F$1436,MATCH($B446,VN_국채일별!$A$4:$A$1436,1))+(INDEX(VN_국채일별!$G$4:$G$1436,MATCH($B446,VN_국채일별!$A$4:$A$1436,1))-INDEX(VN_국채일별!$F$4:$F$1436,MATCH($B446,VN_국채일별!$A$4:$A$1436,1)))*($J446-7)/3,INDEX(VN_국채일별!$G$4:$G$1436,MATCH($B446,VN_국채일별!$A$4:$A$1436,1)))))))),""))</f>
        <v>0.02216</v>
      </c>
      <c r="R446" s="58" t="n">
        <f aca="false">IF(OR(L446="",Q446=""),"",(L446-Q446)*10000)</f>
        <v>318.4</v>
      </c>
      <c r="S446" s="30" t="n">
        <f aca="false">IF(AND(K446="고정",N446="N",J446&gt;=2,J446&lt;=4,I446&lt;&gt;""),1,0)</f>
        <v>1</v>
      </c>
      <c r="T446" s="59" t="n">
        <f aca="false">IF(S446=1,I446*L446,0)</f>
        <v>54</v>
      </c>
      <c r="U446" s="60" t="n">
        <f aca="false">IF(AND(S446=1,ISNUMBER(R446)),I446*R446,0)</f>
        <v>318400</v>
      </c>
      <c r="V446" s="30" t="n">
        <f aca="false">IF(AND(F446="Big4(국영)",K446="고정",N446="N",I446&lt;&gt;""),1,0)</f>
        <v>0</v>
      </c>
      <c r="W446" s="59" t="n">
        <f aca="false">IF(V446=1,I446*L446,0)</f>
        <v>0</v>
      </c>
      <c r="X446" s="60" t="n">
        <f aca="false">IF(AND(V446=1,ISNUMBER(R446)),I446*R446,0)</f>
        <v>0</v>
      </c>
      <c r="Y446" s="61" t="n">
        <f aca="false">IF(AND(S446=1,ISNUMBER(R446)),I446,0)</f>
        <v>1000</v>
      </c>
      <c r="Z446" s="61" t="n">
        <f aca="false">IF(AND(V446=1,ISNUMBER(R446)),I446,0)</f>
        <v>0</v>
      </c>
    </row>
    <row r="447" customFormat="false" ht="15" hidden="false" customHeight="false" outlineLevel="0" collapsed="false">
      <c r="A447" s="47" t="s">
        <v>845</v>
      </c>
      <c r="B447" s="52" t="n">
        <v>45792</v>
      </c>
      <c r="C447" s="53" t="n">
        <f aca="false">DATE(YEAR(B447),MONTH(B447),1)</f>
        <v>45778</v>
      </c>
      <c r="D447" s="5" t="str">
        <f aca="false">YEAR(B447)&amp;"Q"&amp;ROUNDUP(MONTH(B447)/3,0)</f>
        <v>2025Q2</v>
      </c>
      <c r="E447" s="62" t="s">
        <v>155</v>
      </c>
      <c r="F447" s="62" t="s">
        <v>156</v>
      </c>
      <c r="G447" s="47" t="s">
        <v>157</v>
      </c>
      <c r="H447" s="47" t="s">
        <v>861</v>
      </c>
      <c r="I447" s="55" t="n">
        <v>780</v>
      </c>
      <c r="J447" s="56" t="n">
        <v>7</v>
      </c>
      <c r="K447" s="54" t="s">
        <v>153</v>
      </c>
      <c r="N447" s="47" t="s">
        <v>143</v>
      </c>
      <c r="O447" s="47" t="s">
        <v>862</v>
      </c>
      <c r="P447" s="47"/>
      <c r="Q447" s="48" t="n">
        <f aca="false">IF($J447="","",IFERROR(IF($J447&lt;=1,INDEX(VN_국채일별!$B$4:$B$1436,MATCH($B447,VN_국채일별!$A$4:$A$1436,1)),IF($J447&lt;=2,INDEX(VN_국채일별!$B$4:$B$1436,MATCH($B447,VN_국채일별!$A$4:$A$1436,1))+(INDEX(VN_국채일별!$C$4:$C$1436,MATCH($B447,VN_국채일별!$A$4:$A$1436,1))-INDEX(VN_국채일별!$B$4:$B$1436,MATCH($B447,VN_국채일별!$A$4:$A$1436,1)))*($J447-1),IF($J447&lt;=3,INDEX(VN_국채일별!$C$4:$C$1436,MATCH($B447,VN_국채일별!$A$4:$A$1436,1))+(INDEX(VN_국채일별!$D$4:$D$1436,MATCH($B447,VN_국채일별!$A$4:$A$1436,1))-INDEX(VN_국채일별!$C$4:$C$1436,MATCH($B447,VN_국채일별!$A$4:$A$1436,1)))*($J447-2),IF($J447&lt;=5,INDEX(VN_국채일별!$D$4:$D$1436,MATCH($B447,VN_국채일별!$A$4:$A$1436,1))+(INDEX(VN_국채일별!$E$4:$E$1436,MATCH($B447,VN_국채일별!$A$4:$A$1436,1))-INDEX(VN_국채일별!$D$4:$D$1436,MATCH($B447,VN_국채일별!$A$4:$A$1436,1)))*($J447-3)/2,IF($J447&lt;=7,INDEX(VN_국채일별!$E$4:$E$1436,MATCH($B447,VN_국채일별!$A$4:$A$1436,1))+(INDEX(VN_국채일별!$F$4:$F$1436,MATCH($B447,VN_국채일별!$A$4:$A$1436,1))-INDEX(VN_국채일별!$E$4:$E$1436,MATCH($B447,VN_국채일별!$A$4:$A$1436,1)))*($J447-5)/2,IF($J447&lt;=10,INDEX(VN_국채일별!$F$4:$F$1436,MATCH($B447,VN_국채일별!$A$4:$A$1436,1))+(INDEX(VN_국채일별!$G$4:$G$1436,MATCH($B447,VN_국채일별!$A$4:$A$1436,1))-INDEX(VN_국채일별!$F$4:$F$1436,MATCH($B447,VN_국채일별!$A$4:$A$1436,1)))*($J447-7)/3,INDEX(VN_국채일별!$G$4:$G$1436,MATCH($B447,VN_국채일별!$A$4:$A$1436,1)))))))),""))</f>
        <v>0.02843</v>
      </c>
      <c r="R447" s="58" t="str">
        <f aca="false">IF(OR(L447="",Q447=""),"",(L447-Q447)*10000)</f>
        <v/>
      </c>
      <c r="S447" s="30" t="n">
        <f aca="false">IF(AND(K447="고정",N447="N",J447&gt;=2,J447&lt;=4,I447&lt;&gt;""),1,0)</f>
        <v>0</v>
      </c>
      <c r="T447" s="59" t="n">
        <f aca="false">IF(S447=1,I447*L447,0)</f>
        <v>0</v>
      </c>
      <c r="U447" s="60" t="n">
        <f aca="false">IF(AND(S447=1,ISNUMBER(R447)),I447*R447,0)</f>
        <v>0</v>
      </c>
      <c r="V447" s="30" t="n">
        <f aca="false">IF(AND(F447="Big4(국영)",K447="고정",N447="N",I447&lt;&gt;""),1,0)</f>
        <v>0</v>
      </c>
      <c r="W447" s="59" t="n">
        <f aca="false">IF(V447=1,I447*L447,0)</f>
        <v>0</v>
      </c>
      <c r="X447" s="60" t="n">
        <f aca="false">IF(AND(V447=1,ISNUMBER(R447)),I447*R447,0)</f>
        <v>0</v>
      </c>
      <c r="Y447" s="61" t="n">
        <f aca="false">IF(AND(S447=1,ISNUMBER(R447)),I447,0)</f>
        <v>0</v>
      </c>
      <c r="Z447" s="61" t="n">
        <f aca="false">IF(AND(V447=1,ISNUMBER(R447)),I447,0)</f>
        <v>0</v>
      </c>
    </row>
    <row r="448" customFormat="false" ht="15" hidden="false" customHeight="false" outlineLevel="0" collapsed="false">
      <c r="A448" s="47" t="s">
        <v>845</v>
      </c>
      <c r="B448" s="52" t="n">
        <v>45793</v>
      </c>
      <c r="C448" s="53" t="n">
        <f aca="false">DATE(YEAR(B448),MONTH(B448),1)</f>
        <v>45778</v>
      </c>
      <c r="D448" s="5" t="str">
        <f aca="false">YEAR(B448)&amp;"Q"&amp;ROUNDUP(MONTH(B448)/3,0)</f>
        <v>2025Q2</v>
      </c>
      <c r="E448" s="47" t="s">
        <v>166</v>
      </c>
      <c r="F448" s="54" t="s">
        <v>139</v>
      </c>
      <c r="G448" s="47" t="s">
        <v>167</v>
      </c>
      <c r="H448" s="47" t="s">
        <v>863</v>
      </c>
      <c r="I448" s="55" t="n">
        <v>500</v>
      </c>
      <c r="J448" s="56" t="n">
        <v>2</v>
      </c>
      <c r="K448" s="54" t="s">
        <v>142</v>
      </c>
      <c r="L448" s="57" t="n">
        <v>0.057</v>
      </c>
      <c r="N448" s="47" t="s">
        <v>148</v>
      </c>
      <c r="O448" s="47" t="s">
        <v>649</v>
      </c>
      <c r="P448" s="47"/>
      <c r="Q448" s="48" t="n">
        <f aca="false">IF($J448="","",IFERROR(IF($J448&lt;=1,INDEX(VN_국채일별!$B$4:$B$1436,MATCH($B448,VN_국채일별!$A$4:$A$1436,1)),IF($J448&lt;=2,INDEX(VN_국채일별!$B$4:$B$1436,MATCH($B448,VN_국채일별!$A$4:$A$1436,1))+(INDEX(VN_국채일별!$C$4:$C$1436,MATCH($B448,VN_국채일별!$A$4:$A$1436,1))-INDEX(VN_국채일별!$B$4:$B$1436,MATCH($B448,VN_국채일별!$A$4:$A$1436,1)))*($J448-1),IF($J448&lt;=3,INDEX(VN_국채일별!$C$4:$C$1436,MATCH($B448,VN_국채일별!$A$4:$A$1436,1))+(INDEX(VN_국채일별!$D$4:$D$1436,MATCH($B448,VN_국채일별!$A$4:$A$1436,1))-INDEX(VN_국채일별!$C$4:$C$1436,MATCH($B448,VN_국채일별!$A$4:$A$1436,1)))*($J448-2),IF($J448&lt;=5,INDEX(VN_국채일별!$D$4:$D$1436,MATCH($B448,VN_국채일별!$A$4:$A$1436,1))+(INDEX(VN_국채일별!$E$4:$E$1436,MATCH($B448,VN_국채일별!$A$4:$A$1436,1))-INDEX(VN_국채일별!$D$4:$D$1436,MATCH($B448,VN_국채일별!$A$4:$A$1436,1)))*($J448-3)/2,IF($J448&lt;=7,INDEX(VN_국채일별!$E$4:$E$1436,MATCH($B448,VN_국채일별!$A$4:$A$1436,1))+(INDEX(VN_국채일별!$F$4:$F$1436,MATCH($B448,VN_국채일별!$A$4:$A$1436,1))-INDEX(VN_국채일별!$E$4:$E$1436,MATCH($B448,VN_국채일별!$A$4:$A$1436,1)))*($J448-5)/2,IF($J448&lt;=10,INDEX(VN_국채일별!$F$4:$F$1436,MATCH($B448,VN_국채일별!$A$4:$A$1436,1))+(INDEX(VN_국채일별!$G$4:$G$1436,MATCH($B448,VN_국채일별!$A$4:$A$1436,1))-INDEX(VN_국채일별!$F$4:$F$1436,MATCH($B448,VN_국채일별!$A$4:$A$1436,1)))*($J448-7)/3,INDEX(VN_국채일별!$G$4:$G$1436,MATCH($B448,VN_국채일별!$A$4:$A$1436,1)))))))),""))</f>
        <v>0.02215</v>
      </c>
      <c r="R448" s="58" t="n">
        <f aca="false">IF(OR(L448="",Q448=""),"",(L448-Q448)*10000)</f>
        <v>348.5</v>
      </c>
      <c r="S448" s="30" t="n">
        <f aca="false">IF(AND(K448="고정",N448="N",J448&gt;=2,J448&lt;=4,I448&lt;&gt;""),1,0)</f>
        <v>1</v>
      </c>
      <c r="T448" s="59" t="n">
        <f aca="false">IF(S448=1,I448*L448,0)</f>
        <v>28.5</v>
      </c>
      <c r="U448" s="60" t="n">
        <f aca="false">IF(AND(S448=1,ISNUMBER(R448)),I448*R448,0)</f>
        <v>174250</v>
      </c>
      <c r="V448" s="30" t="n">
        <f aca="false">IF(AND(F448="Big4(국영)",K448="고정",N448="N",I448&lt;&gt;""),1,0)</f>
        <v>0</v>
      </c>
      <c r="W448" s="59" t="n">
        <f aca="false">IF(V448=1,I448*L448,0)</f>
        <v>0</v>
      </c>
      <c r="X448" s="60" t="n">
        <f aca="false">IF(AND(V448=1,ISNUMBER(R448)),I448*R448,0)</f>
        <v>0</v>
      </c>
      <c r="Y448" s="61" t="n">
        <f aca="false">IF(AND(S448=1,ISNUMBER(R448)),I448,0)</f>
        <v>500</v>
      </c>
      <c r="Z448" s="61" t="n">
        <f aca="false">IF(AND(V448=1,ISNUMBER(R448)),I448,0)</f>
        <v>0</v>
      </c>
    </row>
    <row r="449" customFormat="false" ht="15" hidden="false" customHeight="false" outlineLevel="0" collapsed="false">
      <c r="A449" s="47" t="s">
        <v>845</v>
      </c>
      <c r="B449" s="52" t="n">
        <v>45793</v>
      </c>
      <c r="C449" s="53" t="n">
        <f aca="false">DATE(YEAR(B449),MONTH(B449),1)</f>
        <v>45778</v>
      </c>
      <c r="D449" s="5" t="str">
        <f aca="false">YEAR(B449)&amp;"Q"&amp;ROUNDUP(MONTH(B449)/3,0)</f>
        <v>2025Q2</v>
      </c>
      <c r="E449" s="62" t="s">
        <v>155</v>
      </c>
      <c r="F449" s="62" t="s">
        <v>156</v>
      </c>
      <c r="G449" s="47" t="s">
        <v>157</v>
      </c>
      <c r="H449" s="47" t="s">
        <v>864</v>
      </c>
      <c r="I449" s="55" t="n">
        <v>2200</v>
      </c>
      <c r="J449" s="56" t="n">
        <v>8</v>
      </c>
      <c r="K449" s="54" t="s">
        <v>153</v>
      </c>
      <c r="N449" s="47" t="s">
        <v>143</v>
      </c>
      <c r="O449" s="47" t="s">
        <v>865</v>
      </c>
      <c r="P449" s="47"/>
      <c r="Q449" s="48" t="n">
        <f aca="false">IF($J449="","",IFERROR(IF($J449&lt;=1,INDEX(VN_국채일별!$B$4:$B$1436,MATCH($B449,VN_국채일별!$A$4:$A$1436,1)),IF($J449&lt;=2,INDEX(VN_국채일별!$B$4:$B$1436,MATCH($B449,VN_국채일별!$A$4:$A$1436,1))+(INDEX(VN_국채일별!$C$4:$C$1436,MATCH($B449,VN_국채일별!$A$4:$A$1436,1))-INDEX(VN_국채일별!$B$4:$B$1436,MATCH($B449,VN_국채일별!$A$4:$A$1436,1)))*($J449-1),IF($J449&lt;=3,INDEX(VN_국채일별!$C$4:$C$1436,MATCH($B449,VN_국채일별!$A$4:$A$1436,1))+(INDEX(VN_국채일별!$D$4:$D$1436,MATCH($B449,VN_국채일별!$A$4:$A$1436,1))-INDEX(VN_국채일별!$C$4:$C$1436,MATCH($B449,VN_국채일별!$A$4:$A$1436,1)))*($J449-2),IF($J449&lt;=5,INDEX(VN_국채일별!$D$4:$D$1436,MATCH($B449,VN_국채일별!$A$4:$A$1436,1))+(INDEX(VN_국채일별!$E$4:$E$1436,MATCH($B449,VN_국채일별!$A$4:$A$1436,1))-INDEX(VN_국채일별!$D$4:$D$1436,MATCH($B449,VN_국채일별!$A$4:$A$1436,1)))*($J449-3)/2,IF($J449&lt;=7,INDEX(VN_국채일별!$E$4:$E$1436,MATCH($B449,VN_국채일별!$A$4:$A$1436,1))+(INDEX(VN_국채일별!$F$4:$F$1436,MATCH($B449,VN_국채일별!$A$4:$A$1436,1))-INDEX(VN_국채일별!$E$4:$E$1436,MATCH($B449,VN_국채일별!$A$4:$A$1436,1)))*($J449-5)/2,IF($J449&lt;=10,INDEX(VN_국채일별!$F$4:$F$1436,MATCH($B449,VN_국채일별!$A$4:$A$1436,1))+(INDEX(VN_국채일별!$G$4:$G$1436,MATCH($B449,VN_국채일별!$A$4:$A$1436,1))-INDEX(VN_국채일별!$F$4:$F$1436,MATCH($B449,VN_국채일별!$A$4:$A$1436,1)))*($J449-7)/3,INDEX(VN_국채일별!$G$4:$G$1436,MATCH($B449,VN_국채일별!$A$4:$A$1436,1)))))))),""))</f>
        <v>0.0293466666666667</v>
      </c>
      <c r="R449" s="58" t="str">
        <f aca="false">IF(OR(L449="",Q449=""),"",(L449-Q449)*10000)</f>
        <v/>
      </c>
      <c r="S449" s="30" t="n">
        <f aca="false">IF(AND(K449="고정",N449="N",J449&gt;=2,J449&lt;=4,I449&lt;&gt;""),1,0)</f>
        <v>0</v>
      </c>
      <c r="T449" s="59" t="n">
        <f aca="false">IF(S449=1,I449*L449,0)</f>
        <v>0</v>
      </c>
      <c r="U449" s="60" t="n">
        <f aca="false">IF(AND(S449=1,ISNUMBER(R449)),I449*R449,0)</f>
        <v>0</v>
      </c>
      <c r="V449" s="30" t="n">
        <f aca="false">IF(AND(F449="Big4(국영)",K449="고정",N449="N",I449&lt;&gt;""),1,0)</f>
        <v>0</v>
      </c>
      <c r="W449" s="59" t="n">
        <f aca="false">IF(V449=1,I449*L449,0)</f>
        <v>0</v>
      </c>
      <c r="X449" s="60" t="n">
        <f aca="false">IF(AND(V449=1,ISNUMBER(R449)),I449*R449,0)</f>
        <v>0</v>
      </c>
      <c r="Y449" s="61" t="n">
        <f aca="false">IF(AND(S449=1,ISNUMBER(R449)),I449,0)</f>
        <v>0</v>
      </c>
      <c r="Z449" s="61" t="n">
        <f aca="false">IF(AND(V449=1,ISNUMBER(R449)),I449,0)</f>
        <v>0</v>
      </c>
    </row>
    <row r="450" customFormat="false" ht="15" hidden="false" customHeight="false" outlineLevel="0" collapsed="false">
      <c r="A450" s="47" t="s">
        <v>845</v>
      </c>
      <c r="B450" s="52" t="n">
        <v>45793</v>
      </c>
      <c r="C450" s="53" t="n">
        <f aca="false">DATE(YEAR(B450),MONTH(B450),1)</f>
        <v>45778</v>
      </c>
      <c r="D450" s="5" t="str">
        <f aca="false">YEAR(B450)&amp;"Q"&amp;ROUNDUP(MONTH(B450)/3,0)</f>
        <v>2025Q2</v>
      </c>
      <c r="E450" s="62" t="s">
        <v>155</v>
      </c>
      <c r="F450" s="62" t="s">
        <v>156</v>
      </c>
      <c r="G450" s="47" t="s">
        <v>157</v>
      </c>
      <c r="H450" s="47" t="s">
        <v>866</v>
      </c>
      <c r="I450" s="55" t="n">
        <v>1100</v>
      </c>
      <c r="J450" s="56" t="n">
        <v>7</v>
      </c>
      <c r="K450" s="54" t="s">
        <v>153</v>
      </c>
      <c r="N450" s="47" t="s">
        <v>143</v>
      </c>
      <c r="O450" s="47" t="s">
        <v>867</v>
      </c>
      <c r="P450" s="47"/>
      <c r="Q450" s="48" t="n">
        <f aca="false">IF($J450="","",IFERROR(IF($J450&lt;=1,INDEX(VN_국채일별!$B$4:$B$1436,MATCH($B450,VN_국채일별!$A$4:$A$1436,1)),IF($J450&lt;=2,INDEX(VN_국채일별!$B$4:$B$1436,MATCH($B450,VN_국채일별!$A$4:$A$1436,1))+(INDEX(VN_국채일별!$C$4:$C$1436,MATCH($B450,VN_국채일별!$A$4:$A$1436,1))-INDEX(VN_국채일별!$B$4:$B$1436,MATCH($B450,VN_국채일별!$A$4:$A$1436,1)))*($J450-1),IF($J450&lt;=3,INDEX(VN_국채일별!$C$4:$C$1436,MATCH($B450,VN_국채일별!$A$4:$A$1436,1))+(INDEX(VN_국채일별!$D$4:$D$1436,MATCH($B450,VN_국채일별!$A$4:$A$1436,1))-INDEX(VN_국채일별!$C$4:$C$1436,MATCH($B450,VN_국채일별!$A$4:$A$1436,1)))*($J450-2),IF($J450&lt;=5,INDEX(VN_국채일별!$D$4:$D$1436,MATCH($B450,VN_국채일별!$A$4:$A$1436,1))+(INDEX(VN_국채일별!$E$4:$E$1436,MATCH($B450,VN_국채일별!$A$4:$A$1436,1))-INDEX(VN_국채일별!$D$4:$D$1436,MATCH($B450,VN_국채일별!$A$4:$A$1436,1)))*($J450-3)/2,IF($J450&lt;=7,INDEX(VN_국채일별!$E$4:$E$1436,MATCH($B450,VN_국채일별!$A$4:$A$1436,1))+(INDEX(VN_국채일별!$F$4:$F$1436,MATCH($B450,VN_국채일별!$A$4:$A$1436,1))-INDEX(VN_국채일별!$E$4:$E$1436,MATCH($B450,VN_국채일별!$A$4:$A$1436,1)))*($J450-5)/2,IF($J450&lt;=10,INDEX(VN_국채일별!$F$4:$F$1436,MATCH($B450,VN_국채일별!$A$4:$A$1436,1))+(INDEX(VN_국채일별!$G$4:$G$1436,MATCH($B450,VN_국채일별!$A$4:$A$1436,1))-INDEX(VN_국채일별!$F$4:$F$1436,MATCH($B450,VN_국채일별!$A$4:$A$1436,1)))*($J450-7)/3,INDEX(VN_국채일별!$G$4:$G$1436,MATCH($B450,VN_국채일별!$A$4:$A$1436,1)))))))),""))</f>
        <v>0.02841</v>
      </c>
      <c r="R450" s="58" t="str">
        <f aca="false">IF(OR(L450="",Q450=""),"",(L450-Q450)*10000)</f>
        <v/>
      </c>
      <c r="S450" s="30" t="n">
        <f aca="false">IF(AND(K450="고정",N450="N",J450&gt;=2,J450&lt;=4,I450&lt;&gt;""),1,0)</f>
        <v>0</v>
      </c>
      <c r="T450" s="59" t="n">
        <f aca="false">IF(S450=1,I450*L450,0)</f>
        <v>0</v>
      </c>
      <c r="U450" s="60" t="n">
        <f aca="false">IF(AND(S450=1,ISNUMBER(R450)),I450*R450,0)</f>
        <v>0</v>
      </c>
      <c r="V450" s="30" t="n">
        <f aca="false">IF(AND(F450="Big4(국영)",K450="고정",N450="N",I450&lt;&gt;""),1,0)</f>
        <v>0</v>
      </c>
      <c r="W450" s="59" t="n">
        <f aca="false">IF(V450=1,I450*L450,0)</f>
        <v>0</v>
      </c>
      <c r="X450" s="60" t="n">
        <f aca="false">IF(AND(V450=1,ISNUMBER(R450)),I450*R450,0)</f>
        <v>0</v>
      </c>
      <c r="Y450" s="61" t="n">
        <f aca="false">IF(AND(S450=1,ISNUMBER(R450)),I450,0)</f>
        <v>0</v>
      </c>
      <c r="Z450" s="61" t="n">
        <f aca="false">IF(AND(V450=1,ISNUMBER(R450)),I450,0)</f>
        <v>0</v>
      </c>
    </row>
    <row r="451" customFormat="false" ht="15" hidden="false" customHeight="false" outlineLevel="0" collapsed="false">
      <c r="A451" s="47" t="s">
        <v>845</v>
      </c>
      <c r="B451" s="52" t="n">
        <v>45797</v>
      </c>
      <c r="C451" s="53" t="n">
        <f aca="false">DATE(YEAR(B451),MONTH(B451),1)</f>
        <v>45778</v>
      </c>
      <c r="D451" s="5" t="str">
        <f aca="false">YEAR(B451)&amp;"Q"&amp;ROUNDUP(MONTH(B451)/3,0)</f>
        <v>2025Q2</v>
      </c>
      <c r="E451" s="47" t="s">
        <v>145</v>
      </c>
      <c r="F451" s="54" t="s">
        <v>139</v>
      </c>
      <c r="G451" s="47" t="s">
        <v>146</v>
      </c>
      <c r="H451" s="47" t="s">
        <v>868</v>
      </c>
      <c r="I451" s="55" t="n">
        <v>2000</v>
      </c>
      <c r="J451" s="56" t="n">
        <v>3</v>
      </c>
      <c r="K451" s="54" t="s">
        <v>142</v>
      </c>
      <c r="L451" s="57" t="n">
        <v>0.053</v>
      </c>
      <c r="N451" s="47" t="s">
        <v>148</v>
      </c>
      <c r="O451" s="47" t="s">
        <v>582</v>
      </c>
      <c r="P451" s="47"/>
      <c r="Q451" s="48" t="n">
        <f aca="false">IF($J451="","",IFERROR(IF($J451&lt;=1,INDEX(VN_국채일별!$B$4:$B$1436,MATCH($B451,VN_국채일별!$A$4:$A$1436,1)),IF($J451&lt;=2,INDEX(VN_국채일별!$B$4:$B$1436,MATCH($B451,VN_국채일별!$A$4:$A$1436,1))+(INDEX(VN_국채일별!$C$4:$C$1436,MATCH($B451,VN_국채일별!$A$4:$A$1436,1))-INDEX(VN_국채일별!$B$4:$B$1436,MATCH($B451,VN_국채일별!$A$4:$A$1436,1)))*($J451-1),IF($J451&lt;=3,INDEX(VN_국채일별!$C$4:$C$1436,MATCH($B451,VN_국채일별!$A$4:$A$1436,1))+(INDEX(VN_국채일별!$D$4:$D$1436,MATCH($B451,VN_국채일별!$A$4:$A$1436,1))-INDEX(VN_국채일별!$C$4:$C$1436,MATCH($B451,VN_국채일별!$A$4:$A$1436,1)))*($J451-2),IF($J451&lt;=5,INDEX(VN_국채일별!$D$4:$D$1436,MATCH($B451,VN_국채일별!$A$4:$A$1436,1))+(INDEX(VN_국채일별!$E$4:$E$1436,MATCH($B451,VN_국채일별!$A$4:$A$1436,1))-INDEX(VN_국채일별!$D$4:$D$1436,MATCH($B451,VN_국채일별!$A$4:$A$1436,1)))*($J451-3)/2,IF($J451&lt;=7,INDEX(VN_국채일별!$E$4:$E$1436,MATCH($B451,VN_국채일별!$A$4:$A$1436,1))+(INDEX(VN_국채일별!$F$4:$F$1436,MATCH($B451,VN_국채일별!$A$4:$A$1436,1))-INDEX(VN_국채일별!$E$4:$E$1436,MATCH($B451,VN_국채일별!$A$4:$A$1436,1)))*($J451-5)/2,IF($J451&lt;=10,INDEX(VN_국채일별!$F$4:$F$1436,MATCH($B451,VN_국채일별!$A$4:$A$1436,1))+(INDEX(VN_국채일별!$G$4:$G$1436,MATCH($B451,VN_국채일별!$A$4:$A$1436,1))-INDEX(VN_국채일별!$F$4:$F$1436,MATCH($B451,VN_국채일별!$A$4:$A$1436,1)))*($J451-7)/3,INDEX(VN_국채일별!$G$4:$G$1436,MATCH($B451,VN_국채일별!$A$4:$A$1436,1)))))))),""))</f>
        <v>0.0228</v>
      </c>
      <c r="R451" s="58" t="n">
        <f aca="false">IF(OR(L451="",Q451=""),"",(L451-Q451)*10000)</f>
        <v>302</v>
      </c>
      <c r="S451" s="30" t="n">
        <f aca="false">IF(AND(K451="고정",N451="N",J451&gt;=2,J451&lt;=4,I451&lt;&gt;""),1,0)</f>
        <v>1</v>
      </c>
      <c r="T451" s="59" t="n">
        <f aca="false">IF(S451=1,I451*L451,0)</f>
        <v>106</v>
      </c>
      <c r="U451" s="60" t="n">
        <f aca="false">IF(AND(S451=1,ISNUMBER(R451)),I451*R451,0)</f>
        <v>604000</v>
      </c>
      <c r="V451" s="30" t="n">
        <f aca="false">IF(AND(F451="Big4(국영)",K451="고정",N451="N",I451&lt;&gt;""),1,0)</f>
        <v>0</v>
      </c>
      <c r="W451" s="59" t="n">
        <f aca="false">IF(V451=1,I451*L451,0)</f>
        <v>0</v>
      </c>
      <c r="X451" s="60" t="n">
        <f aca="false">IF(AND(V451=1,ISNUMBER(R451)),I451*R451,0)</f>
        <v>0</v>
      </c>
      <c r="Y451" s="61" t="n">
        <f aca="false">IF(AND(S451=1,ISNUMBER(R451)),I451,0)</f>
        <v>2000</v>
      </c>
      <c r="Z451" s="61" t="n">
        <f aca="false">IF(AND(V451=1,ISNUMBER(R451)),I451,0)</f>
        <v>0</v>
      </c>
    </row>
    <row r="452" customFormat="false" ht="15" hidden="false" customHeight="false" outlineLevel="0" collapsed="false">
      <c r="A452" s="47" t="s">
        <v>845</v>
      </c>
      <c r="B452" s="52" t="n">
        <v>45797</v>
      </c>
      <c r="C452" s="53" t="n">
        <f aca="false">DATE(YEAR(B452),MONTH(B452),1)</f>
        <v>45778</v>
      </c>
      <c r="D452" s="5" t="str">
        <f aca="false">YEAR(B452)&amp;"Q"&amp;ROUNDUP(MONTH(B452)/3,0)</f>
        <v>2025Q2</v>
      </c>
      <c r="E452" s="62" t="s">
        <v>155</v>
      </c>
      <c r="F452" s="62" t="s">
        <v>156</v>
      </c>
      <c r="G452" s="47" t="s">
        <v>157</v>
      </c>
      <c r="H452" s="47" t="s">
        <v>869</v>
      </c>
      <c r="I452" s="55" t="n">
        <v>355</v>
      </c>
      <c r="J452" s="56" t="n">
        <v>8</v>
      </c>
      <c r="K452" s="54" t="s">
        <v>153</v>
      </c>
      <c r="N452" s="47" t="s">
        <v>143</v>
      </c>
      <c r="O452" s="47" t="s">
        <v>870</v>
      </c>
      <c r="P452" s="47"/>
      <c r="Q452" s="48" t="n">
        <f aca="false">IF($J452="","",IFERROR(IF($J452&lt;=1,INDEX(VN_국채일별!$B$4:$B$1436,MATCH($B452,VN_국채일별!$A$4:$A$1436,1)),IF($J452&lt;=2,INDEX(VN_국채일별!$B$4:$B$1436,MATCH($B452,VN_국채일별!$A$4:$A$1436,1))+(INDEX(VN_국채일별!$C$4:$C$1436,MATCH($B452,VN_국채일별!$A$4:$A$1436,1))-INDEX(VN_국채일별!$B$4:$B$1436,MATCH($B452,VN_국채일별!$A$4:$A$1436,1)))*($J452-1),IF($J452&lt;=3,INDEX(VN_국채일별!$C$4:$C$1436,MATCH($B452,VN_국채일별!$A$4:$A$1436,1))+(INDEX(VN_국채일별!$D$4:$D$1436,MATCH($B452,VN_국채일별!$A$4:$A$1436,1))-INDEX(VN_국채일별!$C$4:$C$1436,MATCH($B452,VN_국채일별!$A$4:$A$1436,1)))*($J452-2),IF($J452&lt;=5,INDEX(VN_국채일별!$D$4:$D$1436,MATCH($B452,VN_국채일별!$A$4:$A$1436,1))+(INDEX(VN_국채일별!$E$4:$E$1436,MATCH($B452,VN_국채일별!$A$4:$A$1436,1))-INDEX(VN_국채일별!$D$4:$D$1436,MATCH($B452,VN_국채일별!$A$4:$A$1436,1)))*($J452-3)/2,IF($J452&lt;=7,INDEX(VN_국채일별!$E$4:$E$1436,MATCH($B452,VN_국채일별!$A$4:$A$1436,1))+(INDEX(VN_국채일별!$F$4:$F$1436,MATCH($B452,VN_국채일별!$A$4:$A$1436,1))-INDEX(VN_국채일별!$E$4:$E$1436,MATCH($B452,VN_국채일별!$A$4:$A$1436,1)))*($J452-5)/2,IF($J452&lt;=10,INDEX(VN_국채일별!$F$4:$F$1436,MATCH($B452,VN_국채일별!$A$4:$A$1436,1))+(INDEX(VN_국채일별!$G$4:$G$1436,MATCH($B452,VN_국채일별!$A$4:$A$1436,1))-INDEX(VN_국채일별!$F$4:$F$1436,MATCH($B452,VN_국채일별!$A$4:$A$1436,1)))*($J452-7)/3,INDEX(VN_국채일별!$G$4:$G$1436,MATCH($B452,VN_국채일별!$A$4:$A$1436,1)))))))),""))</f>
        <v>0.02934</v>
      </c>
      <c r="R452" s="58" t="str">
        <f aca="false">IF(OR(L452="",Q452=""),"",(L452-Q452)*10000)</f>
        <v/>
      </c>
      <c r="S452" s="30" t="n">
        <f aca="false">IF(AND(K452="고정",N452="N",J452&gt;=2,J452&lt;=4,I452&lt;&gt;""),1,0)</f>
        <v>0</v>
      </c>
      <c r="T452" s="59" t="n">
        <f aca="false">IF(S452=1,I452*L452,0)</f>
        <v>0</v>
      </c>
      <c r="U452" s="60" t="n">
        <f aca="false">IF(AND(S452=1,ISNUMBER(R452)),I452*R452,0)</f>
        <v>0</v>
      </c>
      <c r="V452" s="30" t="n">
        <f aca="false">IF(AND(F452="Big4(국영)",K452="고정",N452="N",I452&lt;&gt;""),1,0)</f>
        <v>0</v>
      </c>
      <c r="W452" s="59" t="n">
        <f aca="false">IF(V452=1,I452*L452,0)</f>
        <v>0</v>
      </c>
      <c r="X452" s="60" t="n">
        <f aca="false">IF(AND(V452=1,ISNUMBER(R452)),I452*R452,0)</f>
        <v>0</v>
      </c>
      <c r="Y452" s="61" t="n">
        <f aca="false">IF(AND(S452=1,ISNUMBER(R452)),I452,0)</f>
        <v>0</v>
      </c>
      <c r="Z452" s="61" t="n">
        <f aca="false">IF(AND(V452=1,ISNUMBER(R452)),I452,0)</f>
        <v>0</v>
      </c>
    </row>
    <row r="453" customFormat="false" ht="15" hidden="false" customHeight="false" outlineLevel="0" collapsed="false">
      <c r="A453" s="47" t="s">
        <v>845</v>
      </c>
      <c r="B453" s="52" t="n">
        <v>45797</v>
      </c>
      <c r="C453" s="53" t="n">
        <f aca="false">DATE(YEAR(B453),MONTH(B453),1)</f>
        <v>45778</v>
      </c>
      <c r="D453" s="5" t="str">
        <f aca="false">YEAR(B453)&amp;"Q"&amp;ROUNDUP(MONTH(B453)/3,0)</f>
        <v>2025Q2</v>
      </c>
      <c r="E453" s="62" t="s">
        <v>155</v>
      </c>
      <c r="F453" s="62" t="s">
        <v>156</v>
      </c>
      <c r="G453" s="47" t="s">
        <v>157</v>
      </c>
      <c r="H453" s="47" t="s">
        <v>871</v>
      </c>
      <c r="I453" s="55" t="n">
        <v>53</v>
      </c>
      <c r="J453" s="56" t="n">
        <v>7</v>
      </c>
      <c r="K453" s="54" t="s">
        <v>153</v>
      </c>
      <c r="N453" s="47" t="s">
        <v>143</v>
      </c>
      <c r="O453" s="47" t="s">
        <v>872</v>
      </c>
      <c r="P453" s="47"/>
      <c r="Q453" s="48" t="n">
        <f aca="false">IF($J453="","",IFERROR(IF($J453&lt;=1,INDEX(VN_국채일별!$B$4:$B$1436,MATCH($B453,VN_국채일별!$A$4:$A$1436,1)),IF($J453&lt;=2,INDEX(VN_국채일별!$B$4:$B$1436,MATCH($B453,VN_국채일별!$A$4:$A$1436,1))+(INDEX(VN_국채일별!$C$4:$C$1436,MATCH($B453,VN_국채일별!$A$4:$A$1436,1))-INDEX(VN_국채일별!$B$4:$B$1436,MATCH($B453,VN_국채일별!$A$4:$A$1436,1)))*($J453-1),IF($J453&lt;=3,INDEX(VN_국채일별!$C$4:$C$1436,MATCH($B453,VN_국채일별!$A$4:$A$1436,1))+(INDEX(VN_국채일별!$D$4:$D$1436,MATCH($B453,VN_국채일별!$A$4:$A$1436,1))-INDEX(VN_국채일별!$C$4:$C$1436,MATCH($B453,VN_국채일별!$A$4:$A$1436,1)))*($J453-2),IF($J453&lt;=5,INDEX(VN_국채일별!$D$4:$D$1436,MATCH($B453,VN_국채일별!$A$4:$A$1436,1))+(INDEX(VN_국채일별!$E$4:$E$1436,MATCH($B453,VN_국채일별!$A$4:$A$1436,1))-INDEX(VN_국채일별!$D$4:$D$1436,MATCH($B453,VN_국채일별!$A$4:$A$1436,1)))*($J453-3)/2,IF($J453&lt;=7,INDEX(VN_국채일별!$E$4:$E$1436,MATCH($B453,VN_국채일별!$A$4:$A$1436,1))+(INDEX(VN_국채일별!$F$4:$F$1436,MATCH($B453,VN_국채일별!$A$4:$A$1436,1))-INDEX(VN_국채일별!$E$4:$E$1436,MATCH($B453,VN_국채일별!$A$4:$A$1436,1)))*($J453-5)/2,IF($J453&lt;=10,INDEX(VN_국채일별!$F$4:$F$1436,MATCH($B453,VN_국채일별!$A$4:$A$1436,1))+(INDEX(VN_국채일별!$G$4:$G$1436,MATCH($B453,VN_국채일별!$A$4:$A$1436,1))-INDEX(VN_국채일별!$F$4:$F$1436,MATCH($B453,VN_국채일별!$A$4:$A$1436,1)))*($J453-7)/3,INDEX(VN_국채일별!$G$4:$G$1436,MATCH($B453,VN_국채일별!$A$4:$A$1436,1)))))))),""))</f>
        <v>0.02838</v>
      </c>
      <c r="R453" s="58" t="str">
        <f aca="false">IF(OR(L453="",Q453=""),"",(L453-Q453)*10000)</f>
        <v/>
      </c>
      <c r="S453" s="30" t="n">
        <f aca="false">IF(AND(K453="고정",N453="N",J453&gt;=2,J453&lt;=4,I453&lt;&gt;""),1,0)</f>
        <v>0</v>
      </c>
      <c r="T453" s="59" t="n">
        <f aca="false">IF(S453=1,I453*L453,0)</f>
        <v>0</v>
      </c>
      <c r="U453" s="60" t="n">
        <f aca="false">IF(AND(S453=1,ISNUMBER(R453)),I453*R453,0)</f>
        <v>0</v>
      </c>
      <c r="V453" s="30" t="n">
        <f aca="false">IF(AND(F453="Big4(국영)",K453="고정",N453="N",I453&lt;&gt;""),1,0)</f>
        <v>0</v>
      </c>
      <c r="W453" s="59" t="n">
        <f aca="false">IF(V453=1,I453*L453,0)</f>
        <v>0</v>
      </c>
      <c r="X453" s="60" t="n">
        <f aca="false">IF(AND(V453=1,ISNUMBER(R453)),I453*R453,0)</f>
        <v>0</v>
      </c>
      <c r="Y453" s="61" t="n">
        <f aca="false">IF(AND(S453=1,ISNUMBER(R453)),I453,0)</f>
        <v>0</v>
      </c>
      <c r="Z453" s="61" t="n">
        <f aca="false">IF(AND(V453=1,ISNUMBER(R453)),I453,0)</f>
        <v>0</v>
      </c>
    </row>
    <row r="454" customFormat="false" ht="15" hidden="false" customHeight="false" outlineLevel="0" collapsed="false">
      <c r="A454" s="47" t="s">
        <v>845</v>
      </c>
      <c r="B454" s="52" t="n">
        <v>45797</v>
      </c>
      <c r="C454" s="53" t="n">
        <f aca="false">DATE(YEAR(B454),MONTH(B454),1)</f>
        <v>45778</v>
      </c>
      <c r="D454" s="5" t="str">
        <f aca="false">YEAR(B454)&amp;"Q"&amp;ROUNDUP(MONTH(B454)/3,0)</f>
        <v>2025Q2</v>
      </c>
      <c r="E454" s="62" t="s">
        <v>155</v>
      </c>
      <c r="F454" s="62" t="s">
        <v>156</v>
      </c>
      <c r="G454" s="47" t="s">
        <v>157</v>
      </c>
      <c r="H454" s="47" t="s">
        <v>873</v>
      </c>
      <c r="I454" s="55" t="n">
        <v>1200</v>
      </c>
      <c r="J454" s="56" t="n">
        <v>15</v>
      </c>
      <c r="K454" s="54" t="s">
        <v>142</v>
      </c>
      <c r="L454" s="57" t="n">
        <v>0.0626</v>
      </c>
      <c r="N454" s="47" t="s">
        <v>143</v>
      </c>
      <c r="O454" s="47" t="s">
        <v>874</v>
      </c>
      <c r="P454" s="47"/>
      <c r="Q454" s="48" t="n">
        <f aca="false">IF($J454="","",IFERROR(IF($J454&lt;=1,INDEX(VN_국채일별!$B$4:$B$1436,MATCH($B454,VN_국채일별!$A$4:$A$1436,1)),IF($J454&lt;=2,INDEX(VN_국채일별!$B$4:$B$1436,MATCH($B454,VN_국채일별!$A$4:$A$1436,1))+(INDEX(VN_국채일별!$C$4:$C$1436,MATCH($B454,VN_국채일별!$A$4:$A$1436,1))-INDEX(VN_국채일별!$B$4:$B$1436,MATCH($B454,VN_국채일별!$A$4:$A$1436,1)))*($J454-1),IF($J454&lt;=3,INDEX(VN_국채일별!$C$4:$C$1436,MATCH($B454,VN_국채일별!$A$4:$A$1436,1))+(INDEX(VN_국채일별!$D$4:$D$1436,MATCH($B454,VN_국채일별!$A$4:$A$1436,1))-INDEX(VN_국채일별!$C$4:$C$1436,MATCH($B454,VN_국채일별!$A$4:$A$1436,1)))*($J454-2),IF($J454&lt;=5,INDEX(VN_국채일별!$D$4:$D$1436,MATCH($B454,VN_국채일별!$A$4:$A$1436,1))+(INDEX(VN_국채일별!$E$4:$E$1436,MATCH($B454,VN_국채일별!$A$4:$A$1436,1))-INDEX(VN_국채일별!$D$4:$D$1436,MATCH($B454,VN_국채일별!$A$4:$A$1436,1)))*($J454-3)/2,IF($J454&lt;=7,INDEX(VN_국채일별!$E$4:$E$1436,MATCH($B454,VN_국채일별!$A$4:$A$1436,1))+(INDEX(VN_국채일별!$F$4:$F$1436,MATCH($B454,VN_국채일별!$A$4:$A$1436,1))-INDEX(VN_국채일별!$E$4:$E$1436,MATCH($B454,VN_국채일별!$A$4:$A$1436,1)))*($J454-5)/2,IF($J454&lt;=10,INDEX(VN_국채일별!$F$4:$F$1436,MATCH($B454,VN_국채일별!$A$4:$A$1436,1))+(INDEX(VN_국채일별!$G$4:$G$1436,MATCH($B454,VN_국채일별!$A$4:$A$1436,1))-INDEX(VN_국채일별!$F$4:$F$1436,MATCH($B454,VN_국채일별!$A$4:$A$1436,1)))*($J454-7)/3,INDEX(VN_국채일별!$G$4:$G$1436,MATCH($B454,VN_국채일별!$A$4:$A$1436,1)))))))),""))</f>
        <v>0.03126</v>
      </c>
      <c r="R454" s="58" t="n">
        <f aca="false">IF(OR(L454="",Q454=""),"",(L454-Q454)*10000)</f>
        <v>313.4</v>
      </c>
      <c r="S454" s="30" t="n">
        <f aca="false">IF(AND(K454="고정",N454="N",J454&gt;=2,J454&lt;=4,I454&lt;&gt;""),1,0)</f>
        <v>0</v>
      </c>
      <c r="T454" s="59" t="n">
        <f aca="false">IF(S454=1,I454*L454,0)</f>
        <v>0</v>
      </c>
      <c r="U454" s="60" t="n">
        <f aca="false">IF(AND(S454=1,ISNUMBER(R454)),I454*R454,0)</f>
        <v>0</v>
      </c>
      <c r="V454" s="30" t="n">
        <f aca="false">IF(AND(F454="Big4(국영)",K454="고정",N454="N",I454&lt;&gt;""),1,0)</f>
        <v>0</v>
      </c>
      <c r="W454" s="59" t="n">
        <f aca="false">IF(V454=1,I454*L454,0)</f>
        <v>0</v>
      </c>
      <c r="X454" s="60" t="n">
        <f aca="false">IF(AND(V454=1,ISNUMBER(R454)),I454*R454,0)</f>
        <v>0</v>
      </c>
      <c r="Y454" s="61" t="n">
        <f aca="false">IF(AND(S454=1,ISNUMBER(R454)),I454,0)</f>
        <v>0</v>
      </c>
      <c r="Z454" s="61" t="n">
        <f aca="false">IF(AND(V454=1,ISNUMBER(R454)),I454,0)</f>
        <v>0</v>
      </c>
    </row>
    <row r="455" customFormat="false" ht="15" hidden="false" customHeight="false" outlineLevel="0" collapsed="false">
      <c r="A455" s="47" t="s">
        <v>845</v>
      </c>
      <c r="B455" s="52" t="n">
        <v>45798</v>
      </c>
      <c r="C455" s="53" t="n">
        <f aca="false">DATE(YEAR(B455),MONTH(B455),1)</f>
        <v>45778</v>
      </c>
      <c r="D455" s="5" t="str">
        <f aca="false">YEAR(B455)&amp;"Q"&amp;ROUNDUP(MONTH(B455)/3,0)</f>
        <v>2025Q2</v>
      </c>
      <c r="E455" s="47" t="s">
        <v>166</v>
      </c>
      <c r="F455" s="54" t="s">
        <v>139</v>
      </c>
      <c r="G455" s="47" t="s">
        <v>167</v>
      </c>
      <c r="H455" s="47" t="s">
        <v>875</v>
      </c>
      <c r="I455" s="55" t="n">
        <v>700</v>
      </c>
      <c r="J455" s="56" t="n">
        <v>2</v>
      </c>
      <c r="K455" s="54" t="s">
        <v>142</v>
      </c>
      <c r="L455" s="57" t="n">
        <v>0.057</v>
      </c>
      <c r="N455" s="47" t="s">
        <v>148</v>
      </c>
      <c r="O455" s="47" t="s">
        <v>649</v>
      </c>
      <c r="P455" s="47"/>
      <c r="Q455" s="48" t="n">
        <f aca="false">IF($J455="","",IFERROR(IF($J455&lt;=1,INDEX(VN_국채일별!$B$4:$B$1436,MATCH($B455,VN_국채일별!$A$4:$A$1436,1)),IF($J455&lt;=2,INDEX(VN_국채일별!$B$4:$B$1436,MATCH($B455,VN_국채일별!$A$4:$A$1436,1))+(INDEX(VN_국채일별!$C$4:$C$1436,MATCH($B455,VN_국채일별!$A$4:$A$1436,1))-INDEX(VN_국채일별!$B$4:$B$1436,MATCH($B455,VN_국채일별!$A$4:$A$1436,1)))*($J455-1),IF($J455&lt;=3,INDEX(VN_국채일별!$C$4:$C$1436,MATCH($B455,VN_국채일별!$A$4:$A$1436,1))+(INDEX(VN_국채일별!$D$4:$D$1436,MATCH($B455,VN_국채일별!$A$4:$A$1436,1))-INDEX(VN_국채일별!$C$4:$C$1436,MATCH($B455,VN_국채일별!$A$4:$A$1436,1)))*($J455-2),IF($J455&lt;=5,INDEX(VN_국채일별!$D$4:$D$1436,MATCH($B455,VN_국채일별!$A$4:$A$1436,1))+(INDEX(VN_국채일별!$E$4:$E$1436,MATCH($B455,VN_국채일별!$A$4:$A$1436,1))-INDEX(VN_국채일별!$D$4:$D$1436,MATCH($B455,VN_국채일별!$A$4:$A$1436,1)))*($J455-3)/2,IF($J455&lt;=7,INDEX(VN_국채일별!$E$4:$E$1436,MATCH($B455,VN_국채일별!$A$4:$A$1436,1))+(INDEX(VN_국채일별!$F$4:$F$1436,MATCH($B455,VN_국채일별!$A$4:$A$1436,1))-INDEX(VN_국채일별!$E$4:$E$1436,MATCH($B455,VN_국채일별!$A$4:$A$1436,1)))*($J455-5)/2,IF($J455&lt;=10,INDEX(VN_국채일별!$F$4:$F$1436,MATCH($B455,VN_국채일별!$A$4:$A$1436,1))+(INDEX(VN_국채일별!$G$4:$G$1436,MATCH($B455,VN_국채일별!$A$4:$A$1436,1))-INDEX(VN_국채일별!$F$4:$F$1436,MATCH($B455,VN_국채일별!$A$4:$A$1436,1)))*($J455-7)/3,INDEX(VN_국채일별!$G$4:$G$1436,MATCH($B455,VN_국채일별!$A$4:$A$1436,1)))))))),""))</f>
        <v>0.02215</v>
      </c>
      <c r="R455" s="58" t="n">
        <f aca="false">IF(OR(L455="",Q455=""),"",(L455-Q455)*10000)</f>
        <v>348.5</v>
      </c>
      <c r="S455" s="30" t="n">
        <f aca="false">IF(AND(K455="고정",N455="N",J455&gt;=2,J455&lt;=4,I455&lt;&gt;""),1,0)</f>
        <v>1</v>
      </c>
      <c r="T455" s="59" t="n">
        <f aca="false">IF(S455=1,I455*L455,0)</f>
        <v>39.9</v>
      </c>
      <c r="U455" s="60" t="n">
        <f aca="false">IF(AND(S455=1,ISNUMBER(R455)),I455*R455,0)</f>
        <v>243950</v>
      </c>
      <c r="V455" s="30" t="n">
        <f aca="false">IF(AND(F455="Big4(국영)",K455="고정",N455="N",I455&lt;&gt;""),1,0)</f>
        <v>0</v>
      </c>
      <c r="W455" s="59" t="n">
        <f aca="false">IF(V455=1,I455*L455,0)</f>
        <v>0</v>
      </c>
      <c r="X455" s="60" t="n">
        <f aca="false">IF(AND(V455=1,ISNUMBER(R455)),I455*R455,0)</f>
        <v>0</v>
      </c>
      <c r="Y455" s="61" t="n">
        <f aca="false">IF(AND(S455=1,ISNUMBER(R455)),I455,0)</f>
        <v>700</v>
      </c>
      <c r="Z455" s="61" t="n">
        <f aca="false">IF(AND(V455=1,ISNUMBER(R455)),I455,0)</f>
        <v>0</v>
      </c>
    </row>
    <row r="456" customFormat="false" ht="15" hidden="false" customHeight="false" outlineLevel="0" collapsed="false">
      <c r="A456" s="47" t="s">
        <v>845</v>
      </c>
      <c r="B456" s="52" t="n">
        <v>45798</v>
      </c>
      <c r="C456" s="53" t="n">
        <f aca="false">DATE(YEAR(B456),MONTH(B456),1)</f>
        <v>45778</v>
      </c>
      <c r="D456" s="5" t="str">
        <f aca="false">YEAR(B456)&amp;"Q"&amp;ROUNDUP(MONTH(B456)/3,0)</f>
        <v>2025Q2</v>
      </c>
      <c r="E456" s="47" t="s">
        <v>196</v>
      </c>
      <c r="F456" s="54" t="s">
        <v>139</v>
      </c>
      <c r="G456" s="47" t="s">
        <v>673</v>
      </c>
      <c r="H456" s="47" t="s">
        <v>876</v>
      </c>
      <c r="I456" s="55" t="n">
        <v>3000</v>
      </c>
      <c r="J456" s="56" t="n">
        <v>3</v>
      </c>
      <c r="K456" s="54" t="s">
        <v>142</v>
      </c>
      <c r="L456" s="57" t="n">
        <v>0.054</v>
      </c>
      <c r="N456" s="47" t="s">
        <v>148</v>
      </c>
      <c r="O456" s="47" t="s">
        <v>575</v>
      </c>
      <c r="P456" s="47"/>
      <c r="Q456" s="48" t="n">
        <f aca="false">IF($J456="","",IFERROR(IF($J456&lt;=1,INDEX(VN_국채일별!$B$4:$B$1436,MATCH($B456,VN_국채일별!$A$4:$A$1436,1)),IF($J456&lt;=2,INDEX(VN_국채일별!$B$4:$B$1436,MATCH($B456,VN_국채일별!$A$4:$A$1436,1))+(INDEX(VN_국채일별!$C$4:$C$1436,MATCH($B456,VN_국채일별!$A$4:$A$1436,1))-INDEX(VN_국채일별!$B$4:$B$1436,MATCH($B456,VN_국채일별!$A$4:$A$1436,1)))*($J456-1),IF($J456&lt;=3,INDEX(VN_국채일별!$C$4:$C$1436,MATCH($B456,VN_국채일별!$A$4:$A$1436,1))+(INDEX(VN_국채일별!$D$4:$D$1436,MATCH($B456,VN_국채일별!$A$4:$A$1436,1))-INDEX(VN_국채일별!$C$4:$C$1436,MATCH($B456,VN_국채일별!$A$4:$A$1436,1)))*($J456-2),IF($J456&lt;=5,INDEX(VN_국채일별!$D$4:$D$1436,MATCH($B456,VN_국채일별!$A$4:$A$1436,1))+(INDEX(VN_국채일별!$E$4:$E$1436,MATCH($B456,VN_국채일별!$A$4:$A$1436,1))-INDEX(VN_국채일별!$D$4:$D$1436,MATCH($B456,VN_국채일별!$A$4:$A$1436,1)))*($J456-3)/2,IF($J456&lt;=7,INDEX(VN_국채일별!$E$4:$E$1436,MATCH($B456,VN_국채일별!$A$4:$A$1436,1))+(INDEX(VN_국채일별!$F$4:$F$1436,MATCH($B456,VN_국채일별!$A$4:$A$1436,1))-INDEX(VN_국채일별!$E$4:$E$1436,MATCH($B456,VN_국채일별!$A$4:$A$1436,1)))*($J456-5)/2,IF($J456&lt;=10,INDEX(VN_국채일별!$F$4:$F$1436,MATCH($B456,VN_국채일별!$A$4:$A$1436,1))+(INDEX(VN_국채일별!$G$4:$G$1436,MATCH($B456,VN_국채일별!$A$4:$A$1436,1))-INDEX(VN_국채일별!$F$4:$F$1436,MATCH($B456,VN_국채일별!$A$4:$A$1436,1)))*($J456-7)/3,INDEX(VN_국채일별!$G$4:$G$1436,MATCH($B456,VN_국채일별!$A$4:$A$1436,1)))))))),""))</f>
        <v>0.0228</v>
      </c>
      <c r="R456" s="58" t="n">
        <f aca="false">IF(OR(L456="",Q456=""),"",(L456-Q456)*10000)</f>
        <v>312</v>
      </c>
      <c r="S456" s="30" t="n">
        <f aca="false">IF(AND(K456="고정",N456="N",J456&gt;=2,J456&lt;=4,I456&lt;&gt;""),1,0)</f>
        <v>1</v>
      </c>
      <c r="T456" s="59" t="n">
        <f aca="false">IF(S456=1,I456*L456,0)</f>
        <v>162</v>
      </c>
      <c r="U456" s="60" t="n">
        <f aca="false">IF(AND(S456=1,ISNUMBER(R456)),I456*R456,0)</f>
        <v>936000</v>
      </c>
      <c r="V456" s="30" t="n">
        <f aca="false">IF(AND(F456="Big4(국영)",K456="고정",N456="N",I456&lt;&gt;""),1,0)</f>
        <v>0</v>
      </c>
      <c r="W456" s="59" t="n">
        <f aca="false">IF(V456=1,I456*L456,0)</f>
        <v>0</v>
      </c>
      <c r="X456" s="60" t="n">
        <f aca="false">IF(AND(V456=1,ISNUMBER(R456)),I456*R456,0)</f>
        <v>0</v>
      </c>
      <c r="Y456" s="61" t="n">
        <f aca="false">IF(AND(S456=1,ISNUMBER(R456)),I456,0)</f>
        <v>3000</v>
      </c>
      <c r="Z456" s="61" t="n">
        <f aca="false">IF(AND(V456=1,ISNUMBER(R456)),I456,0)</f>
        <v>0</v>
      </c>
    </row>
    <row r="457" customFormat="false" ht="15" hidden="false" customHeight="false" outlineLevel="0" collapsed="false">
      <c r="A457" s="47" t="s">
        <v>845</v>
      </c>
      <c r="B457" s="52" t="n">
        <v>45798</v>
      </c>
      <c r="C457" s="53" t="n">
        <f aca="false">DATE(YEAR(B457),MONTH(B457),1)</f>
        <v>45778</v>
      </c>
      <c r="D457" s="5" t="str">
        <f aca="false">YEAR(B457)&amp;"Q"&amp;ROUNDUP(MONTH(B457)/3,0)</f>
        <v>2025Q2</v>
      </c>
      <c r="E457" s="47" t="s">
        <v>181</v>
      </c>
      <c r="F457" s="54" t="s">
        <v>139</v>
      </c>
      <c r="G457" s="47" t="s">
        <v>182</v>
      </c>
      <c r="H457" s="47" t="s">
        <v>877</v>
      </c>
      <c r="I457" s="55" t="n">
        <v>500</v>
      </c>
      <c r="J457" s="56" t="n">
        <v>3</v>
      </c>
      <c r="K457" s="54" t="s">
        <v>142</v>
      </c>
      <c r="L457" s="57" t="n">
        <v>0.053</v>
      </c>
      <c r="N457" s="47" t="s">
        <v>148</v>
      </c>
      <c r="O457" s="47" t="s">
        <v>582</v>
      </c>
      <c r="P457" s="47"/>
      <c r="Q457" s="48" t="n">
        <f aca="false">IF($J457="","",IFERROR(IF($J457&lt;=1,INDEX(VN_국채일별!$B$4:$B$1436,MATCH($B457,VN_국채일별!$A$4:$A$1436,1)),IF($J457&lt;=2,INDEX(VN_국채일별!$B$4:$B$1436,MATCH($B457,VN_국채일별!$A$4:$A$1436,1))+(INDEX(VN_국채일별!$C$4:$C$1436,MATCH($B457,VN_국채일별!$A$4:$A$1436,1))-INDEX(VN_국채일별!$B$4:$B$1436,MATCH($B457,VN_국채일별!$A$4:$A$1436,1)))*($J457-1),IF($J457&lt;=3,INDEX(VN_국채일별!$C$4:$C$1436,MATCH($B457,VN_국채일별!$A$4:$A$1436,1))+(INDEX(VN_국채일별!$D$4:$D$1436,MATCH($B457,VN_국채일별!$A$4:$A$1436,1))-INDEX(VN_국채일별!$C$4:$C$1436,MATCH($B457,VN_국채일별!$A$4:$A$1436,1)))*($J457-2),IF($J457&lt;=5,INDEX(VN_국채일별!$D$4:$D$1436,MATCH($B457,VN_국채일별!$A$4:$A$1436,1))+(INDEX(VN_국채일별!$E$4:$E$1436,MATCH($B457,VN_국채일별!$A$4:$A$1436,1))-INDEX(VN_국채일별!$D$4:$D$1436,MATCH($B457,VN_국채일별!$A$4:$A$1436,1)))*($J457-3)/2,IF($J457&lt;=7,INDEX(VN_국채일별!$E$4:$E$1436,MATCH($B457,VN_국채일별!$A$4:$A$1436,1))+(INDEX(VN_국채일별!$F$4:$F$1436,MATCH($B457,VN_국채일별!$A$4:$A$1436,1))-INDEX(VN_국채일별!$E$4:$E$1436,MATCH($B457,VN_국채일별!$A$4:$A$1436,1)))*($J457-5)/2,IF($J457&lt;=10,INDEX(VN_국채일별!$F$4:$F$1436,MATCH($B457,VN_국채일별!$A$4:$A$1436,1))+(INDEX(VN_국채일별!$G$4:$G$1436,MATCH($B457,VN_국채일별!$A$4:$A$1436,1))-INDEX(VN_국채일별!$F$4:$F$1436,MATCH($B457,VN_국채일별!$A$4:$A$1436,1)))*($J457-7)/3,INDEX(VN_국채일별!$G$4:$G$1436,MATCH($B457,VN_국채일별!$A$4:$A$1436,1)))))))),""))</f>
        <v>0.0228</v>
      </c>
      <c r="R457" s="58" t="n">
        <f aca="false">IF(OR(L457="",Q457=""),"",(L457-Q457)*10000)</f>
        <v>302</v>
      </c>
      <c r="S457" s="30" t="n">
        <f aca="false">IF(AND(K457="고정",N457="N",J457&gt;=2,J457&lt;=4,I457&lt;&gt;""),1,0)</f>
        <v>1</v>
      </c>
      <c r="T457" s="59" t="n">
        <f aca="false">IF(S457=1,I457*L457,0)</f>
        <v>26.5</v>
      </c>
      <c r="U457" s="60" t="n">
        <f aca="false">IF(AND(S457=1,ISNUMBER(R457)),I457*R457,0)</f>
        <v>151000</v>
      </c>
      <c r="V457" s="30" t="n">
        <f aca="false">IF(AND(F457="Big4(국영)",K457="고정",N457="N",I457&lt;&gt;""),1,0)</f>
        <v>0</v>
      </c>
      <c r="W457" s="59" t="n">
        <f aca="false">IF(V457=1,I457*L457,0)</f>
        <v>0</v>
      </c>
      <c r="X457" s="60" t="n">
        <f aca="false">IF(AND(V457=1,ISNUMBER(R457)),I457*R457,0)</f>
        <v>0</v>
      </c>
      <c r="Y457" s="61" t="n">
        <f aca="false">IF(AND(S457=1,ISNUMBER(R457)),I457,0)</f>
        <v>500</v>
      </c>
      <c r="Z457" s="61" t="n">
        <f aca="false">IF(AND(V457=1,ISNUMBER(R457)),I457,0)</f>
        <v>0</v>
      </c>
    </row>
    <row r="458" customFormat="false" ht="15" hidden="false" customHeight="false" outlineLevel="0" collapsed="false">
      <c r="A458" s="47" t="s">
        <v>845</v>
      </c>
      <c r="B458" s="52" t="n">
        <v>45798</v>
      </c>
      <c r="C458" s="53" t="n">
        <f aca="false">DATE(YEAR(B458),MONTH(B458),1)</f>
        <v>45778</v>
      </c>
      <c r="D458" s="5" t="str">
        <f aca="false">YEAR(B458)&amp;"Q"&amp;ROUNDUP(MONTH(B458)/3,0)</f>
        <v>2025Q2</v>
      </c>
      <c r="E458" s="47" t="s">
        <v>196</v>
      </c>
      <c r="F458" s="54" t="s">
        <v>139</v>
      </c>
      <c r="G458" s="47" t="s">
        <v>673</v>
      </c>
      <c r="H458" s="47" t="s">
        <v>878</v>
      </c>
      <c r="I458" s="55" t="n">
        <v>1500</v>
      </c>
      <c r="J458" s="56" t="n">
        <v>3</v>
      </c>
      <c r="K458" s="54" t="s">
        <v>142</v>
      </c>
      <c r="L458" s="57" t="n">
        <v>0.052</v>
      </c>
      <c r="N458" s="47" t="s">
        <v>148</v>
      </c>
      <c r="O458" s="47" t="s">
        <v>538</v>
      </c>
      <c r="P458" s="47"/>
      <c r="Q458" s="48" t="n">
        <f aca="false">IF($J458="","",IFERROR(IF($J458&lt;=1,INDEX(VN_국채일별!$B$4:$B$1436,MATCH($B458,VN_국채일별!$A$4:$A$1436,1)),IF($J458&lt;=2,INDEX(VN_국채일별!$B$4:$B$1436,MATCH($B458,VN_국채일별!$A$4:$A$1436,1))+(INDEX(VN_국채일별!$C$4:$C$1436,MATCH($B458,VN_국채일별!$A$4:$A$1436,1))-INDEX(VN_국채일별!$B$4:$B$1436,MATCH($B458,VN_국채일별!$A$4:$A$1436,1)))*($J458-1),IF($J458&lt;=3,INDEX(VN_국채일별!$C$4:$C$1436,MATCH($B458,VN_국채일별!$A$4:$A$1436,1))+(INDEX(VN_국채일별!$D$4:$D$1436,MATCH($B458,VN_국채일별!$A$4:$A$1436,1))-INDEX(VN_국채일별!$C$4:$C$1436,MATCH($B458,VN_국채일별!$A$4:$A$1436,1)))*($J458-2),IF($J458&lt;=5,INDEX(VN_국채일별!$D$4:$D$1436,MATCH($B458,VN_국채일별!$A$4:$A$1436,1))+(INDEX(VN_국채일별!$E$4:$E$1436,MATCH($B458,VN_국채일별!$A$4:$A$1436,1))-INDEX(VN_국채일별!$D$4:$D$1436,MATCH($B458,VN_국채일별!$A$4:$A$1436,1)))*($J458-3)/2,IF($J458&lt;=7,INDEX(VN_국채일별!$E$4:$E$1436,MATCH($B458,VN_국채일별!$A$4:$A$1436,1))+(INDEX(VN_국채일별!$F$4:$F$1436,MATCH($B458,VN_국채일별!$A$4:$A$1436,1))-INDEX(VN_국채일별!$E$4:$E$1436,MATCH($B458,VN_국채일별!$A$4:$A$1436,1)))*($J458-5)/2,IF($J458&lt;=10,INDEX(VN_국채일별!$F$4:$F$1436,MATCH($B458,VN_국채일별!$A$4:$A$1436,1))+(INDEX(VN_국채일별!$G$4:$G$1436,MATCH($B458,VN_국채일별!$A$4:$A$1436,1))-INDEX(VN_국채일별!$F$4:$F$1436,MATCH($B458,VN_국채일별!$A$4:$A$1436,1)))*($J458-7)/3,INDEX(VN_국채일별!$G$4:$G$1436,MATCH($B458,VN_국채일별!$A$4:$A$1436,1)))))))),""))</f>
        <v>0.0228</v>
      </c>
      <c r="R458" s="58" t="n">
        <f aca="false">IF(OR(L458="",Q458=""),"",(L458-Q458)*10000)</f>
        <v>292</v>
      </c>
      <c r="S458" s="30" t="n">
        <f aca="false">IF(AND(K458="고정",N458="N",J458&gt;=2,J458&lt;=4,I458&lt;&gt;""),1,0)</f>
        <v>1</v>
      </c>
      <c r="T458" s="59" t="n">
        <f aca="false">IF(S458=1,I458*L458,0)</f>
        <v>78</v>
      </c>
      <c r="U458" s="60" t="n">
        <f aca="false">IF(AND(S458=1,ISNUMBER(R458)),I458*R458,0)</f>
        <v>438000</v>
      </c>
      <c r="V458" s="30" t="n">
        <f aca="false">IF(AND(F458="Big4(국영)",K458="고정",N458="N",I458&lt;&gt;""),1,0)</f>
        <v>0</v>
      </c>
      <c r="W458" s="59" t="n">
        <f aca="false">IF(V458=1,I458*L458,0)</f>
        <v>0</v>
      </c>
      <c r="X458" s="60" t="n">
        <f aca="false">IF(AND(V458=1,ISNUMBER(R458)),I458*R458,0)</f>
        <v>0</v>
      </c>
      <c r="Y458" s="61" t="n">
        <f aca="false">IF(AND(S458=1,ISNUMBER(R458)),I458,0)</f>
        <v>1500</v>
      </c>
      <c r="Z458" s="61" t="n">
        <f aca="false">IF(AND(V458=1,ISNUMBER(R458)),I458,0)</f>
        <v>0</v>
      </c>
    </row>
    <row r="459" customFormat="false" ht="15" hidden="false" customHeight="false" outlineLevel="0" collapsed="false">
      <c r="A459" s="47" t="s">
        <v>845</v>
      </c>
      <c r="B459" s="52" t="n">
        <v>45799</v>
      </c>
      <c r="C459" s="53" t="n">
        <f aca="false">DATE(YEAR(B459),MONTH(B459),1)</f>
        <v>45778</v>
      </c>
      <c r="D459" s="5" t="str">
        <f aca="false">YEAR(B459)&amp;"Q"&amp;ROUNDUP(MONTH(B459)/3,0)</f>
        <v>2025Q2</v>
      </c>
      <c r="E459" s="47" t="s">
        <v>181</v>
      </c>
      <c r="F459" s="54" t="s">
        <v>139</v>
      </c>
      <c r="G459" s="47" t="s">
        <v>182</v>
      </c>
      <c r="H459" s="47" t="s">
        <v>879</v>
      </c>
      <c r="I459" s="55" t="n">
        <v>500</v>
      </c>
      <c r="J459" s="56" t="n">
        <v>3</v>
      </c>
      <c r="K459" s="54" t="s">
        <v>142</v>
      </c>
      <c r="L459" s="57" t="n">
        <v>0.054</v>
      </c>
      <c r="N459" s="47" t="s">
        <v>148</v>
      </c>
      <c r="O459" s="47" t="s">
        <v>575</v>
      </c>
      <c r="P459" s="47"/>
      <c r="Q459" s="48" t="n">
        <f aca="false">IF($J459="","",IFERROR(IF($J459&lt;=1,INDEX(VN_국채일별!$B$4:$B$1436,MATCH($B459,VN_국채일별!$A$4:$A$1436,1)),IF($J459&lt;=2,INDEX(VN_국채일별!$B$4:$B$1436,MATCH($B459,VN_국채일별!$A$4:$A$1436,1))+(INDEX(VN_국채일별!$C$4:$C$1436,MATCH($B459,VN_국채일별!$A$4:$A$1436,1))-INDEX(VN_국채일별!$B$4:$B$1436,MATCH($B459,VN_국채일별!$A$4:$A$1436,1)))*($J459-1),IF($J459&lt;=3,INDEX(VN_국채일별!$C$4:$C$1436,MATCH($B459,VN_국채일별!$A$4:$A$1436,1))+(INDEX(VN_국채일별!$D$4:$D$1436,MATCH($B459,VN_국채일별!$A$4:$A$1436,1))-INDEX(VN_국채일별!$C$4:$C$1436,MATCH($B459,VN_국채일별!$A$4:$A$1436,1)))*($J459-2),IF($J459&lt;=5,INDEX(VN_국채일별!$D$4:$D$1436,MATCH($B459,VN_국채일별!$A$4:$A$1436,1))+(INDEX(VN_국채일별!$E$4:$E$1436,MATCH($B459,VN_국채일별!$A$4:$A$1436,1))-INDEX(VN_국채일별!$D$4:$D$1436,MATCH($B459,VN_국채일별!$A$4:$A$1436,1)))*($J459-3)/2,IF($J459&lt;=7,INDEX(VN_국채일별!$E$4:$E$1436,MATCH($B459,VN_국채일별!$A$4:$A$1436,1))+(INDEX(VN_국채일별!$F$4:$F$1436,MATCH($B459,VN_국채일별!$A$4:$A$1436,1))-INDEX(VN_국채일별!$E$4:$E$1436,MATCH($B459,VN_국채일별!$A$4:$A$1436,1)))*($J459-5)/2,IF($J459&lt;=10,INDEX(VN_국채일별!$F$4:$F$1436,MATCH($B459,VN_국채일별!$A$4:$A$1436,1))+(INDEX(VN_국채일별!$G$4:$G$1436,MATCH($B459,VN_국채일별!$A$4:$A$1436,1))-INDEX(VN_국채일별!$F$4:$F$1436,MATCH($B459,VN_국채일별!$A$4:$A$1436,1)))*($J459-7)/3,INDEX(VN_국채일별!$G$4:$G$1436,MATCH($B459,VN_국채일별!$A$4:$A$1436,1)))))))),""))</f>
        <v>0.02289</v>
      </c>
      <c r="R459" s="58" t="n">
        <f aca="false">IF(OR(L459="",Q459=""),"",(L459-Q459)*10000)</f>
        <v>311.1</v>
      </c>
      <c r="S459" s="30" t="n">
        <f aca="false">IF(AND(K459="고정",N459="N",J459&gt;=2,J459&lt;=4,I459&lt;&gt;""),1,0)</f>
        <v>1</v>
      </c>
      <c r="T459" s="59" t="n">
        <f aca="false">IF(S459=1,I459*L459,0)</f>
        <v>27</v>
      </c>
      <c r="U459" s="60" t="n">
        <f aca="false">IF(AND(S459=1,ISNUMBER(R459)),I459*R459,0)</f>
        <v>155550</v>
      </c>
      <c r="V459" s="30" t="n">
        <f aca="false">IF(AND(F459="Big4(국영)",K459="고정",N459="N",I459&lt;&gt;""),1,0)</f>
        <v>0</v>
      </c>
      <c r="W459" s="59" t="n">
        <f aca="false">IF(V459=1,I459*L459,0)</f>
        <v>0</v>
      </c>
      <c r="X459" s="60" t="n">
        <f aca="false">IF(AND(V459=1,ISNUMBER(R459)),I459*R459,0)</f>
        <v>0</v>
      </c>
      <c r="Y459" s="61" t="n">
        <f aca="false">IF(AND(S459=1,ISNUMBER(R459)),I459,0)</f>
        <v>500</v>
      </c>
      <c r="Z459" s="61" t="n">
        <f aca="false">IF(AND(V459=1,ISNUMBER(R459)),I459,0)</f>
        <v>0</v>
      </c>
    </row>
    <row r="460" customFormat="false" ht="15" hidden="false" customHeight="false" outlineLevel="0" collapsed="false">
      <c r="A460" s="47" t="s">
        <v>845</v>
      </c>
      <c r="B460" s="52" t="n">
        <v>45803</v>
      </c>
      <c r="C460" s="53" t="n">
        <f aca="false">DATE(YEAR(B460),MONTH(B460),1)</f>
        <v>45778</v>
      </c>
      <c r="D460" s="5" t="str">
        <f aca="false">YEAR(B460)&amp;"Q"&amp;ROUNDUP(MONTH(B460)/3,0)</f>
        <v>2025Q2</v>
      </c>
      <c r="E460" s="47" t="s">
        <v>196</v>
      </c>
      <c r="F460" s="54" t="s">
        <v>139</v>
      </c>
      <c r="G460" s="47" t="s">
        <v>673</v>
      </c>
      <c r="H460" s="47" t="s">
        <v>880</v>
      </c>
      <c r="I460" s="55" t="n">
        <v>2500</v>
      </c>
      <c r="J460" s="56" t="n">
        <v>3</v>
      </c>
      <c r="K460" s="54" t="s">
        <v>142</v>
      </c>
      <c r="L460" s="57" t="n">
        <v>0.052</v>
      </c>
      <c r="N460" s="47" t="s">
        <v>148</v>
      </c>
      <c r="O460" s="47" t="s">
        <v>538</v>
      </c>
      <c r="P460" s="47"/>
      <c r="Q460" s="48" t="n">
        <f aca="false">IF($J460="","",IFERROR(IF($J460&lt;=1,INDEX(VN_국채일별!$B$4:$B$1436,MATCH($B460,VN_국채일별!$A$4:$A$1436,1)),IF($J460&lt;=2,INDEX(VN_국채일별!$B$4:$B$1436,MATCH($B460,VN_국채일별!$A$4:$A$1436,1))+(INDEX(VN_국채일별!$C$4:$C$1436,MATCH($B460,VN_국채일별!$A$4:$A$1436,1))-INDEX(VN_국채일별!$B$4:$B$1436,MATCH($B460,VN_국채일별!$A$4:$A$1436,1)))*($J460-1),IF($J460&lt;=3,INDEX(VN_국채일별!$C$4:$C$1436,MATCH($B460,VN_국채일별!$A$4:$A$1436,1))+(INDEX(VN_국채일별!$D$4:$D$1436,MATCH($B460,VN_국채일별!$A$4:$A$1436,1))-INDEX(VN_국채일별!$C$4:$C$1436,MATCH($B460,VN_국채일별!$A$4:$A$1436,1)))*($J460-2),IF($J460&lt;=5,INDEX(VN_국채일별!$D$4:$D$1436,MATCH($B460,VN_국채일별!$A$4:$A$1436,1))+(INDEX(VN_국채일별!$E$4:$E$1436,MATCH($B460,VN_국채일별!$A$4:$A$1436,1))-INDEX(VN_국채일별!$D$4:$D$1436,MATCH($B460,VN_국채일별!$A$4:$A$1436,1)))*($J460-3)/2,IF($J460&lt;=7,INDEX(VN_국채일별!$E$4:$E$1436,MATCH($B460,VN_국채일별!$A$4:$A$1436,1))+(INDEX(VN_국채일별!$F$4:$F$1436,MATCH($B460,VN_국채일별!$A$4:$A$1436,1))-INDEX(VN_국채일별!$E$4:$E$1436,MATCH($B460,VN_국채일별!$A$4:$A$1436,1)))*($J460-5)/2,IF($J460&lt;=10,INDEX(VN_국채일별!$F$4:$F$1436,MATCH($B460,VN_국채일별!$A$4:$A$1436,1))+(INDEX(VN_국채일별!$G$4:$G$1436,MATCH($B460,VN_국채일별!$A$4:$A$1436,1))-INDEX(VN_국채일별!$F$4:$F$1436,MATCH($B460,VN_국채일별!$A$4:$A$1436,1)))*($J460-7)/3,INDEX(VN_국채일별!$G$4:$G$1436,MATCH($B460,VN_국채일별!$A$4:$A$1436,1)))))))),""))</f>
        <v>0.02345</v>
      </c>
      <c r="R460" s="58" t="n">
        <f aca="false">IF(OR(L460="",Q460=""),"",(L460-Q460)*10000)</f>
        <v>285.5</v>
      </c>
      <c r="S460" s="30" t="n">
        <f aca="false">IF(AND(K460="고정",N460="N",J460&gt;=2,J460&lt;=4,I460&lt;&gt;""),1,0)</f>
        <v>1</v>
      </c>
      <c r="T460" s="59" t="n">
        <f aca="false">IF(S460=1,I460*L460,0)</f>
        <v>130</v>
      </c>
      <c r="U460" s="60" t="n">
        <f aca="false">IF(AND(S460=1,ISNUMBER(R460)),I460*R460,0)</f>
        <v>713750</v>
      </c>
      <c r="V460" s="30" t="n">
        <f aca="false">IF(AND(F460="Big4(국영)",K460="고정",N460="N",I460&lt;&gt;""),1,0)</f>
        <v>0</v>
      </c>
      <c r="W460" s="59" t="n">
        <f aca="false">IF(V460=1,I460*L460,0)</f>
        <v>0</v>
      </c>
      <c r="X460" s="60" t="n">
        <f aca="false">IF(AND(V460=1,ISNUMBER(R460)),I460*R460,0)</f>
        <v>0</v>
      </c>
      <c r="Y460" s="61" t="n">
        <f aca="false">IF(AND(S460=1,ISNUMBER(R460)),I460,0)</f>
        <v>2500</v>
      </c>
      <c r="Z460" s="61" t="n">
        <f aca="false">IF(AND(V460=1,ISNUMBER(R460)),I460,0)</f>
        <v>0</v>
      </c>
    </row>
    <row r="461" customFormat="false" ht="15" hidden="false" customHeight="false" outlineLevel="0" collapsed="false">
      <c r="A461" s="47" t="s">
        <v>845</v>
      </c>
      <c r="B461" s="52" t="n">
        <v>45803</v>
      </c>
      <c r="C461" s="53" t="n">
        <f aca="false">DATE(YEAR(B461),MONTH(B461),1)</f>
        <v>45778</v>
      </c>
      <c r="D461" s="5" t="str">
        <f aca="false">YEAR(B461)&amp;"Q"&amp;ROUNDUP(MONTH(B461)/3,0)</f>
        <v>2025Q2</v>
      </c>
      <c r="E461" s="47" t="s">
        <v>166</v>
      </c>
      <c r="F461" s="54" t="s">
        <v>139</v>
      </c>
      <c r="G461" s="47" t="s">
        <v>167</v>
      </c>
      <c r="H461" s="47" t="s">
        <v>881</v>
      </c>
      <c r="I461" s="55" t="n">
        <v>1000</v>
      </c>
      <c r="J461" s="56" t="n">
        <v>2</v>
      </c>
      <c r="K461" s="54" t="s">
        <v>142</v>
      </c>
      <c r="L461" s="57" t="n">
        <v>0.056</v>
      </c>
      <c r="N461" s="47" t="s">
        <v>148</v>
      </c>
      <c r="O461" s="47" t="s">
        <v>660</v>
      </c>
      <c r="P461" s="47"/>
      <c r="Q461" s="48" t="n">
        <f aca="false">IF($J461="","",IFERROR(IF($J461&lt;=1,INDEX(VN_국채일별!$B$4:$B$1436,MATCH($B461,VN_국채일별!$A$4:$A$1436,1)),IF($J461&lt;=2,INDEX(VN_국채일별!$B$4:$B$1436,MATCH($B461,VN_국채일별!$A$4:$A$1436,1))+(INDEX(VN_국채일별!$C$4:$C$1436,MATCH($B461,VN_국채일별!$A$4:$A$1436,1))-INDEX(VN_국채일별!$B$4:$B$1436,MATCH($B461,VN_국채일별!$A$4:$A$1436,1)))*($J461-1),IF($J461&lt;=3,INDEX(VN_국채일별!$C$4:$C$1436,MATCH($B461,VN_국채일별!$A$4:$A$1436,1))+(INDEX(VN_국채일별!$D$4:$D$1436,MATCH($B461,VN_국채일별!$A$4:$A$1436,1))-INDEX(VN_국채일별!$C$4:$C$1436,MATCH($B461,VN_국채일별!$A$4:$A$1436,1)))*($J461-2),IF($J461&lt;=5,INDEX(VN_국채일별!$D$4:$D$1436,MATCH($B461,VN_국채일별!$A$4:$A$1436,1))+(INDEX(VN_국채일별!$E$4:$E$1436,MATCH($B461,VN_국채일별!$A$4:$A$1436,1))-INDEX(VN_국채일별!$D$4:$D$1436,MATCH($B461,VN_국채일별!$A$4:$A$1436,1)))*($J461-3)/2,IF($J461&lt;=7,INDEX(VN_국채일별!$E$4:$E$1436,MATCH($B461,VN_국채일별!$A$4:$A$1436,1))+(INDEX(VN_국채일별!$F$4:$F$1436,MATCH($B461,VN_국채일별!$A$4:$A$1436,1))-INDEX(VN_국채일별!$E$4:$E$1436,MATCH($B461,VN_국채일별!$A$4:$A$1436,1)))*($J461-5)/2,IF($J461&lt;=10,INDEX(VN_국채일별!$F$4:$F$1436,MATCH($B461,VN_국채일별!$A$4:$A$1436,1))+(INDEX(VN_국채일별!$G$4:$G$1436,MATCH($B461,VN_국채일별!$A$4:$A$1436,1))-INDEX(VN_국채일별!$F$4:$F$1436,MATCH($B461,VN_국채일별!$A$4:$A$1436,1)))*($J461-7)/3,INDEX(VN_국채일별!$G$4:$G$1436,MATCH($B461,VN_국채일별!$A$4:$A$1436,1)))))))),""))</f>
        <v>0.0228</v>
      </c>
      <c r="R461" s="58" t="n">
        <f aca="false">IF(OR(L461="",Q461=""),"",(L461-Q461)*10000)</f>
        <v>332</v>
      </c>
      <c r="S461" s="30" t="n">
        <f aca="false">IF(AND(K461="고정",N461="N",J461&gt;=2,J461&lt;=4,I461&lt;&gt;""),1,0)</f>
        <v>1</v>
      </c>
      <c r="T461" s="59" t="n">
        <f aca="false">IF(S461=1,I461*L461,0)</f>
        <v>56</v>
      </c>
      <c r="U461" s="60" t="n">
        <f aca="false">IF(AND(S461=1,ISNUMBER(R461)),I461*R461,0)</f>
        <v>332000</v>
      </c>
      <c r="V461" s="30" t="n">
        <f aca="false">IF(AND(F461="Big4(국영)",K461="고정",N461="N",I461&lt;&gt;""),1,0)</f>
        <v>0</v>
      </c>
      <c r="W461" s="59" t="n">
        <f aca="false">IF(V461=1,I461*L461,0)</f>
        <v>0</v>
      </c>
      <c r="X461" s="60" t="n">
        <f aca="false">IF(AND(V461=1,ISNUMBER(R461)),I461*R461,0)</f>
        <v>0</v>
      </c>
      <c r="Y461" s="61" t="n">
        <f aca="false">IF(AND(S461=1,ISNUMBER(R461)),I461,0)</f>
        <v>1000</v>
      </c>
      <c r="Z461" s="61" t="n">
        <f aca="false">IF(AND(V461=1,ISNUMBER(R461)),I461,0)</f>
        <v>0</v>
      </c>
    </row>
    <row r="462" customFormat="false" ht="15" hidden="false" customHeight="false" outlineLevel="0" collapsed="false">
      <c r="A462" s="47" t="s">
        <v>845</v>
      </c>
      <c r="B462" s="52" t="n">
        <v>45805</v>
      </c>
      <c r="C462" s="53" t="n">
        <f aca="false">DATE(YEAR(B462),MONTH(B462),1)</f>
        <v>45778</v>
      </c>
      <c r="D462" s="5" t="str">
        <f aca="false">YEAR(B462)&amp;"Q"&amp;ROUNDUP(MONTH(B462)/3,0)</f>
        <v>2025Q2</v>
      </c>
      <c r="E462" s="47" t="s">
        <v>166</v>
      </c>
      <c r="F462" s="54" t="s">
        <v>139</v>
      </c>
      <c r="G462" s="47" t="s">
        <v>167</v>
      </c>
      <c r="H462" s="47" t="s">
        <v>882</v>
      </c>
      <c r="I462" s="55" t="n">
        <v>2000</v>
      </c>
      <c r="J462" s="56" t="n">
        <v>2</v>
      </c>
      <c r="K462" s="54" t="s">
        <v>142</v>
      </c>
      <c r="L462" s="57" t="n">
        <v>0.057</v>
      </c>
      <c r="N462" s="47" t="s">
        <v>148</v>
      </c>
      <c r="O462" s="47" t="s">
        <v>649</v>
      </c>
      <c r="P462" s="47"/>
      <c r="Q462" s="48" t="n">
        <f aca="false">IF($J462="","",IFERROR(IF($J462&lt;=1,INDEX(VN_국채일별!$B$4:$B$1436,MATCH($B462,VN_국채일별!$A$4:$A$1436,1)),IF($J462&lt;=2,INDEX(VN_국채일별!$B$4:$B$1436,MATCH($B462,VN_국채일별!$A$4:$A$1436,1))+(INDEX(VN_국채일별!$C$4:$C$1436,MATCH($B462,VN_국채일별!$A$4:$A$1436,1))-INDEX(VN_국채일별!$B$4:$B$1436,MATCH($B462,VN_국채일별!$A$4:$A$1436,1)))*($J462-1),IF($J462&lt;=3,INDEX(VN_국채일별!$C$4:$C$1436,MATCH($B462,VN_국채일별!$A$4:$A$1436,1))+(INDEX(VN_국채일별!$D$4:$D$1436,MATCH($B462,VN_국채일별!$A$4:$A$1436,1))-INDEX(VN_국채일별!$C$4:$C$1436,MATCH($B462,VN_국채일별!$A$4:$A$1436,1)))*($J462-2),IF($J462&lt;=5,INDEX(VN_국채일별!$D$4:$D$1436,MATCH($B462,VN_국채일별!$A$4:$A$1436,1))+(INDEX(VN_국채일별!$E$4:$E$1436,MATCH($B462,VN_국채일별!$A$4:$A$1436,1))-INDEX(VN_국채일별!$D$4:$D$1436,MATCH($B462,VN_국채일별!$A$4:$A$1436,1)))*($J462-3)/2,IF($J462&lt;=7,INDEX(VN_국채일별!$E$4:$E$1436,MATCH($B462,VN_국채일별!$A$4:$A$1436,1))+(INDEX(VN_국채일별!$F$4:$F$1436,MATCH($B462,VN_국채일별!$A$4:$A$1436,1))-INDEX(VN_국채일별!$E$4:$E$1436,MATCH($B462,VN_국채일별!$A$4:$A$1436,1)))*($J462-5)/2,IF($J462&lt;=10,INDEX(VN_국채일별!$F$4:$F$1436,MATCH($B462,VN_국채일별!$A$4:$A$1436,1))+(INDEX(VN_국채일별!$G$4:$G$1436,MATCH($B462,VN_국채일별!$A$4:$A$1436,1))-INDEX(VN_국채일별!$F$4:$F$1436,MATCH($B462,VN_국채일별!$A$4:$A$1436,1)))*($J462-7)/3,INDEX(VN_국채일별!$G$4:$G$1436,MATCH($B462,VN_국채일별!$A$4:$A$1436,1)))))))),""))</f>
        <v>0.0228</v>
      </c>
      <c r="R462" s="58" t="n">
        <f aca="false">IF(OR(L462="",Q462=""),"",(L462-Q462)*10000)</f>
        <v>342</v>
      </c>
      <c r="S462" s="30" t="n">
        <f aca="false">IF(AND(K462="고정",N462="N",J462&gt;=2,J462&lt;=4,I462&lt;&gt;""),1,0)</f>
        <v>1</v>
      </c>
      <c r="T462" s="59" t="n">
        <f aca="false">IF(S462=1,I462*L462,0)</f>
        <v>114</v>
      </c>
      <c r="U462" s="60" t="n">
        <f aca="false">IF(AND(S462=1,ISNUMBER(R462)),I462*R462,0)</f>
        <v>684000</v>
      </c>
      <c r="V462" s="30" t="n">
        <f aca="false">IF(AND(F462="Big4(국영)",K462="고정",N462="N",I462&lt;&gt;""),1,0)</f>
        <v>0</v>
      </c>
      <c r="W462" s="59" t="n">
        <f aca="false">IF(V462=1,I462*L462,0)</f>
        <v>0</v>
      </c>
      <c r="X462" s="60" t="n">
        <f aca="false">IF(AND(V462=1,ISNUMBER(R462)),I462*R462,0)</f>
        <v>0</v>
      </c>
      <c r="Y462" s="61" t="n">
        <f aca="false">IF(AND(S462=1,ISNUMBER(R462)),I462,0)</f>
        <v>2000</v>
      </c>
      <c r="Z462" s="61" t="n">
        <f aca="false">IF(AND(V462=1,ISNUMBER(R462)),I462,0)</f>
        <v>0</v>
      </c>
    </row>
    <row r="463" customFormat="false" ht="15" hidden="false" customHeight="false" outlineLevel="0" collapsed="false">
      <c r="A463" s="47" t="s">
        <v>883</v>
      </c>
      <c r="B463" s="52" t="n">
        <v>45811</v>
      </c>
      <c r="C463" s="53" t="n">
        <f aca="false">DATE(YEAR(B463),MONTH(B463),1)</f>
        <v>45809</v>
      </c>
      <c r="D463" s="5" t="str">
        <f aca="false">YEAR(B463)&amp;"Q"&amp;ROUNDUP(MONTH(B463)/3,0)</f>
        <v>2025Q2</v>
      </c>
      <c r="E463" s="47" t="s">
        <v>307</v>
      </c>
      <c r="F463" s="54" t="s">
        <v>139</v>
      </c>
      <c r="G463" s="47" t="s">
        <v>308</v>
      </c>
      <c r="H463" s="47" t="s">
        <v>884</v>
      </c>
      <c r="I463" s="55" t="n">
        <v>2500</v>
      </c>
      <c r="J463" s="56" t="n">
        <v>3</v>
      </c>
      <c r="K463" s="54" t="s">
        <v>142</v>
      </c>
      <c r="L463" s="57" t="n">
        <v>0.051</v>
      </c>
      <c r="N463" s="47" t="s">
        <v>148</v>
      </c>
      <c r="O463" s="47" t="s">
        <v>510</v>
      </c>
      <c r="P463" s="47"/>
      <c r="Q463" s="48" t="n">
        <f aca="false">IF($J463="","",IFERROR(IF($J463&lt;=1,INDEX(VN_국채일별!$B$4:$B$1436,MATCH($B463,VN_국채일별!$A$4:$A$1436,1)),IF($J463&lt;=2,INDEX(VN_국채일별!$B$4:$B$1436,MATCH($B463,VN_국채일별!$A$4:$A$1436,1))+(INDEX(VN_국채일별!$C$4:$C$1436,MATCH($B463,VN_국채일별!$A$4:$A$1436,1))-INDEX(VN_국채일별!$B$4:$B$1436,MATCH($B463,VN_국채일별!$A$4:$A$1436,1)))*($J463-1),IF($J463&lt;=3,INDEX(VN_국채일별!$C$4:$C$1436,MATCH($B463,VN_국채일별!$A$4:$A$1436,1))+(INDEX(VN_국채일별!$D$4:$D$1436,MATCH($B463,VN_국채일별!$A$4:$A$1436,1))-INDEX(VN_국채일별!$C$4:$C$1436,MATCH($B463,VN_국채일별!$A$4:$A$1436,1)))*($J463-2),IF($J463&lt;=5,INDEX(VN_국채일별!$D$4:$D$1436,MATCH($B463,VN_국채일별!$A$4:$A$1436,1))+(INDEX(VN_국채일별!$E$4:$E$1436,MATCH($B463,VN_국채일별!$A$4:$A$1436,1))-INDEX(VN_국채일별!$D$4:$D$1436,MATCH($B463,VN_국채일별!$A$4:$A$1436,1)))*($J463-3)/2,IF($J463&lt;=7,INDEX(VN_국채일별!$E$4:$E$1436,MATCH($B463,VN_국채일별!$A$4:$A$1436,1))+(INDEX(VN_국채일별!$F$4:$F$1436,MATCH($B463,VN_국채일별!$A$4:$A$1436,1))-INDEX(VN_국채일별!$E$4:$E$1436,MATCH($B463,VN_국채일별!$A$4:$A$1436,1)))*($J463-5)/2,IF($J463&lt;=10,INDEX(VN_국채일별!$F$4:$F$1436,MATCH($B463,VN_국채일별!$A$4:$A$1436,1))+(INDEX(VN_국채일별!$G$4:$G$1436,MATCH($B463,VN_국채일별!$A$4:$A$1436,1))-INDEX(VN_국채일별!$F$4:$F$1436,MATCH($B463,VN_국채일별!$A$4:$A$1436,1)))*($J463-7)/3,INDEX(VN_국채일별!$G$4:$G$1436,MATCH($B463,VN_국채일별!$A$4:$A$1436,1)))))))),""))</f>
        <v>0.02379</v>
      </c>
      <c r="R463" s="58" t="n">
        <f aca="false">IF(OR(L463="",Q463=""),"",(L463-Q463)*10000)</f>
        <v>272.1</v>
      </c>
      <c r="S463" s="30" t="n">
        <f aca="false">IF(AND(K463="고정",N463="N",J463&gt;=2,J463&lt;=4,I463&lt;&gt;""),1,0)</f>
        <v>1</v>
      </c>
      <c r="T463" s="59" t="n">
        <f aca="false">IF(S463=1,I463*L463,0)</f>
        <v>127.5</v>
      </c>
      <c r="U463" s="60" t="n">
        <f aca="false">IF(AND(S463=1,ISNUMBER(R463)),I463*R463,0)</f>
        <v>680250</v>
      </c>
      <c r="V463" s="30" t="n">
        <f aca="false">IF(AND(F463="Big4(국영)",K463="고정",N463="N",I463&lt;&gt;""),1,0)</f>
        <v>0</v>
      </c>
      <c r="W463" s="59" t="n">
        <f aca="false">IF(V463=1,I463*L463,0)</f>
        <v>0</v>
      </c>
      <c r="X463" s="60" t="n">
        <f aca="false">IF(AND(V463=1,ISNUMBER(R463)),I463*R463,0)</f>
        <v>0</v>
      </c>
      <c r="Y463" s="61" t="n">
        <f aca="false">IF(AND(S463=1,ISNUMBER(R463)),I463,0)</f>
        <v>2500</v>
      </c>
      <c r="Z463" s="61" t="n">
        <f aca="false">IF(AND(V463=1,ISNUMBER(R463)),I463,0)</f>
        <v>0</v>
      </c>
    </row>
    <row r="464" customFormat="false" ht="15" hidden="false" customHeight="false" outlineLevel="0" collapsed="false">
      <c r="A464" s="47" t="s">
        <v>883</v>
      </c>
      <c r="B464" s="52" t="n">
        <v>45811</v>
      </c>
      <c r="C464" s="53" t="n">
        <f aca="false">DATE(YEAR(B464),MONTH(B464),1)</f>
        <v>45809</v>
      </c>
      <c r="D464" s="5" t="str">
        <f aca="false">YEAR(B464)&amp;"Q"&amp;ROUNDUP(MONTH(B464)/3,0)</f>
        <v>2025Q2</v>
      </c>
      <c r="E464" s="47" t="s">
        <v>181</v>
      </c>
      <c r="F464" s="54" t="s">
        <v>139</v>
      </c>
      <c r="G464" s="47" t="s">
        <v>182</v>
      </c>
      <c r="H464" s="47" t="s">
        <v>885</v>
      </c>
      <c r="I464" s="55" t="n">
        <v>900</v>
      </c>
      <c r="J464" s="56" t="n">
        <v>3</v>
      </c>
      <c r="K464" s="54" t="s">
        <v>142</v>
      </c>
      <c r="L464" s="57" t="n">
        <v>0.054</v>
      </c>
      <c r="N464" s="47" t="s">
        <v>148</v>
      </c>
      <c r="O464" s="47" t="s">
        <v>575</v>
      </c>
      <c r="P464" s="47"/>
      <c r="Q464" s="48" t="n">
        <f aca="false">IF($J464="","",IFERROR(IF($J464&lt;=1,INDEX(VN_국채일별!$B$4:$B$1436,MATCH($B464,VN_국채일별!$A$4:$A$1436,1)),IF($J464&lt;=2,INDEX(VN_국채일별!$B$4:$B$1436,MATCH($B464,VN_국채일별!$A$4:$A$1436,1))+(INDEX(VN_국채일별!$C$4:$C$1436,MATCH($B464,VN_국채일별!$A$4:$A$1436,1))-INDEX(VN_국채일별!$B$4:$B$1436,MATCH($B464,VN_국채일별!$A$4:$A$1436,1)))*($J464-1),IF($J464&lt;=3,INDEX(VN_국채일별!$C$4:$C$1436,MATCH($B464,VN_국채일별!$A$4:$A$1436,1))+(INDEX(VN_국채일별!$D$4:$D$1436,MATCH($B464,VN_국채일별!$A$4:$A$1436,1))-INDEX(VN_국채일별!$C$4:$C$1436,MATCH($B464,VN_국채일별!$A$4:$A$1436,1)))*($J464-2),IF($J464&lt;=5,INDEX(VN_국채일별!$D$4:$D$1436,MATCH($B464,VN_국채일별!$A$4:$A$1436,1))+(INDEX(VN_국채일별!$E$4:$E$1436,MATCH($B464,VN_국채일별!$A$4:$A$1436,1))-INDEX(VN_국채일별!$D$4:$D$1436,MATCH($B464,VN_국채일별!$A$4:$A$1436,1)))*($J464-3)/2,IF($J464&lt;=7,INDEX(VN_국채일별!$E$4:$E$1436,MATCH($B464,VN_국채일별!$A$4:$A$1436,1))+(INDEX(VN_국채일별!$F$4:$F$1436,MATCH($B464,VN_국채일별!$A$4:$A$1436,1))-INDEX(VN_국채일별!$E$4:$E$1436,MATCH($B464,VN_국채일별!$A$4:$A$1436,1)))*($J464-5)/2,IF($J464&lt;=10,INDEX(VN_국채일별!$F$4:$F$1436,MATCH($B464,VN_국채일별!$A$4:$A$1436,1))+(INDEX(VN_국채일별!$G$4:$G$1436,MATCH($B464,VN_국채일별!$A$4:$A$1436,1))-INDEX(VN_국채일별!$F$4:$F$1436,MATCH($B464,VN_국채일별!$A$4:$A$1436,1)))*($J464-7)/3,INDEX(VN_국채일별!$G$4:$G$1436,MATCH($B464,VN_국채일별!$A$4:$A$1436,1)))))))),""))</f>
        <v>0.02379</v>
      </c>
      <c r="R464" s="58" t="n">
        <f aca="false">IF(OR(L464="",Q464=""),"",(L464-Q464)*10000)</f>
        <v>302.1</v>
      </c>
      <c r="S464" s="30" t="n">
        <f aca="false">IF(AND(K464="고정",N464="N",J464&gt;=2,J464&lt;=4,I464&lt;&gt;""),1,0)</f>
        <v>1</v>
      </c>
      <c r="T464" s="59" t="n">
        <f aca="false">IF(S464=1,I464*L464,0)</f>
        <v>48.6</v>
      </c>
      <c r="U464" s="60" t="n">
        <f aca="false">IF(AND(S464=1,ISNUMBER(R464)),I464*R464,0)</f>
        <v>271890</v>
      </c>
      <c r="V464" s="30" t="n">
        <f aca="false">IF(AND(F464="Big4(국영)",K464="고정",N464="N",I464&lt;&gt;""),1,0)</f>
        <v>0</v>
      </c>
      <c r="W464" s="59" t="n">
        <f aca="false">IF(V464=1,I464*L464,0)</f>
        <v>0</v>
      </c>
      <c r="X464" s="60" t="n">
        <f aca="false">IF(AND(V464=1,ISNUMBER(R464)),I464*R464,0)</f>
        <v>0</v>
      </c>
      <c r="Y464" s="61" t="n">
        <f aca="false">IF(AND(S464=1,ISNUMBER(R464)),I464,0)</f>
        <v>900</v>
      </c>
      <c r="Z464" s="61" t="n">
        <f aca="false">IF(AND(V464=1,ISNUMBER(R464)),I464,0)</f>
        <v>0</v>
      </c>
    </row>
    <row r="465" customFormat="false" ht="15" hidden="false" customHeight="false" outlineLevel="0" collapsed="false">
      <c r="A465" s="47" t="s">
        <v>883</v>
      </c>
      <c r="B465" s="52" t="n">
        <v>45812</v>
      </c>
      <c r="C465" s="53" t="n">
        <f aca="false">DATE(YEAR(B465),MONTH(B465),1)</f>
        <v>45809</v>
      </c>
      <c r="D465" s="5" t="str">
        <f aca="false">YEAR(B465)&amp;"Q"&amp;ROUNDUP(MONTH(B465)/3,0)</f>
        <v>2025Q2</v>
      </c>
      <c r="E465" s="47" t="s">
        <v>181</v>
      </c>
      <c r="F465" s="54" t="s">
        <v>139</v>
      </c>
      <c r="G465" s="47" t="s">
        <v>182</v>
      </c>
      <c r="H465" s="47" t="s">
        <v>886</v>
      </c>
      <c r="I465" s="55" t="n">
        <v>500</v>
      </c>
      <c r="J465" s="56" t="n">
        <v>3</v>
      </c>
      <c r="K465" s="54" t="s">
        <v>142</v>
      </c>
      <c r="L465" s="57" t="n">
        <v>0.054</v>
      </c>
      <c r="N465" s="47" t="s">
        <v>148</v>
      </c>
      <c r="O465" s="47" t="s">
        <v>575</v>
      </c>
      <c r="P465" s="47"/>
      <c r="Q465" s="48" t="n">
        <f aca="false">IF($J465="","",IFERROR(IF($J465&lt;=1,INDEX(VN_국채일별!$B$4:$B$1436,MATCH($B465,VN_국채일별!$A$4:$A$1436,1)),IF($J465&lt;=2,INDEX(VN_국채일별!$B$4:$B$1436,MATCH($B465,VN_국채일별!$A$4:$A$1436,1))+(INDEX(VN_국채일별!$C$4:$C$1436,MATCH($B465,VN_국채일별!$A$4:$A$1436,1))-INDEX(VN_국채일별!$B$4:$B$1436,MATCH($B465,VN_국채일별!$A$4:$A$1436,1)))*($J465-1),IF($J465&lt;=3,INDEX(VN_국채일별!$C$4:$C$1436,MATCH($B465,VN_국채일별!$A$4:$A$1436,1))+(INDEX(VN_국채일별!$D$4:$D$1436,MATCH($B465,VN_국채일별!$A$4:$A$1436,1))-INDEX(VN_국채일별!$C$4:$C$1436,MATCH($B465,VN_국채일별!$A$4:$A$1436,1)))*($J465-2),IF($J465&lt;=5,INDEX(VN_국채일별!$D$4:$D$1436,MATCH($B465,VN_국채일별!$A$4:$A$1436,1))+(INDEX(VN_국채일별!$E$4:$E$1436,MATCH($B465,VN_국채일별!$A$4:$A$1436,1))-INDEX(VN_국채일별!$D$4:$D$1436,MATCH($B465,VN_국채일별!$A$4:$A$1436,1)))*($J465-3)/2,IF($J465&lt;=7,INDEX(VN_국채일별!$E$4:$E$1436,MATCH($B465,VN_국채일별!$A$4:$A$1436,1))+(INDEX(VN_국채일별!$F$4:$F$1436,MATCH($B465,VN_국채일별!$A$4:$A$1436,1))-INDEX(VN_국채일별!$E$4:$E$1436,MATCH($B465,VN_국채일별!$A$4:$A$1436,1)))*($J465-5)/2,IF($J465&lt;=10,INDEX(VN_국채일별!$F$4:$F$1436,MATCH($B465,VN_국채일별!$A$4:$A$1436,1))+(INDEX(VN_국채일별!$G$4:$G$1436,MATCH($B465,VN_국채일별!$A$4:$A$1436,1))-INDEX(VN_국채일별!$F$4:$F$1436,MATCH($B465,VN_국채일별!$A$4:$A$1436,1)))*($J465-7)/3,INDEX(VN_국채일별!$G$4:$G$1436,MATCH($B465,VN_국채일별!$A$4:$A$1436,1)))))))),""))</f>
        <v>0.02367</v>
      </c>
      <c r="R465" s="58" t="n">
        <f aca="false">IF(OR(L465="",Q465=""),"",(L465-Q465)*10000)</f>
        <v>303.3</v>
      </c>
      <c r="S465" s="30" t="n">
        <f aca="false">IF(AND(K465="고정",N465="N",J465&gt;=2,J465&lt;=4,I465&lt;&gt;""),1,0)</f>
        <v>1</v>
      </c>
      <c r="T465" s="59" t="n">
        <f aca="false">IF(S465=1,I465*L465,0)</f>
        <v>27</v>
      </c>
      <c r="U465" s="60" t="n">
        <f aca="false">IF(AND(S465=1,ISNUMBER(R465)),I465*R465,0)</f>
        <v>151650</v>
      </c>
      <c r="V465" s="30" t="n">
        <f aca="false">IF(AND(F465="Big4(국영)",K465="고정",N465="N",I465&lt;&gt;""),1,0)</f>
        <v>0</v>
      </c>
      <c r="W465" s="59" t="n">
        <f aca="false">IF(V465=1,I465*L465,0)</f>
        <v>0</v>
      </c>
      <c r="X465" s="60" t="n">
        <f aca="false">IF(AND(V465=1,ISNUMBER(R465)),I465*R465,0)</f>
        <v>0</v>
      </c>
      <c r="Y465" s="61" t="n">
        <f aca="false">IF(AND(S465=1,ISNUMBER(R465)),I465,0)</f>
        <v>500</v>
      </c>
      <c r="Z465" s="61" t="n">
        <f aca="false">IF(AND(V465=1,ISNUMBER(R465)),I465,0)</f>
        <v>0</v>
      </c>
    </row>
    <row r="466" customFormat="false" ht="15" hidden="false" customHeight="false" outlineLevel="0" collapsed="false">
      <c r="A466" s="47" t="s">
        <v>883</v>
      </c>
      <c r="B466" s="52" t="n">
        <v>45812</v>
      </c>
      <c r="C466" s="53" t="n">
        <f aca="false">DATE(YEAR(B466),MONTH(B466),1)</f>
        <v>45809</v>
      </c>
      <c r="D466" s="5" t="str">
        <f aca="false">YEAR(B466)&amp;"Q"&amp;ROUNDUP(MONTH(B466)/3,0)</f>
        <v>2025Q2</v>
      </c>
      <c r="E466" s="47" t="s">
        <v>323</v>
      </c>
      <c r="F466" s="54" t="s">
        <v>139</v>
      </c>
      <c r="G466" s="47" t="s">
        <v>324</v>
      </c>
      <c r="H466" s="47" t="s">
        <v>887</v>
      </c>
      <c r="I466" s="55" t="n">
        <v>1000</v>
      </c>
      <c r="J466" s="56" t="n">
        <v>2</v>
      </c>
      <c r="K466" s="54" t="s">
        <v>142</v>
      </c>
      <c r="L466" s="57" t="n">
        <v>0.054</v>
      </c>
      <c r="N466" s="47" t="s">
        <v>148</v>
      </c>
      <c r="O466" s="47" t="s">
        <v>575</v>
      </c>
      <c r="P466" s="47"/>
      <c r="Q466" s="48" t="n">
        <f aca="false">IF($J466="","",IFERROR(IF($J466&lt;=1,INDEX(VN_국채일별!$B$4:$B$1436,MATCH($B466,VN_국채일별!$A$4:$A$1436,1)),IF($J466&lt;=2,INDEX(VN_국채일별!$B$4:$B$1436,MATCH($B466,VN_국채일별!$A$4:$A$1436,1))+(INDEX(VN_국채일별!$C$4:$C$1436,MATCH($B466,VN_국채일별!$A$4:$A$1436,1))-INDEX(VN_국채일별!$B$4:$B$1436,MATCH($B466,VN_국채일별!$A$4:$A$1436,1)))*($J466-1),IF($J466&lt;=3,INDEX(VN_국채일별!$C$4:$C$1436,MATCH($B466,VN_국채일별!$A$4:$A$1436,1))+(INDEX(VN_국채일별!$D$4:$D$1436,MATCH($B466,VN_국채일별!$A$4:$A$1436,1))-INDEX(VN_국채일별!$C$4:$C$1436,MATCH($B466,VN_국채일별!$A$4:$A$1436,1)))*($J466-2),IF($J466&lt;=5,INDEX(VN_국채일별!$D$4:$D$1436,MATCH($B466,VN_국채일별!$A$4:$A$1436,1))+(INDEX(VN_국채일별!$E$4:$E$1436,MATCH($B466,VN_국채일별!$A$4:$A$1436,1))-INDEX(VN_국채일별!$D$4:$D$1436,MATCH($B466,VN_국채일별!$A$4:$A$1436,1)))*($J466-3)/2,IF($J466&lt;=7,INDEX(VN_국채일별!$E$4:$E$1436,MATCH($B466,VN_국채일별!$A$4:$A$1436,1))+(INDEX(VN_국채일별!$F$4:$F$1436,MATCH($B466,VN_국채일별!$A$4:$A$1436,1))-INDEX(VN_국채일별!$E$4:$E$1436,MATCH($B466,VN_국채일별!$A$4:$A$1436,1)))*($J466-5)/2,IF($J466&lt;=10,INDEX(VN_국채일별!$F$4:$F$1436,MATCH($B466,VN_국채일별!$A$4:$A$1436,1))+(INDEX(VN_국채일별!$G$4:$G$1436,MATCH($B466,VN_국채일별!$A$4:$A$1436,1))-INDEX(VN_국채일별!$F$4:$F$1436,MATCH($B466,VN_국채일별!$A$4:$A$1436,1)))*($J466-7)/3,INDEX(VN_국채일별!$G$4:$G$1436,MATCH($B466,VN_국채일별!$A$4:$A$1436,1)))))))),""))</f>
        <v>0.02309</v>
      </c>
      <c r="R466" s="58" t="n">
        <f aca="false">IF(OR(L466="",Q466=""),"",(L466-Q466)*10000)</f>
        <v>309.1</v>
      </c>
      <c r="S466" s="30" t="n">
        <f aca="false">IF(AND(K466="고정",N466="N",J466&gt;=2,J466&lt;=4,I466&lt;&gt;""),1,0)</f>
        <v>1</v>
      </c>
      <c r="T466" s="59" t="n">
        <f aca="false">IF(S466=1,I466*L466,0)</f>
        <v>54</v>
      </c>
      <c r="U466" s="60" t="n">
        <f aca="false">IF(AND(S466=1,ISNUMBER(R466)),I466*R466,0)</f>
        <v>309100</v>
      </c>
      <c r="V466" s="30" t="n">
        <f aca="false">IF(AND(F466="Big4(국영)",K466="고정",N466="N",I466&lt;&gt;""),1,0)</f>
        <v>0</v>
      </c>
      <c r="W466" s="59" t="n">
        <f aca="false">IF(V466=1,I466*L466,0)</f>
        <v>0</v>
      </c>
      <c r="X466" s="60" t="n">
        <f aca="false">IF(AND(V466=1,ISNUMBER(R466)),I466*R466,0)</f>
        <v>0</v>
      </c>
      <c r="Y466" s="61" t="n">
        <f aca="false">IF(AND(S466=1,ISNUMBER(R466)),I466,0)</f>
        <v>1000</v>
      </c>
      <c r="Z466" s="61" t="n">
        <f aca="false">IF(AND(V466=1,ISNUMBER(R466)),I466,0)</f>
        <v>0</v>
      </c>
    </row>
    <row r="467" customFormat="false" ht="15" hidden="false" customHeight="false" outlineLevel="0" collapsed="false">
      <c r="A467" s="47" t="s">
        <v>883</v>
      </c>
      <c r="B467" s="52" t="n">
        <v>45812</v>
      </c>
      <c r="C467" s="53" t="n">
        <f aca="false">DATE(YEAR(B467),MONTH(B467),1)</f>
        <v>45809</v>
      </c>
      <c r="D467" s="5" t="str">
        <f aca="false">YEAR(B467)&amp;"Q"&amp;ROUNDUP(MONTH(B467)/3,0)</f>
        <v>2025Q2</v>
      </c>
      <c r="E467" s="47" t="s">
        <v>254</v>
      </c>
      <c r="F467" s="54" t="s">
        <v>139</v>
      </c>
      <c r="G467" s="47" t="s">
        <v>339</v>
      </c>
      <c r="H467" s="47" t="s">
        <v>888</v>
      </c>
      <c r="I467" s="55" t="n">
        <v>2000</v>
      </c>
      <c r="J467" s="56" t="n">
        <v>2</v>
      </c>
      <c r="K467" s="54" t="s">
        <v>142</v>
      </c>
      <c r="L467" s="57" t="n">
        <v>0.053</v>
      </c>
      <c r="N467" s="47" t="s">
        <v>148</v>
      </c>
      <c r="O467" s="47" t="s">
        <v>582</v>
      </c>
      <c r="P467" s="47"/>
      <c r="Q467" s="48" t="n">
        <f aca="false">IF($J467="","",IFERROR(IF($J467&lt;=1,INDEX(VN_국채일별!$B$4:$B$1436,MATCH($B467,VN_국채일별!$A$4:$A$1436,1)),IF($J467&lt;=2,INDEX(VN_국채일별!$B$4:$B$1436,MATCH($B467,VN_국채일별!$A$4:$A$1436,1))+(INDEX(VN_국채일별!$C$4:$C$1436,MATCH($B467,VN_국채일별!$A$4:$A$1436,1))-INDEX(VN_국채일별!$B$4:$B$1436,MATCH($B467,VN_국채일별!$A$4:$A$1436,1)))*($J467-1),IF($J467&lt;=3,INDEX(VN_국채일별!$C$4:$C$1436,MATCH($B467,VN_국채일별!$A$4:$A$1436,1))+(INDEX(VN_국채일별!$D$4:$D$1436,MATCH($B467,VN_국채일별!$A$4:$A$1436,1))-INDEX(VN_국채일별!$C$4:$C$1436,MATCH($B467,VN_국채일별!$A$4:$A$1436,1)))*($J467-2),IF($J467&lt;=5,INDEX(VN_국채일별!$D$4:$D$1436,MATCH($B467,VN_국채일별!$A$4:$A$1436,1))+(INDEX(VN_국채일별!$E$4:$E$1436,MATCH($B467,VN_국채일별!$A$4:$A$1436,1))-INDEX(VN_국채일별!$D$4:$D$1436,MATCH($B467,VN_국채일별!$A$4:$A$1436,1)))*($J467-3)/2,IF($J467&lt;=7,INDEX(VN_국채일별!$E$4:$E$1436,MATCH($B467,VN_국채일별!$A$4:$A$1436,1))+(INDEX(VN_국채일별!$F$4:$F$1436,MATCH($B467,VN_국채일별!$A$4:$A$1436,1))-INDEX(VN_국채일별!$E$4:$E$1436,MATCH($B467,VN_국채일별!$A$4:$A$1436,1)))*($J467-5)/2,IF($J467&lt;=10,INDEX(VN_국채일별!$F$4:$F$1436,MATCH($B467,VN_국채일별!$A$4:$A$1436,1))+(INDEX(VN_국채일별!$G$4:$G$1436,MATCH($B467,VN_국채일별!$A$4:$A$1436,1))-INDEX(VN_국채일별!$F$4:$F$1436,MATCH($B467,VN_국채일별!$A$4:$A$1436,1)))*($J467-7)/3,INDEX(VN_국채일별!$G$4:$G$1436,MATCH($B467,VN_국채일별!$A$4:$A$1436,1)))))))),""))</f>
        <v>0.02309</v>
      </c>
      <c r="R467" s="58" t="n">
        <f aca="false">IF(OR(L467="",Q467=""),"",(L467-Q467)*10000)</f>
        <v>299.1</v>
      </c>
      <c r="S467" s="30" t="n">
        <f aca="false">IF(AND(K467="고정",N467="N",J467&gt;=2,J467&lt;=4,I467&lt;&gt;""),1,0)</f>
        <v>1</v>
      </c>
      <c r="T467" s="59" t="n">
        <f aca="false">IF(S467=1,I467*L467,0)</f>
        <v>106</v>
      </c>
      <c r="U467" s="60" t="n">
        <f aca="false">IF(AND(S467=1,ISNUMBER(R467)),I467*R467,0)</f>
        <v>598200</v>
      </c>
      <c r="V467" s="30" t="n">
        <f aca="false">IF(AND(F467="Big4(국영)",K467="고정",N467="N",I467&lt;&gt;""),1,0)</f>
        <v>0</v>
      </c>
      <c r="W467" s="59" t="n">
        <f aca="false">IF(V467=1,I467*L467,0)</f>
        <v>0</v>
      </c>
      <c r="X467" s="60" t="n">
        <f aca="false">IF(AND(V467=1,ISNUMBER(R467)),I467*R467,0)</f>
        <v>0</v>
      </c>
      <c r="Y467" s="61" t="n">
        <f aca="false">IF(AND(S467=1,ISNUMBER(R467)),I467,0)</f>
        <v>2000</v>
      </c>
      <c r="Z467" s="61" t="n">
        <f aca="false">IF(AND(V467=1,ISNUMBER(R467)),I467,0)</f>
        <v>0</v>
      </c>
    </row>
    <row r="468" customFormat="false" ht="15" hidden="false" customHeight="false" outlineLevel="0" collapsed="false">
      <c r="A468" s="47" t="s">
        <v>883</v>
      </c>
      <c r="B468" s="52" t="n">
        <v>45812</v>
      </c>
      <c r="C468" s="53" t="n">
        <f aca="false">DATE(YEAR(B468),MONTH(B468),1)</f>
        <v>45809</v>
      </c>
      <c r="D468" s="5" t="str">
        <f aca="false">YEAR(B468)&amp;"Q"&amp;ROUNDUP(MONTH(B468)/3,0)</f>
        <v>2025Q2</v>
      </c>
      <c r="E468" s="47" t="s">
        <v>365</v>
      </c>
      <c r="F468" s="54" t="s">
        <v>139</v>
      </c>
      <c r="G468" s="47" t="s">
        <v>366</v>
      </c>
      <c r="H468" s="47" t="s">
        <v>889</v>
      </c>
      <c r="I468" s="55" t="n">
        <v>338.9</v>
      </c>
      <c r="J468" s="56" t="n">
        <v>10</v>
      </c>
      <c r="K468" s="54" t="s">
        <v>153</v>
      </c>
      <c r="N468" s="47" t="s">
        <v>143</v>
      </c>
      <c r="O468" s="47" t="s">
        <v>890</v>
      </c>
      <c r="P468" s="47"/>
      <c r="Q468" s="48" t="n">
        <f aca="false">IF($J468="","",IFERROR(IF($J468&lt;=1,INDEX(VN_국채일별!$B$4:$B$1436,MATCH($B468,VN_국채일별!$A$4:$A$1436,1)),IF($J468&lt;=2,INDEX(VN_국채일별!$B$4:$B$1436,MATCH($B468,VN_국채일별!$A$4:$A$1436,1))+(INDEX(VN_국채일별!$C$4:$C$1436,MATCH($B468,VN_국채일별!$A$4:$A$1436,1))-INDEX(VN_국채일별!$B$4:$B$1436,MATCH($B468,VN_국채일별!$A$4:$A$1436,1)))*($J468-1),IF($J468&lt;=3,INDEX(VN_국채일별!$C$4:$C$1436,MATCH($B468,VN_국채일별!$A$4:$A$1436,1))+(INDEX(VN_국채일별!$D$4:$D$1436,MATCH($B468,VN_국채일별!$A$4:$A$1436,1))-INDEX(VN_국채일별!$C$4:$C$1436,MATCH($B468,VN_국채일별!$A$4:$A$1436,1)))*($J468-2),IF($J468&lt;=5,INDEX(VN_국채일별!$D$4:$D$1436,MATCH($B468,VN_국채일별!$A$4:$A$1436,1))+(INDEX(VN_국채일별!$E$4:$E$1436,MATCH($B468,VN_국채일별!$A$4:$A$1436,1))-INDEX(VN_국채일별!$D$4:$D$1436,MATCH($B468,VN_국채일별!$A$4:$A$1436,1)))*($J468-3)/2,IF($J468&lt;=7,INDEX(VN_국채일별!$E$4:$E$1436,MATCH($B468,VN_국채일별!$A$4:$A$1436,1))+(INDEX(VN_국채일별!$F$4:$F$1436,MATCH($B468,VN_국채일별!$A$4:$A$1436,1))-INDEX(VN_국채일별!$E$4:$E$1436,MATCH($B468,VN_국채일별!$A$4:$A$1436,1)))*($J468-5)/2,IF($J468&lt;=10,INDEX(VN_국채일별!$F$4:$F$1436,MATCH($B468,VN_국채일별!$A$4:$A$1436,1))+(INDEX(VN_국채일별!$G$4:$G$1436,MATCH($B468,VN_국채일별!$A$4:$A$1436,1))-INDEX(VN_국채일별!$F$4:$F$1436,MATCH($B468,VN_국채일별!$A$4:$A$1436,1)))*($J468-7)/3,INDEX(VN_국채일별!$G$4:$G$1436,MATCH($B468,VN_국채일별!$A$4:$A$1436,1)))))))),""))</f>
        <v>0.03245</v>
      </c>
      <c r="R468" s="58" t="str">
        <f aca="false">IF(OR(L468="",Q468=""),"",(L468-Q468)*10000)</f>
        <v/>
      </c>
      <c r="S468" s="30" t="n">
        <f aca="false">IF(AND(K468="고정",N468="N",J468&gt;=2,J468&lt;=4,I468&lt;&gt;""),1,0)</f>
        <v>0</v>
      </c>
      <c r="T468" s="59" t="n">
        <f aca="false">IF(S468=1,I468*L468,0)</f>
        <v>0</v>
      </c>
      <c r="U468" s="60" t="n">
        <f aca="false">IF(AND(S468=1,ISNUMBER(R468)),I468*R468,0)</f>
        <v>0</v>
      </c>
      <c r="V468" s="30" t="n">
        <f aca="false">IF(AND(F468="Big4(국영)",K468="고정",N468="N",I468&lt;&gt;""),1,0)</f>
        <v>0</v>
      </c>
      <c r="W468" s="59" t="n">
        <f aca="false">IF(V468=1,I468*L468,0)</f>
        <v>0</v>
      </c>
      <c r="X468" s="60" t="n">
        <f aca="false">IF(AND(V468=1,ISNUMBER(R468)),I468*R468,0)</f>
        <v>0</v>
      </c>
      <c r="Y468" s="61" t="n">
        <f aca="false">IF(AND(S468=1,ISNUMBER(R468)),I468,0)</f>
        <v>0</v>
      </c>
      <c r="Z468" s="61" t="n">
        <f aca="false">IF(AND(V468=1,ISNUMBER(R468)),I468,0)</f>
        <v>0</v>
      </c>
    </row>
    <row r="469" customFormat="false" ht="15" hidden="false" customHeight="false" outlineLevel="0" collapsed="false">
      <c r="A469" s="47" t="s">
        <v>883</v>
      </c>
      <c r="B469" s="52" t="n">
        <v>45813</v>
      </c>
      <c r="C469" s="53" t="n">
        <f aca="false">DATE(YEAR(B469),MONTH(B469),1)</f>
        <v>45809</v>
      </c>
      <c r="D469" s="5" t="str">
        <f aca="false">YEAR(B469)&amp;"Q"&amp;ROUNDUP(MONTH(B469)/3,0)</f>
        <v>2025Q2</v>
      </c>
      <c r="E469" s="47" t="s">
        <v>254</v>
      </c>
      <c r="F469" s="54" t="s">
        <v>139</v>
      </c>
      <c r="G469" s="47" t="s">
        <v>339</v>
      </c>
      <c r="H469" s="47" t="s">
        <v>891</v>
      </c>
      <c r="I469" s="55" t="n">
        <v>5000</v>
      </c>
      <c r="J469" s="56" t="n">
        <v>2</v>
      </c>
      <c r="K469" s="54" t="s">
        <v>142</v>
      </c>
      <c r="L469" s="57" t="n">
        <v>0.0495</v>
      </c>
      <c r="N469" s="47" t="s">
        <v>148</v>
      </c>
      <c r="O469" s="47" t="s">
        <v>892</v>
      </c>
      <c r="P469" s="47"/>
      <c r="Q469" s="48" t="n">
        <f aca="false">IF($J469="","",IFERROR(IF($J469&lt;=1,INDEX(VN_국채일별!$B$4:$B$1436,MATCH($B469,VN_국채일별!$A$4:$A$1436,1)),IF($J469&lt;=2,INDEX(VN_국채일별!$B$4:$B$1436,MATCH($B469,VN_국채일별!$A$4:$A$1436,1))+(INDEX(VN_국채일별!$C$4:$C$1436,MATCH($B469,VN_국채일별!$A$4:$A$1436,1))-INDEX(VN_국채일별!$B$4:$B$1436,MATCH($B469,VN_국채일별!$A$4:$A$1436,1)))*($J469-1),IF($J469&lt;=3,INDEX(VN_국채일별!$C$4:$C$1436,MATCH($B469,VN_국채일별!$A$4:$A$1436,1))+(INDEX(VN_국채일별!$D$4:$D$1436,MATCH($B469,VN_국채일별!$A$4:$A$1436,1))-INDEX(VN_국채일별!$C$4:$C$1436,MATCH($B469,VN_국채일별!$A$4:$A$1436,1)))*($J469-2),IF($J469&lt;=5,INDEX(VN_국채일별!$D$4:$D$1436,MATCH($B469,VN_국채일별!$A$4:$A$1436,1))+(INDEX(VN_국채일별!$E$4:$E$1436,MATCH($B469,VN_국채일별!$A$4:$A$1436,1))-INDEX(VN_국채일별!$D$4:$D$1436,MATCH($B469,VN_국채일별!$A$4:$A$1436,1)))*($J469-3)/2,IF($J469&lt;=7,INDEX(VN_국채일별!$E$4:$E$1436,MATCH($B469,VN_국채일별!$A$4:$A$1436,1))+(INDEX(VN_국채일별!$F$4:$F$1436,MATCH($B469,VN_국채일별!$A$4:$A$1436,1))-INDEX(VN_국채일별!$E$4:$E$1436,MATCH($B469,VN_국채일별!$A$4:$A$1436,1)))*($J469-5)/2,IF($J469&lt;=10,INDEX(VN_국채일별!$F$4:$F$1436,MATCH($B469,VN_국채일별!$A$4:$A$1436,1))+(INDEX(VN_국채일별!$G$4:$G$1436,MATCH($B469,VN_국채일별!$A$4:$A$1436,1))-INDEX(VN_국채일별!$F$4:$F$1436,MATCH($B469,VN_국채일별!$A$4:$A$1436,1)))*($J469-7)/3,INDEX(VN_국채일별!$G$4:$G$1436,MATCH($B469,VN_국채일별!$A$4:$A$1436,1)))))))),""))</f>
        <v>0.02309</v>
      </c>
      <c r="R469" s="58" t="n">
        <f aca="false">IF(OR(L469="",Q469=""),"",(L469-Q469)*10000)</f>
        <v>264.1</v>
      </c>
      <c r="S469" s="30" t="n">
        <f aca="false">IF(AND(K469="고정",N469="N",J469&gt;=2,J469&lt;=4,I469&lt;&gt;""),1,0)</f>
        <v>1</v>
      </c>
      <c r="T469" s="59" t="n">
        <f aca="false">IF(S469=1,I469*L469,0)</f>
        <v>247.5</v>
      </c>
      <c r="U469" s="60" t="n">
        <f aca="false">IF(AND(S469=1,ISNUMBER(R469)),I469*R469,0)</f>
        <v>1320500</v>
      </c>
      <c r="V469" s="30" t="n">
        <f aca="false">IF(AND(F469="Big4(국영)",K469="고정",N469="N",I469&lt;&gt;""),1,0)</f>
        <v>0</v>
      </c>
      <c r="W469" s="59" t="n">
        <f aca="false">IF(V469=1,I469*L469,0)</f>
        <v>0</v>
      </c>
      <c r="X469" s="60" t="n">
        <f aca="false">IF(AND(V469=1,ISNUMBER(R469)),I469*R469,0)</f>
        <v>0</v>
      </c>
      <c r="Y469" s="61" t="n">
        <f aca="false">IF(AND(S469=1,ISNUMBER(R469)),I469,0)</f>
        <v>5000</v>
      </c>
      <c r="Z469" s="61" t="n">
        <f aca="false">IF(AND(V469=1,ISNUMBER(R469)),I469,0)</f>
        <v>0</v>
      </c>
    </row>
    <row r="470" customFormat="false" ht="15" hidden="false" customHeight="false" outlineLevel="0" collapsed="false">
      <c r="A470" s="47" t="s">
        <v>883</v>
      </c>
      <c r="B470" s="52" t="n">
        <v>45813</v>
      </c>
      <c r="C470" s="53" t="n">
        <f aca="false">DATE(YEAR(B470),MONTH(B470),1)</f>
        <v>45809</v>
      </c>
      <c r="D470" s="5" t="str">
        <f aca="false">YEAR(B470)&amp;"Q"&amp;ROUNDUP(MONTH(B470)/3,0)</f>
        <v>2025Q2</v>
      </c>
      <c r="E470" s="62" t="s">
        <v>155</v>
      </c>
      <c r="F470" s="62" t="s">
        <v>156</v>
      </c>
      <c r="G470" s="47" t="s">
        <v>157</v>
      </c>
      <c r="H470" s="47" t="s">
        <v>893</v>
      </c>
      <c r="I470" s="55" t="n">
        <v>600</v>
      </c>
      <c r="J470" s="56" t="n">
        <v>7</v>
      </c>
      <c r="K470" s="54" t="s">
        <v>153</v>
      </c>
      <c r="N470" s="47" t="s">
        <v>143</v>
      </c>
      <c r="O470" s="47" t="s">
        <v>872</v>
      </c>
      <c r="P470" s="47"/>
      <c r="Q470" s="48" t="n">
        <f aca="false">IF($J470="","",IFERROR(IF($J470&lt;=1,INDEX(VN_국채일별!$B$4:$B$1436,MATCH($B470,VN_국채일별!$A$4:$A$1436,1)),IF($J470&lt;=2,INDEX(VN_국채일별!$B$4:$B$1436,MATCH($B470,VN_국채일별!$A$4:$A$1436,1))+(INDEX(VN_국채일별!$C$4:$C$1436,MATCH($B470,VN_국채일별!$A$4:$A$1436,1))-INDEX(VN_국채일별!$B$4:$B$1436,MATCH($B470,VN_국채일별!$A$4:$A$1436,1)))*($J470-1),IF($J470&lt;=3,INDEX(VN_국채일별!$C$4:$C$1436,MATCH($B470,VN_국채일별!$A$4:$A$1436,1))+(INDEX(VN_국채일별!$D$4:$D$1436,MATCH($B470,VN_국채일별!$A$4:$A$1436,1))-INDEX(VN_국채일별!$C$4:$C$1436,MATCH($B470,VN_국채일별!$A$4:$A$1436,1)))*($J470-2),IF($J470&lt;=5,INDEX(VN_국채일별!$D$4:$D$1436,MATCH($B470,VN_국채일별!$A$4:$A$1436,1))+(INDEX(VN_국채일별!$E$4:$E$1436,MATCH($B470,VN_국채일별!$A$4:$A$1436,1))-INDEX(VN_국채일별!$D$4:$D$1436,MATCH($B470,VN_국채일별!$A$4:$A$1436,1)))*($J470-3)/2,IF($J470&lt;=7,INDEX(VN_국채일별!$E$4:$E$1436,MATCH($B470,VN_국채일별!$A$4:$A$1436,1))+(INDEX(VN_국채일별!$F$4:$F$1436,MATCH($B470,VN_국채일별!$A$4:$A$1436,1))-INDEX(VN_국채일별!$E$4:$E$1436,MATCH($B470,VN_국채일별!$A$4:$A$1436,1)))*($J470-5)/2,IF($J470&lt;=10,INDEX(VN_국채일별!$F$4:$F$1436,MATCH($B470,VN_국채일별!$A$4:$A$1436,1))+(INDEX(VN_국채일별!$G$4:$G$1436,MATCH($B470,VN_국채일별!$A$4:$A$1436,1))-INDEX(VN_국채일별!$F$4:$F$1436,MATCH($B470,VN_국채일별!$A$4:$A$1436,1)))*($J470-7)/3,INDEX(VN_국채일별!$G$4:$G$1436,MATCH($B470,VN_국채일별!$A$4:$A$1436,1)))))))),""))</f>
        <v>0.02993</v>
      </c>
      <c r="R470" s="58" t="str">
        <f aca="false">IF(OR(L470="",Q470=""),"",(L470-Q470)*10000)</f>
        <v/>
      </c>
      <c r="S470" s="30" t="n">
        <f aca="false">IF(AND(K470="고정",N470="N",J470&gt;=2,J470&lt;=4,I470&lt;&gt;""),1,0)</f>
        <v>0</v>
      </c>
      <c r="T470" s="59" t="n">
        <f aca="false">IF(S470=1,I470*L470,0)</f>
        <v>0</v>
      </c>
      <c r="U470" s="60" t="n">
        <f aca="false">IF(AND(S470=1,ISNUMBER(R470)),I470*R470,0)</f>
        <v>0</v>
      </c>
      <c r="V470" s="30" t="n">
        <f aca="false">IF(AND(F470="Big4(국영)",K470="고정",N470="N",I470&lt;&gt;""),1,0)</f>
        <v>0</v>
      </c>
      <c r="W470" s="59" t="n">
        <f aca="false">IF(V470=1,I470*L470,0)</f>
        <v>0</v>
      </c>
      <c r="X470" s="60" t="n">
        <f aca="false">IF(AND(V470=1,ISNUMBER(R470)),I470*R470,0)</f>
        <v>0</v>
      </c>
      <c r="Y470" s="61" t="n">
        <f aca="false">IF(AND(S470=1,ISNUMBER(R470)),I470,0)</f>
        <v>0</v>
      </c>
      <c r="Z470" s="61" t="n">
        <f aca="false">IF(AND(V470=1,ISNUMBER(R470)),I470,0)</f>
        <v>0</v>
      </c>
    </row>
    <row r="471" customFormat="false" ht="15" hidden="false" customHeight="false" outlineLevel="0" collapsed="false">
      <c r="A471" s="47" t="s">
        <v>883</v>
      </c>
      <c r="B471" s="52" t="n">
        <v>45814</v>
      </c>
      <c r="C471" s="53" t="n">
        <f aca="false">DATE(YEAR(B471),MONTH(B471),1)</f>
        <v>45809</v>
      </c>
      <c r="D471" s="5" t="str">
        <f aca="false">YEAR(B471)&amp;"Q"&amp;ROUNDUP(MONTH(B471)/3,0)</f>
        <v>2025Q2</v>
      </c>
      <c r="E471" s="47" t="s">
        <v>160</v>
      </c>
      <c r="F471" s="54" t="s">
        <v>139</v>
      </c>
      <c r="G471" s="47" t="s">
        <v>161</v>
      </c>
      <c r="H471" s="47" t="s">
        <v>894</v>
      </c>
      <c r="I471" s="55" t="n">
        <v>50</v>
      </c>
      <c r="J471" s="56" t="n">
        <v>7</v>
      </c>
      <c r="K471" s="54" t="s">
        <v>153</v>
      </c>
      <c r="N471" s="47" t="s">
        <v>143</v>
      </c>
      <c r="O471" s="47" t="s">
        <v>854</v>
      </c>
      <c r="P471" s="47"/>
      <c r="Q471" s="48" t="n">
        <f aca="false">IF($J471="","",IFERROR(IF($J471&lt;=1,INDEX(VN_국채일별!$B$4:$B$1436,MATCH($B471,VN_국채일별!$A$4:$A$1436,1)),IF($J471&lt;=2,INDEX(VN_국채일별!$B$4:$B$1436,MATCH($B471,VN_국채일별!$A$4:$A$1436,1))+(INDEX(VN_국채일별!$C$4:$C$1436,MATCH($B471,VN_국채일별!$A$4:$A$1436,1))-INDEX(VN_국채일별!$B$4:$B$1436,MATCH($B471,VN_국채일별!$A$4:$A$1436,1)))*($J471-1),IF($J471&lt;=3,INDEX(VN_국채일별!$C$4:$C$1436,MATCH($B471,VN_국채일별!$A$4:$A$1436,1))+(INDEX(VN_국채일별!$D$4:$D$1436,MATCH($B471,VN_국채일별!$A$4:$A$1436,1))-INDEX(VN_국채일별!$C$4:$C$1436,MATCH($B471,VN_국채일별!$A$4:$A$1436,1)))*($J471-2),IF($J471&lt;=5,INDEX(VN_국채일별!$D$4:$D$1436,MATCH($B471,VN_국채일별!$A$4:$A$1436,1))+(INDEX(VN_국채일별!$E$4:$E$1436,MATCH($B471,VN_국채일별!$A$4:$A$1436,1))-INDEX(VN_국채일별!$D$4:$D$1436,MATCH($B471,VN_국채일별!$A$4:$A$1436,1)))*($J471-3)/2,IF($J471&lt;=7,INDEX(VN_국채일별!$E$4:$E$1436,MATCH($B471,VN_국채일별!$A$4:$A$1436,1))+(INDEX(VN_국채일별!$F$4:$F$1436,MATCH($B471,VN_국채일별!$A$4:$A$1436,1))-INDEX(VN_국채일별!$E$4:$E$1436,MATCH($B471,VN_국채일별!$A$4:$A$1436,1)))*($J471-5)/2,IF($J471&lt;=10,INDEX(VN_국채일별!$F$4:$F$1436,MATCH($B471,VN_국채일별!$A$4:$A$1436,1))+(INDEX(VN_국채일별!$G$4:$G$1436,MATCH($B471,VN_국채일별!$A$4:$A$1436,1))-INDEX(VN_국채일별!$F$4:$F$1436,MATCH($B471,VN_국채일별!$A$4:$A$1436,1)))*($J471-7)/3,INDEX(VN_국채일별!$G$4:$G$1436,MATCH($B471,VN_국채일별!$A$4:$A$1436,1)))))))),""))</f>
        <v>0.02994</v>
      </c>
      <c r="R471" s="58" t="str">
        <f aca="false">IF(OR(L471="",Q471=""),"",(L471-Q471)*10000)</f>
        <v/>
      </c>
      <c r="S471" s="30" t="n">
        <f aca="false">IF(AND(K471="고정",N471="N",J471&gt;=2,J471&lt;=4,I471&lt;&gt;""),1,0)</f>
        <v>0</v>
      </c>
      <c r="T471" s="59" t="n">
        <f aca="false">IF(S471=1,I471*L471,0)</f>
        <v>0</v>
      </c>
      <c r="U471" s="60" t="n">
        <f aca="false">IF(AND(S471=1,ISNUMBER(R471)),I471*R471,0)</f>
        <v>0</v>
      </c>
      <c r="V471" s="30" t="n">
        <f aca="false">IF(AND(F471="Big4(국영)",K471="고정",N471="N",I471&lt;&gt;""),1,0)</f>
        <v>0</v>
      </c>
      <c r="W471" s="59" t="n">
        <f aca="false">IF(V471=1,I471*L471,0)</f>
        <v>0</v>
      </c>
      <c r="X471" s="60" t="n">
        <f aca="false">IF(AND(V471=1,ISNUMBER(R471)),I471*R471,0)</f>
        <v>0</v>
      </c>
      <c r="Y471" s="61" t="n">
        <f aca="false">IF(AND(S471=1,ISNUMBER(R471)),I471,0)</f>
        <v>0</v>
      </c>
      <c r="Z471" s="61" t="n">
        <f aca="false">IF(AND(V471=1,ISNUMBER(R471)),I471,0)</f>
        <v>0</v>
      </c>
    </row>
    <row r="472" customFormat="false" ht="15" hidden="false" customHeight="false" outlineLevel="0" collapsed="false">
      <c r="A472" s="47" t="s">
        <v>883</v>
      </c>
      <c r="B472" s="52" t="n">
        <v>45817</v>
      </c>
      <c r="C472" s="53" t="n">
        <f aca="false">DATE(YEAR(B472),MONTH(B472),1)</f>
        <v>45809</v>
      </c>
      <c r="D472" s="5" t="str">
        <f aca="false">YEAR(B472)&amp;"Q"&amp;ROUNDUP(MONTH(B472)/3,0)</f>
        <v>2025Q2</v>
      </c>
      <c r="E472" s="47" t="s">
        <v>254</v>
      </c>
      <c r="F472" s="54" t="s">
        <v>139</v>
      </c>
      <c r="G472" s="47" t="s">
        <v>339</v>
      </c>
      <c r="H472" s="47" t="s">
        <v>895</v>
      </c>
      <c r="I472" s="55" t="n">
        <v>250</v>
      </c>
      <c r="J472" s="56" t="n">
        <v>2</v>
      </c>
      <c r="K472" s="54" t="s">
        <v>142</v>
      </c>
      <c r="L472" s="57" t="n">
        <v>0.053</v>
      </c>
      <c r="N472" s="47" t="s">
        <v>148</v>
      </c>
      <c r="O472" s="47" t="s">
        <v>582</v>
      </c>
      <c r="P472" s="47"/>
      <c r="Q472" s="48" t="n">
        <f aca="false">IF($J472="","",IFERROR(IF($J472&lt;=1,INDEX(VN_국채일별!$B$4:$B$1436,MATCH($B472,VN_국채일별!$A$4:$A$1436,1)),IF($J472&lt;=2,INDEX(VN_국채일별!$B$4:$B$1436,MATCH($B472,VN_국채일별!$A$4:$A$1436,1))+(INDEX(VN_국채일별!$C$4:$C$1436,MATCH($B472,VN_국채일별!$A$4:$A$1436,1))-INDEX(VN_국채일별!$B$4:$B$1436,MATCH($B472,VN_국채일별!$A$4:$A$1436,1)))*($J472-1),IF($J472&lt;=3,INDEX(VN_국채일별!$C$4:$C$1436,MATCH($B472,VN_국채일별!$A$4:$A$1436,1))+(INDEX(VN_국채일별!$D$4:$D$1436,MATCH($B472,VN_국채일별!$A$4:$A$1436,1))-INDEX(VN_국채일별!$C$4:$C$1436,MATCH($B472,VN_국채일별!$A$4:$A$1436,1)))*($J472-2),IF($J472&lt;=5,INDEX(VN_국채일별!$D$4:$D$1436,MATCH($B472,VN_국채일별!$A$4:$A$1436,1))+(INDEX(VN_국채일별!$E$4:$E$1436,MATCH($B472,VN_국채일별!$A$4:$A$1436,1))-INDEX(VN_국채일별!$D$4:$D$1436,MATCH($B472,VN_국채일별!$A$4:$A$1436,1)))*($J472-3)/2,IF($J472&lt;=7,INDEX(VN_국채일별!$E$4:$E$1436,MATCH($B472,VN_국채일별!$A$4:$A$1436,1))+(INDEX(VN_국채일별!$F$4:$F$1436,MATCH($B472,VN_국채일별!$A$4:$A$1436,1))-INDEX(VN_국채일별!$E$4:$E$1436,MATCH($B472,VN_국채일별!$A$4:$A$1436,1)))*($J472-5)/2,IF($J472&lt;=10,INDEX(VN_국채일별!$F$4:$F$1436,MATCH($B472,VN_국채일별!$A$4:$A$1436,1))+(INDEX(VN_국채일별!$G$4:$G$1436,MATCH($B472,VN_국채일별!$A$4:$A$1436,1))-INDEX(VN_국채일별!$F$4:$F$1436,MATCH($B472,VN_국채일별!$A$4:$A$1436,1)))*($J472-7)/3,INDEX(VN_국채일별!$G$4:$G$1436,MATCH($B472,VN_국채일별!$A$4:$A$1436,1)))))))),""))</f>
        <v>0.02322</v>
      </c>
      <c r="R472" s="58" t="n">
        <f aca="false">IF(OR(L472="",Q472=""),"",(L472-Q472)*10000)</f>
        <v>297.8</v>
      </c>
      <c r="S472" s="30" t="n">
        <f aca="false">IF(AND(K472="고정",N472="N",J472&gt;=2,J472&lt;=4,I472&lt;&gt;""),1,0)</f>
        <v>1</v>
      </c>
      <c r="T472" s="59" t="n">
        <f aca="false">IF(S472=1,I472*L472,0)</f>
        <v>13.25</v>
      </c>
      <c r="U472" s="60" t="n">
        <f aca="false">IF(AND(S472=1,ISNUMBER(R472)),I472*R472,0)</f>
        <v>74450</v>
      </c>
      <c r="V472" s="30" t="n">
        <f aca="false">IF(AND(F472="Big4(국영)",K472="고정",N472="N",I472&lt;&gt;""),1,0)</f>
        <v>0</v>
      </c>
      <c r="W472" s="59" t="n">
        <f aca="false">IF(V472=1,I472*L472,0)</f>
        <v>0</v>
      </c>
      <c r="X472" s="60" t="n">
        <f aca="false">IF(AND(V472=1,ISNUMBER(R472)),I472*R472,0)</f>
        <v>0</v>
      </c>
      <c r="Y472" s="61" t="n">
        <f aca="false">IF(AND(S472=1,ISNUMBER(R472)),I472,0)</f>
        <v>250</v>
      </c>
      <c r="Z472" s="61" t="n">
        <f aca="false">IF(AND(V472=1,ISNUMBER(R472)),I472,0)</f>
        <v>0</v>
      </c>
    </row>
    <row r="473" customFormat="false" ht="15" hidden="false" customHeight="false" outlineLevel="0" collapsed="false">
      <c r="A473" s="47" t="s">
        <v>883</v>
      </c>
      <c r="B473" s="52" t="n">
        <v>45818</v>
      </c>
      <c r="C473" s="53" t="n">
        <f aca="false">DATE(YEAR(B473),MONTH(B473),1)</f>
        <v>45809</v>
      </c>
      <c r="D473" s="5" t="str">
        <f aca="false">YEAR(B473)&amp;"Q"&amp;ROUNDUP(MONTH(B473)/3,0)</f>
        <v>2025Q2</v>
      </c>
      <c r="E473" s="62" t="s">
        <v>155</v>
      </c>
      <c r="F473" s="62" t="s">
        <v>156</v>
      </c>
      <c r="G473" s="47" t="s">
        <v>157</v>
      </c>
      <c r="H473" s="47" t="s">
        <v>896</v>
      </c>
      <c r="I473" s="55" t="n">
        <v>200</v>
      </c>
      <c r="J473" s="56" t="n">
        <v>8</v>
      </c>
      <c r="K473" s="54" t="s">
        <v>153</v>
      </c>
      <c r="N473" s="47" t="s">
        <v>143</v>
      </c>
      <c r="O473" s="47" t="s">
        <v>870</v>
      </c>
      <c r="P473" s="47"/>
      <c r="Q473" s="48" t="n">
        <f aca="false">IF($J473="","",IFERROR(IF($J473&lt;=1,INDEX(VN_국채일별!$B$4:$B$1436,MATCH($B473,VN_국채일별!$A$4:$A$1436,1)),IF($J473&lt;=2,INDEX(VN_국채일별!$B$4:$B$1436,MATCH($B473,VN_국채일별!$A$4:$A$1436,1))+(INDEX(VN_국채일별!$C$4:$C$1436,MATCH($B473,VN_국채일별!$A$4:$A$1436,1))-INDEX(VN_국채일별!$B$4:$B$1436,MATCH($B473,VN_국채일별!$A$4:$A$1436,1)))*($J473-1),IF($J473&lt;=3,INDEX(VN_국채일별!$C$4:$C$1436,MATCH($B473,VN_국채일별!$A$4:$A$1436,1))+(INDEX(VN_국채일별!$D$4:$D$1436,MATCH($B473,VN_국채일별!$A$4:$A$1436,1))-INDEX(VN_국채일별!$C$4:$C$1436,MATCH($B473,VN_국채일별!$A$4:$A$1436,1)))*($J473-2),IF($J473&lt;=5,INDEX(VN_국채일별!$D$4:$D$1436,MATCH($B473,VN_국채일별!$A$4:$A$1436,1))+(INDEX(VN_국채일별!$E$4:$E$1436,MATCH($B473,VN_국채일별!$A$4:$A$1436,1))-INDEX(VN_국채일별!$D$4:$D$1436,MATCH($B473,VN_국채일별!$A$4:$A$1436,1)))*($J473-3)/2,IF($J473&lt;=7,INDEX(VN_국채일별!$E$4:$E$1436,MATCH($B473,VN_국채일별!$A$4:$A$1436,1))+(INDEX(VN_국채일별!$F$4:$F$1436,MATCH($B473,VN_국채일별!$A$4:$A$1436,1))-INDEX(VN_국채일별!$E$4:$E$1436,MATCH($B473,VN_국채일별!$A$4:$A$1436,1)))*($J473-5)/2,IF($J473&lt;=10,INDEX(VN_국채일별!$F$4:$F$1436,MATCH($B473,VN_국채일별!$A$4:$A$1436,1))+(INDEX(VN_국채일별!$G$4:$G$1436,MATCH($B473,VN_국채일별!$A$4:$A$1436,1))-INDEX(VN_국채일별!$F$4:$F$1436,MATCH($B473,VN_국채일별!$A$4:$A$1436,1)))*($J473-7)/3,INDEX(VN_국채일별!$G$4:$G$1436,MATCH($B473,VN_국채일별!$A$4:$A$1436,1)))))))),""))</f>
        <v>0.03099</v>
      </c>
      <c r="R473" s="58" t="str">
        <f aca="false">IF(OR(L473="",Q473=""),"",(L473-Q473)*10000)</f>
        <v/>
      </c>
      <c r="S473" s="30" t="n">
        <f aca="false">IF(AND(K473="고정",N473="N",J473&gt;=2,J473&lt;=4,I473&lt;&gt;""),1,0)</f>
        <v>0</v>
      </c>
      <c r="T473" s="59" t="n">
        <f aca="false">IF(S473=1,I473*L473,0)</f>
        <v>0</v>
      </c>
      <c r="U473" s="60" t="n">
        <f aca="false">IF(AND(S473=1,ISNUMBER(R473)),I473*R473,0)</f>
        <v>0</v>
      </c>
      <c r="V473" s="30" t="n">
        <f aca="false">IF(AND(F473="Big4(국영)",K473="고정",N473="N",I473&lt;&gt;""),1,0)</f>
        <v>0</v>
      </c>
      <c r="W473" s="59" t="n">
        <f aca="false">IF(V473=1,I473*L473,0)</f>
        <v>0</v>
      </c>
      <c r="X473" s="60" t="n">
        <f aca="false">IF(AND(V473=1,ISNUMBER(R473)),I473*R473,0)</f>
        <v>0</v>
      </c>
      <c r="Y473" s="61" t="n">
        <f aca="false">IF(AND(S473=1,ISNUMBER(R473)),I473,0)</f>
        <v>0</v>
      </c>
      <c r="Z473" s="61" t="n">
        <f aca="false">IF(AND(V473=1,ISNUMBER(R473)),I473,0)</f>
        <v>0</v>
      </c>
    </row>
    <row r="474" customFormat="false" ht="15" hidden="false" customHeight="false" outlineLevel="0" collapsed="false">
      <c r="A474" s="47" t="s">
        <v>883</v>
      </c>
      <c r="B474" s="52" t="n">
        <v>45818</v>
      </c>
      <c r="C474" s="53" t="n">
        <f aca="false">DATE(YEAR(B474),MONTH(B474),1)</f>
        <v>45809</v>
      </c>
      <c r="D474" s="5" t="str">
        <f aca="false">YEAR(B474)&amp;"Q"&amp;ROUNDUP(MONTH(B474)/3,0)</f>
        <v>2025Q2</v>
      </c>
      <c r="E474" s="47" t="s">
        <v>307</v>
      </c>
      <c r="F474" s="54" t="s">
        <v>139</v>
      </c>
      <c r="G474" s="47" t="s">
        <v>308</v>
      </c>
      <c r="H474" s="47" t="s">
        <v>897</v>
      </c>
      <c r="I474" s="55" t="n">
        <v>2000</v>
      </c>
      <c r="J474" s="56" t="n">
        <v>2</v>
      </c>
      <c r="K474" s="54" t="s">
        <v>142</v>
      </c>
      <c r="L474" s="57" t="n">
        <v>0.051</v>
      </c>
      <c r="N474" s="47" t="s">
        <v>148</v>
      </c>
      <c r="O474" s="47" t="s">
        <v>510</v>
      </c>
      <c r="P474" s="47"/>
      <c r="Q474" s="48" t="n">
        <f aca="false">IF($J474="","",IFERROR(IF($J474&lt;=1,INDEX(VN_국채일별!$B$4:$B$1436,MATCH($B474,VN_국채일별!$A$4:$A$1436,1)),IF($J474&lt;=2,INDEX(VN_국채일별!$B$4:$B$1436,MATCH($B474,VN_국채일별!$A$4:$A$1436,1))+(INDEX(VN_국채일별!$C$4:$C$1436,MATCH($B474,VN_국채일별!$A$4:$A$1436,1))-INDEX(VN_국채일별!$B$4:$B$1436,MATCH($B474,VN_국채일별!$A$4:$A$1436,1)))*($J474-1),IF($J474&lt;=3,INDEX(VN_국채일별!$C$4:$C$1436,MATCH($B474,VN_국채일별!$A$4:$A$1436,1))+(INDEX(VN_국채일별!$D$4:$D$1436,MATCH($B474,VN_국채일별!$A$4:$A$1436,1))-INDEX(VN_국채일별!$C$4:$C$1436,MATCH($B474,VN_국채일별!$A$4:$A$1436,1)))*($J474-2),IF($J474&lt;=5,INDEX(VN_국채일별!$D$4:$D$1436,MATCH($B474,VN_국채일별!$A$4:$A$1436,1))+(INDEX(VN_국채일별!$E$4:$E$1436,MATCH($B474,VN_국채일별!$A$4:$A$1436,1))-INDEX(VN_국채일별!$D$4:$D$1436,MATCH($B474,VN_국채일별!$A$4:$A$1436,1)))*($J474-3)/2,IF($J474&lt;=7,INDEX(VN_국채일별!$E$4:$E$1436,MATCH($B474,VN_국채일별!$A$4:$A$1436,1))+(INDEX(VN_국채일별!$F$4:$F$1436,MATCH($B474,VN_국채일별!$A$4:$A$1436,1))-INDEX(VN_국채일별!$E$4:$E$1436,MATCH($B474,VN_국채일별!$A$4:$A$1436,1)))*($J474-5)/2,IF($J474&lt;=10,INDEX(VN_국채일별!$F$4:$F$1436,MATCH($B474,VN_국채일별!$A$4:$A$1436,1))+(INDEX(VN_국채일별!$G$4:$G$1436,MATCH($B474,VN_국채일별!$A$4:$A$1436,1))-INDEX(VN_국채일별!$F$4:$F$1436,MATCH($B474,VN_국채일별!$A$4:$A$1436,1)))*($J474-7)/3,INDEX(VN_국채일별!$G$4:$G$1436,MATCH($B474,VN_국채일별!$A$4:$A$1436,1)))))))),""))</f>
        <v>0.02322</v>
      </c>
      <c r="R474" s="58" t="n">
        <f aca="false">IF(OR(L474="",Q474=""),"",(L474-Q474)*10000)</f>
        <v>277.8</v>
      </c>
      <c r="S474" s="30" t="n">
        <f aca="false">IF(AND(K474="고정",N474="N",J474&gt;=2,J474&lt;=4,I474&lt;&gt;""),1,0)</f>
        <v>1</v>
      </c>
      <c r="T474" s="59" t="n">
        <f aca="false">IF(S474=1,I474*L474,0)</f>
        <v>102</v>
      </c>
      <c r="U474" s="60" t="n">
        <f aca="false">IF(AND(S474=1,ISNUMBER(R474)),I474*R474,0)</f>
        <v>555600</v>
      </c>
      <c r="V474" s="30" t="n">
        <f aca="false">IF(AND(F474="Big4(국영)",K474="고정",N474="N",I474&lt;&gt;""),1,0)</f>
        <v>0</v>
      </c>
      <c r="W474" s="59" t="n">
        <f aca="false">IF(V474=1,I474*L474,0)</f>
        <v>0</v>
      </c>
      <c r="X474" s="60" t="n">
        <f aca="false">IF(AND(V474=1,ISNUMBER(R474)),I474*R474,0)</f>
        <v>0</v>
      </c>
      <c r="Y474" s="61" t="n">
        <f aca="false">IF(AND(S474=1,ISNUMBER(R474)),I474,0)</f>
        <v>2000</v>
      </c>
      <c r="Z474" s="61" t="n">
        <f aca="false">IF(AND(V474=1,ISNUMBER(R474)),I474,0)</f>
        <v>0</v>
      </c>
    </row>
    <row r="475" customFormat="false" ht="15" hidden="false" customHeight="false" outlineLevel="0" collapsed="false">
      <c r="A475" s="47" t="s">
        <v>883</v>
      </c>
      <c r="B475" s="52" t="n">
        <v>45818</v>
      </c>
      <c r="C475" s="53" t="n">
        <f aca="false">DATE(YEAR(B475),MONTH(B475),1)</f>
        <v>45809</v>
      </c>
      <c r="D475" s="5" t="str">
        <f aca="false">YEAR(B475)&amp;"Q"&amp;ROUNDUP(MONTH(B475)/3,0)</f>
        <v>2025Q2</v>
      </c>
      <c r="E475" s="62" t="s">
        <v>155</v>
      </c>
      <c r="F475" s="62" t="s">
        <v>156</v>
      </c>
      <c r="G475" s="47" t="s">
        <v>157</v>
      </c>
      <c r="H475" s="47" t="s">
        <v>898</v>
      </c>
      <c r="I475" s="55" t="n">
        <v>250</v>
      </c>
      <c r="J475" s="56" t="n">
        <v>7</v>
      </c>
      <c r="K475" s="54" t="s">
        <v>153</v>
      </c>
      <c r="N475" s="47" t="s">
        <v>143</v>
      </c>
      <c r="O475" s="47" t="s">
        <v>872</v>
      </c>
      <c r="P475" s="47"/>
      <c r="Q475" s="48" t="n">
        <f aca="false">IF($J475="","",IFERROR(IF($J475&lt;=1,INDEX(VN_국채일별!$B$4:$B$1436,MATCH($B475,VN_국채일별!$A$4:$A$1436,1)),IF($J475&lt;=2,INDEX(VN_국채일별!$B$4:$B$1436,MATCH($B475,VN_국채일별!$A$4:$A$1436,1))+(INDEX(VN_국채일별!$C$4:$C$1436,MATCH($B475,VN_국채일별!$A$4:$A$1436,1))-INDEX(VN_국채일별!$B$4:$B$1436,MATCH($B475,VN_국채일별!$A$4:$A$1436,1)))*($J475-1),IF($J475&lt;=3,INDEX(VN_국채일별!$C$4:$C$1436,MATCH($B475,VN_국채일별!$A$4:$A$1436,1))+(INDEX(VN_국채일별!$D$4:$D$1436,MATCH($B475,VN_국채일별!$A$4:$A$1436,1))-INDEX(VN_국채일별!$C$4:$C$1436,MATCH($B475,VN_국채일별!$A$4:$A$1436,1)))*($J475-2),IF($J475&lt;=5,INDEX(VN_국채일별!$D$4:$D$1436,MATCH($B475,VN_국채일별!$A$4:$A$1436,1))+(INDEX(VN_국채일별!$E$4:$E$1436,MATCH($B475,VN_국채일별!$A$4:$A$1436,1))-INDEX(VN_국채일별!$D$4:$D$1436,MATCH($B475,VN_국채일별!$A$4:$A$1436,1)))*($J475-3)/2,IF($J475&lt;=7,INDEX(VN_국채일별!$E$4:$E$1436,MATCH($B475,VN_국채일별!$A$4:$A$1436,1))+(INDEX(VN_국채일별!$F$4:$F$1436,MATCH($B475,VN_국채일별!$A$4:$A$1436,1))-INDEX(VN_국채일별!$E$4:$E$1436,MATCH($B475,VN_국채일별!$A$4:$A$1436,1)))*($J475-5)/2,IF($J475&lt;=10,INDEX(VN_국채일별!$F$4:$F$1436,MATCH($B475,VN_국채일별!$A$4:$A$1436,1))+(INDEX(VN_국채일별!$G$4:$G$1436,MATCH($B475,VN_국채일별!$A$4:$A$1436,1))-INDEX(VN_국채일별!$F$4:$F$1436,MATCH($B475,VN_국채일별!$A$4:$A$1436,1)))*($J475-7)/3,INDEX(VN_국채일별!$G$4:$G$1436,MATCH($B475,VN_국채일별!$A$4:$A$1436,1)))))))),""))</f>
        <v>0.03014</v>
      </c>
      <c r="R475" s="58" t="str">
        <f aca="false">IF(OR(L475="",Q475=""),"",(L475-Q475)*10000)</f>
        <v/>
      </c>
      <c r="S475" s="30" t="n">
        <f aca="false">IF(AND(K475="고정",N475="N",J475&gt;=2,J475&lt;=4,I475&lt;&gt;""),1,0)</f>
        <v>0</v>
      </c>
      <c r="T475" s="59" t="n">
        <f aca="false">IF(S475=1,I475*L475,0)</f>
        <v>0</v>
      </c>
      <c r="U475" s="60" t="n">
        <f aca="false">IF(AND(S475=1,ISNUMBER(R475)),I475*R475,0)</f>
        <v>0</v>
      </c>
      <c r="V475" s="30" t="n">
        <f aca="false">IF(AND(F475="Big4(국영)",K475="고정",N475="N",I475&lt;&gt;""),1,0)</f>
        <v>0</v>
      </c>
      <c r="W475" s="59" t="n">
        <f aca="false">IF(V475=1,I475*L475,0)</f>
        <v>0</v>
      </c>
      <c r="X475" s="60" t="n">
        <f aca="false">IF(AND(V475=1,ISNUMBER(R475)),I475*R475,0)</f>
        <v>0</v>
      </c>
      <c r="Y475" s="61" t="n">
        <f aca="false">IF(AND(S475=1,ISNUMBER(R475)),I475,0)</f>
        <v>0</v>
      </c>
      <c r="Z475" s="61" t="n">
        <f aca="false">IF(AND(V475=1,ISNUMBER(R475)),I475,0)</f>
        <v>0</v>
      </c>
    </row>
    <row r="476" customFormat="false" ht="15" hidden="false" customHeight="false" outlineLevel="0" collapsed="false">
      <c r="A476" s="47" t="s">
        <v>883</v>
      </c>
      <c r="B476" s="52" t="n">
        <v>45818</v>
      </c>
      <c r="C476" s="53" t="n">
        <f aca="false">DATE(YEAR(B476),MONTH(B476),1)</f>
        <v>45809</v>
      </c>
      <c r="D476" s="5" t="str">
        <f aca="false">YEAR(B476)&amp;"Q"&amp;ROUNDUP(MONTH(B476)/3,0)</f>
        <v>2025Q2</v>
      </c>
      <c r="E476" s="62" t="s">
        <v>155</v>
      </c>
      <c r="F476" s="62" t="s">
        <v>156</v>
      </c>
      <c r="G476" s="47" t="s">
        <v>157</v>
      </c>
      <c r="H476" s="47" t="s">
        <v>899</v>
      </c>
      <c r="I476" s="55" t="n">
        <v>85</v>
      </c>
      <c r="J476" s="56" t="n">
        <v>8</v>
      </c>
      <c r="K476" s="54" t="s">
        <v>142</v>
      </c>
      <c r="L476" s="57" t="n">
        <v>0.059</v>
      </c>
      <c r="N476" s="47" t="s">
        <v>143</v>
      </c>
      <c r="O476" s="47" t="s">
        <v>857</v>
      </c>
      <c r="P476" s="47"/>
      <c r="Q476" s="48" t="n">
        <f aca="false">IF($J476="","",IFERROR(IF($J476&lt;=1,INDEX(VN_국채일별!$B$4:$B$1436,MATCH($B476,VN_국채일별!$A$4:$A$1436,1)),IF($J476&lt;=2,INDEX(VN_국채일별!$B$4:$B$1436,MATCH($B476,VN_국채일별!$A$4:$A$1436,1))+(INDEX(VN_국채일별!$C$4:$C$1436,MATCH($B476,VN_국채일별!$A$4:$A$1436,1))-INDEX(VN_국채일별!$B$4:$B$1436,MATCH($B476,VN_국채일별!$A$4:$A$1436,1)))*($J476-1),IF($J476&lt;=3,INDEX(VN_국채일별!$C$4:$C$1436,MATCH($B476,VN_국채일별!$A$4:$A$1436,1))+(INDEX(VN_국채일별!$D$4:$D$1436,MATCH($B476,VN_국채일별!$A$4:$A$1436,1))-INDEX(VN_국채일별!$C$4:$C$1436,MATCH($B476,VN_국채일별!$A$4:$A$1436,1)))*($J476-2),IF($J476&lt;=5,INDEX(VN_국채일별!$D$4:$D$1436,MATCH($B476,VN_국채일별!$A$4:$A$1436,1))+(INDEX(VN_국채일별!$E$4:$E$1436,MATCH($B476,VN_국채일별!$A$4:$A$1436,1))-INDEX(VN_국채일별!$D$4:$D$1436,MATCH($B476,VN_국채일별!$A$4:$A$1436,1)))*($J476-3)/2,IF($J476&lt;=7,INDEX(VN_국채일별!$E$4:$E$1436,MATCH($B476,VN_국채일별!$A$4:$A$1436,1))+(INDEX(VN_국채일별!$F$4:$F$1436,MATCH($B476,VN_국채일별!$A$4:$A$1436,1))-INDEX(VN_국채일별!$E$4:$E$1436,MATCH($B476,VN_국채일별!$A$4:$A$1436,1)))*($J476-5)/2,IF($J476&lt;=10,INDEX(VN_국채일별!$F$4:$F$1436,MATCH($B476,VN_국채일별!$A$4:$A$1436,1))+(INDEX(VN_국채일별!$G$4:$G$1436,MATCH($B476,VN_국채일별!$A$4:$A$1436,1))-INDEX(VN_국채일별!$F$4:$F$1436,MATCH($B476,VN_국채일별!$A$4:$A$1436,1)))*($J476-7)/3,INDEX(VN_국채일별!$G$4:$G$1436,MATCH($B476,VN_국채일별!$A$4:$A$1436,1)))))))),""))</f>
        <v>0.03099</v>
      </c>
      <c r="R476" s="58" t="n">
        <f aca="false">IF(OR(L476="",Q476=""),"",(L476-Q476)*10000)</f>
        <v>280.1</v>
      </c>
      <c r="S476" s="30" t="n">
        <f aca="false">IF(AND(K476="고정",N476="N",J476&gt;=2,J476&lt;=4,I476&lt;&gt;""),1,0)</f>
        <v>0</v>
      </c>
      <c r="T476" s="59" t="n">
        <f aca="false">IF(S476=1,I476*L476,0)</f>
        <v>0</v>
      </c>
      <c r="U476" s="60" t="n">
        <f aca="false">IF(AND(S476=1,ISNUMBER(R476)),I476*R476,0)</f>
        <v>0</v>
      </c>
      <c r="V476" s="30" t="n">
        <f aca="false">IF(AND(F476="Big4(국영)",K476="고정",N476="N",I476&lt;&gt;""),1,0)</f>
        <v>0</v>
      </c>
      <c r="W476" s="59" t="n">
        <f aca="false">IF(V476=1,I476*L476,0)</f>
        <v>0</v>
      </c>
      <c r="X476" s="60" t="n">
        <f aca="false">IF(AND(V476=1,ISNUMBER(R476)),I476*R476,0)</f>
        <v>0</v>
      </c>
      <c r="Y476" s="61" t="n">
        <f aca="false">IF(AND(S476=1,ISNUMBER(R476)),I476,0)</f>
        <v>0</v>
      </c>
      <c r="Z476" s="61" t="n">
        <f aca="false">IF(AND(V476=1,ISNUMBER(R476)),I476,0)</f>
        <v>0</v>
      </c>
    </row>
    <row r="477" customFormat="false" ht="15" hidden="false" customHeight="false" outlineLevel="0" collapsed="false">
      <c r="A477" s="47" t="s">
        <v>883</v>
      </c>
      <c r="B477" s="52" t="n">
        <v>45818</v>
      </c>
      <c r="C477" s="53" t="n">
        <f aca="false">DATE(YEAR(B477),MONTH(B477),1)</f>
        <v>45809</v>
      </c>
      <c r="D477" s="5" t="str">
        <f aca="false">YEAR(B477)&amp;"Q"&amp;ROUNDUP(MONTH(B477)/3,0)</f>
        <v>2025Q2</v>
      </c>
      <c r="E477" s="47" t="s">
        <v>365</v>
      </c>
      <c r="F477" s="54" t="s">
        <v>139</v>
      </c>
      <c r="G477" s="47" t="s">
        <v>366</v>
      </c>
      <c r="H477" s="47" t="s">
        <v>900</v>
      </c>
      <c r="I477" s="55" t="n">
        <v>123.6</v>
      </c>
      <c r="J477" s="56" t="n">
        <v>10</v>
      </c>
      <c r="K477" s="54" t="s">
        <v>153</v>
      </c>
      <c r="N477" s="47" t="s">
        <v>143</v>
      </c>
      <c r="O477" s="47" t="s">
        <v>890</v>
      </c>
      <c r="P477" s="47"/>
      <c r="Q477" s="48" t="n">
        <f aca="false">IF($J477="","",IFERROR(IF($J477&lt;=1,INDEX(VN_국채일별!$B$4:$B$1436,MATCH($B477,VN_국채일별!$A$4:$A$1436,1)),IF($J477&lt;=2,INDEX(VN_국채일별!$B$4:$B$1436,MATCH($B477,VN_국채일별!$A$4:$A$1436,1))+(INDEX(VN_국채일별!$C$4:$C$1436,MATCH($B477,VN_국채일별!$A$4:$A$1436,1))-INDEX(VN_국채일별!$B$4:$B$1436,MATCH($B477,VN_국채일별!$A$4:$A$1436,1)))*($J477-1),IF($J477&lt;=3,INDEX(VN_국채일별!$C$4:$C$1436,MATCH($B477,VN_국채일별!$A$4:$A$1436,1))+(INDEX(VN_국채일별!$D$4:$D$1436,MATCH($B477,VN_국채일별!$A$4:$A$1436,1))-INDEX(VN_국채일별!$C$4:$C$1436,MATCH($B477,VN_국채일별!$A$4:$A$1436,1)))*($J477-2),IF($J477&lt;=5,INDEX(VN_국채일별!$D$4:$D$1436,MATCH($B477,VN_국채일별!$A$4:$A$1436,1))+(INDEX(VN_국채일별!$E$4:$E$1436,MATCH($B477,VN_국채일별!$A$4:$A$1436,1))-INDEX(VN_국채일별!$D$4:$D$1436,MATCH($B477,VN_국채일별!$A$4:$A$1436,1)))*($J477-3)/2,IF($J477&lt;=7,INDEX(VN_국채일별!$E$4:$E$1436,MATCH($B477,VN_국채일별!$A$4:$A$1436,1))+(INDEX(VN_국채일별!$F$4:$F$1436,MATCH($B477,VN_국채일별!$A$4:$A$1436,1))-INDEX(VN_국채일별!$E$4:$E$1436,MATCH($B477,VN_국채일별!$A$4:$A$1436,1)))*($J477-5)/2,IF($J477&lt;=10,INDEX(VN_국채일별!$F$4:$F$1436,MATCH($B477,VN_국채일별!$A$4:$A$1436,1))+(INDEX(VN_국채일별!$G$4:$G$1436,MATCH($B477,VN_국채일별!$A$4:$A$1436,1))-INDEX(VN_국채일별!$F$4:$F$1436,MATCH($B477,VN_국채일별!$A$4:$A$1436,1)))*($J477-7)/3,INDEX(VN_국채일별!$G$4:$G$1436,MATCH($B477,VN_국채일별!$A$4:$A$1436,1)))))))),""))</f>
        <v>0.03269</v>
      </c>
      <c r="R477" s="58" t="str">
        <f aca="false">IF(OR(L477="",Q477=""),"",(L477-Q477)*10000)</f>
        <v/>
      </c>
      <c r="S477" s="30" t="n">
        <f aca="false">IF(AND(K477="고정",N477="N",J477&gt;=2,J477&lt;=4,I477&lt;&gt;""),1,0)</f>
        <v>0</v>
      </c>
      <c r="T477" s="59" t="n">
        <f aca="false">IF(S477=1,I477*L477,0)</f>
        <v>0</v>
      </c>
      <c r="U477" s="60" t="n">
        <f aca="false">IF(AND(S477=1,ISNUMBER(R477)),I477*R477,0)</f>
        <v>0</v>
      </c>
      <c r="V477" s="30" t="n">
        <f aca="false">IF(AND(F477="Big4(국영)",K477="고정",N477="N",I477&lt;&gt;""),1,0)</f>
        <v>0</v>
      </c>
      <c r="W477" s="59" t="n">
        <f aca="false">IF(V477=1,I477*L477,0)</f>
        <v>0</v>
      </c>
      <c r="X477" s="60" t="n">
        <f aca="false">IF(AND(V477=1,ISNUMBER(R477)),I477*R477,0)</f>
        <v>0</v>
      </c>
      <c r="Y477" s="61" t="n">
        <f aca="false">IF(AND(S477=1,ISNUMBER(R477)),I477,0)</f>
        <v>0</v>
      </c>
      <c r="Z477" s="61" t="n">
        <f aca="false">IF(AND(V477=1,ISNUMBER(R477)),I477,0)</f>
        <v>0</v>
      </c>
    </row>
    <row r="478" customFormat="false" ht="15" hidden="false" customHeight="false" outlineLevel="0" collapsed="false">
      <c r="A478" s="47" t="s">
        <v>883</v>
      </c>
      <c r="B478" s="52" t="n">
        <v>45819</v>
      </c>
      <c r="C478" s="53" t="n">
        <f aca="false">DATE(YEAR(B478),MONTH(B478),1)</f>
        <v>45809</v>
      </c>
      <c r="D478" s="5" t="str">
        <f aca="false">YEAR(B478)&amp;"Q"&amp;ROUNDUP(MONTH(B478)/3,0)</f>
        <v>2025Q2</v>
      </c>
      <c r="E478" s="47" t="s">
        <v>145</v>
      </c>
      <c r="F478" s="54" t="s">
        <v>139</v>
      </c>
      <c r="G478" s="47" t="s">
        <v>146</v>
      </c>
      <c r="H478" s="47" t="s">
        <v>901</v>
      </c>
      <c r="I478" s="55" t="n">
        <v>1000</v>
      </c>
      <c r="J478" s="56" t="n">
        <v>3</v>
      </c>
      <c r="K478" s="54" t="s">
        <v>142</v>
      </c>
      <c r="L478" s="57" t="n">
        <v>0.052</v>
      </c>
      <c r="N478" s="47" t="s">
        <v>148</v>
      </c>
      <c r="O478" s="47" t="s">
        <v>538</v>
      </c>
      <c r="P478" s="47"/>
      <c r="Q478" s="48" t="n">
        <f aca="false">IF($J478="","",IFERROR(IF($J478&lt;=1,INDEX(VN_국채일별!$B$4:$B$1436,MATCH($B478,VN_국채일별!$A$4:$A$1436,1)),IF($J478&lt;=2,INDEX(VN_국채일별!$B$4:$B$1436,MATCH($B478,VN_국채일별!$A$4:$A$1436,1))+(INDEX(VN_국채일별!$C$4:$C$1436,MATCH($B478,VN_국채일별!$A$4:$A$1436,1))-INDEX(VN_국채일별!$B$4:$B$1436,MATCH($B478,VN_국채일별!$A$4:$A$1436,1)))*($J478-1),IF($J478&lt;=3,INDEX(VN_국채일별!$C$4:$C$1436,MATCH($B478,VN_국채일별!$A$4:$A$1436,1))+(INDEX(VN_국채일별!$D$4:$D$1436,MATCH($B478,VN_국채일별!$A$4:$A$1436,1))-INDEX(VN_국채일별!$C$4:$C$1436,MATCH($B478,VN_국채일별!$A$4:$A$1436,1)))*($J478-2),IF($J478&lt;=5,INDEX(VN_국채일별!$D$4:$D$1436,MATCH($B478,VN_국채일별!$A$4:$A$1436,1))+(INDEX(VN_국채일별!$E$4:$E$1436,MATCH($B478,VN_국채일별!$A$4:$A$1436,1))-INDEX(VN_국채일별!$D$4:$D$1436,MATCH($B478,VN_국채일별!$A$4:$A$1436,1)))*($J478-3)/2,IF($J478&lt;=7,INDEX(VN_국채일별!$E$4:$E$1436,MATCH($B478,VN_국채일별!$A$4:$A$1436,1))+(INDEX(VN_국채일별!$F$4:$F$1436,MATCH($B478,VN_국채일별!$A$4:$A$1436,1))-INDEX(VN_국채일별!$E$4:$E$1436,MATCH($B478,VN_국채일별!$A$4:$A$1436,1)))*($J478-5)/2,IF($J478&lt;=10,INDEX(VN_국채일별!$F$4:$F$1436,MATCH($B478,VN_국채일별!$A$4:$A$1436,1))+(INDEX(VN_국채일별!$G$4:$G$1436,MATCH($B478,VN_국채일별!$A$4:$A$1436,1))-INDEX(VN_국채일별!$F$4:$F$1436,MATCH($B478,VN_국채일별!$A$4:$A$1436,1)))*($J478-7)/3,INDEX(VN_국채일별!$G$4:$G$1436,MATCH($B478,VN_국채일별!$A$4:$A$1436,1)))))))),""))</f>
        <v>0.02381</v>
      </c>
      <c r="R478" s="58" t="n">
        <f aca="false">IF(OR(L478="",Q478=""),"",(L478-Q478)*10000)</f>
        <v>281.9</v>
      </c>
      <c r="S478" s="30" t="n">
        <f aca="false">IF(AND(K478="고정",N478="N",J478&gt;=2,J478&lt;=4,I478&lt;&gt;""),1,0)</f>
        <v>1</v>
      </c>
      <c r="T478" s="59" t="n">
        <f aca="false">IF(S478=1,I478*L478,0)</f>
        <v>52</v>
      </c>
      <c r="U478" s="60" t="n">
        <f aca="false">IF(AND(S478=1,ISNUMBER(R478)),I478*R478,0)</f>
        <v>281900</v>
      </c>
      <c r="V478" s="30" t="n">
        <f aca="false">IF(AND(F478="Big4(국영)",K478="고정",N478="N",I478&lt;&gt;""),1,0)</f>
        <v>0</v>
      </c>
      <c r="W478" s="59" t="n">
        <f aca="false">IF(V478=1,I478*L478,0)</f>
        <v>0</v>
      </c>
      <c r="X478" s="60" t="n">
        <f aca="false">IF(AND(V478=1,ISNUMBER(R478)),I478*R478,0)</f>
        <v>0</v>
      </c>
      <c r="Y478" s="61" t="n">
        <f aca="false">IF(AND(S478=1,ISNUMBER(R478)),I478,0)</f>
        <v>1000</v>
      </c>
      <c r="Z478" s="61" t="n">
        <f aca="false">IF(AND(V478=1,ISNUMBER(R478)),I478,0)</f>
        <v>0</v>
      </c>
    </row>
    <row r="479" customFormat="false" ht="15" hidden="false" customHeight="false" outlineLevel="0" collapsed="false">
      <c r="A479" s="47" t="s">
        <v>883</v>
      </c>
      <c r="B479" s="52" t="n">
        <v>45819</v>
      </c>
      <c r="C479" s="53" t="n">
        <f aca="false">DATE(YEAR(B479),MONTH(B479),1)</f>
        <v>45809</v>
      </c>
      <c r="D479" s="5" t="str">
        <f aca="false">YEAR(B479)&amp;"Q"&amp;ROUNDUP(MONTH(B479)/3,0)</f>
        <v>2025Q2</v>
      </c>
      <c r="E479" s="47" t="s">
        <v>307</v>
      </c>
      <c r="F479" s="54" t="s">
        <v>139</v>
      </c>
      <c r="G479" s="47" t="s">
        <v>308</v>
      </c>
      <c r="H479" s="47" t="s">
        <v>902</v>
      </c>
      <c r="I479" s="55" t="n">
        <v>2000</v>
      </c>
      <c r="J479" s="56" t="n">
        <v>2</v>
      </c>
      <c r="K479" s="54" t="s">
        <v>142</v>
      </c>
      <c r="L479" s="57" t="n">
        <v>0.051</v>
      </c>
      <c r="N479" s="47" t="s">
        <v>148</v>
      </c>
      <c r="O479" s="47" t="s">
        <v>510</v>
      </c>
      <c r="P479" s="47"/>
      <c r="Q479" s="48" t="n">
        <f aca="false">IF($J479="","",IFERROR(IF($J479&lt;=1,INDEX(VN_국채일별!$B$4:$B$1436,MATCH($B479,VN_국채일별!$A$4:$A$1436,1)),IF($J479&lt;=2,INDEX(VN_국채일별!$B$4:$B$1436,MATCH($B479,VN_국채일별!$A$4:$A$1436,1))+(INDEX(VN_국채일별!$C$4:$C$1436,MATCH($B479,VN_국채일별!$A$4:$A$1436,1))-INDEX(VN_국채일별!$B$4:$B$1436,MATCH($B479,VN_국채일별!$A$4:$A$1436,1)))*($J479-1),IF($J479&lt;=3,INDEX(VN_국채일별!$C$4:$C$1436,MATCH($B479,VN_국채일별!$A$4:$A$1436,1))+(INDEX(VN_국채일별!$D$4:$D$1436,MATCH($B479,VN_국채일별!$A$4:$A$1436,1))-INDEX(VN_국채일별!$C$4:$C$1436,MATCH($B479,VN_국채일별!$A$4:$A$1436,1)))*($J479-2),IF($J479&lt;=5,INDEX(VN_국채일별!$D$4:$D$1436,MATCH($B479,VN_국채일별!$A$4:$A$1436,1))+(INDEX(VN_국채일별!$E$4:$E$1436,MATCH($B479,VN_국채일별!$A$4:$A$1436,1))-INDEX(VN_국채일별!$D$4:$D$1436,MATCH($B479,VN_국채일별!$A$4:$A$1436,1)))*($J479-3)/2,IF($J479&lt;=7,INDEX(VN_국채일별!$E$4:$E$1436,MATCH($B479,VN_국채일별!$A$4:$A$1436,1))+(INDEX(VN_국채일별!$F$4:$F$1436,MATCH($B479,VN_국채일별!$A$4:$A$1436,1))-INDEX(VN_국채일별!$E$4:$E$1436,MATCH($B479,VN_국채일별!$A$4:$A$1436,1)))*($J479-5)/2,IF($J479&lt;=10,INDEX(VN_국채일별!$F$4:$F$1436,MATCH($B479,VN_국채일별!$A$4:$A$1436,1))+(INDEX(VN_국채일별!$G$4:$G$1436,MATCH($B479,VN_국채일별!$A$4:$A$1436,1))-INDEX(VN_국채일별!$F$4:$F$1436,MATCH($B479,VN_국채일별!$A$4:$A$1436,1)))*($J479-7)/3,INDEX(VN_국채일별!$G$4:$G$1436,MATCH($B479,VN_국채일별!$A$4:$A$1436,1)))))))),""))</f>
        <v>0.02322</v>
      </c>
      <c r="R479" s="58" t="n">
        <f aca="false">IF(OR(L479="",Q479=""),"",(L479-Q479)*10000)</f>
        <v>277.8</v>
      </c>
      <c r="S479" s="30" t="n">
        <f aca="false">IF(AND(K479="고정",N479="N",J479&gt;=2,J479&lt;=4,I479&lt;&gt;""),1,0)</f>
        <v>1</v>
      </c>
      <c r="T479" s="59" t="n">
        <f aca="false">IF(S479=1,I479*L479,0)</f>
        <v>102</v>
      </c>
      <c r="U479" s="60" t="n">
        <f aca="false">IF(AND(S479=1,ISNUMBER(R479)),I479*R479,0)</f>
        <v>555600</v>
      </c>
      <c r="V479" s="30" t="n">
        <f aca="false">IF(AND(F479="Big4(국영)",K479="고정",N479="N",I479&lt;&gt;""),1,0)</f>
        <v>0</v>
      </c>
      <c r="W479" s="59" t="n">
        <f aca="false">IF(V479=1,I479*L479,0)</f>
        <v>0</v>
      </c>
      <c r="X479" s="60" t="n">
        <f aca="false">IF(AND(V479=1,ISNUMBER(R479)),I479*R479,0)</f>
        <v>0</v>
      </c>
      <c r="Y479" s="61" t="n">
        <f aca="false">IF(AND(S479=1,ISNUMBER(R479)),I479,0)</f>
        <v>2000</v>
      </c>
      <c r="Z479" s="61" t="n">
        <f aca="false">IF(AND(V479=1,ISNUMBER(R479)),I479,0)</f>
        <v>0</v>
      </c>
    </row>
    <row r="480" customFormat="false" ht="15" hidden="false" customHeight="false" outlineLevel="0" collapsed="false">
      <c r="A480" s="47" t="s">
        <v>883</v>
      </c>
      <c r="B480" s="52" t="n">
        <v>45820</v>
      </c>
      <c r="C480" s="53" t="n">
        <f aca="false">DATE(YEAR(B480),MONTH(B480),1)</f>
        <v>45809</v>
      </c>
      <c r="D480" s="5" t="str">
        <f aca="false">YEAR(B480)&amp;"Q"&amp;ROUNDUP(MONTH(B480)/3,0)</f>
        <v>2025Q2</v>
      </c>
      <c r="E480" s="47" t="s">
        <v>365</v>
      </c>
      <c r="F480" s="54" t="s">
        <v>139</v>
      </c>
      <c r="G480" s="47" t="s">
        <v>366</v>
      </c>
      <c r="H480" s="47" t="s">
        <v>903</v>
      </c>
      <c r="I480" s="55" t="n">
        <v>1000</v>
      </c>
      <c r="J480" s="56" t="n">
        <v>10</v>
      </c>
      <c r="K480" s="54" t="s">
        <v>153</v>
      </c>
      <c r="N480" s="47" t="s">
        <v>143</v>
      </c>
      <c r="O480" s="47" t="s">
        <v>890</v>
      </c>
      <c r="P480" s="47"/>
      <c r="Q480" s="48" t="n">
        <f aca="false">IF($J480="","",IFERROR(IF($J480&lt;=1,INDEX(VN_국채일별!$B$4:$B$1436,MATCH($B480,VN_국채일별!$A$4:$A$1436,1)),IF($J480&lt;=2,INDEX(VN_국채일별!$B$4:$B$1436,MATCH($B480,VN_국채일별!$A$4:$A$1436,1))+(INDEX(VN_국채일별!$C$4:$C$1436,MATCH($B480,VN_국채일별!$A$4:$A$1436,1))-INDEX(VN_국채일별!$B$4:$B$1436,MATCH($B480,VN_국채일별!$A$4:$A$1436,1)))*($J480-1),IF($J480&lt;=3,INDEX(VN_국채일별!$C$4:$C$1436,MATCH($B480,VN_국채일별!$A$4:$A$1436,1))+(INDEX(VN_국채일별!$D$4:$D$1436,MATCH($B480,VN_국채일별!$A$4:$A$1436,1))-INDEX(VN_국채일별!$C$4:$C$1436,MATCH($B480,VN_국채일별!$A$4:$A$1436,1)))*($J480-2),IF($J480&lt;=5,INDEX(VN_국채일별!$D$4:$D$1436,MATCH($B480,VN_국채일별!$A$4:$A$1436,1))+(INDEX(VN_국채일별!$E$4:$E$1436,MATCH($B480,VN_국채일별!$A$4:$A$1436,1))-INDEX(VN_국채일별!$D$4:$D$1436,MATCH($B480,VN_국채일별!$A$4:$A$1436,1)))*($J480-3)/2,IF($J480&lt;=7,INDEX(VN_국채일별!$E$4:$E$1436,MATCH($B480,VN_국채일별!$A$4:$A$1436,1))+(INDEX(VN_국채일별!$F$4:$F$1436,MATCH($B480,VN_국채일별!$A$4:$A$1436,1))-INDEX(VN_국채일별!$E$4:$E$1436,MATCH($B480,VN_국채일별!$A$4:$A$1436,1)))*($J480-5)/2,IF($J480&lt;=10,INDEX(VN_국채일별!$F$4:$F$1436,MATCH($B480,VN_국채일별!$A$4:$A$1436,1))+(INDEX(VN_국채일별!$G$4:$G$1436,MATCH($B480,VN_국채일별!$A$4:$A$1436,1))-INDEX(VN_국채일별!$F$4:$F$1436,MATCH($B480,VN_국채일별!$A$4:$A$1436,1)))*($J480-7)/3,INDEX(VN_국채일별!$G$4:$G$1436,MATCH($B480,VN_국채일별!$A$4:$A$1436,1)))))))),""))</f>
        <v>0.03271</v>
      </c>
      <c r="R480" s="58" t="str">
        <f aca="false">IF(OR(L480="",Q480=""),"",(L480-Q480)*10000)</f>
        <v/>
      </c>
      <c r="S480" s="30" t="n">
        <f aca="false">IF(AND(K480="고정",N480="N",J480&gt;=2,J480&lt;=4,I480&lt;&gt;""),1,0)</f>
        <v>0</v>
      </c>
      <c r="T480" s="59" t="n">
        <f aca="false">IF(S480=1,I480*L480,0)</f>
        <v>0</v>
      </c>
      <c r="U480" s="60" t="n">
        <f aca="false">IF(AND(S480=1,ISNUMBER(R480)),I480*R480,0)</f>
        <v>0</v>
      </c>
      <c r="V480" s="30" t="n">
        <f aca="false">IF(AND(F480="Big4(국영)",K480="고정",N480="N",I480&lt;&gt;""),1,0)</f>
        <v>0</v>
      </c>
      <c r="W480" s="59" t="n">
        <f aca="false">IF(V480=1,I480*L480,0)</f>
        <v>0</v>
      </c>
      <c r="X480" s="60" t="n">
        <f aca="false">IF(AND(V480=1,ISNUMBER(R480)),I480*R480,0)</f>
        <v>0</v>
      </c>
      <c r="Y480" s="61" t="n">
        <f aca="false">IF(AND(S480=1,ISNUMBER(R480)),I480,0)</f>
        <v>0</v>
      </c>
      <c r="Z480" s="61" t="n">
        <f aca="false">IF(AND(V480=1,ISNUMBER(R480)),I480,0)</f>
        <v>0</v>
      </c>
    </row>
    <row r="481" customFormat="false" ht="15" hidden="false" customHeight="false" outlineLevel="0" collapsed="false">
      <c r="A481" s="47" t="s">
        <v>883</v>
      </c>
      <c r="B481" s="52" t="n">
        <v>45820</v>
      </c>
      <c r="C481" s="53" t="n">
        <f aca="false">DATE(YEAR(B481),MONTH(B481),1)</f>
        <v>45809</v>
      </c>
      <c r="D481" s="5" t="str">
        <f aca="false">YEAR(B481)&amp;"Q"&amp;ROUNDUP(MONTH(B481)/3,0)</f>
        <v>2025Q2</v>
      </c>
      <c r="E481" s="47" t="s">
        <v>254</v>
      </c>
      <c r="F481" s="54" t="s">
        <v>139</v>
      </c>
      <c r="G481" s="47" t="s">
        <v>339</v>
      </c>
      <c r="H481" s="47" t="s">
        <v>904</v>
      </c>
      <c r="I481" s="55" t="n">
        <v>1600</v>
      </c>
      <c r="J481" s="56" t="n">
        <v>2</v>
      </c>
      <c r="K481" s="54" t="s">
        <v>142</v>
      </c>
      <c r="L481" s="57" t="n">
        <v>0.053</v>
      </c>
      <c r="N481" s="47" t="s">
        <v>148</v>
      </c>
      <c r="O481" s="47" t="s">
        <v>582</v>
      </c>
      <c r="P481" s="47"/>
      <c r="Q481" s="48" t="n">
        <f aca="false">IF($J481="","",IFERROR(IF($J481&lt;=1,INDEX(VN_국채일별!$B$4:$B$1436,MATCH($B481,VN_국채일별!$A$4:$A$1436,1)),IF($J481&lt;=2,INDEX(VN_국채일별!$B$4:$B$1436,MATCH($B481,VN_국채일별!$A$4:$A$1436,1))+(INDEX(VN_국채일별!$C$4:$C$1436,MATCH($B481,VN_국채일별!$A$4:$A$1436,1))-INDEX(VN_국채일별!$B$4:$B$1436,MATCH($B481,VN_국채일별!$A$4:$A$1436,1)))*($J481-1),IF($J481&lt;=3,INDEX(VN_국채일별!$C$4:$C$1436,MATCH($B481,VN_국채일별!$A$4:$A$1436,1))+(INDEX(VN_국채일별!$D$4:$D$1436,MATCH($B481,VN_국채일별!$A$4:$A$1436,1))-INDEX(VN_국채일별!$C$4:$C$1436,MATCH($B481,VN_국채일별!$A$4:$A$1436,1)))*($J481-2),IF($J481&lt;=5,INDEX(VN_국채일별!$D$4:$D$1436,MATCH($B481,VN_국채일별!$A$4:$A$1436,1))+(INDEX(VN_국채일별!$E$4:$E$1436,MATCH($B481,VN_국채일별!$A$4:$A$1436,1))-INDEX(VN_국채일별!$D$4:$D$1436,MATCH($B481,VN_국채일별!$A$4:$A$1436,1)))*($J481-3)/2,IF($J481&lt;=7,INDEX(VN_국채일별!$E$4:$E$1436,MATCH($B481,VN_국채일별!$A$4:$A$1436,1))+(INDEX(VN_국채일별!$F$4:$F$1436,MATCH($B481,VN_국채일별!$A$4:$A$1436,1))-INDEX(VN_국채일별!$E$4:$E$1436,MATCH($B481,VN_국채일별!$A$4:$A$1436,1)))*($J481-5)/2,IF($J481&lt;=10,INDEX(VN_국채일별!$F$4:$F$1436,MATCH($B481,VN_국채일별!$A$4:$A$1436,1))+(INDEX(VN_국채일별!$G$4:$G$1436,MATCH($B481,VN_국채일별!$A$4:$A$1436,1))-INDEX(VN_국채일별!$F$4:$F$1436,MATCH($B481,VN_국채일별!$A$4:$A$1436,1)))*($J481-7)/3,INDEX(VN_국채일별!$G$4:$G$1436,MATCH($B481,VN_국채일별!$A$4:$A$1436,1)))))))),""))</f>
        <v>0.02322</v>
      </c>
      <c r="R481" s="58" t="n">
        <f aca="false">IF(OR(L481="",Q481=""),"",(L481-Q481)*10000)</f>
        <v>297.8</v>
      </c>
      <c r="S481" s="30" t="n">
        <f aca="false">IF(AND(K481="고정",N481="N",J481&gt;=2,J481&lt;=4,I481&lt;&gt;""),1,0)</f>
        <v>1</v>
      </c>
      <c r="T481" s="59" t="n">
        <f aca="false">IF(S481=1,I481*L481,0)</f>
        <v>84.8</v>
      </c>
      <c r="U481" s="60" t="n">
        <f aca="false">IF(AND(S481=1,ISNUMBER(R481)),I481*R481,0)</f>
        <v>476480</v>
      </c>
      <c r="V481" s="30" t="n">
        <f aca="false">IF(AND(F481="Big4(국영)",K481="고정",N481="N",I481&lt;&gt;""),1,0)</f>
        <v>0</v>
      </c>
      <c r="W481" s="59" t="n">
        <f aca="false">IF(V481=1,I481*L481,0)</f>
        <v>0</v>
      </c>
      <c r="X481" s="60" t="n">
        <f aca="false">IF(AND(V481=1,ISNUMBER(R481)),I481*R481,0)</f>
        <v>0</v>
      </c>
      <c r="Y481" s="61" t="n">
        <f aca="false">IF(AND(S481=1,ISNUMBER(R481)),I481,0)</f>
        <v>1600</v>
      </c>
      <c r="Z481" s="61" t="n">
        <f aca="false">IF(AND(V481=1,ISNUMBER(R481)),I481,0)</f>
        <v>0</v>
      </c>
    </row>
    <row r="482" customFormat="false" ht="15" hidden="false" customHeight="false" outlineLevel="0" collapsed="false">
      <c r="A482" s="47" t="s">
        <v>883</v>
      </c>
      <c r="B482" s="52" t="n">
        <v>45820</v>
      </c>
      <c r="C482" s="53" t="n">
        <f aca="false">DATE(YEAR(B482),MONTH(B482),1)</f>
        <v>45809</v>
      </c>
      <c r="D482" s="5" t="str">
        <f aca="false">YEAR(B482)&amp;"Q"&amp;ROUNDUP(MONTH(B482)/3,0)</f>
        <v>2025Q2</v>
      </c>
      <c r="E482" s="47" t="s">
        <v>181</v>
      </c>
      <c r="F482" s="54" t="s">
        <v>139</v>
      </c>
      <c r="G482" s="47" t="s">
        <v>182</v>
      </c>
      <c r="H482" s="47" t="s">
        <v>905</v>
      </c>
      <c r="I482" s="55" t="n">
        <v>1000</v>
      </c>
      <c r="J482" s="56" t="n">
        <v>3</v>
      </c>
      <c r="K482" s="54" t="s">
        <v>142</v>
      </c>
      <c r="L482" s="57" t="n">
        <v>0.054</v>
      </c>
      <c r="N482" s="47" t="s">
        <v>148</v>
      </c>
      <c r="O482" s="47" t="s">
        <v>575</v>
      </c>
      <c r="P482" s="47"/>
      <c r="Q482" s="48" t="n">
        <f aca="false">IF($J482="","",IFERROR(IF($J482&lt;=1,INDEX(VN_국채일별!$B$4:$B$1436,MATCH($B482,VN_국채일별!$A$4:$A$1436,1)),IF($J482&lt;=2,INDEX(VN_국채일별!$B$4:$B$1436,MATCH($B482,VN_국채일별!$A$4:$A$1436,1))+(INDEX(VN_국채일별!$C$4:$C$1436,MATCH($B482,VN_국채일별!$A$4:$A$1436,1))-INDEX(VN_국채일별!$B$4:$B$1436,MATCH($B482,VN_국채일별!$A$4:$A$1436,1)))*($J482-1),IF($J482&lt;=3,INDEX(VN_국채일별!$C$4:$C$1436,MATCH($B482,VN_국채일별!$A$4:$A$1436,1))+(INDEX(VN_국채일별!$D$4:$D$1436,MATCH($B482,VN_국채일별!$A$4:$A$1436,1))-INDEX(VN_국채일별!$C$4:$C$1436,MATCH($B482,VN_국채일별!$A$4:$A$1436,1)))*($J482-2),IF($J482&lt;=5,INDEX(VN_국채일별!$D$4:$D$1436,MATCH($B482,VN_국채일별!$A$4:$A$1436,1))+(INDEX(VN_국채일별!$E$4:$E$1436,MATCH($B482,VN_국채일별!$A$4:$A$1436,1))-INDEX(VN_국채일별!$D$4:$D$1436,MATCH($B482,VN_국채일별!$A$4:$A$1436,1)))*($J482-3)/2,IF($J482&lt;=7,INDEX(VN_국채일별!$E$4:$E$1436,MATCH($B482,VN_국채일별!$A$4:$A$1436,1))+(INDEX(VN_국채일별!$F$4:$F$1436,MATCH($B482,VN_국채일별!$A$4:$A$1436,1))-INDEX(VN_국채일별!$E$4:$E$1436,MATCH($B482,VN_국채일별!$A$4:$A$1436,1)))*($J482-5)/2,IF($J482&lt;=10,INDEX(VN_국채일별!$F$4:$F$1436,MATCH($B482,VN_국채일별!$A$4:$A$1436,1))+(INDEX(VN_국채일별!$G$4:$G$1436,MATCH($B482,VN_국채일별!$A$4:$A$1436,1))-INDEX(VN_국채일별!$F$4:$F$1436,MATCH($B482,VN_국채일별!$A$4:$A$1436,1)))*($J482-7)/3,INDEX(VN_국채일별!$G$4:$G$1436,MATCH($B482,VN_국채일별!$A$4:$A$1436,1)))))))),""))</f>
        <v>0.02381</v>
      </c>
      <c r="R482" s="58" t="n">
        <f aca="false">IF(OR(L482="",Q482=""),"",(L482-Q482)*10000)</f>
        <v>301.9</v>
      </c>
      <c r="S482" s="30" t="n">
        <f aca="false">IF(AND(K482="고정",N482="N",J482&gt;=2,J482&lt;=4,I482&lt;&gt;""),1,0)</f>
        <v>1</v>
      </c>
      <c r="T482" s="59" t="n">
        <f aca="false">IF(S482=1,I482*L482,0)</f>
        <v>54</v>
      </c>
      <c r="U482" s="60" t="n">
        <f aca="false">IF(AND(S482=1,ISNUMBER(R482)),I482*R482,0)</f>
        <v>301900</v>
      </c>
      <c r="V482" s="30" t="n">
        <f aca="false">IF(AND(F482="Big4(국영)",K482="고정",N482="N",I482&lt;&gt;""),1,0)</f>
        <v>0</v>
      </c>
      <c r="W482" s="59" t="n">
        <f aca="false">IF(V482=1,I482*L482,0)</f>
        <v>0</v>
      </c>
      <c r="X482" s="60" t="n">
        <f aca="false">IF(AND(V482=1,ISNUMBER(R482)),I482*R482,0)</f>
        <v>0</v>
      </c>
      <c r="Y482" s="61" t="n">
        <f aca="false">IF(AND(S482=1,ISNUMBER(R482)),I482,0)</f>
        <v>1000</v>
      </c>
      <c r="Z482" s="61" t="n">
        <f aca="false">IF(AND(V482=1,ISNUMBER(R482)),I482,0)</f>
        <v>0</v>
      </c>
    </row>
    <row r="483" customFormat="false" ht="15" hidden="false" customHeight="false" outlineLevel="0" collapsed="false">
      <c r="A483" s="47" t="s">
        <v>883</v>
      </c>
      <c r="B483" s="52" t="n">
        <v>45820</v>
      </c>
      <c r="C483" s="53" t="n">
        <f aca="false">DATE(YEAR(B483),MONTH(B483),1)</f>
        <v>45809</v>
      </c>
      <c r="D483" s="5" t="str">
        <f aca="false">YEAR(B483)&amp;"Q"&amp;ROUNDUP(MONTH(B483)/3,0)</f>
        <v>2025Q2</v>
      </c>
      <c r="E483" s="47" t="s">
        <v>307</v>
      </c>
      <c r="F483" s="54" t="s">
        <v>139</v>
      </c>
      <c r="G483" s="47" t="s">
        <v>308</v>
      </c>
      <c r="H483" s="47" t="s">
        <v>906</v>
      </c>
      <c r="I483" s="55" t="n">
        <v>2000</v>
      </c>
      <c r="J483" s="56" t="n">
        <v>2</v>
      </c>
      <c r="K483" s="54" t="s">
        <v>142</v>
      </c>
      <c r="L483" s="57" t="n">
        <v>0.051</v>
      </c>
      <c r="N483" s="47" t="s">
        <v>148</v>
      </c>
      <c r="O483" s="47" t="s">
        <v>510</v>
      </c>
      <c r="P483" s="47"/>
      <c r="Q483" s="48" t="n">
        <f aca="false">IF($J483="","",IFERROR(IF($J483&lt;=1,INDEX(VN_국채일별!$B$4:$B$1436,MATCH($B483,VN_국채일별!$A$4:$A$1436,1)),IF($J483&lt;=2,INDEX(VN_국채일별!$B$4:$B$1436,MATCH($B483,VN_국채일별!$A$4:$A$1436,1))+(INDEX(VN_국채일별!$C$4:$C$1436,MATCH($B483,VN_국채일별!$A$4:$A$1436,1))-INDEX(VN_국채일별!$B$4:$B$1436,MATCH($B483,VN_국채일별!$A$4:$A$1436,1)))*($J483-1),IF($J483&lt;=3,INDEX(VN_국채일별!$C$4:$C$1436,MATCH($B483,VN_국채일별!$A$4:$A$1436,1))+(INDEX(VN_국채일별!$D$4:$D$1436,MATCH($B483,VN_국채일별!$A$4:$A$1436,1))-INDEX(VN_국채일별!$C$4:$C$1436,MATCH($B483,VN_국채일별!$A$4:$A$1436,1)))*($J483-2),IF($J483&lt;=5,INDEX(VN_국채일별!$D$4:$D$1436,MATCH($B483,VN_국채일별!$A$4:$A$1436,1))+(INDEX(VN_국채일별!$E$4:$E$1436,MATCH($B483,VN_국채일별!$A$4:$A$1436,1))-INDEX(VN_국채일별!$D$4:$D$1436,MATCH($B483,VN_국채일별!$A$4:$A$1436,1)))*($J483-3)/2,IF($J483&lt;=7,INDEX(VN_국채일별!$E$4:$E$1436,MATCH($B483,VN_국채일별!$A$4:$A$1436,1))+(INDEX(VN_국채일별!$F$4:$F$1436,MATCH($B483,VN_국채일별!$A$4:$A$1436,1))-INDEX(VN_국채일별!$E$4:$E$1436,MATCH($B483,VN_국채일별!$A$4:$A$1436,1)))*($J483-5)/2,IF($J483&lt;=10,INDEX(VN_국채일별!$F$4:$F$1436,MATCH($B483,VN_국채일별!$A$4:$A$1436,1))+(INDEX(VN_국채일별!$G$4:$G$1436,MATCH($B483,VN_국채일별!$A$4:$A$1436,1))-INDEX(VN_국채일별!$F$4:$F$1436,MATCH($B483,VN_국채일별!$A$4:$A$1436,1)))*($J483-7)/3,INDEX(VN_국채일별!$G$4:$G$1436,MATCH($B483,VN_국채일별!$A$4:$A$1436,1)))))))),""))</f>
        <v>0.02322</v>
      </c>
      <c r="R483" s="58" t="n">
        <f aca="false">IF(OR(L483="",Q483=""),"",(L483-Q483)*10000)</f>
        <v>277.8</v>
      </c>
      <c r="S483" s="30" t="n">
        <f aca="false">IF(AND(K483="고정",N483="N",J483&gt;=2,J483&lt;=4,I483&lt;&gt;""),1,0)</f>
        <v>1</v>
      </c>
      <c r="T483" s="59" t="n">
        <f aca="false">IF(S483=1,I483*L483,0)</f>
        <v>102</v>
      </c>
      <c r="U483" s="60" t="n">
        <f aca="false">IF(AND(S483=1,ISNUMBER(R483)),I483*R483,0)</f>
        <v>555600</v>
      </c>
      <c r="V483" s="30" t="n">
        <f aca="false">IF(AND(F483="Big4(국영)",K483="고정",N483="N",I483&lt;&gt;""),1,0)</f>
        <v>0</v>
      </c>
      <c r="W483" s="59" t="n">
        <f aca="false">IF(V483=1,I483*L483,0)</f>
        <v>0</v>
      </c>
      <c r="X483" s="60" t="n">
        <f aca="false">IF(AND(V483=1,ISNUMBER(R483)),I483*R483,0)</f>
        <v>0</v>
      </c>
      <c r="Y483" s="61" t="n">
        <f aca="false">IF(AND(S483=1,ISNUMBER(R483)),I483,0)</f>
        <v>2000</v>
      </c>
      <c r="Z483" s="61" t="n">
        <f aca="false">IF(AND(V483=1,ISNUMBER(R483)),I483,0)</f>
        <v>0</v>
      </c>
    </row>
    <row r="484" customFormat="false" ht="15" hidden="false" customHeight="false" outlineLevel="0" collapsed="false">
      <c r="A484" s="47" t="s">
        <v>883</v>
      </c>
      <c r="B484" s="52" t="n">
        <v>45821</v>
      </c>
      <c r="C484" s="53" t="n">
        <f aca="false">DATE(YEAR(B484),MONTH(B484),1)</f>
        <v>45809</v>
      </c>
      <c r="D484" s="5" t="str">
        <f aca="false">YEAR(B484)&amp;"Q"&amp;ROUNDUP(MONTH(B484)/3,0)</f>
        <v>2025Q2</v>
      </c>
      <c r="E484" s="47" t="s">
        <v>166</v>
      </c>
      <c r="F484" s="54" t="s">
        <v>139</v>
      </c>
      <c r="G484" s="47" t="s">
        <v>167</v>
      </c>
      <c r="H484" s="47" t="s">
        <v>907</v>
      </c>
      <c r="I484" s="55" t="n">
        <v>500</v>
      </c>
      <c r="J484" s="56" t="n">
        <v>2</v>
      </c>
      <c r="K484" s="54" t="s">
        <v>142</v>
      </c>
      <c r="L484" s="57" t="n">
        <v>0.056</v>
      </c>
      <c r="N484" s="47" t="s">
        <v>148</v>
      </c>
      <c r="O484" s="47" t="s">
        <v>660</v>
      </c>
      <c r="P484" s="47"/>
      <c r="Q484" s="48" t="n">
        <f aca="false">IF($J484="","",IFERROR(IF($J484&lt;=1,INDEX(VN_국채일별!$B$4:$B$1436,MATCH($B484,VN_국채일별!$A$4:$A$1436,1)),IF($J484&lt;=2,INDEX(VN_국채일별!$B$4:$B$1436,MATCH($B484,VN_국채일별!$A$4:$A$1436,1))+(INDEX(VN_국채일별!$C$4:$C$1436,MATCH($B484,VN_국채일별!$A$4:$A$1436,1))-INDEX(VN_국채일별!$B$4:$B$1436,MATCH($B484,VN_국채일별!$A$4:$A$1436,1)))*($J484-1),IF($J484&lt;=3,INDEX(VN_국채일별!$C$4:$C$1436,MATCH($B484,VN_국채일별!$A$4:$A$1436,1))+(INDEX(VN_국채일별!$D$4:$D$1436,MATCH($B484,VN_국채일별!$A$4:$A$1436,1))-INDEX(VN_국채일별!$C$4:$C$1436,MATCH($B484,VN_국채일별!$A$4:$A$1436,1)))*($J484-2),IF($J484&lt;=5,INDEX(VN_국채일별!$D$4:$D$1436,MATCH($B484,VN_국채일별!$A$4:$A$1436,1))+(INDEX(VN_국채일별!$E$4:$E$1436,MATCH($B484,VN_국채일별!$A$4:$A$1436,1))-INDEX(VN_국채일별!$D$4:$D$1436,MATCH($B484,VN_국채일별!$A$4:$A$1436,1)))*($J484-3)/2,IF($J484&lt;=7,INDEX(VN_국채일별!$E$4:$E$1436,MATCH($B484,VN_국채일별!$A$4:$A$1436,1))+(INDEX(VN_국채일별!$F$4:$F$1436,MATCH($B484,VN_국채일별!$A$4:$A$1436,1))-INDEX(VN_국채일별!$E$4:$E$1436,MATCH($B484,VN_국채일별!$A$4:$A$1436,1)))*($J484-5)/2,IF($J484&lt;=10,INDEX(VN_국채일별!$F$4:$F$1436,MATCH($B484,VN_국채일별!$A$4:$A$1436,1))+(INDEX(VN_국채일별!$G$4:$G$1436,MATCH($B484,VN_국채일별!$A$4:$A$1436,1))-INDEX(VN_국채일별!$F$4:$F$1436,MATCH($B484,VN_국채일별!$A$4:$A$1436,1)))*($J484-7)/3,INDEX(VN_국채일별!$G$4:$G$1436,MATCH($B484,VN_국채일별!$A$4:$A$1436,1)))))))),""))</f>
        <v>0.02321</v>
      </c>
      <c r="R484" s="58" t="n">
        <f aca="false">IF(OR(L484="",Q484=""),"",(L484-Q484)*10000)</f>
        <v>327.9</v>
      </c>
      <c r="S484" s="30" t="n">
        <f aca="false">IF(AND(K484="고정",N484="N",J484&gt;=2,J484&lt;=4,I484&lt;&gt;""),1,0)</f>
        <v>1</v>
      </c>
      <c r="T484" s="59" t="n">
        <f aca="false">IF(S484=1,I484*L484,0)</f>
        <v>28</v>
      </c>
      <c r="U484" s="60" t="n">
        <f aca="false">IF(AND(S484=1,ISNUMBER(R484)),I484*R484,0)</f>
        <v>163950</v>
      </c>
      <c r="V484" s="30" t="n">
        <f aca="false">IF(AND(F484="Big4(국영)",K484="고정",N484="N",I484&lt;&gt;""),1,0)</f>
        <v>0</v>
      </c>
      <c r="W484" s="59" t="n">
        <f aca="false">IF(V484=1,I484*L484,0)</f>
        <v>0</v>
      </c>
      <c r="X484" s="60" t="n">
        <f aca="false">IF(AND(V484=1,ISNUMBER(R484)),I484*R484,0)</f>
        <v>0</v>
      </c>
      <c r="Y484" s="61" t="n">
        <f aca="false">IF(AND(S484=1,ISNUMBER(R484)),I484,0)</f>
        <v>500</v>
      </c>
      <c r="Z484" s="61" t="n">
        <f aca="false">IF(AND(V484=1,ISNUMBER(R484)),I484,0)</f>
        <v>0</v>
      </c>
    </row>
    <row r="485" customFormat="false" ht="15" hidden="false" customHeight="false" outlineLevel="0" collapsed="false">
      <c r="A485" s="47" t="s">
        <v>883</v>
      </c>
      <c r="B485" s="52" t="n">
        <v>45821</v>
      </c>
      <c r="C485" s="53" t="n">
        <f aca="false">DATE(YEAR(B485),MONTH(B485),1)</f>
        <v>45809</v>
      </c>
      <c r="D485" s="5" t="str">
        <f aca="false">YEAR(B485)&amp;"Q"&amp;ROUNDUP(MONTH(B485)/3,0)</f>
        <v>2025Q2</v>
      </c>
      <c r="E485" s="47" t="s">
        <v>365</v>
      </c>
      <c r="F485" s="54" t="s">
        <v>139</v>
      </c>
      <c r="G485" s="47" t="s">
        <v>366</v>
      </c>
      <c r="H485" s="47" t="s">
        <v>908</v>
      </c>
      <c r="I485" s="55" t="n">
        <v>100</v>
      </c>
      <c r="J485" s="56" t="n">
        <v>10</v>
      </c>
      <c r="K485" s="54" t="s">
        <v>153</v>
      </c>
      <c r="N485" s="47" t="s">
        <v>143</v>
      </c>
      <c r="O485" s="47" t="s">
        <v>909</v>
      </c>
      <c r="P485" s="47"/>
      <c r="Q485" s="48" t="n">
        <f aca="false">IF($J485="","",IFERROR(IF($J485&lt;=1,INDEX(VN_국채일별!$B$4:$B$1436,MATCH($B485,VN_국채일별!$A$4:$A$1436,1)),IF($J485&lt;=2,INDEX(VN_국채일별!$B$4:$B$1436,MATCH($B485,VN_국채일별!$A$4:$A$1436,1))+(INDEX(VN_국채일별!$C$4:$C$1436,MATCH($B485,VN_국채일별!$A$4:$A$1436,1))-INDEX(VN_국채일별!$B$4:$B$1436,MATCH($B485,VN_국채일별!$A$4:$A$1436,1)))*($J485-1),IF($J485&lt;=3,INDEX(VN_국채일별!$C$4:$C$1436,MATCH($B485,VN_국채일별!$A$4:$A$1436,1))+(INDEX(VN_국채일별!$D$4:$D$1436,MATCH($B485,VN_국채일별!$A$4:$A$1436,1))-INDEX(VN_국채일별!$C$4:$C$1436,MATCH($B485,VN_국채일별!$A$4:$A$1436,1)))*($J485-2),IF($J485&lt;=5,INDEX(VN_국채일별!$D$4:$D$1436,MATCH($B485,VN_국채일별!$A$4:$A$1436,1))+(INDEX(VN_국채일별!$E$4:$E$1436,MATCH($B485,VN_국채일별!$A$4:$A$1436,1))-INDEX(VN_국채일별!$D$4:$D$1436,MATCH($B485,VN_국채일별!$A$4:$A$1436,1)))*($J485-3)/2,IF($J485&lt;=7,INDEX(VN_국채일별!$E$4:$E$1436,MATCH($B485,VN_국채일별!$A$4:$A$1436,1))+(INDEX(VN_국채일별!$F$4:$F$1436,MATCH($B485,VN_국채일별!$A$4:$A$1436,1))-INDEX(VN_국채일별!$E$4:$E$1436,MATCH($B485,VN_국채일별!$A$4:$A$1436,1)))*($J485-5)/2,IF($J485&lt;=10,INDEX(VN_국채일별!$F$4:$F$1436,MATCH($B485,VN_국채일별!$A$4:$A$1436,1))+(INDEX(VN_국채일별!$G$4:$G$1436,MATCH($B485,VN_국채일별!$A$4:$A$1436,1))-INDEX(VN_국채일별!$F$4:$F$1436,MATCH($B485,VN_국채일별!$A$4:$A$1436,1)))*($J485-7)/3,INDEX(VN_국채일별!$G$4:$G$1436,MATCH($B485,VN_국채일별!$A$4:$A$1436,1)))))))),""))</f>
        <v>0.0327</v>
      </c>
      <c r="R485" s="58" t="str">
        <f aca="false">IF(OR(L485="",Q485=""),"",(L485-Q485)*10000)</f>
        <v/>
      </c>
      <c r="S485" s="30" t="n">
        <f aca="false">IF(AND(K485="고정",N485="N",J485&gt;=2,J485&lt;=4,I485&lt;&gt;""),1,0)</f>
        <v>0</v>
      </c>
      <c r="T485" s="59" t="n">
        <f aca="false">IF(S485=1,I485*L485,0)</f>
        <v>0</v>
      </c>
      <c r="U485" s="60" t="n">
        <f aca="false">IF(AND(S485=1,ISNUMBER(R485)),I485*R485,0)</f>
        <v>0</v>
      </c>
      <c r="V485" s="30" t="n">
        <f aca="false">IF(AND(F485="Big4(국영)",K485="고정",N485="N",I485&lt;&gt;""),1,0)</f>
        <v>0</v>
      </c>
      <c r="W485" s="59" t="n">
        <f aca="false">IF(V485=1,I485*L485,0)</f>
        <v>0</v>
      </c>
      <c r="X485" s="60" t="n">
        <f aca="false">IF(AND(V485=1,ISNUMBER(R485)),I485*R485,0)</f>
        <v>0</v>
      </c>
      <c r="Y485" s="61" t="n">
        <f aca="false">IF(AND(S485=1,ISNUMBER(R485)),I485,0)</f>
        <v>0</v>
      </c>
      <c r="Z485" s="61" t="n">
        <f aca="false">IF(AND(V485=1,ISNUMBER(R485)),I485,0)</f>
        <v>0</v>
      </c>
    </row>
    <row r="486" customFormat="false" ht="15" hidden="false" customHeight="false" outlineLevel="0" collapsed="false">
      <c r="A486" s="47" t="s">
        <v>883</v>
      </c>
      <c r="B486" s="52" t="n">
        <v>45821</v>
      </c>
      <c r="C486" s="53" t="n">
        <f aca="false">DATE(YEAR(B486),MONTH(B486),1)</f>
        <v>45809</v>
      </c>
      <c r="D486" s="5" t="str">
        <f aca="false">YEAR(B486)&amp;"Q"&amp;ROUNDUP(MONTH(B486)/3,0)</f>
        <v>2025Q2</v>
      </c>
      <c r="E486" s="47" t="s">
        <v>365</v>
      </c>
      <c r="F486" s="54" t="s">
        <v>139</v>
      </c>
      <c r="G486" s="47" t="s">
        <v>366</v>
      </c>
      <c r="H486" s="47" t="s">
        <v>910</v>
      </c>
      <c r="I486" s="55" t="n">
        <v>111.5</v>
      </c>
      <c r="J486" s="56" t="n">
        <v>10</v>
      </c>
      <c r="K486" s="54" t="s">
        <v>153</v>
      </c>
      <c r="N486" s="47" t="s">
        <v>143</v>
      </c>
      <c r="O486" s="47" t="s">
        <v>890</v>
      </c>
      <c r="P486" s="47"/>
      <c r="Q486" s="48" t="n">
        <f aca="false">IF($J486="","",IFERROR(IF($J486&lt;=1,INDEX(VN_국채일별!$B$4:$B$1436,MATCH($B486,VN_국채일별!$A$4:$A$1436,1)),IF($J486&lt;=2,INDEX(VN_국채일별!$B$4:$B$1436,MATCH($B486,VN_국채일별!$A$4:$A$1436,1))+(INDEX(VN_국채일별!$C$4:$C$1436,MATCH($B486,VN_국채일별!$A$4:$A$1436,1))-INDEX(VN_국채일별!$B$4:$B$1436,MATCH($B486,VN_국채일별!$A$4:$A$1436,1)))*($J486-1),IF($J486&lt;=3,INDEX(VN_국채일별!$C$4:$C$1436,MATCH($B486,VN_국채일별!$A$4:$A$1436,1))+(INDEX(VN_국채일별!$D$4:$D$1436,MATCH($B486,VN_국채일별!$A$4:$A$1436,1))-INDEX(VN_국채일별!$C$4:$C$1436,MATCH($B486,VN_국채일별!$A$4:$A$1436,1)))*($J486-2),IF($J486&lt;=5,INDEX(VN_국채일별!$D$4:$D$1436,MATCH($B486,VN_국채일별!$A$4:$A$1436,1))+(INDEX(VN_국채일별!$E$4:$E$1436,MATCH($B486,VN_국채일별!$A$4:$A$1436,1))-INDEX(VN_국채일별!$D$4:$D$1436,MATCH($B486,VN_국채일별!$A$4:$A$1436,1)))*($J486-3)/2,IF($J486&lt;=7,INDEX(VN_국채일별!$E$4:$E$1436,MATCH($B486,VN_국채일별!$A$4:$A$1436,1))+(INDEX(VN_국채일별!$F$4:$F$1436,MATCH($B486,VN_국채일별!$A$4:$A$1436,1))-INDEX(VN_국채일별!$E$4:$E$1436,MATCH($B486,VN_국채일별!$A$4:$A$1436,1)))*($J486-5)/2,IF($J486&lt;=10,INDEX(VN_국채일별!$F$4:$F$1436,MATCH($B486,VN_국채일별!$A$4:$A$1436,1))+(INDEX(VN_국채일별!$G$4:$G$1436,MATCH($B486,VN_국채일별!$A$4:$A$1436,1))-INDEX(VN_국채일별!$F$4:$F$1436,MATCH($B486,VN_국채일별!$A$4:$A$1436,1)))*($J486-7)/3,INDEX(VN_국채일별!$G$4:$G$1436,MATCH($B486,VN_국채일별!$A$4:$A$1436,1)))))))),""))</f>
        <v>0.0327</v>
      </c>
      <c r="R486" s="58" t="str">
        <f aca="false">IF(OR(L486="",Q486=""),"",(L486-Q486)*10000)</f>
        <v/>
      </c>
      <c r="S486" s="30" t="n">
        <f aca="false">IF(AND(K486="고정",N486="N",J486&gt;=2,J486&lt;=4,I486&lt;&gt;""),1,0)</f>
        <v>0</v>
      </c>
      <c r="T486" s="59" t="n">
        <f aca="false">IF(S486=1,I486*L486,0)</f>
        <v>0</v>
      </c>
      <c r="U486" s="60" t="n">
        <f aca="false">IF(AND(S486=1,ISNUMBER(R486)),I486*R486,0)</f>
        <v>0</v>
      </c>
      <c r="V486" s="30" t="n">
        <f aca="false">IF(AND(F486="Big4(국영)",K486="고정",N486="N",I486&lt;&gt;""),1,0)</f>
        <v>0</v>
      </c>
      <c r="W486" s="59" t="n">
        <f aca="false">IF(V486=1,I486*L486,0)</f>
        <v>0</v>
      </c>
      <c r="X486" s="60" t="n">
        <f aca="false">IF(AND(V486=1,ISNUMBER(R486)),I486*R486,0)</f>
        <v>0</v>
      </c>
      <c r="Y486" s="61" t="n">
        <f aca="false">IF(AND(S486=1,ISNUMBER(R486)),I486,0)</f>
        <v>0</v>
      </c>
      <c r="Z486" s="61" t="n">
        <f aca="false">IF(AND(V486=1,ISNUMBER(R486)),I486,0)</f>
        <v>0</v>
      </c>
    </row>
    <row r="487" customFormat="false" ht="15" hidden="false" customHeight="false" outlineLevel="0" collapsed="false">
      <c r="A487" s="47" t="s">
        <v>883</v>
      </c>
      <c r="B487" s="52" t="n">
        <v>45821</v>
      </c>
      <c r="C487" s="53" t="n">
        <f aca="false">DATE(YEAR(B487),MONTH(B487),1)</f>
        <v>45809</v>
      </c>
      <c r="D487" s="5" t="str">
        <f aca="false">YEAR(B487)&amp;"Q"&amp;ROUNDUP(MONTH(B487)/3,0)</f>
        <v>2025Q2</v>
      </c>
      <c r="E487" s="62" t="s">
        <v>155</v>
      </c>
      <c r="F487" s="62" t="s">
        <v>156</v>
      </c>
      <c r="G487" s="47" t="s">
        <v>157</v>
      </c>
      <c r="H487" s="47" t="s">
        <v>911</v>
      </c>
      <c r="I487" s="55" t="n">
        <v>360</v>
      </c>
      <c r="J487" s="56" t="n">
        <v>7</v>
      </c>
      <c r="K487" s="54" t="s">
        <v>153</v>
      </c>
      <c r="N487" s="47" t="s">
        <v>143</v>
      </c>
      <c r="O487" s="47" t="s">
        <v>872</v>
      </c>
      <c r="P487" s="47"/>
      <c r="Q487" s="48" t="n">
        <f aca="false">IF($J487="","",IFERROR(IF($J487&lt;=1,INDEX(VN_국채일별!$B$4:$B$1436,MATCH($B487,VN_국채일별!$A$4:$A$1436,1)),IF($J487&lt;=2,INDEX(VN_국채일별!$B$4:$B$1436,MATCH($B487,VN_국채일별!$A$4:$A$1436,1))+(INDEX(VN_국채일별!$C$4:$C$1436,MATCH($B487,VN_국채일별!$A$4:$A$1436,1))-INDEX(VN_국채일별!$B$4:$B$1436,MATCH($B487,VN_국채일별!$A$4:$A$1436,1)))*($J487-1),IF($J487&lt;=3,INDEX(VN_국채일별!$C$4:$C$1436,MATCH($B487,VN_국채일별!$A$4:$A$1436,1))+(INDEX(VN_국채일별!$D$4:$D$1436,MATCH($B487,VN_국채일별!$A$4:$A$1436,1))-INDEX(VN_국채일별!$C$4:$C$1436,MATCH($B487,VN_국채일별!$A$4:$A$1436,1)))*($J487-2),IF($J487&lt;=5,INDEX(VN_국채일별!$D$4:$D$1436,MATCH($B487,VN_국채일별!$A$4:$A$1436,1))+(INDEX(VN_국채일별!$E$4:$E$1436,MATCH($B487,VN_국채일별!$A$4:$A$1436,1))-INDEX(VN_국채일별!$D$4:$D$1436,MATCH($B487,VN_국채일별!$A$4:$A$1436,1)))*($J487-3)/2,IF($J487&lt;=7,INDEX(VN_국채일별!$E$4:$E$1436,MATCH($B487,VN_국채일별!$A$4:$A$1436,1))+(INDEX(VN_국채일별!$F$4:$F$1436,MATCH($B487,VN_국채일별!$A$4:$A$1436,1))-INDEX(VN_국채일별!$E$4:$E$1436,MATCH($B487,VN_국채일별!$A$4:$A$1436,1)))*($J487-5)/2,IF($J487&lt;=10,INDEX(VN_국채일별!$F$4:$F$1436,MATCH($B487,VN_국채일별!$A$4:$A$1436,1))+(INDEX(VN_국채일별!$G$4:$G$1436,MATCH($B487,VN_국채일별!$A$4:$A$1436,1))-INDEX(VN_국채일별!$F$4:$F$1436,MATCH($B487,VN_국채일별!$A$4:$A$1436,1)))*($J487-7)/3,INDEX(VN_국채일별!$G$4:$G$1436,MATCH($B487,VN_국채일별!$A$4:$A$1436,1)))))))),""))</f>
        <v>0.03013</v>
      </c>
      <c r="R487" s="58" t="str">
        <f aca="false">IF(OR(L487="",Q487=""),"",(L487-Q487)*10000)</f>
        <v/>
      </c>
      <c r="S487" s="30" t="n">
        <f aca="false">IF(AND(K487="고정",N487="N",J487&gt;=2,J487&lt;=4,I487&lt;&gt;""),1,0)</f>
        <v>0</v>
      </c>
      <c r="T487" s="59" t="n">
        <f aca="false">IF(S487=1,I487*L487,0)</f>
        <v>0</v>
      </c>
      <c r="U487" s="60" t="n">
        <f aca="false">IF(AND(S487=1,ISNUMBER(R487)),I487*R487,0)</f>
        <v>0</v>
      </c>
      <c r="V487" s="30" t="n">
        <f aca="false">IF(AND(F487="Big4(국영)",K487="고정",N487="N",I487&lt;&gt;""),1,0)</f>
        <v>0</v>
      </c>
      <c r="W487" s="59" t="n">
        <f aca="false">IF(V487=1,I487*L487,0)</f>
        <v>0</v>
      </c>
      <c r="X487" s="60" t="n">
        <f aca="false">IF(AND(V487=1,ISNUMBER(R487)),I487*R487,0)</f>
        <v>0</v>
      </c>
      <c r="Y487" s="61" t="n">
        <f aca="false">IF(AND(S487=1,ISNUMBER(R487)),I487,0)</f>
        <v>0</v>
      </c>
      <c r="Z487" s="61" t="n">
        <f aca="false">IF(AND(V487=1,ISNUMBER(R487)),I487,0)</f>
        <v>0</v>
      </c>
    </row>
    <row r="488" customFormat="false" ht="15" hidden="false" customHeight="false" outlineLevel="0" collapsed="false">
      <c r="A488" s="47" t="s">
        <v>883</v>
      </c>
      <c r="B488" s="52" t="n">
        <v>45821</v>
      </c>
      <c r="C488" s="53" t="n">
        <f aca="false">DATE(YEAR(B488),MONTH(B488),1)</f>
        <v>45809</v>
      </c>
      <c r="D488" s="5" t="str">
        <f aca="false">YEAR(B488)&amp;"Q"&amp;ROUNDUP(MONTH(B488)/3,0)</f>
        <v>2025Q2</v>
      </c>
      <c r="E488" s="62" t="s">
        <v>155</v>
      </c>
      <c r="F488" s="62" t="s">
        <v>156</v>
      </c>
      <c r="G488" s="47" t="s">
        <v>157</v>
      </c>
      <c r="H488" s="47" t="s">
        <v>912</v>
      </c>
      <c r="I488" s="55" t="n">
        <v>850</v>
      </c>
      <c r="J488" s="56" t="n">
        <v>7</v>
      </c>
      <c r="K488" s="54" t="s">
        <v>153</v>
      </c>
      <c r="N488" s="47" t="s">
        <v>143</v>
      </c>
      <c r="O488" s="47" t="s">
        <v>867</v>
      </c>
      <c r="P488" s="47"/>
      <c r="Q488" s="48" t="n">
        <f aca="false">IF($J488="","",IFERROR(IF($J488&lt;=1,INDEX(VN_국채일별!$B$4:$B$1436,MATCH($B488,VN_국채일별!$A$4:$A$1436,1)),IF($J488&lt;=2,INDEX(VN_국채일별!$B$4:$B$1436,MATCH($B488,VN_국채일별!$A$4:$A$1436,1))+(INDEX(VN_국채일별!$C$4:$C$1436,MATCH($B488,VN_국채일별!$A$4:$A$1436,1))-INDEX(VN_국채일별!$B$4:$B$1436,MATCH($B488,VN_국채일별!$A$4:$A$1436,1)))*($J488-1),IF($J488&lt;=3,INDEX(VN_국채일별!$C$4:$C$1436,MATCH($B488,VN_국채일별!$A$4:$A$1436,1))+(INDEX(VN_국채일별!$D$4:$D$1436,MATCH($B488,VN_국채일별!$A$4:$A$1436,1))-INDEX(VN_국채일별!$C$4:$C$1436,MATCH($B488,VN_국채일별!$A$4:$A$1436,1)))*($J488-2),IF($J488&lt;=5,INDEX(VN_국채일별!$D$4:$D$1436,MATCH($B488,VN_국채일별!$A$4:$A$1436,1))+(INDEX(VN_국채일별!$E$4:$E$1436,MATCH($B488,VN_국채일별!$A$4:$A$1436,1))-INDEX(VN_국채일별!$D$4:$D$1436,MATCH($B488,VN_국채일별!$A$4:$A$1436,1)))*($J488-3)/2,IF($J488&lt;=7,INDEX(VN_국채일별!$E$4:$E$1436,MATCH($B488,VN_국채일별!$A$4:$A$1436,1))+(INDEX(VN_국채일별!$F$4:$F$1436,MATCH($B488,VN_국채일별!$A$4:$A$1436,1))-INDEX(VN_국채일별!$E$4:$E$1436,MATCH($B488,VN_국채일별!$A$4:$A$1436,1)))*($J488-5)/2,IF($J488&lt;=10,INDEX(VN_국채일별!$F$4:$F$1436,MATCH($B488,VN_국채일별!$A$4:$A$1436,1))+(INDEX(VN_국채일별!$G$4:$G$1436,MATCH($B488,VN_국채일별!$A$4:$A$1436,1))-INDEX(VN_국채일별!$F$4:$F$1436,MATCH($B488,VN_국채일별!$A$4:$A$1436,1)))*($J488-7)/3,INDEX(VN_국채일별!$G$4:$G$1436,MATCH($B488,VN_국채일별!$A$4:$A$1436,1)))))))),""))</f>
        <v>0.03013</v>
      </c>
      <c r="R488" s="58" t="str">
        <f aca="false">IF(OR(L488="",Q488=""),"",(L488-Q488)*10000)</f>
        <v/>
      </c>
      <c r="S488" s="30" t="n">
        <f aca="false">IF(AND(K488="고정",N488="N",J488&gt;=2,J488&lt;=4,I488&lt;&gt;""),1,0)</f>
        <v>0</v>
      </c>
      <c r="T488" s="59" t="n">
        <f aca="false">IF(S488=1,I488*L488,0)</f>
        <v>0</v>
      </c>
      <c r="U488" s="60" t="n">
        <f aca="false">IF(AND(S488=1,ISNUMBER(R488)),I488*R488,0)</f>
        <v>0</v>
      </c>
      <c r="V488" s="30" t="n">
        <f aca="false">IF(AND(F488="Big4(국영)",K488="고정",N488="N",I488&lt;&gt;""),1,0)</f>
        <v>0</v>
      </c>
      <c r="W488" s="59" t="n">
        <f aca="false">IF(V488=1,I488*L488,0)</f>
        <v>0</v>
      </c>
      <c r="X488" s="60" t="n">
        <f aca="false">IF(AND(V488=1,ISNUMBER(R488)),I488*R488,0)</f>
        <v>0</v>
      </c>
      <c r="Y488" s="61" t="n">
        <f aca="false">IF(AND(S488=1,ISNUMBER(R488)),I488,0)</f>
        <v>0</v>
      </c>
      <c r="Z488" s="61" t="n">
        <f aca="false">IF(AND(V488=1,ISNUMBER(R488)),I488,0)</f>
        <v>0</v>
      </c>
    </row>
    <row r="489" customFormat="false" ht="15" hidden="false" customHeight="false" outlineLevel="0" collapsed="false">
      <c r="A489" s="47" t="s">
        <v>883</v>
      </c>
      <c r="B489" s="52" t="n">
        <v>45821</v>
      </c>
      <c r="C489" s="53" t="n">
        <f aca="false">DATE(YEAR(B489),MONTH(B489),1)</f>
        <v>45809</v>
      </c>
      <c r="D489" s="5" t="str">
        <f aca="false">YEAR(B489)&amp;"Q"&amp;ROUNDUP(MONTH(B489)/3,0)</f>
        <v>2025Q2</v>
      </c>
      <c r="E489" s="62" t="s">
        <v>155</v>
      </c>
      <c r="F489" s="62" t="s">
        <v>156</v>
      </c>
      <c r="G489" s="47" t="s">
        <v>157</v>
      </c>
      <c r="H489" s="47" t="s">
        <v>913</v>
      </c>
      <c r="I489" s="55" t="n">
        <v>202</v>
      </c>
      <c r="J489" s="56" t="n">
        <v>8</v>
      </c>
      <c r="K489" s="54" t="s">
        <v>153</v>
      </c>
      <c r="N489" s="47" t="s">
        <v>143</v>
      </c>
      <c r="O489" s="47" t="s">
        <v>865</v>
      </c>
      <c r="P489" s="47"/>
      <c r="Q489" s="48" t="n">
        <f aca="false">IF($J489="","",IFERROR(IF($J489&lt;=1,INDEX(VN_국채일별!$B$4:$B$1436,MATCH($B489,VN_국채일별!$A$4:$A$1436,1)),IF($J489&lt;=2,INDEX(VN_국채일별!$B$4:$B$1436,MATCH($B489,VN_국채일별!$A$4:$A$1436,1))+(INDEX(VN_국채일별!$C$4:$C$1436,MATCH($B489,VN_국채일별!$A$4:$A$1436,1))-INDEX(VN_국채일별!$B$4:$B$1436,MATCH($B489,VN_국채일별!$A$4:$A$1436,1)))*($J489-1),IF($J489&lt;=3,INDEX(VN_국채일별!$C$4:$C$1436,MATCH($B489,VN_국채일별!$A$4:$A$1436,1))+(INDEX(VN_국채일별!$D$4:$D$1436,MATCH($B489,VN_국채일별!$A$4:$A$1436,1))-INDEX(VN_국채일별!$C$4:$C$1436,MATCH($B489,VN_국채일별!$A$4:$A$1436,1)))*($J489-2),IF($J489&lt;=5,INDEX(VN_국채일별!$D$4:$D$1436,MATCH($B489,VN_국채일별!$A$4:$A$1436,1))+(INDEX(VN_국채일별!$E$4:$E$1436,MATCH($B489,VN_국채일별!$A$4:$A$1436,1))-INDEX(VN_국채일별!$D$4:$D$1436,MATCH($B489,VN_국채일별!$A$4:$A$1436,1)))*($J489-3)/2,IF($J489&lt;=7,INDEX(VN_국채일별!$E$4:$E$1436,MATCH($B489,VN_국채일별!$A$4:$A$1436,1))+(INDEX(VN_국채일별!$F$4:$F$1436,MATCH($B489,VN_국채일별!$A$4:$A$1436,1))-INDEX(VN_국채일별!$E$4:$E$1436,MATCH($B489,VN_국채일별!$A$4:$A$1436,1)))*($J489-5)/2,IF($J489&lt;=10,INDEX(VN_국채일별!$F$4:$F$1436,MATCH($B489,VN_국채일별!$A$4:$A$1436,1))+(INDEX(VN_국채일별!$G$4:$G$1436,MATCH($B489,VN_국채일별!$A$4:$A$1436,1))-INDEX(VN_국채일별!$F$4:$F$1436,MATCH($B489,VN_국채일별!$A$4:$A$1436,1)))*($J489-7)/3,INDEX(VN_국채일별!$G$4:$G$1436,MATCH($B489,VN_국채일별!$A$4:$A$1436,1)))))))),""))</f>
        <v>0.0309866666666667</v>
      </c>
      <c r="R489" s="58" t="str">
        <f aca="false">IF(OR(L489="",Q489=""),"",(L489-Q489)*10000)</f>
        <v/>
      </c>
      <c r="S489" s="30" t="n">
        <f aca="false">IF(AND(K489="고정",N489="N",J489&gt;=2,J489&lt;=4,I489&lt;&gt;""),1,0)</f>
        <v>0</v>
      </c>
      <c r="T489" s="59" t="n">
        <f aca="false">IF(S489=1,I489*L489,0)</f>
        <v>0</v>
      </c>
      <c r="U489" s="60" t="n">
        <f aca="false">IF(AND(S489=1,ISNUMBER(R489)),I489*R489,0)</f>
        <v>0</v>
      </c>
      <c r="V489" s="30" t="n">
        <f aca="false">IF(AND(F489="Big4(국영)",K489="고정",N489="N",I489&lt;&gt;""),1,0)</f>
        <v>0</v>
      </c>
      <c r="W489" s="59" t="n">
        <f aca="false">IF(V489=1,I489*L489,0)</f>
        <v>0</v>
      </c>
      <c r="X489" s="60" t="n">
        <f aca="false">IF(AND(V489=1,ISNUMBER(R489)),I489*R489,0)</f>
        <v>0</v>
      </c>
      <c r="Y489" s="61" t="n">
        <f aca="false">IF(AND(S489=1,ISNUMBER(R489)),I489,0)</f>
        <v>0</v>
      </c>
      <c r="Z489" s="61" t="n">
        <f aca="false">IF(AND(V489=1,ISNUMBER(R489)),I489,0)</f>
        <v>0</v>
      </c>
    </row>
    <row r="490" customFormat="false" ht="15" hidden="false" customHeight="false" outlineLevel="0" collapsed="false">
      <c r="A490" s="47" t="s">
        <v>883</v>
      </c>
      <c r="B490" s="52" t="n">
        <v>45824</v>
      </c>
      <c r="C490" s="53" t="n">
        <f aca="false">DATE(YEAR(B490),MONTH(B490),1)</f>
        <v>45809</v>
      </c>
      <c r="D490" s="5" t="str">
        <f aca="false">YEAR(B490)&amp;"Q"&amp;ROUNDUP(MONTH(B490)/3,0)</f>
        <v>2025Q2</v>
      </c>
      <c r="E490" s="47" t="s">
        <v>166</v>
      </c>
      <c r="F490" s="54" t="s">
        <v>139</v>
      </c>
      <c r="G490" s="47" t="s">
        <v>167</v>
      </c>
      <c r="H490" s="47" t="s">
        <v>914</v>
      </c>
      <c r="I490" s="55" t="n">
        <v>1000</v>
      </c>
      <c r="J490" s="56" t="n">
        <v>3</v>
      </c>
      <c r="K490" s="54" t="s">
        <v>142</v>
      </c>
      <c r="L490" s="57" t="n">
        <v>0.058</v>
      </c>
      <c r="N490" s="47" t="s">
        <v>148</v>
      </c>
      <c r="O490" s="47" t="s">
        <v>451</v>
      </c>
      <c r="P490" s="47"/>
      <c r="Q490" s="48" t="n">
        <f aca="false">IF($J490="","",IFERROR(IF($J490&lt;=1,INDEX(VN_국채일별!$B$4:$B$1436,MATCH($B490,VN_국채일별!$A$4:$A$1436,1)),IF($J490&lt;=2,INDEX(VN_국채일별!$B$4:$B$1436,MATCH($B490,VN_국채일별!$A$4:$A$1436,1))+(INDEX(VN_국채일별!$C$4:$C$1436,MATCH($B490,VN_국채일별!$A$4:$A$1436,1))-INDEX(VN_국채일별!$B$4:$B$1436,MATCH($B490,VN_국채일별!$A$4:$A$1436,1)))*($J490-1),IF($J490&lt;=3,INDEX(VN_국채일별!$C$4:$C$1436,MATCH($B490,VN_국채일별!$A$4:$A$1436,1))+(INDEX(VN_국채일별!$D$4:$D$1436,MATCH($B490,VN_국채일별!$A$4:$A$1436,1))-INDEX(VN_국채일별!$C$4:$C$1436,MATCH($B490,VN_국채일별!$A$4:$A$1436,1)))*($J490-2),IF($J490&lt;=5,INDEX(VN_국채일별!$D$4:$D$1436,MATCH($B490,VN_국채일별!$A$4:$A$1436,1))+(INDEX(VN_국채일별!$E$4:$E$1436,MATCH($B490,VN_국채일별!$A$4:$A$1436,1))-INDEX(VN_국채일별!$D$4:$D$1436,MATCH($B490,VN_국채일별!$A$4:$A$1436,1)))*($J490-3)/2,IF($J490&lt;=7,INDEX(VN_국채일별!$E$4:$E$1436,MATCH($B490,VN_국채일별!$A$4:$A$1436,1))+(INDEX(VN_국채일별!$F$4:$F$1436,MATCH($B490,VN_국채일별!$A$4:$A$1436,1))-INDEX(VN_국채일별!$E$4:$E$1436,MATCH($B490,VN_국채일별!$A$4:$A$1436,1)))*($J490-5)/2,IF($J490&lt;=10,INDEX(VN_국채일별!$F$4:$F$1436,MATCH($B490,VN_국채일별!$A$4:$A$1436,1))+(INDEX(VN_국채일별!$G$4:$G$1436,MATCH($B490,VN_국채일별!$A$4:$A$1436,1))-INDEX(VN_국채일별!$F$4:$F$1436,MATCH($B490,VN_국채일별!$A$4:$A$1436,1)))*($J490-7)/3,INDEX(VN_국채일별!$G$4:$G$1436,MATCH($B490,VN_국채일별!$A$4:$A$1436,1)))))))),""))</f>
        <v>0.02383</v>
      </c>
      <c r="R490" s="58" t="n">
        <f aca="false">IF(OR(L490="",Q490=""),"",(L490-Q490)*10000)</f>
        <v>341.7</v>
      </c>
      <c r="S490" s="30" t="n">
        <f aca="false">IF(AND(K490="고정",N490="N",J490&gt;=2,J490&lt;=4,I490&lt;&gt;""),1,0)</f>
        <v>1</v>
      </c>
      <c r="T490" s="59" t="n">
        <f aca="false">IF(S490=1,I490*L490,0)</f>
        <v>58</v>
      </c>
      <c r="U490" s="60" t="n">
        <f aca="false">IF(AND(S490=1,ISNUMBER(R490)),I490*R490,0)</f>
        <v>341700</v>
      </c>
      <c r="V490" s="30" t="n">
        <f aca="false">IF(AND(F490="Big4(국영)",K490="고정",N490="N",I490&lt;&gt;""),1,0)</f>
        <v>0</v>
      </c>
      <c r="W490" s="59" t="n">
        <f aca="false">IF(V490=1,I490*L490,0)</f>
        <v>0</v>
      </c>
      <c r="X490" s="60" t="n">
        <f aca="false">IF(AND(V490=1,ISNUMBER(R490)),I490*R490,0)</f>
        <v>0</v>
      </c>
      <c r="Y490" s="61" t="n">
        <f aca="false">IF(AND(S490=1,ISNUMBER(R490)),I490,0)</f>
        <v>1000</v>
      </c>
      <c r="Z490" s="61" t="n">
        <f aca="false">IF(AND(V490=1,ISNUMBER(R490)),I490,0)</f>
        <v>0</v>
      </c>
    </row>
    <row r="491" customFormat="false" ht="15" hidden="false" customHeight="false" outlineLevel="0" collapsed="false">
      <c r="A491" s="47" t="s">
        <v>883</v>
      </c>
      <c r="B491" s="52" t="n">
        <v>45825</v>
      </c>
      <c r="C491" s="53" t="n">
        <f aca="false">DATE(YEAR(B491),MONTH(B491),1)</f>
        <v>45809</v>
      </c>
      <c r="D491" s="5" t="str">
        <f aca="false">YEAR(B491)&amp;"Q"&amp;ROUNDUP(MONTH(B491)/3,0)</f>
        <v>2025Q2</v>
      </c>
      <c r="E491" s="47" t="s">
        <v>365</v>
      </c>
      <c r="F491" s="54" t="s">
        <v>139</v>
      </c>
      <c r="G491" s="47" t="s">
        <v>366</v>
      </c>
      <c r="H491" s="47" t="s">
        <v>915</v>
      </c>
      <c r="I491" s="55" t="n">
        <v>188.2</v>
      </c>
      <c r="J491" s="56" t="n">
        <v>10</v>
      </c>
      <c r="K491" s="54" t="s">
        <v>153</v>
      </c>
      <c r="N491" s="47" t="s">
        <v>143</v>
      </c>
      <c r="O491" s="47" t="s">
        <v>890</v>
      </c>
      <c r="P491" s="47"/>
      <c r="Q491" s="48" t="n">
        <f aca="false">IF($J491="","",IFERROR(IF($J491&lt;=1,INDEX(VN_국채일별!$B$4:$B$1436,MATCH($B491,VN_국채일별!$A$4:$A$1436,1)),IF($J491&lt;=2,INDEX(VN_국채일별!$B$4:$B$1436,MATCH($B491,VN_국채일별!$A$4:$A$1436,1))+(INDEX(VN_국채일별!$C$4:$C$1436,MATCH($B491,VN_국채일별!$A$4:$A$1436,1))-INDEX(VN_국채일별!$B$4:$B$1436,MATCH($B491,VN_국채일별!$A$4:$A$1436,1)))*($J491-1),IF($J491&lt;=3,INDEX(VN_국채일별!$C$4:$C$1436,MATCH($B491,VN_국채일별!$A$4:$A$1436,1))+(INDEX(VN_국채일별!$D$4:$D$1436,MATCH($B491,VN_국채일별!$A$4:$A$1436,1))-INDEX(VN_국채일별!$C$4:$C$1436,MATCH($B491,VN_국채일별!$A$4:$A$1436,1)))*($J491-2),IF($J491&lt;=5,INDEX(VN_국채일별!$D$4:$D$1436,MATCH($B491,VN_국채일별!$A$4:$A$1436,1))+(INDEX(VN_국채일별!$E$4:$E$1436,MATCH($B491,VN_국채일별!$A$4:$A$1436,1))-INDEX(VN_국채일별!$D$4:$D$1436,MATCH($B491,VN_국채일별!$A$4:$A$1436,1)))*($J491-3)/2,IF($J491&lt;=7,INDEX(VN_국채일별!$E$4:$E$1436,MATCH($B491,VN_국채일별!$A$4:$A$1436,1))+(INDEX(VN_국채일별!$F$4:$F$1436,MATCH($B491,VN_국채일별!$A$4:$A$1436,1))-INDEX(VN_국채일별!$E$4:$E$1436,MATCH($B491,VN_국채일별!$A$4:$A$1436,1)))*($J491-5)/2,IF($J491&lt;=10,INDEX(VN_국채일별!$F$4:$F$1436,MATCH($B491,VN_국채일별!$A$4:$A$1436,1))+(INDEX(VN_국채일별!$G$4:$G$1436,MATCH($B491,VN_국채일별!$A$4:$A$1436,1))-INDEX(VN_국채일별!$F$4:$F$1436,MATCH($B491,VN_국채일별!$A$4:$A$1436,1)))*($J491-7)/3,INDEX(VN_국채일별!$G$4:$G$1436,MATCH($B491,VN_국채일별!$A$4:$A$1436,1)))))))),""))</f>
        <v>0.03277</v>
      </c>
      <c r="R491" s="58" t="str">
        <f aca="false">IF(OR(L491="",Q491=""),"",(L491-Q491)*10000)</f>
        <v/>
      </c>
      <c r="S491" s="30" t="n">
        <f aca="false">IF(AND(K491="고정",N491="N",J491&gt;=2,J491&lt;=4,I491&lt;&gt;""),1,0)</f>
        <v>0</v>
      </c>
      <c r="T491" s="59" t="n">
        <f aca="false">IF(S491=1,I491*L491,0)</f>
        <v>0</v>
      </c>
      <c r="U491" s="60" t="n">
        <f aca="false">IF(AND(S491=1,ISNUMBER(R491)),I491*R491,0)</f>
        <v>0</v>
      </c>
      <c r="V491" s="30" t="n">
        <f aca="false">IF(AND(F491="Big4(국영)",K491="고정",N491="N",I491&lt;&gt;""),1,0)</f>
        <v>0</v>
      </c>
      <c r="W491" s="59" t="n">
        <f aca="false">IF(V491=1,I491*L491,0)</f>
        <v>0</v>
      </c>
      <c r="X491" s="60" t="n">
        <f aca="false">IF(AND(V491=1,ISNUMBER(R491)),I491*R491,0)</f>
        <v>0</v>
      </c>
      <c r="Y491" s="61" t="n">
        <f aca="false">IF(AND(S491=1,ISNUMBER(R491)),I491,0)</f>
        <v>0</v>
      </c>
      <c r="Z491" s="61" t="n">
        <f aca="false">IF(AND(V491=1,ISNUMBER(R491)),I491,0)</f>
        <v>0</v>
      </c>
    </row>
    <row r="492" customFormat="false" ht="15" hidden="false" customHeight="false" outlineLevel="0" collapsed="false">
      <c r="A492" s="47" t="s">
        <v>883</v>
      </c>
      <c r="B492" s="52" t="n">
        <v>45826</v>
      </c>
      <c r="C492" s="53" t="n">
        <f aca="false">DATE(YEAR(B492),MONTH(B492),1)</f>
        <v>45809</v>
      </c>
      <c r="D492" s="5" t="str">
        <f aca="false">YEAR(B492)&amp;"Q"&amp;ROUNDUP(MONTH(B492)/3,0)</f>
        <v>2025Q2</v>
      </c>
      <c r="E492" s="47" t="s">
        <v>254</v>
      </c>
      <c r="F492" s="54" t="s">
        <v>139</v>
      </c>
      <c r="G492" s="47" t="s">
        <v>339</v>
      </c>
      <c r="H492" s="47" t="s">
        <v>916</v>
      </c>
      <c r="I492" s="55" t="n">
        <v>5000</v>
      </c>
      <c r="J492" s="56" t="n">
        <v>2</v>
      </c>
      <c r="K492" s="54" t="s">
        <v>142</v>
      </c>
      <c r="L492" s="57" t="n">
        <v>0.0495</v>
      </c>
      <c r="N492" s="47" t="s">
        <v>148</v>
      </c>
      <c r="O492" s="47" t="s">
        <v>892</v>
      </c>
      <c r="P492" s="47"/>
      <c r="Q492" s="48" t="n">
        <f aca="false">IF($J492="","",IFERROR(IF($J492&lt;=1,INDEX(VN_국채일별!$B$4:$B$1436,MATCH($B492,VN_국채일별!$A$4:$A$1436,1)),IF($J492&lt;=2,INDEX(VN_국채일별!$B$4:$B$1436,MATCH($B492,VN_국채일별!$A$4:$A$1436,1))+(INDEX(VN_국채일별!$C$4:$C$1436,MATCH($B492,VN_국채일별!$A$4:$A$1436,1))-INDEX(VN_국채일별!$B$4:$B$1436,MATCH($B492,VN_국채일별!$A$4:$A$1436,1)))*($J492-1),IF($J492&lt;=3,INDEX(VN_국채일별!$C$4:$C$1436,MATCH($B492,VN_국채일별!$A$4:$A$1436,1))+(INDEX(VN_국채일별!$D$4:$D$1436,MATCH($B492,VN_국채일별!$A$4:$A$1436,1))-INDEX(VN_국채일별!$C$4:$C$1436,MATCH($B492,VN_국채일별!$A$4:$A$1436,1)))*($J492-2),IF($J492&lt;=5,INDEX(VN_국채일별!$D$4:$D$1436,MATCH($B492,VN_국채일별!$A$4:$A$1436,1))+(INDEX(VN_국채일별!$E$4:$E$1436,MATCH($B492,VN_국채일별!$A$4:$A$1436,1))-INDEX(VN_국채일별!$D$4:$D$1436,MATCH($B492,VN_국채일별!$A$4:$A$1436,1)))*($J492-3)/2,IF($J492&lt;=7,INDEX(VN_국채일별!$E$4:$E$1436,MATCH($B492,VN_국채일별!$A$4:$A$1436,1))+(INDEX(VN_국채일별!$F$4:$F$1436,MATCH($B492,VN_국채일별!$A$4:$A$1436,1))-INDEX(VN_국채일별!$E$4:$E$1436,MATCH($B492,VN_국채일별!$A$4:$A$1436,1)))*($J492-5)/2,IF($J492&lt;=10,INDEX(VN_국채일별!$F$4:$F$1436,MATCH($B492,VN_국채일별!$A$4:$A$1436,1))+(INDEX(VN_국채일별!$G$4:$G$1436,MATCH($B492,VN_국채일별!$A$4:$A$1436,1))-INDEX(VN_국채일별!$F$4:$F$1436,MATCH($B492,VN_국채일별!$A$4:$A$1436,1)))*($J492-7)/3,INDEX(VN_국채일별!$G$4:$G$1436,MATCH($B492,VN_국채일별!$A$4:$A$1436,1)))))))),""))</f>
        <v>0.0235</v>
      </c>
      <c r="R492" s="58" t="n">
        <f aca="false">IF(OR(L492="",Q492=""),"",(L492-Q492)*10000)</f>
        <v>260</v>
      </c>
      <c r="S492" s="30" t="n">
        <f aca="false">IF(AND(K492="고정",N492="N",J492&gt;=2,J492&lt;=4,I492&lt;&gt;""),1,0)</f>
        <v>1</v>
      </c>
      <c r="T492" s="59" t="n">
        <f aca="false">IF(S492=1,I492*L492,0)</f>
        <v>247.5</v>
      </c>
      <c r="U492" s="60" t="n">
        <f aca="false">IF(AND(S492=1,ISNUMBER(R492)),I492*R492,0)</f>
        <v>1300000</v>
      </c>
      <c r="V492" s="30" t="n">
        <f aca="false">IF(AND(F492="Big4(국영)",K492="고정",N492="N",I492&lt;&gt;""),1,0)</f>
        <v>0</v>
      </c>
      <c r="W492" s="59" t="n">
        <f aca="false">IF(V492=1,I492*L492,0)</f>
        <v>0</v>
      </c>
      <c r="X492" s="60" t="n">
        <f aca="false">IF(AND(V492=1,ISNUMBER(R492)),I492*R492,0)</f>
        <v>0</v>
      </c>
      <c r="Y492" s="61" t="n">
        <f aca="false">IF(AND(S492=1,ISNUMBER(R492)),I492,0)</f>
        <v>5000</v>
      </c>
      <c r="Z492" s="61" t="n">
        <f aca="false">IF(AND(V492=1,ISNUMBER(R492)),I492,0)</f>
        <v>0</v>
      </c>
    </row>
    <row r="493" customFormat="false" ht="15" hidden="false" customHeight="false" outlineLevel="0" collapsed="false">
      <c r="A493" s="47" t="s">
        <v>883</v>
      </c>
      <c r="B493" s="52" t="n">
        <v>45826</v>
      </c>
      <c r="C493" s="53" t="n">
        <f aca="false">DATE(YEAR(B493),MONTH(B493),1)</f>
        <v>45809</v>
      </c>
      <c r="D493" s="5" t="str">
        <f aca="false">YEAR(B493)&amp;"Q"&amp;ROUNDUP(MONTH(B493)/3,0)</f>
        <v>2025Q2</v>
      </c>
      <c r="E493" s="47" t="s">
        <v>191</v>
      </c>
      <c r="F493" s="54" t="s">
        <v>139</v>
      </c>
      <c r="G493" s="47" t="s">
        <v>917</v>
      </c>
      <c r="H493" s="47" t="s">
        <v>918</v>
      </c>
      <c r="I493" s="55" t="n">
        <v>3000</v>
      </c>
      <c r="J493" s="56" t="n">
        <v>7</v>
      </c>
      <c r="K493" s="54" t="s">
        <v>153</v>
      </c>
      <c r="M493" s="57" t="n">
        <v>0.0765</v>
      </c>
      <c r="N493" s="47" t="s">
        <v>143</v>
      </c>
      <c r="O493" s="47" t="s">
        <v>919</v>
      </c>
      <c r="P493" s="47"/>
      <c r="Q493" s="48" t="n">
        <f aca="false">IF($J493="","",IFERROR(IF($J493&lt;=1,INDEX(VN_국채일별!$B$4:$B$1436,MATCH($B493,VN_국채일별!$A$4:$A$1436,1)),IF($J493&lt;=2,INDEX(VN_국채일별!$B$4:$B$1436,MATCH($B493,VN_국채일별!$A$4:$A$1436,1))+(INDEX(VN_국채일별!$C$4:$C$1436,MATCH($B493,VN_국채일별!$A$4:$A$1436,1))-INDEX(VN_국채일별!$B$4:$B$1436,MATCH($B493,VN_국채일별!$A$4:$A$1436,1)))*($J493-1),IF($J493&lt;=3,INDEX(VN_국채일별!$C$4:$C$1436,MATCH($B493,VN_국채일별!$A$4:$A$1436,1))+(INDEX(VN_국채일별!$D$4:$D$1436,MATCH($B493,VN_국채일별!$A$4:$A$1436,1))-INDEX(VN_국채일별!$C$4:$C$1436,MATCH($B493,VN_국채일별!$A$4:$A$1436,1)))*($J493-2),IF($J493&lt;=5,INDEX(VN_국채일별!$D$4:$D$1436,MATCH($B493,VN_국채일별!$A$4:$A$1436,1))+(INDEX(VN_국채일별!$E$4:$E$1436,MATCH($B493,VN_국채일별!$A$4:$A$1436,1))-INDEX(VN_국채일별!$D$4:$D$1436,MATCH($B493,VN_국채일별!$A$4:$A$1436,1)))*($J493-3)/2,IF($J493&lt;=7,INDEX(VN_국채일별!$E$4:$E$1436,MATCH($B493,VN_국채일별!$A$4:$A$1436,1))+(INDEX(VN_국채일별!$F$4:$F$1436,MATCH($B493,VN_국채일별!$A$4:$A$1436,1))-INDEX(VN_국채일별!$E$4:$E$1436,MATCH($B493,VN_국채일별!$A$4:$A$1436,1)))*($J493-5)/2,IF($J493&lt;=10,INDEX(VN_국채일별!$F$4:$F$1436,MATCH($B493,VN_국채일별!$A$4:$A$1436,1))+(INDEX(VN_국채일별!$G$4:$G$1436,MATCH($B493,VN_국채일별!$A$4:$A$1436,1))-INDEX(VN_국채일별!$F$4:$F$1436,MATCH($B493,VN_국채일별!$A$4:$A$1436,1)))*($J493-7)/3,INDEX(VN_국채일별!$G$4:$G$1436,MATCH($B493,VN_국채일별!$A$4:$A$1436,1)))))))),""))</f>
        <v>0.03081</v>
      </c>
      <c r="R493" s="58" t="str">
        <f aca="false">IF(OR(L493="",Q493=""),"",(L493-Q493)*10000)</f>
        <v/>
      </c>
      <c r="S493" s="30" t="n">
        <f aca="false">IF(AND(K493="고정",N493="N",J493&gt;=2,J493&lt;=4,I493&lt;&gt;""),1,0)</f>
        <v>0</v>
      </c>
      <c r="T493" s="59" t="n">
        <f aca="false">IF(S493=1,I493*L493,0)</f>
        <v>0</v>
      </c>
      <c r="U493" s="60" t="n">
        <f aca="false">IF(AND(S493=1,ISNUMBER(R493)),I493*R493,0)</f>
        <v>0</v>
      </c>
      <c r="V493" s="30" t="n">
        <f aca="false">IF(AND(F493="Big4(국영)",K493="고정",N493="N",I493&lt;&gt;""),1,0)</f>
        <v>0</v>
      </c>
      <c r="W493" s="59" t="n">
        <f aca="false">IF(V493=1,I493*L493,0)</f>
        <v>0</v>
      </c>
      <c r="X493" s="60" t="n">
        <f aca="false">IF(AND(V493=1,ISNUMBER(R493)),I493*R493,0)</f>
        <v>0</v>
      </c>
      <c r="Y493" s="61" t="n">
        <f aca="false">IF(AND(S493=1,ISNUMBER(R493)),I493,0)</f>
        <v>0</v>
      </c>
      <c r="Z493" s="61" t="n">
        <f aca="false">IF(AND(V493=1,ISNUMBER(R493)),I493,0)</f>
        <v>0</v>
      </c>
    </row>
    <row r="494" customFormat="false" ht="15" hidden="false" customHeight="false" outlineLevel="0" collapsed="false">
      <c r="A494" s="47" t="s">
        <v>883</v>
      </c>
      <c r="B494" s="52" t="n">
        <v>45826</v>
      </c>
      <c r="C494" s="53" t="n">
        <f aca="false">DATE(YEAR(B494),MONTH(B494),1)</f>
        <v>45809</v>
      </c>
      <c r="D494" s="5" t="str">
        <f aca="false">YEAR(B494)&amp;"Q"&amp;ROUNDUP(MONTH(B494)/3,0)</f>
        <v>2025Q2</v>
      </c>
      <c r="E494" s="62" t="s">
        <v>173</v>
      </c>
      <c r="F494" s="62" t="s">
        <v>156</v>
      </c>
      <c r="G494" s="47" t="s">
        <v>174</v>
      </c>
      <c r="H494" s="47" t="s">
        <v>920</v>
      </c>
      <c r="I494" s="55" t="n">
        <v>400</v>
      </c>
      <c r="J494" s="56" t="n">
        <v>8</v>
      </c>
      <c r="K494" s="54" t="s">
        <v>153</v>
      </c>
      <c r="N494" s="47" t="s">
        <v>143</v>
      </c>
      <c r="O494" s="47" t="s">
        <v>819</v>
      </c>
      <c r="P494" s="47"/>
      <c r="Q494" s="48" t="n">
        <f aca="false">IF($J494="","",IFERROR(IF($J494&lt;=1,INDEX(VN_국채일별!$B$4:$B$1436,MATCH($B494,VN_국채일별!$A$4:$A$1436,1)),IF($J494&lt;=2,INDEX(VN_국채일별!$B$4:$B$1436,MATCH($B494,VN_국채일별!$A$4:$A$1436,1))+(INDEX(VN_국채일별!$C$4:$C$1436,MATCH($B494,VN_국채일별!$A$4:$A$1436,1))-INDEX(VN_국채일별!$B$4:$B$1436,MATCH($B494,VN_국채일별!$A$4:$A$1436,1)))*($J494-1),IF($J494&lt;=3,INDEX(VN_국채일별!$C$4:$C$1436,MATCH($B494,VN_국채일별!$A$4:$A$1436,1))+(INDEX(VN_국채일별!$D$4:$D$1436,MATCH($B494,VN_국채일별!$A$4:$A$1436,1))-INDEX(VN_국채일별!$C$4:$C$1436,MATCH($B494,VN_국채일별!$A$4:$A$1436,1)))*($J494-2),IF($J494&lt;=5,INDEX(VN_국채일별!$D$4:$D$1436,MATCH($B494,VN_국채일별!$A$4:$A$1436,1))+(INDEX(VN_국채일별!$E$4:$E$1436,MATCH($B494,VN_국채일별!$A$4:$A$1436,1))-INDEX(VN_국채일별!$D$4:$D$1436,MATCH($B494,VN_국채일별!$A$4:$A$1436,1)))*($J494-3)/2,IF($J494&lt;=7,INDEX(VN_국채일별!$E$4:$E$1436,MATCH($B494,VN_국채일별!$A$4:$A$1436,1))+(INDEX(VN_국채일별!$F$4:$F$1436,MATCH($B494,VN_국채일별!$A$4:$A$1436,1))-INDEX(VN_국채일별!$E$4:$E$1436,MATCH($B494,VN_국채일별!$A$4:$A$1436,1)))*($J494-5)/2,IF($J494&lt;=10,INDEX(VN_국채일별!$F$4:$F$1436,MATCH($B494,VN_국채일별!$A$4:$A$1436,1))+(INDEX(VN_국채일별!$G$4:$G$1436,MATCH($B494,VN_국채일별!$A$4:$A$1436,1))-INDEX(VN_국채일별!$F$4:$F$1436,MATCH($B494,VN_국채일별!$A$4:$A$1436,1)))*($J494-7)/3,INDEX(VN_국채일별!$G$4:$G$1436,MATCH($B494,VN_국채일별!$A$4:$A$1436,1)))))))),""))</f>
        <v>0.03149</v>
      </c>
      <c r="R494" s="58" t="str">
        <f aca="false">IF(OR(L494="",Q494=""),"",(L494-Q494)*10000)</f>
        <v/>
      </c>
      <c r="S494" s="30" t="n">
        <f aca="false">IF(AND(K494="고정",N494="N",J494&gt;=2,J494&lt;=4,I494&lt;&gt;""),1,0)</f>
        <v>0</v>
      </c>
      <c r="T494" s="59" t="n">
        <f aca="false">IF(S494=1,I494*L494,0)</f>
        <v>0</v>
      </c>
      <c r="U494" s="60" t="n">
        <f aca="false">IF(AND(S494=1,ISNUMBER(R494)),I494*R494,0)</f>
        <v>0</v>
      </c>
      <c r="V494" s="30" t="n">
        <f aca="false">IF(AND(F494="Big4(국영)",K494="고정",N494="N",I494&lt;&gt;""),1,0)</f>
        <v>0</v>
      </c>
      <c r="W494" s="59" t="n">
        <f aca="false">IF(V494=1,I494*L494,0)</f>
        <v>0</v>
      </c>
      <c r="X494" s="60" t="n">
        <f aca="false">IF(AND(V494=1,ISNUMBER(R494)),I494*R494,0)</f>
        <v>0</v>
      </c>
      <c r="Y494" s="61" t="n">
        <f aca="false">IF(AND(S494=1,ISNUMBER(R494)),I494,0)</f>
        <v>0</v>
      </c>
      <c r="Z494" s="61" t="n">
        <f aca="false">IF(AND(V494=1,ISNUMBER(R494)),I494,0)</f>
        <v>0</v>
      </c>
    </row>
    <row r="495" customFormat="false" ht="15" hidden="false" customHeight="false" outlineLevel="0" collapsed="false">
      <c r="A495" s="47" t="s">
        <v>883</v>
      </c>
      <c r="B495" s="52" t="n">
        <v>45826</v>
      </c>
      <c r="C495" s="53" t="n">
        <f aca="false">DATE(YEAR(B495),MONTH(B495),1)</f>
        <v>45809</v>
      </c>
      <c r="D495" s="5" t="str">
        <f aca="false">YEAR(B495)&amp;"Q"&amp;ROUNDUP(MONTH(B495)/3,0)</f>
        <v>2025Q2</v>
      </c>
      <c r="E495" s="47" t="s">
        <v>160</v>
      </c>
      <c r="F495" s="54" t="s">
        <v>139</v>
      </c>
      <c r="G495" s="47" t="s">
        <v>161</v>
      </c>
      <c r="H495" s="47" t="s">
        <v>921</v>
      </c>
      <c r="I495" s="55" t="n">
        <v>2000</v>
      </c>
      <c r="J495" s="56" t="n">
        <v>10</v>
      </c>
      <c r="K495" s="54" t="s">
        <v>153</v>
      </c>
      <c r="N495" s="47" t="s">
        <v>143</v>
      </c>
      <c r="O495" s="47" t="s">
        <v>922</v>
      </c>
      <c r="P495" s="47"/>
      <c r="Q495" s="48" t="n">
        <f aca="false">IF($J495="","",IFERROR(IF($J495&lt;=1,INDEX(VN_국채일별!$B$4:$B$1436,MATCH($B495,VN_국채일별!$A$4:$A$1436,1)),IF($J495&lt;=2,INDEX(VN_국채일별!$B$4:$B$1436,MATCH($B495,VN_국채일별!$A$4:$A$1436,1))+(INDEX(VN_국채일별!$C$4:$C$1436,MATCH($B495,VN_국채일별!$A$4:$A$1436,1))-INDEX(VN_국채일별!$B$4:$B$1436,MATCH($B495,VN_국채일별!$A$4:$A$1436,1)))*($J495-1),IF($J495&lt;=3,INDEX(VN_국채일별!$C$4:$C$1436,MATCH($B495,VN_국채일별!$A$4:$A$1436,1))+(INDEX(VN_국채일별!$D$4:$D$1436,MATCH($B495,VN_국채일별!$A$4:$A$1436,1))-INDEX(VN_국채일별!$C$4:$C$1436,MATCH($B495,VN_국채일별!$A$4:$A$1436,1)))*($J495-2),IF($J495&lt;=5,INDEX(VN_국채일별!$D$4:$D$1436,MATCH($B495,VN_국채일별!$A$4:$A$1436,1))+(INDEX(VN_국채일별!$E$4:$E$1436,MATCH($B495,VN_국채일별!$A$4:$A$1436,1))-INDEX(VN_국채일별!$D$4:$D$1436,MATCH($B495,VN_국채일별!$A$4:$A$1436,1)))*($J495-3)/2,IF($J495&lt;=7,INDEX(VN_국채일별!$E$4:$E$1436,MATCH($B495,VN_국채일별!$A$4:$A$1436,1))+(INDEX(VN_국채일별!$F$4:$F$1436,MATCH($B495,VN_국채일별!$A$4:$A$1436,1))-INDEX(VN_국채일별!$E$4:$E$1436,MATCH($B495,VN_국채일별!$A$4:$A$1436,1)))*($J495-5)/2,IF($J495&lt;=10,INDEX(VN_국채일별!$F$4:$F$1436,MATCH($B495,VN_국채일별!$A$4:$A$1436,1))+(INDEX(VN_국채일별!$G$4:$G$1436,MATCH($B495,VN_국채일별!$A$4:$A$1436,1))-INDEX(VN_국채일별!$F$4:$F$1436,MATCH($B495,VN_국채일별!$A$4:$A$1436,1)))*($J495-7)/3,INDEX(VN_국채일별!$G$4:$G$1436,MATCH($B495,VN_국채일별!$A$4:$A$1436,1)))))))),""))</f>
        <v>0.03285</v>
      </c>
      <c r="R495" s="58" t="str">
        <f aca="false">IF(OR(L495="",Q495=""),"",(L495-Q495)*10000)</f>
        <v/>
      </c>
      <c r="S495" s="30" t="n">
        <f aca="false">IF(AND(K495="고정",N495="N",J495&gt;=2,J495&lt;=4,I495&lt;&gt;""),1,0)</f>
        <v>0</v>
      </c>
      <c r="T495" s="59" t="n">
        <f aca="false">IF(S495=1,I495*L495,0)</f>
        <v>0</v>
      </c>
      <c r="U495" s="60" t="n">
        <f aca="false">IF(AND(S495=1,ISNUMBER(R495)),I495*R495,0)</f>
        <v>0</v>
      </c>
      <c r="V495" s="30" t="n">
        <f aca="false">IF(AND(F495="Big4(국영)",K495="고정",N495="N",I495&lt;&gt;""),1,0)</f>
        <v>0</v>
      </c>
      <c r="W495" s="59" t="n">
        <f aca="false">IF(V495=1,I495*L495,0)</f>
        <v>0</v>
      </c>
      <c r="X495" s="60" t="n">
        <f aca="false">IF(AND(V495=1,ISNUMBER(R495)),I495*R495,0)</f>
        <v>0</v>
      </c>
      <c r="Y495" s="61" t="n">
        <f aca="false">IF(AND(S495=1,ISNUMBER(R495)),I495,0)</f>
        <v>0</v>
      </c>
      <c r="Z495" s="61" t="n">
        <f aca="false">IF(AND(V495=1,ISNUMBER(R495)),I495,0)</f>
        <v>0</v>
      </c>
    </row>
    <row r="496" customFormat="false" ht="15" hidden="false" customHeight="false" outlineLevel="0" collapsed="false">
      <c r="A496" s="47" t="s">
        <v>883</v>
      </c>
      <c r="B496" s="52" t="n">
        <v>45826</v>
      </c>
      <c r="C496" s="53" t="n">
        <f aca="false">DATE(YEAR(B496),MONTH(B496),1)</f>
        <v>45809</v>
      </c>
      <c r="D496" s="5" t="str">
        <f aca="false">YEAR(B496)&amp;"Q"&amp;ROUNDUP(MONTH(B496)/3,0)</f>
        <v>2025Q2</v>
      </c>
      <c r="E496" s="47" t="s">
        <v>181</v>
      </c>
      <c r="F496" s="54" t="s">
        <v>139</v>
      </c>
      <c r="G496" s="47" t="s">
        <v>182</v>
      </c>
      <c r="H496" s="47" t="s">
        <v>923</v>
      </c>
      <c r="I496" s="55" t="n">
        <v>3000</v>
      </c>
      <c r="J496" s="56" t="n">
        <v>3</v>
      </c>
      <c r="K496" s="54" t="s">
        <v>142</v>
      </c>
      <c r="L496" s="57" t="n">
        <v>0.054</v>
      </c>
      <c r="N496" s="47" t="s">
        <v>148</v>
      </c>
      <c r="O496" s="47" t="s">
        <v>575</v>
      </c>
      <c r="P496" s="47"/>
      <c r="Q496" s="48" t="n">
        <f aca="false">IF($J496="","",IFERROR(IF($J496&lt;=1,INDEX(VN_국채일별!$B$4:$B$1436,MATCH($B496,VN_국채일별!$A$4:$A$1436,1)),IF($J496&lt;=2,INDEX(VN_국채일별!$B$4:$B$1436,MATCH($B496,VN_국채일별!$A$4:$A$1436,1))+(INDEX(VN_국채일별!$C$4:$C$1436,MATCH($B496,VN_국채일별!$A$4:$A$1436,1))-INDEX(VN_국채일별!$B$4:$B$1436,MATCH($B496,VN_국채일별!$A$4:$A$1436,1)))*($J496-1),IF($J496&lt;=3,INDEX(VN_국채일별!$C$4:$C$1436,MATCH($B496,VN_국채일별!$A$4:$A$1436,1))+(INDEX(VN_국채일별!$D$4:$D$1436,MATCH($B496,VN_국채일별!$A$4:$A$1436,1))-INDEX(VN_국채일별!$C$4:$C$1436,MATCH($B496,VN_국채일별!$A$4:$A$1436,1)))*($J496-2),IF($J496&lt;=5,INDEX(VN_국채일별!$D$4:$D$1436,MATCH($B496,VN_국채일별!$A$4:$A$1436,1))+(INDEX(VN_국채일별!$E$4:$E$1436,MATCH($B496,VN_국채일별!$A$4:$A$1436,1))-INDEX(VN_국채일별!$D$4:$D$1436,MATCH($B496,VN_국채일별!$A$4:$A$1436,1)))*($J496-3)/2,IF($J496&lt;=7,INDEX(VN_국채일별!$E$4:$E$1436,MATCH($B496,VN_국채일별!$A$4:$A$1436,1))+(INDEX(VN_국채일별!$F$4:$F$1436,MATCH($B496,VN_국채일별!$A$4:$A$1436,1))-INDEX(VN_국채일별!$E$4:$E$1436,MATCH($B496,VN_국채일별!$A$4:$A$1436,1)))*($J496-5)/2,IF($J496&lt;=10,INDEX(VN_국채일별!$F$4:$F$1436,MATCH($B496,VN_국채일별!$A$4:$A$1436,1))+(INDEX(VN_국채일별!$G$4:$G$1436,MATCH($B496,VN_국채일별!$A$4:$A$1436,1))-INDEX(VN_국채일별!$F$4:$F$1436,MATCH($B496,VN_국채일별!$A$4:$A$1436,1)))*($J496-7)/3,INDEX(VN_국채일별!$G$4:$G$1436,MATCH($B496,VN_국채일별!$A$4:$A$1436,1)))))))),""))</f>
        <v>0.02412</v>
      </c>
      <c r="R496" s="58" t="n">
        <f aca="false">IF(OR(L496="",Q496=""),"",(L496-Q496)*10000)</f>
        <v>298.8</v>
      </c>
      <c r="S496" s="30" t="n">
        <f aca="false">IF(AND(K496="고정",N496="N",J496&gt;=2,J496&lt;=4,I496&lt;&gt;""),1,0)</f>
        <v>1</v>
      </c>
      <c r="T496" s="59" t="n">
        <f aca="false">IF(S496=1,I496*L496,0)</f>
        <v>162</v>
      </c>
      <c r="U496" s="60" t="n">
        <f aca="false">IF(AND(S496=1,ISNUMBER(R496)),I496*R496,0)</f>
        <v>896400</v>
      </c>
      <c r="V496" s="30" t="n">
        <f aca="false">IF(AND(F496="Big4(국영)",K496="고정",N496="N",I496&lt;&gt;""),1,0)</f>
        <v>0</v>
      </c>
      <c r="W496" s="59" t="n">
        <f aca="false">IF(V496=1,I496*L496,0)</f>
        <v>0</v>
      </c>
      <c r="X496" s="60" t="n">
        <f aca="false">IF(AND(V496=1,ISNUMBER(R496)),I496*R496,0)</f>
        <v>0</v>
      </c>
      <c r="Y496" s="61" t="n">
        <f aca="false">IF(AND(S496=1,ISNUMBER(R496)),I496,0)</f>
        <v>3000</v>
      </c>
      <c r="Z496" s="61" t="n">
        <f aca="false">IF(AND(V496=1,ISNUMBER(R496)),I496,0)</f>
        <v>0</v>
      </c>
    </row>
    <row r="497" customFormat="false" ht="15" hidden="false" customHeight="false" outlineLevel="0" collapsed="false">
      <c r="A497" s="47" t="s">
        <v>883</v>
      </c>
      <c r="B497" s="52" t="n">
        <v>45827</v>
      </c>
      <c r="C497" s="53" t="n">
        <f aca="false">DATE(YEAR(B497),MONTH(B497),1)</f>
        <v>45809</v>
      </c>
      <c r="D497" s="5" t="str">
        <f aca="false">YEAR(B497)&amp;"Q"&amp;ROUNDUP(MONTH(B497)/3,0)</f>
        <v>2025Q2</v>
      </c>
      <c r="E497" s="47" t="s">
        <v>160</v>
      </c>
      <c r="F497" s="54" t="s">
        <v>139</v>
      </c>
      <c r="G497" s="47" t="s">
        <v>161</v>
      </c>
      <c r="H497" s="47" t="s">
        <v>924</v>
      </c>
      <c r="I497" s="55" t="n">
        <v>5000</v>
      </c>
      <c r="J497" s="56" t="n">
        <v>3</v>
      </c>
      <c r="K497" s="54" t="s">
        <v>142</v>
      </c>
      <c r="L497" s="57" t="n">
        <v>0.05</v>
      </c>
      <c r="N497" s="47" t="s">
        <v>148</v>
      </c>
      <c r="O497" s="47" t="s">
        <v>530</v>
      </c>
      <c r="P497" s="47"/>
      <c r="Q497" s="48" t="n">
        <f aca="false">IF($J497="","",IFERROR(IF($J497&lt;=1,INDEX(VN_국채일별!$B$4:$B$1436,MATCH($B497,VN_국채일별!$A$4:$A$1436,1)),IF($J497&lt;=2,INDEX(VN_국채일별!$B$4:$B$1436,MATCH($B497,VN_국채일별!$A$4:$A$1436,1))+(INDEX(VN_국채일별!$C$4:$C$1436,MATCH($B497,VN_국채일별!$A$4:$A$1436,1))-INDEX(VN_국채일별!$B$4:$B$1436,MATCH($B497,VN_국채일별!$A$4:$A$1436,1)))*($J497-1),IF($J497&lt;=3,INDEX(VN_국채일별!$C$4:$C$1436,MATCH($B497,VN_국채일별!$A$4:$A$1436,1))+(INDEX(VN_국채일별!$D$4:$D$1436,MATCH($B497,VN_국채일별!$A$4:$A$1436,1))-INDEX(VN_국채일별!$C$4:$C$1436,MATCH($B497,VN_국채일별!$A$4:$A$1436,1)))*($J497-2),IF($J497&lt;=5,INDEX(VN_국채일별!$D$4:$D$1436,MATCH($B497,VN_국채일별!$A$4:$A$1436,1))+(INDEX(VN_국채일별!$E$4:$E$1436,MATCH($B497,VN_국채일별!$A$4:$A$1436,1))-INDEX(VN_국채일별!$D$4:$D$1436,MATCH($B497,VN_국채일별!$A$4:$A$1436,1)))*($J497-3)/2,IF($J497&lt;=7,INDEX(VN_국채일별!$E$4:$E$1436,MATCH($B497,VN_국채일별!$A$4:$A$1436,1))+(INDEX(VN_국채일별!$F$4:$F$1436,MATCH($B497,VN_국채일별!$A$4:$A$1436,1))-INDEX(VN_국채일별!$E$4:$E$1436,MATCH($B497,VN_국채일별!$A$4:$A$1436,1)))*($J497-5)/2,IF($J497&lt;=10,INDEX(VN_국채일별!$F$4:$F$1436,MATCH($B497,VN_국채일별!$A$4:$A$1436,1))+(INDEX(VN_국채일별!$G$4:$G$1436,MATCH($B497,VN_국채일별!$A$4:$A$1436,1))-INDEX(VN_국채일별!$F$4:$F$1436,MATCH($B497,VN_국채일별!$A$4:$A$1436,1)))*($J497-7)/3,INDEX(VN_국채일별!$G$4:$G$1436,MATCH($B497,VN_국채일별!$A$4:$A$1436,1)))))))),""))</f>
        <v>0.02412</v>
      </c>
      <c r="R497" s="58" t="n">
        <f aca="false">IF(OR(L497="",Q497=""),"",(L497-Q497)*10000)</f>
        <v>258.8</v>
      </c>
      <c r="S497" s="30" t="n">
        <f aca="false">IF(AND(K497="고정",N497="N",J497&gt;=2,J497&lt;=4,I497&lt;&gt;""),1,0)</f>
        <v>1</v>
      </c>
      <c r="T497" s="59" t="n">
        <f aca="false">IF(S497=1,I497*L497,0)</f>
        <v>250</v>
      </c>
      <c r="U497" s="60" t="n">
        <f aca="false">IF(AND(S497=1,ISNUMBER(R497)),I497*R497,0)</f>
        <v>1294000</v>
      </c>
      <c r="V497" s="30" t="n">
        <f aca="false">IF(AND(F497="Big4(국영)",K497="고정",N497="N",I497&lt;&gt;""),1,0)</f>
        <v>0</v>
      </c>
      <c r="W497" s="59" t="n">
        <f aca="false">IF(V497=1,I497*L497,0)</f>
        <v>0</v>
      </c>
      <c r="X497" s="60" t="n">
        <f aca="false">IF(AND(V497=1,ISNUMBER(R497)),I497*R497,0)</f>
        <v>0</v>
      </c>
      <c r="Y497" s="61" t="n">
        <f aca="false">IF(AND(S497=1,ISNUMBER(R497)),I497,0)</f>
        <v>5000</v>
      </c>
      <c r="Z497" s="61" t="n">
        <f aca="false">IF(AND(V497=1,ISNUMBER(R497)),I497,0)</f>
        <v>0</v>
      </c>
    </row>
    <row r="498" customFormat="false" ht="15" hidden="false" customHeight="false" outlineLevel="0" collapsed="false">
      <c r="A498" s="47" t="s">
        <v>883</v>
      </c>
      <c r="B498" s="52" t="n">
        <v>45827</v>
      </c>
      <c r="C498" s="53" t="n">
        <f aca="false">DATE(YEAR(B498),MONTH(B498),1)</f>
        <v>45809</v>
      </c>
      <c r="D498" s="5" t="str">
        <f aca="false">YEAR(B498)&amp;"Q"&amp;ROUNDUP(MONTH(B498)/3,0)</f>
        <v>2025Q2</v>
      </c>
      <c r="E498" s="47" t="s">
        <v>365</v>
      </c>
      <c r="F498" s="54" t="s">
        <v>139</v>
      </c>
      <c r="G498" s="47" t="s">
        <v>366</v>
      </c>
      <c r="H498" s="47" t="s">
        <v>925</v>
      </c>
      <c r="I498" s="55" t="n">
        <v>195.9</v>
      </c>
      <c r="J498" s="56" t="n">
        <v>10</v>
      </c>
      <c r="K498" s="54" t="s">
        <v>153</v>
      </c>
      <c r="N498" s="47" t="s">
        <v>143</v>
      </c>
      <c r="O498" s="47" t="s">
        <v>890</v>
      </c>
      <c r="P498" s="47"/>
      <c r="Q498" s="48" t="n">
        <f aca="false">IF($J498="","",IFERROR(IF($J498&lt;=1,INDEX(VN_국채일별!$B$4:$B$1436,MATCH($B498,VN_국채일별!$A$4:$A$1436,1)),IF($J498&lt;=2,INDEX(VN_국채일별!$B$4:$B$1436,MATCH($B498,VN_국채일별!$A$4:$A$1436,1))+(INDEX(VN_국채일별!$C$4:$C$1436,MATCH($B498,VN_국채일별!$A$4:$A$1436,1))-INDEX(VN_국채일별!$B$4:$B$1436,MATCH($B498,VN_국채일별!$A$4:$A$1436,1)))*($J498-1),IF($J498&lt;=3,INDEX(VN_국채일별!$C$4:$C$1436,MATCH($B498,VN_국채일별!$A$4:$A$1436,1))+(INDEX(VN_국채일별!$D$4:$D$1436,MATCH($B498,VN_국채일별!$A$4:$A$1436,1))-INDEX(VN_국채일별!$C$4:$C$1436,MATCH($B498,VN_국채일별!$A$4:$A$1436,1)))*($J498-2),IF($J498&lt;=5,INDEX(VN_국채일별!$D$4:$D$1436,MATCH($B498,VN_국채일별!$A$4:$A$1436,1))+(INDEX(VN_국채일별!$E$4:$E$1436,MATCH($B498,VN_국채일별!$A$4:$A$1436,1))-INDEX(VN_국채일별!$D$4:$D$1436,MATCH($B498,VN_국채일별!$A$4:$A$1436,1)))*($J498-3)/2,IF($J498&lt;=7,INDEX(VN_국채일별!$E$4:$E$1436,MATCH($B498,VN_국채일별!$A$4:$A$1436,1))+(INDEX(VN_국채일별!$F$4:$F$1436,MATCH($B498,VN_국채일별!$A$4:$A$1436,1))-INDEX(VN_국채일별!$E$4:$E$1436,MATCH($B498,VN_국채일별!$A$4:$A$1436,1)))*($J498-5)/2,IF($J498&lt;=10,INDEX(VN_국채일별!$F$4:$F$1436,MATCH($B498,VN_국채일별!$A$4:$A$1436,1))+(INDEX(VN_국채일별!$G$4:$G$1436,MATCH($B498,VN_국채일별!$A$4:$A$1436,1))-INDEX(VN_국채일별!$F$4:$F$1436,MATCH($B498,VN_국채일별!$A$4:$A$1436,1)))*($J498-7)/3,INDEX(VN_국채일별!$G$4:$G$1436,MATCH($B498,VN_국채일별!$A$4:$A$1436,1)))))))),""))</f>
        <v>0.0329</v>
      </c>
      <c r="R498" s="58" t="str">
        <f aca="false">IF(OR(L498="",Q498=""),"",(L498-Q498)*10000)</f>
        <v/>
      </c>
      <c r="S498" s="30" t="n">
        <f aca="false">IF(AND(K498="고정",N498="N",J498&gt;=2,J498&lt;=4,I498&lt;&gt;""),1,0)</f>
        <v>0</v>
      </c>
      <c r="T498" s="59" t="n">
        <f aca="false">IF(S498=1,I498*L498,0)</f>
        <v>0</v>
      </c>
      <c r="U498" s="60" t="n">
        <f aca="false">IF(AND(S498=1,ISNUMBER(R498)),I498*R498,0)</f>
        <v>0</v>
      </c>
      <c r="V498" s="30" t="n">
        <f aca="false">IF(AND(F498="Big4(국영)",K498="고정",N498="N",I498&lt;&gt;""),1,0)</f>
        <v>0</v>
      </c>
      <c r="W498" s="59" t="n">
        <f aca="false">IF(V498=1,I498*L498,0)</f>
        <v>0</v>
      </c>
      <c r="X498" s="60" t="n">
        <f aca="false">IF(AND(V498=1,ISNUMBER(R498)),I498*R498,0)</f>
        <v>0</v>
      </c>
      <c r="Y498" s="61" t="n">
        <f aca="false">IF(AND(S498=1,ISNUMBER(R498)),I498,0)</f>
        <v>0</v>
      </c>
      <c r="Z498" s="61" t="n">
        <f aca="false">IF(AND(V498=1,ISNUMBER(R498)),I498,0)</f>
        <v>0</v>
      </c>
    </row>
    <row r="499" customFormat="false" ht="15" hidden="false" customHeight="false" outlineLevel="0" collapsed="false">
      <c r="A499" s="47" t="s">
        <v>883</v>
      </c>
      <c r="B499" s="52" t="n">
        <v>45828</v>
      </c>
      <c r="C499" s="53" t="n">
        <f aca="false">DATE(YEAR(B499),MONTH(B499),1)</f>
        <v>45809</v>
      </c>
      <c r="D499" s="5" t="str">
        <f aca="false">YEAR(B499)&amp;"Q"&amp;ROUNDUP(MONTH(B499)/3,0)</f>
        <v>2025Q2</v>
      </c>
      <c r="E499" s="47" t="s">
        <v>365</v>
      </c>
      <c r="F499" s="54" t="s">
        <v>139</v>
      </c>
      <c r="G499" s="47" t="s">
        <v>366</v>
      </c>
      <c r="H499" s="47" t="s">
        <v>926</v>
      </c>
      <c r="I499" s="55" t="n">
        <v>118.1</v>
      </c>
      <c r="J499" s="56" t="n">
        <v>10</v>
      </c>
      <c r="K499" s="54" t="s">
        <v>153</v>
      </c>
      <c r="N499" s="47" t="s">
        <v>143</v>
      </c>
      <c r="O499" s="47" t="s">
        <v>890</v>
      </c>
      <c r="P499" s="47"/>
      <c r="Q499" s="48" t="n">
        <f aca="false">IF($J499="","",IFERROR(IF($J499&lt;=1,INDEX(VN_국채일별!$B$4:$B$1436,MATCH($B499,VN_국채일별!$A$4:$A$1436,1)),IF($J499&lt;=2,INDEX(VN_국채일별!$B$4:$B$1436,MATCH($B499,VN_국채일별!$A$4:$A$1436,1))+(INDEX(VN_국채일별!$C$4:$C$1436,MATCH($B499,VN_국채일별!$A$4:$A$1436,1))-INDEX(VN_국채일별!$B$4:$B$1436,MATCH($B499,VN_국채일별!$A$4:$A$1436,1)))*($J499-1),IF($J499&lt;=3,INDEX(VN_국채일별!$C$4:$C$1436,MATCH($B499,VN_국채일별!$A$4:$A$1436,1))+(INDEX(VN_국채일별!$D$4:$D$1436,MATCH($B499,VN_국채일별!$A$4:$A$1436,1))-INDEX(VN_국채일별!$C$4:$C$1436,MATCH($B499,VN_국채일별!$A$4:$A$1436,1)))*($J499-2),IF($J499&lt;=5,INDEX(VN_국채일별!$D$4:$D$1436,MATCH($B499,VN_국채일별!$A$4:$A$1436,1))+(INDEX(VN_국채일별!$E$4:$E$1436,MATCH($B499,VN_국채일별!$A$4:$A$1436,1))-INDEX(VN_국채일별!$D$4:$D$1436,MATCH($B499,VN_국채일별!$A$4:$A$1436,1)))*($J499-3)/2,IF($J499&lt;=7,INDEX(VN_국채일별!$E$4:$E$1436,MATCH($B499,VN_국채일별!$A$4:$A$1436,1))+(INDEX(VN_국채일별!$F$4:$F$1436,MATCH($B499,VN_국채일별!$A$4:$A$1436,1))-INDEX(VN_국채일별!$E$4:$E$1436,MATCH($B499,VN_국채일별!$A$4:$A$1436,1)))*($J499-5)/2,IF($J499&lt;=10,INDEX(VN_국채일별!$F$4:$F$1436,MATCH($B499,VN_국채일별!$A$4:$A$1436,1))+(INDEX(VN_국채일별!$G$4:$G$1436,MATCH($B499,VN_국채일별!$A$4:$A$1436,1))-INDEX(VN_국채일별!$F$4:$F$1436,MATCH($B499,VN_국채일별!$A$4:$A$1436,1)))*($J499-7)/3,INDEX(VN_국채일별!$G$4:$G$1436,MATCH($B499,VN_국채일별!$A$4:$A$1436,1)))))))),""))</f>
        <v>0.03307</v>
      </c>
      <c r="R499" s="58" t="str">
        <f aca="false">IF(OR(L499="",Q499=""),"",(L499-Q499)*10000)</f>
        <v/>
      </c>
      <c r="S499" s="30" t="n">
        <f aca="false">IF(AND(K499="고정",N499="N",J499&gt;=2,J499&lt;=4,I499&lt;&gt;""),1,0)</f>
        <v>0</v>
      </c>
      <c r="T499" s="59" t="n">
        <f aca="false">IF(S499=1,I499*L499,0)</f>
        <v>0</v>
      </c>
      <c r="U499" s="60" t="n">
        <f aca="false">IF(AND(S499=1,ISNUMBER(R499)),I499*R499,0)</f>
        <v>0</v>
      </c>
      <c r="V499" s="30" t="n">
        <f aca="false">IF(AND(F499="Big4(국영)",K499="고정",N499="N",I499&lt;&gt;""),1,0)</f>
        <v>0</v>
      </c>
      <c r="W499" s="59" t="n">
        <f aca="false">IF(V499=1,I499*L499,0)</f>
        <v>0</v>
      </c>
      <c r="X499" s="60" t="n">
        <f aca="false">IF(AND(V499=1,ISNUMBER(R499)),I499*R499,0)</f>
        <v>0</v>
      </c>
      <c r="Y499" s="61" t="n">
        <f aca="false">IF(AND(S499=1,ISNUMBER(R499)),I499,0)</f>
        <v>0</v>
      </c>
      <c r="Z499" s="61" t="n">
        <f aca="false">IF(AND(V499=1,ISNUMBER(R499)),I499,0)</f>
        <v>0</v>
      </c>
    </row>
    <row r="500" customFormat="false" ht="15" hidden="false" customHeight="false" outlineLevel="0" collapsed="false">
      <c r="A500" s="47" t="s">
        <v>883</v>
      </c>
      <c r="B500" s="52" t="n">
        <v>45828</v>
      </c>
      <c r="C500" s="53" t="n">
        <f aca="false">DATE(YEAR(B500),MONTH(B500),1)</f>
        <v>45809</v>
      </c>
      <c r="D500" s="5" t="str">
        <f aca="false">YEAR(B500)&amp;"Q"&amp;ROUNDUP(MONTH(B500)/3,0)</f>
        <v>2025Q2</v>
      </c>
      <c r="E500" s="47" t="s">
        <v>160</v>
      </c>
      <c r="F500" s="54" t="s">
        <v>139</v>
      </c>
      <c r="G500" s="47" t="s">
        <v>161</v>
      </c>
      <c r="H500" s="47" t="s">
        <v>927</v>
      </c>
      <c r="I500" s="55" t="n">
        <v>200</v>
      </c>
      <c r="J500" s="56" t="n">
        <v>8</v>
      </c>
      <c r="K500" s="54" t="s">
        <v>153</v>
      </c>
      <c r="N500" s="47" t="s">
        <v>143</v>
      </c>
      <c r="O500" s="47" t="s">
        <v>847</v>
      </c>
      <c r="P500" s="47"/>
      <c r="Q500" s="48" t="n">
        <f aca="false">IF($J500="","",IFERROR(IF($J500&lt;=1,INDEX(VN_국채일별!$B$4:$B$1436,MATCH($B500,VN_국채일별!$A$4:$A$1436,1)),IF($J500&lt;=2,INDEX(VN_국채일별!$B$4:$B$1436,MATCH($B500,VN_국채일별!$A$4:$A$1436,1))+(INDEX(VN_국채일별!$C$4:$C$1436,MATCH($B500,VN_국채일별!$A$4:$A$1436,1))-INDEX(VN_국채일별!$B$4:$B$1436,MATCH($B500,VN_국채일별!$A$4:$A$1436,1)))*($J500-1),IF($J500&lt;=3,INDEX(VN_국채일별!$C$4:$C$1436,MATCH($B500,VN_국채일별!$A$4:$A$1436,1))+(INDEX(VN_국채일별!$D$4:$D$1436,MATCH($B500,VN_국채일별!$A$4:$A$1436,1))-INDEX(VN_국채일별!$C$4:$C$1436,MATCH($B500,VN_국채일별!$A$4:$A$1436,1)))*($J500-2),IF($J500&lt;=5,INDEX(VN_국채일별!$D$4:$D$1436,MATCH($B500,VN_국채일별!$A$4:$A$1436,1))+(INDEX(VN_국채일별!$E$4:$E$1436,MATCH($B500,VN_국채일별!$A$4:$A$1436,1))-INDEX(VN_국채일별!$D$4:$D$1436,MATCH($B500,VN_국채일별!$A$4:$A$1436,1)))*($J500-3)/2,IF($J500&lt;=7,INDEX(VN_국채일별!$E$4:$E$1436,MATCH($B500,VN_국채일별!$A$4:$A$1436,1))+(INDEX(VN_국채일별!$F$4:$F$1436,MATCH($B500,VN_국채일별!$A$4:$A$1436,1))-INDEX(VN_국채일별!$E$4:$E$1436,MATCH($B500,VN_국채일별!$A$4:$A$1436,1)))*($J500-5)/2,IF($J500&lt;=10,INDEX(VN_국채일별!$F$4:$F$1436,MATCH($B500,VN_국채일별!$A$4:$A$1436,1))+(INDEX(VN_국채일별!$G$4:$G$1436,MATCH($B500,VN_국채일별!$A$4:$A$1436,1))-INDEX(VN_국채일별!$F$4:$F$1436,MATCH($B500,VN_국채일별!$A$4:$A$1436,1)))*($J500-7)/3,INDEX(VN_국채일별!$G$4:$G$1436,MATCH($B500,VN_국채일별!$A$4:$A$1436,1)))))))),""))</f>
        <v>0.03165</v>
      </c>
      <c r="R500" s="58" t="str">
        <f aca="false">IF(OR(L500="",Q500=""),"",(L500-Q500)*10000)</f>
        <v/>
      </c>
      <c r="S500" s="30" t="n">
        <f aca="false">IF(AND(K500="고정",N500="N",J500&gt;=2,J500&lt;=4,I500&lt;&gt;""),1,0)</f>
        <v>0</v>
      </c>
      <c r="T500" s="59" t="n">
        <f aca="false">IF(S500=1,I500*L500,0)</f>
        <v>0</v>
      </c>
      <c r="U500" s="60" t="n">
        <f aca="false">IF(AND(S500=1,ISNUMBER(R500)),I500*R500,0)</f>
        <v>0</v>
      </c>
      <c r="V500" s="30" t="n">
        <f aca="false">IF(AND(F500="Big4(국영)",K500="고정",N500="N",I500&lt;&gt;""),1,0)</f>
        <v>0</v>
      </c>
      <c r="W500" s="59" t="n">
        <f aca="false">IF(V500=1,I500*L500,0)</f>
        <v>0</v>
      </c>
      <c r="X500" s="60" t="n">
        <f aca="false">IF(AND(V500=1,ISNUMBER(R500)),I500*R500,0)</f>
        <v>0</v>
      </c>
      <c r="Y500" s="61" t="n">
        <f aca="false">IF(AND(S500=1,ISNUMBER(R500)),I500,0)</f>
        <v>0</v>
      </c>
      <c r="Z500" s="61" t="n">
        <f aca="false">IF(AND(V500=1,ISNUMBER(R500)),I500,0)</f>
        <v>0</v>
      </c>
    </row>
    <row r="501" customFormat="false" ht="15" hidden="false" customHeight="false" outlineLevel="0" collapsed="false">
      <c r="A501" s="47" t="s">
        <v>883</v>
      </c>
      <c r="B501" s="52" t="n">
        <v>45828</v>
      </c>
      <c r="C501" s="53" t="n">
        <f aca="false">DATE(YEAR(B501),MONTH(B501),1)</f>
        <v>45809</v>
      </c>
      <c r="D501" s="5" t="str">
        <f aca="false">YEAR(B501)&amp;"Q"&amp;ROUNDUP(MONTH(B501)/3,0)</f>
        <v>2025Q2</v>
      </c>
      <c r="E501" s="62" t="s">
        <v>155</v>
      </c>
      <c r="F501" s="62" t="s">
        <v>156</v>
      </c>
      <c r="G501" s="47" t="s">
        <v>157</v>
      </c>
      <c r="H501" s="47" t="s">
        <v>928</v>
      </c>
      <c r="I501" s="55" t="n">
        <v>122</v>
      </c>
      <c r="J501" s="56" t="n">
        <v>8</v>
      </c>
      <c r="K501" s="54" t="s">
        <v>153</v>
      </c>
      <c r="N501" s="47" t="s">
        <v>143</v>
      </c>
      <c r="O501" s="47" t="s">
        <v>870</v>
      </c>
      <c r="P501" s="47"/>
      <c r="Q501" s="48" t="n">
        <f aca="false">IF($J501="","",IFERROR(IF($J501&lt;=1,INDEX(VN_국채일별!$B$4:$B$1436,MATCH($B501,VN_국채일별!$A$4:$A$1436,1)),IF($J501&lt;=2,INDEX(VN_국채일별!$B$4:$B$1436,MATCH($B501,VN_국채일별!$A$4:$A$1436,1))+(INDEX(VN_국채일별!$C$4:$C$1436,MATCH($B501,VN_국채일별!$A$4:$A$1436,1))-INDEX(VN_국채일별!$B$4:$B$1436,MATCH($B501,VN_국채일별!$A$4:$A$1436,1)))*($J501-1),IF($J501&lt;=3,INDEX(VN_국채일별!$C$4:$C$1436,MATCH($B501,VN_국채일별!$A$4:$A$1436,1))+(INDEX(VN_국채일별!$D$4:$D$1436,MATCH($B501,VN_국채일별!$A$4:$A$1436,1))-INDEX(VN_국채일별!$C$4:$C$1436,MATCH($B501,VN_국채일별!$A$4:$A$1436,1)))*($J501-2),IF($J501&lt;=5,INDEX(VN_국채일별!$D$4:$D$1436,MATCH($B501,VN_국채일별!$A$4:$A$1436,1))+(INDEX(VN_국채일별!$E$4:$E$1436,MATCH($B501,VN_국채일별!$A$4:$A$1436,1))-INDEX(VN_국채일별!$D$4:$D$1436,MATCH($B501,VN_국채일별!$A$4:$A$1436,1)))*($J501-3)/2,IF($J501&lt;=7,INDEX(VN_국채일별!$E$4:$E$1436,MATCH($B501,VN_국채일별!$A$4:$A$1436,1))+(INDEX(VN_국채일별!$F$4:$F$1436,MATCH($B501,VN_국채일별!$A$4:$A$1436,1))-INDEX(VN_국채일별!$E$4:$E$1436,MATCH($B501,VN_국채일별!$A$4:$A$1436,1)))*($J501-5)/2,IF($J501&lt;=10,INDEX(VN_국채일별!$F$4:$F$1436,MATCH($B501,VN_국채일별!$A$4:$A$1436,1))+(INDEX(VN_국채일별!$G$4:$G$1436,MATCH($B501,VN_국채일별!$A$4:$A$1436,1))-INDEX(VN_국채일별!$F$4:$F$1436,MATCH($B501,VN_국채일별!$A$4:$A$1436,1)))*($J501-7)/3,INDEX(VN_국채일별!$G$4:$G$1436,MATCH($B501,VN_국채일별!$A$4:$A$1436,1)))))))),""))</f>
        <v>0.03165</v>
      </c>
      <c r="R501" s="58" t="str">
        <f aca="false">IF(OR(L501="",Q501=""),"",(L501-Q501)*10000)</f>
        <v/>
      </c>
      <c r="S501" s="30" t="n">
        <f aca="false">IF(AND(K501="고정",N501="N",J501&gt;=2,J501&lt;=4,I501&lt;&gt;""),1,0)</f>
        <v>0</v>
      </c>
      <c r="T501" s="59" t="n">
        <f aca="false">IF(S501=1,I501*L501,0)</f>
        <v>0</v>
      </c>
      <c r="U501" s="60" t="n">
        <f aca="false">IF(AND(S501=1,ISNUMBER(R501)),I501*R501,0)</f>
        <v>0</v>
      </c>
      <c r="V501" s="30" t="n">
        <f aca="false">IF(AND(F501="Big4(국영)",K501="고정",N501="N",I501&lt;&gt;""),1,0)</f>
        <v>0</v>
      </c>
      <c r="W501" s="59" t="n">
        <f aca="false">IF(V501=1,I501*L501,0)</f>
        <v>0</v>
      </c>
      <c r="X501" s="60" t="n">
        <f aca="false">IF(AND(V501=1,ISNUMBER(R501)),I501*R501,0)</f>
        <v>0</v>
      </c>
      <c r="Y501" s="61" t="n">
        <f aca="false">IF(AND(S501=1,ISNUMBER(R501)),I501,0)</f>
        <v>0</v>
      </c>
      <c r="Z501" s="61" t="n">
        <f aca="false">IF(AND(V501=1,ISNUMBER(R501)),I501,0)</f>
        <v>0</v>
      </c>
    </row>
    <row r="502" customFormat="false" ht="15" hidden="false" customHeight="false" outlineLevel="0" collapsed="false">
      <c r="A502" s="47" t="s">
        <v>883</v>
      </c>
      <c r="B502" s="52" t="n">
        <v>45828</v>
      </c>
      <c r="C502" s="53" t="n">
        <f aca="false">DATE(YEAR(B502),MONTH(B502),1)</f>
        <v>45809</v>
      </c>
      <c r="D502" s="5" t="str">
        <f aca="false">YEAR(B502)&amp;"Q"&amp;ROUNDUP(MONTH(B502)/3,0)</f>
        <v>2025Q2</v>
      </c>
      <c r="E502" s="47" t="s">
        <v>307</v>
      </c>
      <c r="F502" s="54" t="s">
        <v>139</v>
      </c>
      <c r="G502" s="47" t="s">
        <v>308</v>
      </c>
      <c r="H502" s="47" t="s">
        <v>929</v>
      </c>
      <c r="I502" s="55" t="n">
        <v>5000</v>
      </c>
      <c r="J502" s="56" t="n">
        <v>2</v>
      </c>
      <c r="K502" s="54" t="s">
        <v>142</v>
      </c>
      <c r="L502" s="57" t="n">
        <v>0.051</v>
      </c>
      <c r="N502" s="47" t="s">
        <v>148</v>
      </c>
      <c r="O502" s="47" t="s">
        <v>510</v>
      </c>
      <c r="P502" s="47"/>
      <c r="Q502" s="48" t="n">
        <f aca="false">IF($J502="","",IFERROR(IF($J502&lt;=1,INDEX(VN_국채일별!$B$4:$B$1436,MATCH($B502,VN_국채일별!$A$4:$A$1436,1)),IF($J502&lt;=2,INDEX(VN_국채일별!$B$4:$B$1436,MATCH($B502,VN_국채일별!$A$4:$A$1436,1))+(INDEX(VN_국채일별!$C$4:$C$1436,MATCH($B502,VN_국채일별!$A$4:$A$1436,1))-INDEX(VN_국채일별!$B$4:$B$1436,MATCH($B502,VN_국채일별!$A$4:$A$1436,1)))*($J502-1),IF($J502&lt;=3,INDEX(VN_국채일별!$C$4:$C$1436,MATCH($B502,VN_국채일별!$A$4:$A$1436,1))+(INDEX(VN_국채일별!$D$4:$D$1436,MATCH($B502,VN_국채일별!$A$4:$A$1436,1))-INDEX(VN_국채일별!$C$4:$C$1436,MATCH($B502,VN_국채일별!$A$4:$A$1436,1)))*($J502-2),IF($J502&lt;=5,INDEX(VN_국채일별!$D$4:$D$1436,MATCH($B502,VN_국채일별!$A$4:$A$1436,1))+(INDEX(VN_국채일별!$E$4:$E$1436,MATCH($B502,VN_국채일별!$A$4:$A$1436,1))-INDEX(VN_국채일별!$D$4:$D$1436,MATCH($B502,VN_국채일별!$A$4:$A$1436,1)))*($J502-3)/2,IF($J502&lt;=7,INDEX(VN_국채일별!$E$4:$E$1436,MATCH($B502,VN_국채일별!$A$4:$A$1436,1))+(INDEX(VN_국채일별!$F$4:$F$1436,MATCH($B502,VN_국채일별!$A$4:$A$1436,1))-INDEX(VN_국채일별!$E$4:$E$1436,MATCH($B502,VN_국채일별!$A$4:$A$1436,1)))*($J502-5)/2,IF($J502&lt;=10,INDEX(VN_국채일별!$F$4:$F$1436,MATCH($B502,VN_국채일별!$A$4:$A$1436,1))+(INDEX(VN_국채일별!$G$4:$G$1436,MATCH($B502,VN_국채일별!$A$4:$A$1436,1))-INDEX(VN_국채일별!$F$4:$F$1436,MATCH($B502,VN_국채일별!$A$4:$A$1436,1)))*($J502-7)/3,INDEX(VN_국채일별!$G$4:$G$1436,MATCH($B502,VN_국채일별!$A$4:$A$1436,1)))))))),""))</f>
        <v>0.02358</v>
      </c>
      <c r="R502" s="58" t="n">
        <f aca="false">IF(OR(L502="",Q502=""),"",(L502-Q502)*10000)</f>
        <v>274.2</v>
      </c>
      <c r="S502" s="30" t="n">
        <f aca="false">IF(AND(K502="고정",N502="N",J502&gt;=2,J502&lt;=4,I502&lt;&gt;""),1,0)</f>
        <v>1</v>
      </c>
      <c r="T502" s="59" t="n">
        <f aca="false">IF(S502=1,I502*L502,0)</f>
        <v>255</v>
      </c>
      <c r="U502" s="60" t="n">
        <f aca="false">IF(AND(S502=1,ISNUMBER(R502)),I502*R502,0)</f>
        <v>1371000</v>
      </c>
      <c r="V502" s="30" t="n">
        <f aca="false">IF(AND(F502="Big4(국영)",K502="고정",N502="N",I502&lt;&gt;""),1,0)</f>
        <v>0</v>
      </c>
      <c r="W502" s="59" t="n">
        <f aca="false">IF(V502=1,I502*L502,0)</f>
        <v>0</v>
      </c>
      <c r="X502" s="60" t="n">
        <f aca="false">IF(AND(V502=1,ISNUMBER(R502)),I502*R502,0)</f>
        <v>0</v>
      </c>
      <c r="Y502" s="61" t="n">
        <f aca="false">IF(AND(S502=1,ISNUMBER(R502)),I502,0)</f>
        <v>5000</v>
      </c>
      <c r="Z502" s="61" t="n">
        <f aca="false">IF(AND(V502=1,ISNUMBER(R502)),I502,0)</f>
        <v>0</v>
      </c>
    </row>
    <row r="503" customFormat="false" ht="15" hidden="false" customHeight="false" outlineLevel="0" collapsed="false">
      <c r="A503" s="47" t="s">
        <v>883</v>
      </c>
      <c r="B503" s="52" t="n">
        <v>45828</v>
      </c>
      <c r="C503" s="53" t="n">
        <f aca="false">DATE(YEAR(B503),MONTH(B503),1)</f>
        <v>45809</v>
      </c>
      <c r="D503" s="5" t="str">
        <f aca="false">YEAR(B503)&amp;"Q"&amp;ROUNDUP(MONTH(B503)/3,0)</f>
        <v>2025Q2</v>
      </c>
      <c r="E503" s="62" t="s">
        <v>155</v>
      </c>
      <c r="F503" s="62" t="s">
        <v>156</v>
      </c>
      <c r="G503" s="47" t="s">
        <v>157</v>
      </c>
      <c r="H503" s="47" t="s">
        <v>930</v>
      </c>
      <c r="I503" s="55" t="n">
        <v>260</v>
      </c>
      <c r="J503" s="56" t="n">
        <v>7</v>
      </c>
      <c r="K503" s="54" t="s">
        <v>153</v>
      </c>
      <c r="N503" s="47" t="s">
        <v>143</v>
      </c>
      <c r="O503" s="47" t="s">
        <v>872</v>
      </c>
      <c r="P503" s="47"/>
      <c r="Q503" s="48" t="n">
        <f aca="false">IF($J503="","",IFERROR(IF($J503&lt;=1,INDEX(VN_국채일별!$B$4:$B$1436,MATCH($B503,VN_국채일별!$A$4:$A$1436,1)),IF($J503&lt;=2,INDEX(VN_국채일별!$B$4:$B$1436,MATCH($B503,VN_국채일별!$A$4:$A$1436,1))+(INDEX(VN_국채일별!$C$4:$C$1436,MATCH($B503,VN_국채일별!$A$4:$A$1436,1))-INDEX(VN_국채일별!$B$4:$B$1436,MATCH($B503,VN_국채일별!$A$4:$A$1436,1)))*($J503-1),IF($J503&lt;=3,INDEX(VN_국채일별!$C$4:$C$1436,MATCH($B503,VN_국채일별!$A$4:$A$1436,1))+(INDEX(VN_국채일별!$D$4:$D$1436,MATCH($B503,VN_국채일별!$A$4:$A$1436,1))-INDEX(VN_국채일별!$C$4:$C$1436,MATCH($B503,VN_국채일별!$A$4:$A$1436,1)))*($J503-2),IF($J503&lt;=5,INDEX(VN_국채일별!$D$4:$D$1436,MATCH($B503,VN_국채일별!$A$4:$A$1436,1))+(INDEX(VN_국채일별!$E$4:$E$1436,MATCH($B503,VN_국채일별!$A$4:$A$1436,1))-INDEX(VN_국채일별!$D$4:$D$1436,MATCH($B503,VN_국채일별!$A$4:$A$1436,1)))*($J503-3)/2,IF($J503&lt;=7,INDEX(VN_국채일별!$E$4:$E$1436,MATCH($B503,VN_국채일별!$A$4:$A$1436,1))+(INDEX(VN_국채일별!$F$4:$F$1436,MATCH($B503,VN_국채일별!$A$4:$A$1436,1))-INDEX(VN_국채일별!$E$4:$E$1436,MATCH($B503,VN_국채일별!$A$4:$A$1436,1)))*($J503-5)/2,IF($J503&lt;=10,INDEX(VN_국채일별!$F$4:$F$1436,MATCH($B503,VN_국채일별!$A$4:$A$1436,1))+(INDEX(VN_국채일별!$G$4:$G$1436,MATCH($B503,VN_국채일별!$A$4:$A$1436,1))-INDEX(VN_국채일별!$F$4:$F$1436,MATCH($B503,VN_국채일별!$A$4:$A$1436,1)))*($J503-7)/3,INDEX(VN_국채일별!$G$4:$G$1436,MATCH($B503,VN_국채일별!$A$4:$A$1436,1)))))))),""))</f>
        <v>0.03094</v>
      </c>
      <c r="R503" s="58" t="str">
        <f aca="false">IF(OR(L503="",Q503=""),"",(L503-Q503)*10000)</f>
        <v/>
      </c>
      <c r="S503" s="30" t="n">
        <f aca="false">IF(AND(K503="고정",N503="N",J503&gt;=2,J503&lt;=4,I503&lt;&gt;""),1,0)</f>
        <v>0</v>
      </c>
      <c r="T503" s="59" t="n">
        <f aca="false">IF(S503=1,I503*L503,0)</f>
        <v>0</v>
      </c>
      <c r="U503" s="60" t="n">
        <f aca="false">IF(AND(S503=1,ISNUMBER(R503)),I503*R503,0)</f>
        <v>0</v>
      </c>
      <c r="V503" s="30" t="n">
        <f aca="false">IF(AND(F503="Big4(국영)",K503="고정",N503="N",I503&lt;&gt;""),1,0)</f>
        <v>0</v>
      </c>
      <c r="W503" s="59" t="n">
        <f aca="false">IF(V503=1,I503*L503,0)</f>
        <v>0</v>
      </c>
      <c r="X503" s="60" t="n">
        <f aca="false">IF(AND(V503=1,ISNUMBER(R503)),I503*R503,0)</f>
        <v>0</v>
      </c>
      <c r="Y503" s="61" t="n">
        <f aca="false">IF(AND(S503=1,ISNUMBER(R503)),I503,0)</f>
        <v>0</v>
      </c>
      <c r="Z503" s="61" t="n">
        <f aca="false">IF(AND(V503=1,ISNUMBER(R503)),I503,0)</f>
        <v>0</v>
      </c>
    </row>
    <row r="504" customFormat="false" ht="15" hidden="false" customHeight="false" outlineLevel="0" collapsed="false">
      <c r="A504" s="47" t="s">
        <v>883</v>
      </c>
      <c r="B504" s="52" t="n">
        <v>45828</v>
      </c>
      <c r="C504" s="53" t="n">
        <f aca="false">DATE(YEAR(B504),MONTH(B504),1)</f>
        <v>45809</v>
      </c>
      <c r="D504" s="5" t="str">
        <f aca="false">YEAR(B504)&amp;"Q"&amp;ROUNDUP(MONTH(B504)/3,0)</f>
        <v>2025Q2</v>
      </c>
      <c r="E504" s="62" t="s">
        <v>173</v>
      </c>
      <c r="F504" s="62" t="s">
        <v>156</v>
      </c>
      <c r="G504" s="47" t="s">
        <v>174</v>
      </c>
      <c r="H504" s="47" t="s">
        <v>931</v>
      </c>
      <c r="I504" s="55" t="n">
        <v>1000</v>
      </c>
      <c r="J504" s="56" t="n">
        <v>8</v>
      </c>
      <c r="K504" s="54" t="s">
        <v>153</v>
      </c>
      <c r="N504" s="47" t="s">
        <v>143</v>
      </c>
      <c r="O504" s="47" t="s">
        <v>932</v>
      </c>
      <c r="P504" s="47"/>
      <c r="Q504" s="48" t="n">
        <f aca="false">IF($J504="","",IFERROR(IF($J504&lt;=1,INDEX(VN_국채일별!$B$4:$B$1436,MATCH($B504,VN_국채일별!$A$4:$A$1436,1)),IF($J504&lt;=2,INDEX(VN_국채일별!$B$4:$B$1436,MATCH($B504,VN_국채일별!$A$4:$A$1436,1))+(INDEX(VN_국채일별!$C$4:$C$1436,MATCH($B504,VN_국채일별!$A$4:$A$1436,1))-INDEX(VN_국채일별!$B$4:$B$1436,MATCH($B504,VN_국채일별!$A$4:$A$1436,1)))*($J504-1),IF($J504&lt;=3,INDEX(VN_국채일별!$C$4:$C$1436,MATCH($B504,VN_국채일별!$A$4:$A$1436,1))+(INDEX(VN_국채일별!$D$4:$D$1436,MATCH($B504,VN_국채일별!$A$4:$A$1436,1))-INDEX(VN_국채일별!$C$4:$C$1436,MATCH($B504,VN_국채일별!$A$4:$A$1436,1)))*($J504-2),IF($J504&lt;=5,INDEX(VN_국채일별!$D$4:$D$1436,MATCH($B504,VN_국채일별!$A$4:$A$1436,1))+(INDEX(VN_국채일별!$E$4:$E$1436,MATCH($B504,VN_국채일별!$A$4:$A$1436,1))-INDEX(VN_국채일별!$D$4:$D$1436,MATCH($B504,VN_국채일별!$A$4:$A$1436,1)))*($J504-3)/2,IF($J504&lt;=7,INDEX(VN_국채일별!$E$4:$E$1436,MATCH($B504,VN_국채일별!$A$4:$A$1436,1))+(INDEX(VN_국채일별!$F$4:$F$1436,MATCH($B504,VN_국채일별!$A$4:$A$1436,1))-INDEX(VN_국채일별!$E$4:$E$1436,MATCH($B504,VN_국채일별!$A$4:$A$1436,1)))*($J504-5)/2,IF($J504&lt;=10,INDEX(VN_국채일별!$F$4:$F$1436,MATCH($B504,VN_국채일별!$A$4:$A$1436,1))+(INDEX(VN_국채일별!$G$4:$G$1436,MATCH($B504,VN_국채일별!$A$4:$A$1436,1))-INDEX(VN_국채일별!$F$4:$F$1436,MATCH($B504,VN_국채일별!$A$4:$A$1436,1)))*($J504-7)/3,INDEX(VN_국채일별!$G$4:$G$1436,MATCH($B504,VN_국채일별!$A$4:$A$1436,1)))))))),""))</f>
        <v>0.03165</v>
      </c>
      <c r="R504" s="58" t="str">
        <f aca="false">IF(OR(L504="",Q504=""),"",(L504-Q504)*10000)</f>
        <v/>
      </c>
      <c r="S504" s="30" t="n">
        <f aca="false">IF(AND(K504="고정",N504="N",J504&gt;=2,J504&lt;=4,I504&lt;&gt;""),1,0)</f>
        <v>0</v>
      </c>
      <c r="T504" s="59" t="n">
        <f aca="false">IF(S504=1,I504*L504,0)</f>
        <v>0</v>
      </c>
      <c r="U504" s="60" t="n">
        <f aca="false">IF(AND(S504=1,ISNUMBER(R504)),I504*R504,0)</f>
        <v>0</v>
      </c>
      <c r="V504" s="30" t="n">
        <f aca="false">IF(AND(F504="Big4(국영)",K504="고정",N504="N",I504&lt;&gt;""),1,0)</f>
        <v>0</v>
      </c>
      <c r="W504" s="59" t="n">
        <f aca="false">IF(V504=1,I504*L504,0)</f>
        <v>0</v>
      </c>
      <c r="X504" s="60" t="n">
        <f aca="false">IF(AND(V504=1,ISNUMBER(R504)),I504*R504,0)</f>
        <v>0</v>
      </c>
      <c r="Y504" s="61" t="n">
        <f aca="false">IF(AND(S504=1,ISNUMBER(R504)),I504,0)</f>
        <v>0</v>
      </c>
      <c r="Z504" s="61" t="n">
        <f aca="false">IF(AND(V504=1,ISNUMBER(R504)),I504,0)</f>
        <v>0</v>
      </c>
    </row>
    <row r="505" customFormat="false" ht="15" hidden="false" customHeight="false" outlineLevel="0" collapsed="false">
      <c r="A505" s="47" t="s">
        <v>883</v>
      </c>
      <c r="B505" s="52" t="n">
        <v>45831</v>
      </c>
      <c r="C505" s="53" t="n">
        <f aca="false">DATE(YEAR(B505),MONTH(B505),1)</f>
        <v>45809</v>
      </c>
      <c r="D505" s="5" t="str">
        <f aca="false">YEAR(B505)&amp;"Q"&amp;ROUNDUP(MONTH(B505)/3,0)</f>
        <v>2025Q2</v>
      </c>
      <c r="E505" s="47" t="s">
        <v>365</v>
      </c>
      <c r="F505" s="54" t="s">
        <v>139</v>
      </c>
      <c r="G505" s="47" t="s">
        <v>366</v>
      </c>
      <c r="H505" s="47" t="s">
        <v>933</v>
      </c>
      <c r="I505" s="55" t="n">
        <v>195.9</v>
      </c>
      <c r="J505" s="56" t="n">
        <v>10</v>
      </c>
      <c r="K505" s="54" t="s">
        <v>153</v>
      </c>
      <c r="N505" s="47" t="s">
        <v>143</v>
      </c>
      <c r="O505" s="47" t="s">
        <v>890</v>
      </c>
      <c r="P505" s="47"/>
      <c r="Q505" s="48" t="n">
        <f aca="false">IF($J505="","",IFERROR(IF($J505&lt;=1,INDEX(VN_국채일별!$B$4:$B$1436,MATCH($B505,VN_국채일별!$A$4:$A$1436,1)),IF($J505&lt;=2,INDEX(VN_국채일별!$B$4:$B$1436,MATCH($B505,VN_국채일별!$A$4:$A$1436,1))+(INDEX(VN_국채일별!$C$4:$C$1436,MATCH($B505,VN_국채일별!$A$4:$A$1436,1))-INDEX(VN_국채일별!$B$4:$B$1436,MATCH($B505,VN_국채일별!$A$4:$A$1436,1)))*($J505-1),IF($J505&lt;=3,INDEX(VN_국채일별!$C$4:$C$1436,MATCH($B505,VN_국채일별!$A$4:$A$1436,1))+(INDEX(VN_국채일별!$D$4:$D$1436,MATCH($B505,VN_국채일별!$A$4:$A$1436,1))-INDEX(VN_국채일별!$C$4:$C$1436,MATCH($B505,VN_국채일별!$A$4:$A$1436,1)))*($J505-2),IF($J505&lt;=5,INDEX(VN_국채일별!$D$4:$D$1436,MATCH($B505,VN_국채일별!$A$4:$A$1436,1))+(INDEX(VN_국채일별!$E$4:$E$1436,MATCH($B505,VN_국채일별!$A$4:$A$1436,1))-INDEX(VN_국채일별!$D$4:$D$1436,MATCH($B505,VN_국채일별!$A$4:$A$1436,1)))*($J505-3)/2,IF($J505&lt;=7,INDEX(VN_국채일별!$E$4:$E$1436,MATCH($B505,VN_국채일별!$A$4:$A$1436,1))+(INDEX(VN_국채일별!$F$4:$F$1436,MATCH($B505,VN_국채일별!$A$4:$A$1436,1))-INDEX(VN_국채일별!$E$4:$E$1436,MATCH($B505,VN_국채일별!$A$4:$A$1436,1)))*($J505-5)/2,IF($J505&lt;=10,INDEX(VN_국채일별!$F$4:$F$1436,MATCH($B505,VN_국채일별!$A$4:$A$1436,1))+(INDEX(VN_국채일별!$G$4:$G$1436,MATCH($B505,VN_국채일별!$A$4:$A$1436,1))-INDEX(VN_국채일별!$F$4:$F$1436,MATCH($B505,VN_국채일별!$A$4:$A$1436,1)))*($J505-7)/3,INDEX(VN_국채일별!$G$4:$G$1436,MATCH($B505,VN_국채일별!$A$4:$A$1436,1)))))))),""))</f>
        <v>0.03315</v>
      </c>
      <c r="R505" s="58" t="str">
        <f aca="false">IF(OR(L505="",Q505=""),"",(L505-Q505)*10000)</f>
        <v/>
      </c>
      <c r="S505" s="30" t="n">
        <f aca="false">IF(AND(K505="고정",N505="N",J505&gt;=2,J505&lt;=4,I505&lt;&gt;""),1,0)</f>
        <v>0</v>
      </c>
      <c r="T505" s="59" t="n">
        <f aca="false">IF(S505=1,I505*L505,0)</f>
        <v>0</v>
      </c>
      <c r="U505" s="60" t="n">
        <f aca="false">IF(AND(S505=1,ISNUMBER(R505)),I505*R505,0)</f>
        <v>0</v>
      </c>
      <c r="V505" s="30" t="n">
        <f aca="false">IF(AND(F505="Big4(국영)",K505="고정",N505="N",I505&lt;&gt;""),1,0)</f>
        <v>0</v>
      </c>
      <c r="W505" s="59" t="n">
        <f aca="false">IF(V505=1,I505*L505,0)</f>
        <v>0</v>
      </c>
      <c r="X505" s="60" t="n">
        <f aca="false">IF(AND(V505=1,ISNUMBER(R505)),I505*R505,0)</f>
        <v>0</v>
      </c>
      <c r="Y505" s="61" t="n">
        <f aca="false">IF(AND(S505=1,ISNUMBER(R505)),I505,0)</f>
        <v>0</v>
      </c>
      <c r="Z505" s="61" t="n">
        <f aca="false">IF(AND(V505=1,ISNUMBER(R505)),I505,0)</f>
        <v>0</v>
      </c>
    </row>
    <row r="506" customFormat="false" ht="15" hidden="false" customHeight="false" outlineLevel="0" collapsed="false">
      <c r="A506" s="47" t="s">
        <v>883</v>
      </c>
      <c r="B506" s="52" t="n">
        <v>45831</v>
      </c>
      <c r="C506" s="53" t="n">
        <f aca="false">DATE(YEAR(B506),MONTH(B506),1)</f>
        <v>45809</v>
      </c>
      <c r="D506" s="5" t="str">
        <f aca="false">YEAR(B506)&amp;"Q"&amp;ROUNDUP(MONTH(B506)/3,0)</f>
        <v>2025Q2</v>
      </c>
      <c r="E506" s="47" t="s">
        <v>160</v>
      </c>
      <c r="F506" s="54" t="s">
        <v>139</v>
      </c>
      <c r="G506" s="47" t="s">
        <v>161</v>
      </c>
      <c r="H506" s="47" t="s">
        <v>934</v>
      </c>
      <c r="I506" s="55" t="n">
        <v>2000</v>
      </c>
      <c r="J506" s="56" t="n">
        <v>3</v>
      </c>
      <c r="K506" s="54" t="s">
        <v>142</v>
      </c>
      <c r="L506" s="57" t="n">
        <v>0.05</v>
      </c>
      <c r="N506" s="47" t="s">
        <v>148</v>
      </c>
      <c r="O506" s="47" t="s">
        <v>530</v>
      </c>
      <c r="P506" s="47"/>
      <c r="Q506" s="48" t="n">
        <f aca="false">IF($J506="","",IFERROR(IF($J506&lt;=1,INDEX(VN_국채일별!$B$4:$B$1436,MATCH($B506,VN_국채일별!$A$4:$A$1436,1)),IF($J506&lt;=2,INDEX(VN_국채일별!$B$4:$B$1436,MATCH($B506,VN_국채일별!$A$4:$A$1436,1))+(INDEX(VN_국채일별!$C$4:$C$1436,MATCH($B506,VN_국채일별!$A$4:$A$1436,1))-INDEX(VN_국채일별!$B$4:$B$1436,MATCH($B506,VN_국채일별!$A$4:$A$1436,1)))*($J506-1),IF($J506&lt;=3,INDEX(VN_국채일별!$C$4:$C$1436,MATCH($B506,VN_국채일별!$A$4:$A$1436,1))+(INDEX(VN_국채일별!$D$4:$D$1436,MATCH($B506,VN_국채일별!$A$4:$A$1436,1))-INDEX(VN_국채일별!$C$4:$C$1436,MATCH($B506,VN_국채일별!$A$4:$A$1436,1)))*($J506-2),IF($J506&lt;=5,INDEX(VN_국채일별!$D$4:$D$1436,MATCH($B506,VN_국채일별!$A$4:$A$1436,1))+(INDEX(VN_국채일별!$E$4:$E$1436,MATCH($B506,VN_국채일별!$A$4:$A$1436,1))-INDEX(VN_국채일별!$D$4:$D$1436,MATCH($B506,VN_국채일별!$A$4:$A$1436,1)))*($J506-3)/2,IF($J506&lt;=7,INDEX(VN_국채일별!$E$4:$E$1436,MATCH($B506,VN_국채일별!$A$4:$A$1436,1))+(INDEX(VN_국채일별!$F$4:$F$1436,MATCH($B506,VN_국채일별!$A$4:$A$1436,1))-INDEX(VN_국채일별!$E$4:$E$1436,MATCH($B506,VN_국채일별!$A$4:$A$1436,1)))*($J506-5)/2,IF($J506&lt;=10,INDEX(VN_국채일별!$F$4:$F$1436,MATCH($B506,VN_국채일별!$A$4:$A$1436,1))+(INDEX(VN_국채일별!$G$4:$G$1436,MATCH($B506,VN_국채일별!$A$4:$A$1436,1))-INDEX(VN_국채일별!$F$4:$F$1436,MATCH($B506,VN_국채일별!$A$4:$A$1436,1)))*($J506-7)/3,INDEX(VN_국채일별!$G$4:$G$1436,MATCH($B506,VN_국채일별!$A$4:$A$1436,1)))))))),""))</f>
        <v>0.02419</v>
      </c>
      <c r="R506" s="58" t="n">
        <f aca="false">IF(OR(L506="",Q506=""),"",(L506-Q506)*10000)</f>
        <v>258.1</v>
      </c>
      <c r="S506" s="30" t="n">
        <f aca="false">IF(AND(K506="고정",N506="N",J506&gt;=2,J506&lt;=4,I506&lt;&gt;""),1,0)</f>
        <v>1</v>
      </c>
      <c r="T506" s="59" t="n">
        <f aca="false">IF(S506=1,I506*L506,0)</f>
        <v>100</v>
      </c>
      <c r="U506" s="60" t="n">
        <f aca="false">IF(AND(S506=1,ISNUMBER(R506)),I506*R506,0)</f>
        <v>516200</v>
      </c>
      <c r="V506" s="30" t="n">
        <f aca="false">IF(AND(F506="Big4(국영)",K506="고정",N506="N",I506&lt;&gt;""),1,0)</f>
        <v>0</v>
      </c>
      <c r="W506" s="59" t="n">
        <f aca="false">IF(V506=1,I506*L506,0)</f>
        <v>0</v>
      </c>
      <c r="X506" s="60" t="n">
        <f aca="false">IF(AND(V506=1,ISNUMBER(R506)),I506*R506,0)</f>
        <v>0</v>
      </c>
      <c r="Y506" s="61" t="n">
        <f aca="false">IF(AND(S506=1,ISNUMBER(R506)),I506,0)</f>
        <v>2000</v>
      </c>
      <c r="Z506" s="61" t="n">
        <f aca="false">IF(AND(V506=1,ISNUMBER(R506)),I506,0)</f>
        <v>0</v>
      </c>
    </row>
    <row r="507" customFormat="false" ht="15" hidden="false" customHeight="false" outlineLevel="0" collapsed="false">
      <c r="A507" s="47" t="s">
        <v>883</v>
      </c>
      <c r="B507" s="52" t="n">
        <v>45831</v>
      </c>
      <c r="C507" s="53" t="n">
        <f aca="false">DATE(YEAR(B507),MONTH(B507),1)</f>
        <v>45809</v>
      </c>
      <c r="D507" s="5" t="str">
        <f aca="false">YEAR(B507)&amp;"Q"&amp;ROUNDUP(MONTH(B507)/3,0)</f>
        <v>2025Q2</v>
      </c>
      <c r="E507" s="47" t="s">
        <v>145</v>
      </c>
      <c r="F507" s="54" t="s">
        <v>139</v>
      </c>
      <c r="G507" s="47" t="s">
        <v>146</v>
      </c>
      <c r="H507" s="47" t="s">
        <v>935</v>
      </c>
      <c r="I507" s="55" t="n">
        <v>1000</v>
      </c>
      <c r="J507" s="56" t="n">
        <v>3</v>
      </c>
      <c r="K507" s="54" t="s">
        <v>142</v>
      </c>
      <c r="L507" s="57" t="n">
        <v>0.052</v>
      </c>
      <c r="N507" s="47" t="s">
        <v>148</v>
      </c>
      <c r="O507" s="47" t="s">
        <v>538</v>
      </c>
      <c r="P507" s="47"/>
      <c r="Q507" s="48" t="n">
        <f aca="false">IF($J507="","",IFERROR(IF($J507&lt;=1,INDEX(VN_국채일별!$B$4:$B$1436,MATCH($B507,VN_국채일별!$A$4:$A$1436,1)),IF($J507&lt;=2,INDEX(VN_국채일별!$B$4:$B$1436,MATCH($B507,VN_국채일별!$A$4:$A$1436,1))+(INDEX(VN_국채일별!$C$4:$C$1436,MATCH($B507,VN_국채일별!$A$4:$A$1436,1))-INDEX(VN_국채일별!$B$4:$B$1436,MATCH($B507,VN_국채일별!$A$4:$A$1436,1)))*($J507-1),IF($J507&lt;=3,INDEX(VN_국채일별!$C$4:$C$1436,MATCH($B507,VN_국채일별!$A$4:$A$1436,1))+(INDEX(VN_국채일별!$D$4:$D$1436,MATCH($B507,VN_국채일별!$A$4:$A$1436,1))-INDEX(VN_국채일별!$C$4:$C$1436,MATCH($B507,VN_국채일별!$A$4:$A$1436,1)))*($J507-2),IF($J507&lt;=5,INDEX(VN_국채일별!$D$4:$D$1436,MATCH($B507,VN_국채일별!$A$4:$A$1436,1))+(INDEX(VN_국채일별!$E$4:$E$1436,MATCH($B507,VN_국채일별!$A$4:$A$1436,1))-INDEX(VN_국채일별!$D$4:$D$1436,MATCH($B507,VN_국채일별!$A$4:$A$1436,1)))*($J507-3)/2,IF($J507&lt;=7,INDEX(VN_국채일별!$E$4:$E$1436,MATCH($B507,VN_국채일별!$A$4:$A$1436,1))+(INDEX(VN_국채일별!$F$4:$F$1436,MATCH($B507,VN_국채일별!$A$4:$A$1436,1))-INDEX(VN_국채일별!$E$4:$E$1436,MATCH($B507,VN_국채일별!$A$4:$A$1436,1)))*($J507-5)/2,IF($J507&lt;=10,INDEX(VN_국채일별!$F$4:$F$1436,MATCH($B507,VN_국채일별!$A$4:$A$1436,1))+(INDEX(VN_국채일별!$G$4:$G$1436,MATCH($B507,VN_국채일별!$A$4:$A$1436,1))-INDEX(VN_국채일별!$F$4:$F$1436,MATCH($B507,VN_국채일별!$A$4:$A$1436,1)))*($J507-7)/3,INDEX(VN_국채일별!$G$4:$G$1436,MATCH($B507,VN_국채일별!$A$4:$A$1436,1)))))))),""))</f>
        <v>0.02419</v>
      </c>
      <c r="R507" s="58" t="n">
        <f aca="false">IF(OR(L507="",Q507=""),"",(L507-Q507)*10000)</f>
        <v>278.1</v>
      </c>
      <c r="S507" s="30" t="n">
        <f aca="false">IF(AND(K507="고정",N507="N",J507&gt;=2,J507&lt;=4,I507&lt;&gt;""),1,0)</f>
        <v>1</v>
      </c>
      <c r="T507" s="59" t="n">
        <f aca="false">IF(S507=1,I507*L507,0)</f>
        <v>52</v>
      </c>
      <c r="U507" s="60" t="n">
        <f aca="false">IF(AND(S507=1,ISNUMBER(R507)),I507*R507,0)</f>
        <v>278100</v>
      </c>
      <c r="V507" s="30" t="n">
        <f aca="false">IF(AND(F507="Big4(국영)",K507="고정",N507="N",I507&lt;&gt;""),1,0)</f>
        <v>0</v>
      </c>
      <c r="W507" s="59" t="n">
        <f aca="false">IF(V507=1,I507*L507,0)</f>
        <v>0</v>
      </c>
      <c r="X507" s="60" t="n">
        <f aca="false">IF(AND(V507=1,ISNUMBER(R507)),I507*R507,0)</f>
        <v>0</v>
      </c>
      <c r="Y507" s="61" t="n">
        <f aca="false">IF(AND(S507=1,ISNUMBER(R507)),I507,0)</f>
        <v>1000</v>
      </c>
      <c r="Z507" s="61" t="n">
        <f aca="false">IF(AND(V507=1,ISNUMBER(R507)),I507,0)</f>
        <v>0</v>
      </c>
    </row>
    <row r="508" customFormat="false" ht="15" hidden="false" customHeight="false" outlineLevel="0" collapsed="false">
      <c r="A508" s="47" t="s">
        <v>883</v>
      </c>
      <c r="B508" s="52" t="n">
        <v>45832</v>
      </c>
      <c r="C508" s="53" t="n">
        <f aca="false">DATE(YEAR(B508),MONTH(B508),1)</f>
        <v>45809</v>
      </c>
      <c r="D508" s="5" t="str">
        <f aca="false">YEAR(B508)&amp;"Q"&amp;ROUNDUP(MONTH(B508)/3,0)</f>
        <v>2025Q2</v>
      </c>
      <c r="E508" s="47" t="s">
        <v>160</v>
      </c>
      <c r="F508" s="54" t="s">
        <v>139</v>
      </c>
      <c r="G508" s="47" t="s">
        <v>161</v>
      </c>
      <c r="H508" s="47" t="s">
        <v>936</v>
      </c>
      <c r="I508" s="55" t="n">
        <v>5000</v>
      </c>
      <c r="J508" s="56" t="n">
        <v>3</v>
      </c>
      <c r="K508" s="54" t="s">
        <v>142</v>
      </c>
      <c r="L508" s="57" t="n">
        <v>0.054</v>
      </c>
      <c r="N508" s="47" t="s">
        <v>148</v>
      </c>
      <c r="O508" s="47" t="s">
        <v>575</v>
      </c>
      <c r="P508" s="47"/>
      <c r="Q508" s="48" t="n">
        <f aca="false">IF($J508="","",IFERROR(IF($J508&lt;=1,INDEX(VN_국채일별!$B$4:$B$1436,MATCH($B508,VN_국채일별!$A$4:$A$1436,1)),IF($J508&lt;=2,INDEX(VN_국채일별!$B$4:$B$1436,MATCH($B508,VN_국채일별!$A$4:$A$1436,1))+(INDEX(VN_국채일별!$C$4:$C$1436,MATCH($B508,VN_국채일별!$A$4:$A$1436,1))-INDEX(VN_국채일별!$B$4:$B$1436,MATCH($B508,VN_국채일별!$A$4:$A$1436,1)))*($J508-1),IF($J508&lt;=3,INDEX(VN_국채일별!$C$4:$C$1436,MATCH($B508,VN_국채일별!$A$4:$A$1436,1))+(INDEX(VN_국채일별!$D$4:$D$1436,MATCH($B508,VN_국채일별!$A$4:$A$1436,1))-INDEX(VN_국채일별!$C$4:$C$1436,MATCH($B508,VN_국채일별!$A$4:$A$1436,1)))*($J508-2),IF($J508&lt;=5,INDEX(VN_국채일별!$D$4:$D$1436,MATCH($B508,VN_국채일별!$A$4:$A$1436,1))+(INDEX(VN_국채일별!$E$4:$E$1436,MATCH($B508,VN_국채일별!$A$4:$A$1436,1))-INDEX(VN_국채일별!$D$4:$D$1436,MATCH($B508,VN_국채일별!$A$4:$A$1436,1)))*($J508-3)/2,IF($J508&lt;=7,INDEX(VN_국채일별!$E$4:$E$1436,MATCH($B508,VN_국채일별!$A$4:$A$1436,1))+(INDEX(VN_국채일별!$F$4:$F$1436,MATCH($B508,VN_국채일별!$A$4:$A$1436,1))-INDEX(VN_국채일별!$E$4:$E$1436,MATCH($B508,VN_국채일별!$A$4:$A$1436,1)))*($J508-5)/2,IF($J508&lt;=10,INDEX(VN_국채일별!$F$4:$F$1436,MATCH($B508,VN_국채일별!$A$4:$A$1436,1))+(INDEX(VN_국채일별!$G$4:$G$1436,MATCH($B508,VN_국채일별!$A$4:$A$1436,1))-INDEX(VN_국채일별!$F$4:$F$1436,MATCH($B508,VN_국채일별!$A$4:$A$1436,1)))*($J508-7)/3,INDEX(VN_국채일별!$G$4:$G$1436,MATCH($B508,VN_국채일별!$A$4:$A$1436,1)))))))),""))</f>
        <v>0.02418</v>
      </c>
      <c r="R508" s="58" t="n">
        <f aca="false">IF(OR(L508="",Q508=""),"",(L508-Q508)*10000)</f>
        <v>298.2</v>
      </c>
      <c r="S508" s="30" t="n">
        <f aca="false">IF(AND(K508="고정",N508="N",J508&gt;=2,J508&lt;=4,I508&lt;&gt;""),1,0)</f>
        <v>1</v>
      </c>
      <c r="T508" s="59" t="n">
        <f aca="false">IF(S508=1,I508*L508,0)</f>
        <v>270</v>
      </c>
      <c r="U508" s="60" t="n">
        <f aca="false">IF(AND(S508=1,ISNUMBER(R508)),I508*R508,0)</f>
        <v>1491000</v>
      </c>
      <c r="V508" s="30" t="n">
        <f aca="false">IF(AND(F508="Big4(국영)",K508="고정",N508="N",I508&lt;&gt;""),1,0)</f>
        <v>0</v>
      </c>
      <c r="W508" s="59" t="n">
        <f aca="false">IF(V508=1,I508*L508,0)</f>
        <v>0</v>
      </c>
      <c r="X508" s="60" t="n">
        <f aca="false">IF(AND(V508=1,ISNUMBER(R508)),I508*R508,0)</f>
        <v>0</v>
      </c>
      <c r="Y508" s="61" t="n">
        <f aca="false">IF(AND(S508=1,ISNUMBER(R508)),I508,0)</f>
        <v>5000</v>
      </c>
      <c r="Z508" s="61" t="n">
        <f aca="false">IF(AND(V508=1,ISNUMBER(R508)),I508,0)</f>
        <v>0</v>
      </c>
    </row>
    <row r="509" customFormat="false" ht="15" hidden="false" customHeight="false" outlineLevel="0" collapsed="false">
      <c r="A509" s="47" t="s">
        <v>883</v>
      </c>
      <c r="B509" s="52" t="n">
        <v>45832</v>
      </c>
      <c r="C509" s="53" t="n">
        <f aca="false">DATE(YEAR(B509),MONTH(B509),1)</f>
        <v>45809</v>
      </c>
      <c r="D509" s="5" t="str">
        <f aca="false">YEAR(B509)&amp;"Q"&amp;ROUNDUP(MONTH(B509)/3,0)</f>
        <v>2025Q2</v>
      </c>
      <c r="E509" s="47" t="s">
        <v>160</v>
      </c>
      <c r="F509" s="54" t="s">
        <v>139</v>
      </c>
      <c r="G509" s="47" t="s">
        <v>161</v>
      </c>
      <c r="H509" s="47" t="s">
        <v>937</v>
      </c>
      <c r="I509" s="55" t="n">
        <v>500</v>
      </c>
      <c r="J509" s="56" t="n">
        <v>7</v>
      </c>
      <c r="K509" s="54" t="s">
        <v>153</v>
      </c>
      <c r="N509" s="47" t="s">
        <v>143</v>
      </c>
      <c r="O509" s="47" t="s">
        <v>854</v>
      </c>
      <c r="P509" s="47"/>
      <c r="Q509" s="48" t="n">
        <f aca="false">IF($J509="","",IFERROR(IF($J509&lt;=1,INDEX(VN_국채일별!$B$4:$B$1436,MATCH($B509,VN_국채일별!$A$4:$A$1436,1)),IF($J509&lt;=2,INDEX(VN_국채일별!$B$4:$B$1436,MATCH($B509,VN_국채일별!$A$4:$A$1436,1))+(INDEX(VN_국채일별!$C$4:$C$1436,MATCH($B509,VN_국채일별!$A$4:$A$1436,1))-INDEX(VN_국채일별!$B$4:$B$1436,MATCH($B509,VN_국채일별!$A$4:$A$1436,1)))*($J509-1),IF($J509&lt;=3,INDEX(VN_국채일별!$C$4:$C$1436,MATCH($B509,VN_국채일별!$A$4:$A$1436,1))+(INDEX(VN_국채일별!$D$4:$D$1436,MATCH($B509,VN_국채일별!$A$4:$A$1436,1))-INDEX(VN_국채일별!$C$4:$C$1436,MATCH($B509,VN_국채일별!$A$4:$A$1436,1)))*($J509-2),IF($J509&lt;=5,INDEX(VN_국채일별!$D$4:$D$1436,MATCH($B509,VN_국채일별!$A$4:$A$1436,1))+(INDEX(VN_국채일별!$E$4:$E$1436,MATCH($B509,VN_국채일별!$A$4:$A$1436,1))-INDEX(VN_국채일별!$D$4:$D$1436,MATCH($B509,VN_국채일별!$A$4:$A$1436,1)))*($J509-3)/2,IF($J509&lt;=7,INDEX(VN_국채일별!$E$4:$E$1436,MATCH($B509,VN_국채일별!$A$4:$A$1436,1))+(INDEX(VN_국채일별!$F$4:$F$1436,MATCH($B509,VN_국채일별!$A$4:$A$1436,1))-INDEX(VN_국채일별!$E$4:$E$1436,MATCH($B509,VN_국채일별!$A$4:$A$1436,1)))*($J509-5)/2,IF($J509&lt;=10,INDEX(VN_국채일별!$F$4:$F$1436,MATCH($B509,VN_국채일별!$A$4:$A$1436,1))+(INDEX(VN_국채일별!$G$4:$G$1436,MATCH($B509,VN_국채일별!$A$4:$A$1436,1))-INDEX(VN_국채일별!$F$4:$F$1436,MATCH($B509,VN_국채일별!$A$4:$A$1436,1)))*($J509-7)/3,INDEX(VN_국채일별!$G$4:$G$1436,MATCH($B509,VN_국채일별!$A$4:$A$1436,1)))))))),""))</f>
        <v>0.03127</v>
      </c>
      <c r="R509" s="58" t="str">
        <f aca="false">IF(OR(L509="",Q509=""),"",(L509-Q509)*10000)</f>
        <v/>
      </c>
      <c r="S509" s="30" t="n">
        <f aca="false">IF(AND(K509="고정",N509="N",J509&gt;=2,J509&lt;=4,I509&lt;&gt;""),1,0)</f>
        <v>0</v>
      </c>
      <c r="T509" s="59" t="n">
        <f aca="false">IF(S509=1,I509*L509,0)</f>
        <v>0</v>
      </c>
      <c r="U509" s="60" t="n">
        <f aca="false">IF(AND(S509=1,ISNUMBER(R509)),I509*R509,0)</f>
        <v>0</v>
      </c>
      <c r="V509" s="30" t="n">
        <f aca="false">IF(AND(F509="Big4(국영)",K509="고정",N509="N",I509&lt;&gt;""),1,0)</f>
        <v>0</v>
      </c>
      <c r="W509" s="59" t="n">
        <f aca="false">IF(V509=1,I509*L509,0)</f>
        <v>0</v>
      </c>
      <c r="X509" s="60" t="n">
        <f aca="false">IF(AND(V509=1,ISNUMBER(R509)),I509*R509,0)</f>
        <v>0</v>
      </c>
      <c r="Y509" s="61" t="n">
        <f aca="false">IF(AND(S509=1,ISNUMBER(R509)),I509,0)</f>
        <v>0</v>
      </c>
      <c r="Z509" s="61" t="n">
        <f aca="false">IF(AND(V509=1,ISNUMBER(R509)),I509,0)</f>
        <v>0</v>
      </c>
    </row>
    <row r="510" customFormat="false" ht="15" hidden="false" customHeight="false" outlineLevel="0" collapsed="false">
      <c r="A510" s="47" t="s">
        <v>883</v>
      </c>
      <c r="B510" s="52" t="n">
        <v>45832</v>
      </c>
      <c r="C510" s="53" t="n">
        <f aca="false">DATE(YEAR(B510),MONTH(B510),1)</f>
        <v>45809</v>
      </c>
      <c r="D510" s="5" t="str">
        <f aca="false">YEAR(B510)&amp;"Q"&amp;ROUNDUP(MONTH(B510)/3,0)</f>
        <v>2025Q2</v>
      </c>
      <c r="E510" s="47" t="s">
        <v>254</v>
      </c>
      <c r="F510" s="54" t="s">
        <v>139</v>
      </c>
      <c r="G510" s="47" t="s">
        <v>339</v>
      </c>
      <c r="H510" s="47" t="s">
        <v>938</v>
      </c>
      <c r="I510" s="55" t="n">
        <v>5000</v>
      </c>
      <c r="J510" s="56" t="n">
        <v>2</v>
      </c>
      <c r="K510" s="54" t="s">
        <v>142</v>
      </c>
      <c r="L510" s="57" t="n">
        <v>0.0495</v>
      </c>
      <c r="N510" s="47" t="s">
        <v>148</v>
      </c>
      <c r="O510" s="47" t="s">
        <v>892</v>
      </c>
      <c r="P510" s="47"/>
      <c r="Q510" s="48" t="n">
        <f aca="false">IF($J510="","",IFERROR(IF($J510&lt;=1,INDEX(VN_국채일별!$B$4:$B$1436,MATCH($B510,VN_국채일별!$A$4:$A$1436,1)),IF($J510&lt;=2,INDEX(VN_국채일별!$B$4:$B$1436,MATCH($B510,VN_국채일별!$A$4:$A$1436,1))+(INDEX(VN_국채일별!$C$4:$C$1436,MATCH($B510,VN_국채일별!$A$4:$A$1436,1))-INDEX(VN_국채일별!$B$4:$B$1436,MATCH($B510,VN_국채일별!$A$4:$A$1436,1)))*($J510-1),IF($J510&lt;=3,INDEX(VN_국채일별!$C$4:$C$1436,MATCH($B510,VN_국채일별!$A$4:$A$1436,1))+(INDEX(VN_국채일별!$D$4:$D$1436,MATCH($B510,VN_국채일별!$A$4:$A$1436,1))-INDEX(VN_국채일별!$C$4:$C$1436,MATCH($B510,VN_국채일별!$A$4:$A$1436,1)))*($J510-2),IF($J510&lt;=5,INDEX(VN_국채일별!$D$4:$D$1436,MATCH($B510,VN_국채일별!$A$4:$A$1436,1))+(INDEX(VN_국채일별!$E$4:$E$1436,MATCH($B510,VN_국채일별!$A$4:$A$1436,1))-INDEX(VN_국채일별!$D$4:$D$1436,MATCH($B510,VN_국채일별!$A$4:$A$1436,1)))*($J510-3)/2,IF($J510&lt;=7,INDEX(VN_국채일별!$E$4:$E$1436,MATCH($B510,VN_국채일별!$A$4:$A$1436,1))+(INDEX(VN_국채일별!$F$4:$F$1436,MATCH($B510,VN_국채일별!$A$4:$A$1436,1))-INDEX(VN_국채일별!$E$4:$E$1436,MATCH($B510,VN_국채일별!$A$4:$A$1436,1)))*($J510-5)/2,IF($J510&lt;=10,INDEX(VN_국채일별!$F$4:$F$1436,MATCH($B510,VN_국채일별!$A$4:$A$1436,1))+(INDEX(VN_국채일별!$G$4:$G$1436,MATCH($B510,VN_국채일별!$A$4:$A$1436,1))-INDEX(VN_국채일별!$F$4:$F$1436,MATCH($B510,VN_국채일별!$A$4:$A$1436,1)))*($J510-7)/3,INDEX(VN_국채일별!$G$4:$G$1436,MATCH($B510,VN_국채일별!$A$4:$A$1436,1)))))))),""))</f>
        <v>0.02357</v>
      </c>
      <c r="R510" s="58" t="n">
        <f aca="false">IF(OR(L510="",Q510=""),"",(L510-Q510)*10000)</f>
        <v>259.3</v>
      </c>
      <c r="S510" s="30" t="n">
        <f aca="false">IF(AND(K510="고정",N510="N",J510&gt;=2,J510&lt;=4,I510&lt;&gt;""),1,0)</f>
        <v>1</v>
      </c>
      <c r="T510" s="59" t="n">
        <f aca="false">IF(S510=1,I510*L510,0)</f>
        <v>247.5</v>
      </c>
      <c r="U510" s="60" t="n">
        <f aca="false">IF(AND(S510=1,ISNUMBER(R510)),I510*R510,0)</f>
        <v>1296500</v>
      </c>
      <c r="V510" s="30" t="n">
        <f aca="false">IF(AND(F510="Big4(국영)",K510="고정",N510="N",I510&lt;&gt;""),1,0)</f>
        <v>0</v>
      </c>
      <c r="W510" s="59" t="n">
        <f aca="false">IF(V510=1,I510*L510,0)</f>
        <v>0</v>
      </c>
      <c r="X510" s="60" t="n">
        <f aca="false">IF(AND(V510=1,ISNUMBER(R510)),I510*R510,0)</f>
        <v>0</v>
      </c>
      <c r="Y510" s="61" t="n">
        <f aca="false">IF(AND(S510=1,ISNUMBER(R510)),I510,0)</f>
        <v>5000</v>
      </c>
      <c r="Z510" s="61" t="n">
        <f aca="false">IF(AND(V510=1,ISNUMBER(R510)),I510,0)</f>
        <v>0</v>
      </c>
    </row>
    <row r="511" customFormat="false" ht="15" hidden="false" customHeight="false" outlineLevel="0" collapsed="false">
      <c r="A511" s="47" t="s">
        <v>883</v>
      </c>
      <c r="B511" s="52" t="n">
        <v>45833</v>
      </c>
      <c r="C511" s="53" t="n">
        <f aca="false">DATE(YEAR(B511),MONTH(B511),1)</f>
        <v>45809</v>
      </c>
      <c r="D511" s="5" t="str">
        <f aca="false">YEAR(B511)&amp;"Q"&amp;ROUNDUP(MONTH(B511)/3,0)</f>
        <v>2025Q2</v>
      </c>
      <c r="E511" s="47" t="s">
        <v>254</v>
      </c>
      <c r="F511" s="54" t="s">
        <v>139</v>
      </c>
      <c r="G511" s="47" t="s">
        <v>339</v>
      </c>
      <c r="H511" s="47" t="s">
        <v>939</v>
      </c>
      <c r="I511" s="55" t="n">
        <v>5000</v>
      </c>
      <c r="J511" s="56" t="n">
        <v>2</v>
      </c>
      <c r="K511" s="54" t="s">
        <v>142</v>
      </c>
      <c r="L511" s="57" t="n">
        <v>0.054</v>
      </c>
      <c r="N511" s="47" t="s">
        <v>148</v>
      </c>
      <c r="O511" s="47" t="s">
        <v>575</v>
      </c>
      <c r="P511" s="47"/>
      <c r="Q511" s="48" t="n">
        <f aca="false">IF($J511="","",IFERROR(IF($J511&lt;=1,INDEX(VN_국채일별!$B$4:$B$1436,MATCH($B511,VN_국채일별!$A$4:$A$1436,1)),IF($J511&lt;=2,INDEX(VN_국채일별!$B$4:$B$1436,MATCH($B511,VN_국채일별!$A$4:$A$1436,1))+(INDEX(VN_국채일별!$C$4:$C$1436,MATCH($B511,VN_국채일별!$A$4:$A$1436,1))-INDEX(VN_국채일별!$B$4:$B$1436,MATCH($B511,VN_국채일별!$A$4:$A$1436,1)))*($J511-1),IF($J511&lt;=3,INDEX(VN_국채일별!$C$4:$C$1436,MATCH($B511,VN_국채일별!$A$4:$A$1436,1))+(INDEX(VN_국채일별!$D$4:$D$1436,MATCH($B511,VN_국채일별!$A$4:$A$1436,1))-INDEX(VN_국채일별!$C$4:$C$1436,MATCH($B511,VN_국채일별!$A$4:$A$1436,1)))*($J511-2),IF($J511&lt;=5,INDEX(VN_국채일별!$D$4:$D$1436,MATCH($B511,VN_국채일별!$A$4:$A$1436,1))+(INDEX(VN_국채일별!$E$4:$E$1436,MATCH($B511,VN_국채일별!$A$4:$A$1436,1))-INDEX(VN_국채일별!$D$4:$D$1436,MATCH($B511,VN_국채일별!$A$4:$A$1436,1)))*($J511-3)/2,IF($J511&lt;=7,INDEX(VN_국채일별!$E$4:$E$1436,MATCH($B511,VN_국채일별!$A$4:$A$1436,1))+(INDEX(VN_국채일별!$F$4:$F$1436,MATCH($B511,VN_국채일별!$A$4:$A$1436,1))-INDEX(VN_국채일별!$E$4:$E$1436,MATCH($B511,VN_국채일별!$A$4:$A$1436,1)))*($J511-5)/2,IF($J511&lt;=10,INDEX(VN_국채일별!$F$4:$F$1436,MATCH($B511,VN_국채일별!$A$4:$A$1436,1))+(INDEX(VN_국채일별!$G$4:$G$1436,MATCH($B511,VN_국채일별!$A$4:$A$1436,1))-INDEX(VN_국채일별!$F$4:$F$1436,MATCH($B511,VN_국채일별!$A$4:$A$1436,1)))*($J511-7)/3,INDEX(VN_국채일별!$G$4:$G$1436,MATCH($B511,VN_국채일별!$A$4:$A$1436,1)))))))),""))</f>
        <v>0.02361</v>
      </c>
      <c r="R511" s="58" t="n">
        <f aca="false">IF(OR(L511="",Q511=""),"",(L511-Q511)*10000)</f>
        <v>303.9</v>
      </c>
      <c r="S511" s="30" t="n">
        <f aca="false">IF(AND(K511="고정",N511="N",J511&gt;=2,J511&lt;=4,I511&lt;&gt;""),1,0)</f>
        <v>1</v>
      </c>
      <c r="T511" s="59" t="n">
        <f aca="false">IF(S511=1,I511*L511,0)</f>
        <v>270</v>
      </c>
      <c r="U511" s="60" t="n">
        <f aca="false">IF(AND(S511=1,ISNUMBER(R511)),I511*R511,0)</f>
        <v>1519500</v>
      </c>
      <c r="V511" s="30" t="n">
        <f aca="false">IF(AND(F511="Big4(국영)",K511="고정",N511="N",I511&lt;&gt;""),1,0)</f>
        <v>0</v>
      </c>
      <c r="W511" s="59" t="n">
        <f aca="false">IF(V511=1,I511*L511,0)</f>
        <v>0</v>
      </c>
      <c r="X511" s="60" t="n">
        <f aca="false">IF(AND(V511=1,ISNUMBER(R511)),I511*R511,0)</f>
        <v>0</v>
      </c>
      <c r="Y511" s="61" t="n">
        <f aca="false">IF(AND(S511=1,ISNUMBER(R511)),I511,0)</f>
        <v>5000</v>
      </c>
      <c r="Z511" s="61" t="n">
        <f aca="false">IF(AND(V511=1,ISNUMBER(R511)),I511,0)</f>
        <v>0</v>
      </c>
    </row>
    <row r="512" customFormat="false" ht="15" hidden="false" customHeight="false" outlineLevel="0" collapsed="false">
      <c r="A512" s="47" t="s">
        <v>940</v>
      </c>
      <c r="B512" s="52" t="n">
        <v>45841</v>
      </c>
      <c r="C512" s="53" t="n">
        <f aca="false">DATE(YEAR(B512),MONTH(B512),1)</f>
        <v>45839</v>
      </c>
      <c r="D512" s="5" t="str">
        <f aca="false">YEAR(B512)&amp;"Q"&amp;ROUNDUP(MONTH(B512)/3,0)</f>
        <v>2025Q3</v>
      </c>
      <c r="E512" s="47" t="s">
        <v>254</v>
      </c>
      <c r="F512" s="54" t="s">
        <v>139</v>
      </c>
      <c r="G512" s="47" t="s">
        <v>339</v>
      </c>
      <c r="H512" s="47" t="s">
        <v>941</v>
      </c>
      <c r="I512" s="55" t="n">
        <v>500</v>
      </c>
      <c r="J512" s="56" t="n">
        <v>3</v>
      </c>
      <c r="K512" s="54" t="s">
        <v>142</v>
      </c>
      <c r="L512" s="57" t="n">
        <v>0.056</v>
      </c>
      <c r="N512" s="47" t="s">
        <v>148</v>
      </c>
      <c r="O512" s="47" t="s">
        <v>660</v>
      </c>
      <c r="P512" s="47"/>
      <c r="Q512" s="48" t="n">
        <f aca="false">IF($J512="","",IFERROR(IF($J512&lt;=1,INDEX(VN_국채일별!$B$4:$B$1436,MATCH($B512,VN_국채일별!$A$4:$A$1436,1)),IF($J512&lt;=2,INDEX(VN_국채일별!$B$4:$B$1436,MATCH($B512,VN_국채일별!$A$4:$A$1436,1))+(INDEX(VN_국채일별!$C$4:$C$1436,MATCH($B512,VN_국채일별!$A$4:$A$1436,1))-INDEX(VN_국채일별!$B$4:$B$1436,MATCH($B512,VN_국채일별!$A$4:$A$1436,1)))*($J512-1),IF($J512&lt;=3,INDEX(VN_국채일별!$C$4:$C$1436,MATCH($B512,VN_국채일별!$A$4:$A$1436,1))+(INDEX(VN_국채일별!$D$4:$D$1436,MATCH($B512,VN_국채일별!$A$4:$A$1436,1))-INDEX(VN_국채일별!$C$4:$C$1436,MATCH($B512,VN_국채일별!$A$4:$A$1436,1)))*($J512-2),IF($J512&lt;=5,INDEX(VN_국채일별!$D$4:$D$1436,MATCH($B512,VN_국채일별!$A$4:$A$1436,1))+(INDEX(VN_국채일별!$E$4:$E$1436,MATCH($B512,VN_국채일별!$A$4:$A$1436,1))-INDEX(VN_국채일별!$D$4:$D$1436,MATCH($B512,VN_국채일별!$A$4:$A$1436,1)))*($J512-3)/2,IF($J512&lt;=7,INDEX(VN_국채일별!$E$4:$E$1436,MATCH($B512,VN_국채일별!$A$4:$A$1436,1))+(INDEX(VN_국채일별!$F$4:$F$1436,MATCH($B512,VN_국채일별!$A$4:$A$1436,1))-INDEX(VN_국채일별!$E$4:$E$1436,MATCH($B512,VN_국채일별!$A$4:$A$1436,1)))*($J512-5)/2,IF($J512&lt;=10,INDEX(VN_국채일별!$F$4:$F$1436,MATCH($B512,VN_국채일별!$A$4:$A$1436,1))+(INDEX(VN_국채일별!$G$4:$G$1436,MATCH($B512,VN_국채일별!$A$4:$A$1436,1))-INDEX(VN_국채일별!$F$4:$F$1436,MATCH($B512,VN_국채일별!$A$4:$A$1436,1)))*($J512-7)/3,INDEX(VN_국채일별!$G$4:$G$1436,MATCH($B512,VN_국채일별!$A$4:$A$1436,1)))))))),""))</f>
        <v>0.02456</v>
      </c>
      <c r="R512" s="58" t="n">
        <f aca="false">IF(OR(L512="",Q512=""),"",(L512-Q512)*10000)</f>
        <v>314.4</v>
      </c>
      <c r="S512" s="30" t="n">
        <f aca="false">IF(AND(K512="고정",N512="N",J512&gt;=2,J512&lt;=4,I512&lt;&gt;""),1,0)</f>
        <v>1</v>
      </c>
      <c r="T512" s="59" t="n">
        <f aca="false">IF(S512=1,I512*L512,0)</f>
        <v>28</v>
      </c>
      <c r="U512" s="60" t="n">
        <f aca="false">IF(AND(S512=1,ISNUMBER(R512)),I512*R512,0)</f>
        <v>157200</v>
      </c>
      <c r="V512" s="30" t="n">
        <f aca="false">IF(AND(F512="Big4(국영)",K512="고정",N512="N",I512&lt;&gt;""),1,0)</f>
        <v>0</v>
      </c>
      <c r="W512" s="59" t="n">
        <f aca="false">IF(V512=1,I512*L512,0)</f>
        <v>0</v>
      </c>
      <c r="X512" s="60" t="n">
        <f aca="false">IF(AND(V512=1,ISNUMBER(R512)),I512*R512,0)</f>
        <v>0</v>
      </c>
      <c r="Y512" s="61" t="n">
        <f aca="false">IF(AND(S512=1,ISNUMBER(R512)),I512,0)</f>
        <v>500</v>
      </c>
      <c r="Z512" s="61" t="n">
        <f aca="false">IF(AND(V512=1,ISNUMBER(R512)),I512,0)</f>
        <v>0</v>
      </c>
    </row>
    <row r="513" customFormat="false" ht="15" hidden="false" customHeight="false" outlineLevel="0" collapsed="false">
      <c r="A513" s="47" t="s">
        <v>940</v>
      </c>
      <c r="B513" s="52" t="n">
        <v>45841</v>
      </c>
      <c r="C513" s="53" t="n">
        <f aca="false">DATE(YEAR(B513),MONTH(B513),1)</f>
        <v>45839</v>
      </c>
      <c r="D513" s="5" t="str">
        <f aca="false">YEAR(B513)&amp;"Q"&amp;ROUNDUP(MONTH(B513)/3,0)</f>
        <v>2025Q3</v>
      </c>
      <c r="E513" s="62" t="s">
        <v>155</v>
      </c>
      <c r="F513" s="62" t="s">
        <v>156</v>
      </c>
      <c r="G513" s="47" t="s">
        <v>157</v>
      </c>
      <c r="H513" s="47" t="s">
        <v>942</v>
      </c>
      <c r="I513" s="55" t="n">
        <v>100</v>
      </c>
      <c r="J513" s="56" t="n">
        <v>7</v>
      </c>
      <c r="K513" s="54" t="s">
        <v>153</v>
      </c>
      <c r="N513" s="47" t="s">
        <v>143</v>
      </c>
      <c r="O513" s="47" t="s">
        <v>872</v>
      </c>
      <c r="P513" s="47"/>
      <c r="Q513" s="48" t="n">
        <f aca="false">IF($J513="","",IFERROR(IF($J513&lt;=1,INDEX(VN_국채일별!$B$4:$B$1436,MATCH($B513,VN_국채일별!$A$4:$A$1436,1)),IF($J513&lt;=2,INDEX(VN_국채일별!$B$4:$B$1436,MATCH($B513,VN_국채일별!$A$4:$A$1436,1))+(INDEX(VN_국채일별!$C$4:$C$1436,MATCH($B513,VN_국채일별!$A$4:$A$1436,1))-INDEX(VN_국채일별!$B$4:$B$1436,MATCH($B513,VN_국채일별!$A$4:$A$1436,1)))*($J513-1),IF($J513&lt;=3,INDEX(VN_국채일별!$C$4:$C$1436,MATCH($B513,VN_국채일별!$A$4:$A$1436,1))+(INDEX(VN_국채일별!$D$4:$D$1436,MATCH($B513,VN_국채일별!$A$4:$A$1436,1))-INDEX(VN_국채일별!$C$4:$C$1436,MATCH($B513,VN_국채일별!$A$4:$A$1436,1)))*($J513-2),IF($J513&lt;=5,INDEX(VN_국채일별!$D$4:$D$1436,MATCH($B513,VN_국채일별!$A$4:$A$1436,1))+(INDEX(VN_국채일별!$E$4:$E$1436,MATCH($B513,VN_국채일별!$A$4:$A$1436,1))-INDEX(VN_국채일별!$D$4:$D$1436,MATCH($B513,VN_국채일별!$A$4:$A$1436,1)))*($J513-3)/2,IF($J513&lt;=7,INDEX(VN_국채일별!$E$4:$E$1436,MATCH($B513,VN_국채일별!$A$4:$A$1436,1))+(INDEX(VN_국채일별!$F$4:$F$1436,MATCH($B513,VN_국채일별!$A$4:$A$1436,1))-INDEX(VN_국채일별!$E$4:$E$1436,MATCH($B513,VN_국채일별!$A$4:$A$1436,1)))*($J513-5)/2,IF($J513&lt;=10,INDEX(VN_국채일별!$F$4:$F$1436,MATCH($B513,VN_국채일별!$A$4:$A$1436,1))+(INDEX(VN_국채일별!$G$4:$G$1436,MATCH($B513,VN_국채일별!$A$4:$A$1436,1))-INDEX(VN_국채일별!$F$4:$F$1436,MATCH($B513,VN_국채일별!$A$4:$A$1436,1)))*($J513-7)/3,INDEX(VN_국채일별!$G$4:$G$1436,MATCH($B513,VN_국채일별!$A$4:$A$1436,1)))))))),""))</f>
        <v>0.03118</v>
      </c>
      <c r="R513" s="58" t="str">
        <f aca="false">IF(OR(L513="",Q513=""),"",(L513-Q513)*10000)</f>
        <v/>
      </c>
      <c r="S513" s="30" t="n">
        <f aca="false">IF(AND(K513="고정",N513="N",J513&gt;=2,J513&lt;=4,I513&lt;&gt;""),1,0)</f>
        <v>0</v>
      </c>
      <c r="T513" s="59" t="n">
        <f aca="false">IF(S513=1,I513*L513,0)</f>
        <v>0</v>
      </c>
      <c r="U513" s="60" t="n">
        <f aca="false">IF(AND(S513=1,ISNUMBER(R513)),I513*R513,0)</f>
        <v>0</v>
      </c>
      <c r="V513" s="30" t="n">
        <f aca="false">IF(AND(F513="Big4(국영)",K513="고정",N513="N",I513&lt;&gt;""),1,0)</f>
        <v>0</v>
      </c>
      <c r="W513" s="59" t="n">
        <f aca="false">IF(V513=1,I513*L513,0)</f>
        <v>0</v>
      </c>
      <c r="X513" s="60" t="n">
        <f aca="false">IF(AND(V513=1,ISNUMBER(R513)),I513*R513,0)</f>
        <v>0</v>
      </c>
      <c r="Y513" s="61" t="n">
        <f aca="false">IF(AND(S513=1,ISNUMBER(R513)),I513,0)</f>
        <v>0</v>
      </c>
      <c r="Z513" s="61" t="n">
        <f aca="false">IF(AND(V513=1,ISNUMBER(R513)),I513,0)</f>
        <v>0</v>
      </c>
    </row>
    <row r="514" customFormat="false" ht="15" hidden="false" customHeight="false" outlineLevel="0" collapsed="false">
      <c r="A514" s="47" t="s">
        <v>940</v>
      </c>
      <c r="B514" s="52" t="n">
        <v>45841</v>
      </c>
      <c r="C514" s="53" t="n">
        <f aca="false">DATE(YEAR(B514),MONTH(B514),1)</f>
        <v>45839</v>
      </c>
      <c r="D514" s="5" t="str">
        <f aca="false">YEAR(B514)&amp;"Q"&amp;ROUNDUP(MONTH(B514)/3,0)</f>
        <v>2025Q3</v>
      </c>
      <c r="E514" s="62" t="s">
        <v>155</v>
      </c>
      <c r="F514" s="62" t="s">
        <v>156</v>
      </c>
      <c r="G514" s="47" t="s">
        <v>157</v>
      </c>
      <c r="H514" s="47" t="s">
        <v>943</v>
      </c>
      <c r="I514" s="55" t="n">
        <v>1200</v>
      </c>
      <c r="J514" s="56" t="n">
        <v>8</v>
      </c>
      <c r="K514" s="54" t="s">
        <v>153</v>
      </c>
      <c r="N514" s="47" t="s">
        <v>143</v>
      </c>
      <c r="O514" s="47" t="s">
        <v>870</v>
      </c>
      <c r="P514" s="47"/>
      <c r="Q514" s="48" t="n">
        <f aca="false">IF($J514="","",IFERROR(IF($J514&lt;=1,INDEX(VN_국채일별!$B$4:$B$1436,MATCH($B514,VN_국채일별!$A$4:$A$1436,1)),IF($J514&lt;=2,INDEX(VN_국채일별!$B$4:$B$1436,MATCH($B514,VN_국채일별!$A$4:$A$1436,1))+(INDEX(VN_국채일별!$C$4:$C$1436,MATCH($B514,VN_국채일별!$A$4:$A$1436,1))-INDEX(VN_국채일별!$B$4:$B$1436,MATCH($B514,VN_국채일별!$A$4:$A$1436,1)))*($J514-1),IF($J514&lt;=3,INDEX(VN_국채일별!$C$4:$C$1436,MATCH($B514,VN_국채일별!$A$4:$A$1436,1))+(INDEX(VN_국채일별!$D$4:$D$1436,MATCH($B514,VN_국채일별!$A$4:$A$1436,1))-INDEX(VN_국채일별!$C$4:$C$1436,MATCH($B514,VN_국채일별!$A$4:$A$1436,1)))*($J514-2),IF($J514&lt;=5,INDEX(VN_국채일별!$D$4:$D$1436,MATCH($B514,VN_국채일별!$A$4:$A$1436,1))+(INDEX(VN_국채일별!$E$4:$E$1436,MATCH($B514,VN_국채일별!$A$4:$A$1436,1))-INDEX(VN_국채일별!$D$4:$D$1436,MATCH($B514,VN_국채일별!$A$4:$A$1436,1)))*($J514-3)/2,IF($J514&lt;=7,INDEX(VN_국채일별!$E$4:$E$1436,MATCH($B514,VN_국채일별!$A$4:$A$1436,1))+(INDEX(VN_국채일별!$F$4:$F$1436,MATCH($B514,VN_국채일별!$A$4:$A$1436,1))-INDEX(VN_국채일별!$E$4:$E$1436,MATCH($B514,VN_국채일별!$A$4:$A$1436,1)))*($J514-5)/2,IF($J514&lt;=10,INDEX(VN_국채일별!$F$4:$F$1436,MATCH($B514,VN_국채일별!$A$4:$A$1436,1))+(INDEX(VN_국채일별!$G$4:$G$1436,MATCH($B514,VN_국채일별!$A$4:$A$1436,1))-INDEX(VN_국채일별!$F$4:$F$1436,MATCH($B514,VN_국채일별!$A$4:$A$1436,1)))*($J514-7)/3,INDEX(VN_국채일별!$G$4:$G$1436,MATCH($B514,VN_국채일별!$A$4:$A$1436,1)))))))),""))</f>
        <v>0.03193</v>
      </c>
      <c r="R514" s="58" t="str">
        <f aca="false">IF(OR(L514="",Q514=""),"",(L514-Q514)*10000)</f>
        <v/>
      </c>
      <c r="S514" s="30" t="n">
        <f aca="false">IF(AND(K514="고정",N514="N",J514&gt;=2,J514&lt;=4,I514&lt;&gt;""),1,0)</f>
        <v>0</v>
      </c>
      <c r="T514" s="59" t="n">
        <f aca="false">IF(S514=1,I514*L514,0)</f>
        <v>0</v>
      </c>
      <c r="U514" s="60" t="n">
        <f aca="false">IF(AND(S514=1,ISNUMBER(R514)),I514*R514,0)</f>
        <v>0</v>
      </c>
      <c r="V514" s="30" t="n">
        <f aca="false">IF(AND(F514="Big4(국영)",K514="고정",N514="N",I514&lt;&gt;""),1,0)</f>
        <v>0</v>
      </c>
      <c r="W514" s="59" t="n">
        <f aca="false">IF(V514=1,I514*L514,0)</f>
        <v>0</v>
      </c>
      <c r="X514" s="60" t="n">
        <f aca="false">IF(AND(V514=1,ISNUMBER(R514)),I514*R514,0)</f>
        <v>0</v>
      </c>
      <c r="Y514" s="61" t="n">
        <f aca="false">IF(AND(S514=1,ISNUMBER(R514)),I514,0)</f>
        <v>0</v>
      </c>
      <c r="Z514" s="61" t="n">
        <f aca="false">IF(AND(V514=1,ISNUMBER(R514)),I514,0)</f>
        <v>0</v>
      </c>
    </row>
    <row r="515" customFormat="false" ht="15" hidden="false" customHeight="false" outlineLevel="0" collapsed="false">
      <c r="A515" s="47" t="s">
        <v>940</v>
      </c>
      <c r="B515" s="52" t="n">
        <v>45845</v>
      </c>
      <c r="C515" s="53" t="n">
        <f aca="false">DATE(YEAR(B515),MONTH(B515),1)</f>
        <v>45839</v>
      </c>
      <c r="D515" s="5" t="str">
        <f aca="false">YEAR(B515)&amp;"Q"&amp;ROUNDUP(MONTH(B515)/3,0)</f>
        <v>2025Q3</v>
      </c>
      <c r="E515" s="47" t="s">
        <v>160</v>
      </c>
      <c r="F515" s="54" t="s">
        <v>139</v>
      </c>
      <c r="G515" s="47" t="s">
        <v>161</v>
      </c>
      <c r="H515" s="47" t="s">
        <v>944</v>
      </c>
      <c r="I515" s="55" t="n">
        <v>50</v>
      </c>
      <c r="J515" s="56" t="n">
        <v>8</v>
      </c>
      <c r="K515" s="54" t="s">
        <v>153</v>
      </c>
      <c r="N515" s="47" t="s">
        <v>143</v>
      </c>
      <c r="O515" s="47" t="s">
        <v>847</v>
      </c>
      <c r="P515" s="47"/>
      <c r="Q515" s="48" t="n">
        <f aca="false">IF($J515="","",IFERROR(IF($J515&lt;=1,INDEX(VN_국채일별!$B$4:$B$1436,MATCH($B515,VN_국채일별!$A$4:$A$1436,1)),IF($J515&lt;=2,INDEX(VN_국채일별!$B$4:$B$1436,MATCH($B515,VN_국채일별!$A$4:$A$1436,1))+(INDEX(VN_국채일별!$C$4:$C$1436,MATCH($B515,VN_국채일별!$A$4:$A$1436,1))-INDEX(VN_국채일별!$B$4:$B$1436,MATCH($B515,VN_국채일별!$A$4:$A$1436,1)))*($J515-1),IF($J515&lt;=3,INDEX(VN_국채일별!$C$4:$C$1436,MATCH($B515,VN_국채일별!$A$4:$A$1436,1))+(INDEX(VN_국채일별!$D$4:$D$1436,MATCH($B515,VN_국채일별!$A$4:$A$1436,1))-INDEX(VN_국채일별!$C$4:$C$1436,MATCH($B515,VN_국채일별!$A$4:$A$1436,1)))*($J515-2),IF($J515&lt;=5,INDEX(VN_국채일별!$D$4:$D$1436,MATCH($B515,VN_국채일별!$A$4:$A$1436,1))+(INDEX(VN_국채일별!$E$4:$E$1436,MATCH($B515,VN_국채일별!$A$4:$A$1436,1))-INDEX(VN_국채일별!$D$4:$D$1436,MATCH($B515,VN_국채일별!$A$4:$A$1436,1)))*($J515-3)/2,IF($J515&lt;=7,INDEX(VN_국채일별!$E$4:$E$1436,MATCH($B515,VN_국채일별!$A$4:$A$1436,1))+(INDEX(VN_국채일별!$F$4:$F$1436,MATCH($B515,VN_국채일별!$A$4:$A$1436,1))-INDEX(VN_국채일별!$E$4:$E$1436,MATCH($B515,VN_국채일별!$A$4:$A$1436,1)))*($J515-5)/2,IF($J515&lt;=10,INDEX(VN_국채일별!$F$4:$F$1436,MATCH($B515,VN_국채일별!$A$4:$A$1436,1))+(INDEX(VN_국채일별!$G$4:$G$1436,MATCH($B515,VN_국채일별!$A$4:$A$1436,1))-INDEX(VN_국채일별!$F$4:$F$1436,MATCH($B515,VN_국채일별!$A$4:$A$1436,1)))*($J515-7)/3,INDEX(VN_국채일별!$G$4:$G$1436,MATCH($B515,VN_국채일별!$A$4:$A$1436,1)))))))),""))</f>
        <v>0.0319266666666667</v>
      </c>
      <c r="R515" s="58" t="str">
        <f aca="false">IF(OR(L515="",Q515=""),"",(L515-Q515)*10000)</f>
        <v/>
      </c>
      <c r="S515" s="30" t="n">
        <f aca="false">IF(AND(K515="고정",N515="N",J515&gt;=2,J515&lt;=4,I515&lt;&gt;""),1,0)</f>
        <v>0</v>
      </c>
      <c r="T515" s="59" t="n">
        <f aca="false">IF(S515=1,I515*L515,0)</f>
        <v>0</v>
      </c>
      <c r="U515" s="60" t="n">
        <f aca="false">IF(AND(S515=1,ISNUMBER(R515)),I515*R515,0)</f>
        <v>0</v>
      </c>
      <c r="V515" s="30" t="n">
        <f aca="false">IF(AND(F515="Big4(국영)",K515="고정",N515="N",I515&lt;&gt;""),1,0)</f>
        <v>0</v>
      </c>
      <c r="W515" s="59" t="n">
        <f aca="false">IF(V515=1,I515*L515,0)</f>
        <v>0</v>
      </c>
      <c r="X515" s="60" t="n">
        <f aca="false">IF(AND(V515=1,ISNUMBER(R515)),I515*R515,0)</f>
        <v>0</v>
      </c>
      <c r="Y515" s="61" t="n">
        <f aca="false">IF(AND(S515=1,ISNUMBER(R515)),I515,0)</f>
        <v>0</v>
      </c>
      <c r="Z515" s="61" t="n">
        <f aca="false">IF(AND(V515=1,ISNUMBER(R515)),I515,0)</f>
        <v>0</v>
      </c>
    </row>
    <row r="516" customFormat="false" ht="15" hidden="false" customHeight="false" outlineLevel="0" collapsed="false">
      <c r="A516" s="47" t="s">
        <v>940</v>
      </c>
      <c r="B516" s="52" t="n">
        <v>45847</v>
      </c>
      <c r="C516" s="53" t="n">
        <f aca="false">DATE(YEAR(B516),MONTH(B516),1)</f>
        <v>45839</v>
      </c>
      <c r="D516" s="5" t="str">
        <f aca="false">YEAR(B516)&amp;"Q"&amp;ROUNDUP(MONTH(B516)/3,0)</f>
        <v>2025Q3</v>
      </c>
      <c r="E516" s="62" t="s">
        <v>155</v>
      </c>
      <c r="F516" s="62" t="s">
        <v>156</v>
      </c>
      <c r="G516" s="47" t="s">
        <v>157</v>
      </c>
      <c r="H516" s="47" t="s">
        <v>945</v>
      </c>
      <c r="I516" s="55" t="n">
        <v>400</v>
      </c>
      <c r="J516" s="56" t="n">
        <v>7</v>
      </c>
      <c r="K516" s="54" t="s">
        <v>153</v>
      </c>
      <c r="N516" s="47" t="s">
        <v>143</v>
      </c>
      <c r="O516" s="47" t="s">
        <v>872</v>
      </c>
      <c r="P516" s="47"/>
      <c r="Q516" s="48" t="n">
        <f aca="false">IF($J516="","",IFERROR(IF($J516&lt;=1,INDEX(VN_국채일별!$B$4:$B$1436,MATCH($B516,VN_국채일별!$A$4:$A$1436,1)),IF($J516&lt;=2,INDEX(VN_국채일별!$B$4:$B$1436,MATCH($B516,VN_국채일별!$A$4:$A$1436,1))+(INDEX(VN_국채일별!$C$4:$C$1436,MATCH($B516,VN_국채일별!$A$4:$A$1436,1))-INDEX(VN_국채일별!$B$4:$B$1436,MATCH($B516,VN_국채일별!$A$4:$A$1436,1)))*($J516-1),IF($J516&lt;=3,INDEX(VN_국채일별!$C$4:$C$1436,MATCH($B516,VN_국채일별!$A$4:$A$1436,1))+(INDEX(VN_국채일별!$D$4:$D$1436,MATCH($B516,VN_국채일별!$A$4:$A$1436,1))-INDEX(VN_국채일별!$C$4:$C$1436,MATCH($B516,VN_국채일별!$A$4:$A$1436,1)))*($J516-2),IF($J516&lt;=5,INDEX(VN_국채일별!$D$4:$D$1436,MATCH($B516,VN_국채일별!$A$4:$A$1436,1))+(INDEX(VN_국채일별!$E$4:$E$1436,MATCH($B516,VN_국채일별!$A$4:$A$1436,1))-INDEX(VN_국채일별!$D$4:$D$1436,MATCH($B516,VN_국채일별!$A$4:$A$1436,1)))*($J516-3)/2,IF($J516&lt;=7,INDEX(VN_국채일별!$E$4:$E$1436,MATCH($B516,VN_국채일별!$A$4:$A$1436,1))+(INDEX(VN_국채일별!$F$4:$F$1436,MATCH($B516,VN_국채일별!$A$4:$A$1436,1))-INDEX(VN_국채일별!$E$4:$E$1436,MATCH($B516,VN_국채일별!$A$4:$A$1436,1)))*($J516-5)/2,IF($J516&lt;=10,INDEX(VN_국채일별!$F$4:$F$1436,MATCH($B516,VN_국채일별!$A$4:$A$1436,1))+(INDEX(VN_국채일별!$G$4:$G$1436,MATCH($B516,VN_국채일별!$A$4:$A$1436,1))-INDEX(VN_국채일별!$F$4:$F$1436,MATCH($B516,VN_국채일별!$A$4:$A$1436,1)))*($J516-7)/3,INDEX(VN_국채일별!$G$4:$G$1436,MATCH($B516,VN_국채일별!$A$4:$A$1436,1)))))))),""))</f>
        <v>0.03122</v>
      </c>
      <c r="R516" s="58" t="str">
        <f aca="false">IF(OR(L516="",Q516=""),"",(L516-Q516)*10000)</f>
        <v/>
      </c>
      <c r="S516" s="30" t="n">
        <f aca="false">IF(AND(K516="고정",N516="N",J516&gt;=2,J516&lt;=4,I516&lt;&gt;""),1,0)</f>
        <v>0</v>
      </c>
      <c r="T516" s="59" t="n">
        <f aca="false">IF(S516=1,I516*L516,0)</f>
        <v>0</v>
      </c>
      <c r="U516" s="60" t="n">
        <f aca="false">IF(AND(S516=1,ISNUMBER(R516)),I516*R516,0)</f>
        <v>0</v>
      </c>
      <c r="V516" s="30" t="n">
        <f aca="false">IF(AND(F516="Big4(국영)",K516="고정",N516="N",I516&lt;&gt;""),1,0)</f>
        <v>0</v>
      </c>
      <c r="W516" s="59" t="n">
        <f aca="false">IF(V516=1,I516*L516,0)</f>
        <v>0</v>
      </c>
      <c r="X516" s="60" t="n">
        <f aca="false">IF(AND(V516=1,ISNUMBER(R516)),I516*R516,0)</f>
        <v>0</v>
      </c>
      <c r="Y516" s="61" t="n">
        <f aca="false">IF(AND(S516=1,ISNUMBER(R516)),I516,0)</f>
        <v>0</v>
      </c>
      <c r="Z516" s="61" t="n">
        <f aca="false">IF(AND(V516=1,ISNUMBER(R516)),I516,0)</f>
        <v>0</v>
      </c>
    </row>
    <row r="517" customFormat="false" ht="15" hidden="false" customHeight="false" outlineLevel="0" collapsed="false">
      <c r="A517" s="47" t="s">
        <v>940</v>
      </c>
      <c r="B517" s="52" t="n">
        <v>45849</v>
      </c>
      <c r="C517" s="53" t="n">
        <f aca="false">DATE(YEAR(B517),MONTH(B517),1)</f>
        <v>45839</v>
      </c>
      <c r="D517" s="5" t="str">
        <f aca="false">YEAR(B517)&amp;"Q"&amp;ROUNDUP(MONTH(B517)/3,0)</f>
        <v>2025Q3</v>
      </c>
      <c r="E517" s="47" t="s">
        <v>145</v>
      </c>
      <c r="F517" s="54" t="s">
        <v>139</v>
      </c>
      <c r="G517" s="47" t="s">
        <v>146</v>
      </c>
      <c r="H517" s="47" t="s">
        <v>946</v>
      </c>
      <c r="I517" s="55" t="n">
        <v>680</v>
      </c>
      <c r="J517" s="56" t="n">
        <v>5</v>
      </c>
      <c r="K517" s="54" t="s">
        <v>142</v>
      </c>
      <c r="L517" s="57" t="n">
        <v>0.062</v>
      </c>
      <c r="N517" s="47" t="s">
        <v>148</v>
      </c>
      <c r="O517" s="47" t="s">
        <v>485</v>
      </c>
      <c r="P517" s="47"/>
      <c r="Q517" s="48" t="n">
        <f aca="false">IF($J517="","",IFERROR(IF($J517&lt;=1,INDEX(VN_국채일별!$B$4:$B$1436,MATCH($B517,VN_국채일별!$A$4:$A$1436,1)),IF($J517&lt;=2,INDEX(VN_국채일별!$B$4:$B$1436,MATCH($B517,VN_국채일별!$A$4:$A$1436,1))+(INDEX(VN_국채일별!$C$4:$C$1436,MATCH($B517,VN_국채일별!$A$4:$A$1436,1))-INDEX(VN_국채일별!$B$4:$B$1436,MATCH($B517,VN_국채일별!$A$4:$A$1436,1)))*($J517-1),IF($J517&lt;=3,INDEX(VN_국채일별!$C$4:$C$1436,MATCH($B517,VN_국채일별!$A$4:$A$1436,1))+(INDEX(VN_국채일별!$D$4:$D$1436,MATCH($B517,VN_국채일별!$A$4:$A$1436,1))-INDEX(VN_국채일별!$C$4:$C$1436,MATCH($B517,VN_국채일별!$A$4:$A$1436,1)))*($J517-2),IF($J517&lt;=5,INDEX(VN_국채일별!$D$4:$D$1436,MATCH($B517,VN_국채일별!$A$4:$A$1436,1))+(INDEX(VN_국채일별!$E$4:$E$1436,MATCH($B517,VN_국채일별!$A$4:$A$1436,1))-INDEX(VN_국채일별!$D$4:$D$1436,MATCH($B517,VN_국채일별!$A$4:$A$1436,1)))*($J517-3)/2,IF($J517&lt;=7,INDEX(VN_국채일별!$E$4:$E$1436,MATCH($B517,VN_국채일별!$A$4:$A$1436,1))+(INDEX(VN_국채일별!$F$4:$F$1436,MATCH($B517,VN_국채일별!$A$4:$A$1436,1))-INDEX(VN_국채일별!$E$4:$E$1436,MATCH($B517,VN_국채일별!$A$4:$A$1436,1)))*($J517-5)/2,IF($J517&lt;=10,INDEX(VN_국채일별!$F$4:$F$1436,MATCH($B517,VN_국채일별!$A$4:$A$1436,1))+(INDEX(VN_국채일별!$G$4:$G$1436,MATCH($B517,VN_국채일별!$A$4:$A$1436,1))-INDEX(VN_국채일별!$F$4:$F$1436,MATCH($B517,VN_국채일별!$A$4:$A$1436,1)))*($J517-7)/3,INDEX(VN_국채일별!$G$4:$G$1436,MATCH($B517,VN_국채일별!$A$4:$A$1436,1)))))))),""))</f>
        <v>0.0279</v>
      </c>
      <c r="R517" s="58" t="n">
        <f aca="false">IF(OR(L517="",Q517=""),"",(L517-Q517)*10000)</f>
        <v>341</v>
      </c>
      <c r="S517" s="30" t="n">
        <f aca="false">IF(AND(K517="고정",N517="N",J517&gt;=2,J517&lt;=4,I517&lt;&gt;""),1,0)</f>
        <v>0</v>
      </c>
      <c r="T517" s="59" t="n">
        <f aca="false">IF(S517=1,I517*L517,0)</f>
        <v>0</v>
      </c>
      <c r="U517" s="60" t="n">
        <f aca="false">IF(AND(S517=1,ISNUMBER(R517)),I517*R517,0)</f>
        <v>0</v>
      </c>
      <c r="V517" s="30" t="n">
        <f aca="false">IF(AND(F517="Big4(국영)",K517="고정",N517="N",I517&lt;&gt;""),1,0)</f>
        <v>0</v>
      </c>
      <c r="W517" s="59" t="n">
        <f aca="false">IF(V517=1,I517*L517,0)</f>
        <v>0</v>
      </c>
      <c r="X517" s="60" t="n">
        <f aca="false">IF(AND(V517=1,ISNUMBER(R517)),I517*R517,0)</f>
        <v>0</v>
      </c>
      <c r="Y517" s="61" t="n">
        <f aca="false">IF(AND(S517=1,ISNUMBER(R517)),I517,0)</f>
        <v>0</v>
      </c>
      <c r="Z517" s="61" t="n">
        <f aca="false">IF(AND(V517=1,ISNUMBER(R517)),I517,0)</f>
        <v>0</v>
      </c>
    </row>
    <row r="518" customFormat="false" ht="15" hidden="false" customHeight="false" outlineLevel="0" collapsed="false">
      <c r="A518" s="47" t="s">
        <v>940</v>
      </c>
      <c r="B518" s="52" t="n">
        <v>45852</v>
      </c>
      <c r="C518" s="53" t="n">
        <f aca="false">DATE(YEAR(B518),MONTH(B518),1)</f>
        <v>45839</v>
      </c>
      <c r="D518" s="5" t="str">
        <f aca="false">YEAR(B518)&amp;"Q"&amp;ROUNDUP(MONTH(B518)/3,0)</f>
        <v>2025Q3</v>
      </c>
      <c r="E518" s="47" t="s">
        <v>191</v>
      </c>
      <c r="F518" s="54" t="s">
        <v>139</v>
      </c>
      <c r="G518" s="47" t="s">
        <v>917</v>
      </c>
      <c r="H518" s="47" t="s">
        <v>947</v>
      </c>
      <c r="I518" s="55" t="n">
        <v>1500</v>
      </c>
      <c r="J518" s="56" t="n">
        <v>7</v>
      </c>
      <c r="K518" s="54" t="s">
        <v>153</v>
      </c>
      <c r="M518" s="57" t="n">
        <v>0.0765</v>
      </c>
      <c r="N518" s="47" t="s">
        <v>143</v>
      </c>
      <c r="O518" s="47" t="s">
        <v>919</v>
      </c>
      <c r="P518" s="47"/>
      <c r="Q518" s="48" t="n">
        <f aca="false">IF($J518="","",IFERROR(IF($J518&lt;=1,INDEX(VN_국채일별!$B$4:$B$1436,MATCH($B518,VN_국채일별!$A$4:$A$1436,1)),IF($J518&lt;=2,INDEX(VN_국채일별!$B$4:$B$1436,MATCH($B518,VN_국채일별!$A$4:$A$1436,1))+(INDEX(VN_국채일별!$C$4:$C$1436,MATCH($B518,VN_국채일별!$A$4:$A$1436,1))-INDEX(VN_국채일별!$B$4:$B$1436,MATCH($B518,VN_국채일별!$A$4:$A$1436,1)))*($J518-1),IF($J518&lt;=3,INDEX(VN_국채일별!$C$4:$C$1436,MATCH($B518,VN_국채일별!$A$4:$A$1436,1))+(INDEX(VN_국채일별!$D$4:$D$1436,MATCH($B518,VN_국채일별!$A$4:$A$1436,1))-INDEX(VN_국채일별!$C$4:$C$1436,MATCH($B518,VN_국채일별!$A$4:$A$1436,1)))*($J518-2),IF($J518&lt;=5,INDEX(VN_국채일별!$D$4:$D$1436,MATCH($B518,VN_국채일별!$A$4:$A$1436,1))+(INDEX(VN_국채일별!$E$4:$E$1436,MATCH($B518,VN_국채일별!$A$4:$A$1436,1))-INDEX(VN_국채일별!$D$4:$D$1436,MATCH($B518,VN_국채일별!$A$4:$A$1436,1)))*($J518-3)/2,IF($J518&lt;=7,INDEX(VN_국채일별!$E$4:$E$1436,MATCH($B518,VN_국채일별!$A$4:$A$1436,1))+(INDEX(VN_국채일별!$F$4:$F$1436,MATCH($B518,VN_국채일별!$A$4:$A$1436,1))-INDEX(VN_국채일별!$E$4:$E$1436,MATCH($B518,VN_국채일별!$A$4:$A$1436,1)))*($J518-5)/2,IF($J518&lt;=10,INDEX(VN_국채일별!$F$4:$F$1436,MATCH($B518,VN_국채일별!$A$4:$A$1436,1))+(INDEX(VN_국채일별!$G$4:$G$1436,MATCH($B518,VN_국채일별!$A$4:$A$1436,1))-INDEX(VN_국채일별!$F$4:$F$1436,MATCH($B518,VN_국채일별!$A$4:$A$1436,1)))*($J518-7)/3,INDEX(VN_국채일별!$G$4:$G$1436,MATCH($B518,VN_국채일별!$A$4:$A$1436,1)))))))),""))</f>
        <v>0.03131</v>
      </c>
      <c r="R518" s="58" t="str">
        <f aca="false">IF(OR(L518="",Q518=""),"",(L518-Q518)*10000)</f>
        <v/>
      </c>
      <c r="S518" s="30" t="n">
        <f aca="false">IF(AND(K518="고정",N518="N",J518&gt;=2,J518&lt;=4,I518&lt;&gt;""),1,0)</f>
        <v>0</v>
      </c>
      <c r="T518" s="59" t="n">
        <f aca="false">IF(S518=1,I518*L518,0)</f>
        <v>0</v>
      </c>
      <c r="U518" s="60" t="n">
        <f aca="false">IF(AND(S518=1,ISNUMBER(R518)),I518*R518,0)</f>
        <v>0</v>
      </c>
      <c r="V518" s="30" t="n">
        <f aca="false">IF(AND(F518="Big4(국영)",K518="고정",N518="N",I518&lt;&gt;""),1,0)</f>
        <v>0</v>
      </c>
      <c r="W518" s="59" t="n">
        <f aca="false">IF(V518=1,I518*L518,0)</f>
        <v>0</v>
      </c>
      <c r="X518" s="60" t="n">
        <f aca="false">IF(AND(V518=1,ISNUMBER(R518)),I518*R518,0)</f>
        <v>0</v>
      </c>
      <c r="Y518" s="61" t="n">
        <f aca="false">IF(AND(S518=1,ISNUMBER(R518)),I518,0)</f>
        <v>0</v>
      </c>
      <c r="Z518" s="61" t="n">
        <f aca="false">IF(AND(V518=1,ISNUMBER(R518)),I518,0)</f>
        <v>0</v>
      </c>
    </row>
    <row r="519" customFormat="false" ht="15" hidden="false" customHeight="false" outlineLevel="0" collapsed="false">
      <c r="A519" s="47" t="s">
        <v>940</v>
      </c>
      <c r="B519" s="52" t="n">
        <v>45852</v>
      </c>
      <c r="C519" s="53" t="n">
        <f aca="false">DATE(YEAR(B519),MONTH(B519),1)</f>
        <v>45839</v>
      </c>
      <c r="D519" s="5" t="str">
        <f aca="false">YEAR(B519)&amp;"Q"&amp;ROUNDUP(MONTH(B519)/3,0)</f>
        <v>2025Q3</v>
      </c>
      <c r="E519" s="62" t="s">
        <v>285</v>
      </c>
      <c r="F519" s="62" t="s">
        <v>156</v>
      </c>
      <c r="G519" s="47" t="s">
        <v>348</v>
      </c>
      <c r="H519" s="47" t="s">
        <v>948</v>
      </c>
      <c r="I519" s="55" t="n">
        <v>7520</v>
      </c>
      <c r="J519" s="56" t="n">
        <v>2</v>
      </c>
      <c r="K519" s="54" t="s">
        <v>142</v>
      </c>
      <c r="L519" s="57" t="n">
        <v>0.052</v>
      </c>
      <c r="N519" s="47" t="s">
        <v>148</v>
      </c>
      <c r="O519" s="47" t="s">
        <v>538</v>
      </c>
      <c r="P519" s="47"/>
      <c r="Q519" s="48" t="n">
        <f aca="false">IF($J519="","",IFERROR(IF($J519&lt;=1,INDEX(VN_국채일별!$B$4:$B$1436,MATCH($B519,VN_국채일별!$A$4:$A$1436,1)),IF($J519&lt;=2,INDEX(VN_국채일별!$B$4:$B$1436,MATCH($B519,VN_국채일별!$A$4:$A$1436,1))+(INDEX(VN_국채일별!$C$4:$C$1436,MATCH($B519,VN_국채일별!$A$4:$A$1436,1))-INDEX(VN_국채일별!$B$4:$B$1436,MATCH($B519,VN_국채일별!$A$4:$A$1436,1)))*($J519-1),IF($J519&lt;=3,INDEX(VN_국채일별!$C$4:$C$1436,MATCH($B519,VN_국채일별!$A$4:$A$1436,1))+(INDEX(VN_국채일별!$D$4:$D$1436,MATCH($B519,VN_국채일별!$A$4:$A$1436,1))-INDEX(VN_국채일별!$C$4:$C$1436,MATCH($B519,VN_국채일별!$A$4:$A$1436,1)))*($J519-2),IF($J519&lt;=5,INDEX(VN_국채일별!$D$4:$D$1436,MATCH($B519,VN_국채일별!$A$4:$A$1436,1))+(INDEX(VN_국채일별!$E$4:$E$1436,MATCH($B519,VN_국채일별!$A$4:$A$1436,1))-INDEX(VN_국채일별!$D$4:$D$1436,MATCH($B519,VN_국채일별!$A$4:$A$1436,1)))*($J519-3)/2,IF($J519&lt;=7,INDEX(VN_국채일별!$E$4:$E$1436,MATCH($B519,VN_국채일별!$A$4:$A$1436,1))+(INDEX(VN_국채일별!$F$4:$F$1436,MATCH($B519,VN_국채일별!$A$4:$A$1436,1))-INDEX(VN_국채일별!$E$4:$E$1436,MATCH($B519,VN_국채일별!$A$4:$A$1436,1)))*($J519-5)/2,IF($J519&lt;=10,INDEX(VN_국채일별!$F$4:$F$1436,MATCH($B519,VN_국채일별!$A$4:$A$1436,1))+(INDEX(VN_국채일별!$G$4:$G$1436,MATCH($B519,VN_국채일별!$A$4:$A$1436,1))-INDEX(VN_국채일별!$F$4:$F$1436,MATCH($B519,VN_국채일별!$A$4:$A$1436,1)))*($J519-7)/3,INDEX(VN_국채일별!$G$4:$G$1436,MATCH($B519,VN_국채일별!$A$4:$A$1436,1)))))))),""))</f>
        <v>0.02396</v>
      </c>
      <c r="R519" s="58" t="n">
        <f aca="false">IF(OR(L519="",Q519=""),"",(L519-Q519)*10000)</f>
        <v>280.4</v>
      </c>
      <c r="S519" s="30" t="n">
        <f aca="false">IF(AND(K519="고정",N519="N",J519&gt;=2,J519&lt;=4,I519&lt;&gt;""),1,0)</f>
        <v>1</v>
      </c>
      <c r="T519" s="59" t="n">
        <f aca="false">IF(S519=1,I519*L519,0)</f>
        <v>391.04</v>
      </c>
      <c r="U519" s="60" t="n">
        <f aca="false">IF(AND(S519=1,ISNUMBER(R519)),I519*R519,0)</f>
        <v>2108608</v>
      </c>
      <c r="V519" s="30" t="n">
        <f aca="false">IF(AND(F519="Big4(국영)",K519="고정",N519="N",I519&lt;&gt;""),1,0)</f>
        <v>1</v>
      </c>
      <c r="W519" s="59" t="n">
        <f aca="false">IF(V519=1,I519*L519,0)</f>
        <v>391.04</v>
      </c>
      <c r="X519" s="60" t="n">
        <f aca="false">IF(AND(V519=1,ISNUMBER(R519)),I519*R519,0)</f>
        <v>2108608</v>
      </c>
      <c r="Y519" s="61" t="n">
        <f aca="false">IF(AND(S519=1,ISNUMBER(R519)),I519,0)</f>
        <v>7520</v>
      </c>
      <c r="Z519" s="61" t="n">
        <f aca="false">IF(AND(V519=1,ISNUMBER(R519)),I519,0)</f>
        <v>7520</v>
      </c>
    </row>
    <row r="520" customFormat="false" ht="15" hidden="false" customHeight="false" outlineLevel="0" collapsed="false">
      <c r="A520" s="47" t="s">
        <v>940</v>
      </c>
      <c r="B520" s="52" t="n">
        <v>45852</v>
      </c>
      <c r="C520" s="53" t="n">
        <f aca="false">DATE(YEAR(B520),MONTH(B520),1)</f>
        <v>45839</v>
      </c>
      <c r="D520" s="5" t="str">
        <f aca="false">YEAR(B520)&amp;"Q"&amp;ROUNDUP(MONTH(B520)/3,0)</f>
        <v>2025Q3</v>
      </c>
      <c r="E520" s="47" t="s">
        <v>215</v>
      </c>
      <c r="F520" s="54" t="s">
        <v>139</v>
      </c>
      <c r="G520" s="47" t="s">
        <v>391</v>
      </c>
      <c r="H520" s="47" t="s">
        <v>949</v>
      </c>
      <c r="I520" s="55" t="n">
        <v>200</v>
      </c>
      <c r="J520" s="56" t="n">
        <v>7</v>
      </c>
      <c r="K520" s="54" t="s">
        <v>142</v>
      </c>
      <c r="L520" s="57" t="n">
        <v>0.07</v>
      </c>
      <c r="N520" s="47" t="s">
        <v>143</v>
      </c>
      <c r="O520" s="47" t="s">
        <v>455</v>
      </c>
      <c r="P520" s="47"/>
      <c r="Q520" s="48" t="n">
        <f aca="false">IF($J520="","",IFERROR(IF($J520&lt;=1,INDEX(VN_국채일별!$B$4:$B$1436,MATCH($B520,VN_국채일별!$A$4:$A$1436,1)),IF($J520&lt;=2,INDEX(VN_국채일별!$B$4:$B$1436,MATCH($B520,VN_국채일별!$A$4:$A$1436,1))+(INDEX(VN_국채일별!$C$4:$C$1436,MATCH($B520,VN_국채일별!$A$4:$A$1436,1))-INDEX(VN_국채일별!$B$4:$B$1436,MATCH($B520,VN_국채일별!$A$4:$A$1436,1)))*($J520-1),IF($J520&lt;=3,INDEX(VN_국채일별!$C$4:$C$1436,MATCH($B520,VN_국채일별!$A$4:$A$1436,1))+(INDEX(VN_국채일별!$D$4:$D$1436,MATCH($B520,VN_국채일별!$A$4:$A$1436,1))-INDEX(VN_국채일별!$C$4:$C$1436,MATCH($B520,VN_국채일별!$A$4:$A$1436,1)))*($J520-2),IF($J520&lt;=5,INDEX(VN_국채일별!$D$4:$D$1436,MATCH($B520,VN_국채일별!$A$4:$A$1436,1))+(INDEX(VN_국채일별!$E$4:$E$1436,MATCH($B520,VN_국채일별!$A$4:$A$1436,1))-INDEX(VN_국채일별!$D$4:$D$1436,MATCH($B520,VN_국채일별!$A$4:$A$1436,1)))*($J520-3)/2,IF($J520&lt;=7,INDEX(VN_국채일별!$E$4:$E$1436,MATCH($B520,VN_국채일별!$A$4:$A$1436,1))+(INDEX(VN_국채일별!$F$4:$F$1436,MATCH($B520,VN_국채일별!$A$4:$A$1436,1))-INDEX(VN_국채일별!$E$4:$E$1436,MATCH($B520,VN_국채일별!$A$4:$A$1436,1)))*($J520-5)/2,IF($J520&lt;=10,INDEX(VN_국채일별!$F$4:$F$1436,MATCH($B520,VN_국채일별!$A$4:$A$1436,1))+(INDEX(VN_국채일별!$G$4:$G$1436,MATCH($B520,VN_국채일별!$A$4:$A$1436,1))-INDEX(VN_국채일별!$F$4:$F$1436,MATCH($B520,VN_국채일별!$A$4:$A$1436,1)))*($J520-7)/3,INDEX(VN_국채일별!$G$4:$G$1436,MATCH($B520,VN_국채일별!$A$4:$A$1436,1)))))))),""))</f>
        <v>0.03131</v>
      </c>
      <c r="R520" s="58" t="n">
        <f aca="false">IF(OR(L520="",Q520=""),"",(L520-Q520)*10000)</f>
        <v>386.9</v>
      </c>
      <c r="S520" s="30" t="n">
        <f aca="false">IF(AND(K520="고정",N520="N",J520&gt;=2,J520&lt;=4,I520&lt;&gt;""),1,0)</f>
        <v>0</v>
      </c>
      <c r="T520" s="59" t="n">
        <f aca="false">IF(S520=1,I520*L520,0)</f>
        <v>0</v>
      </c>
      <c r="U520" s="60" t="n">
        <f aca="false">IF(AND(S520=1,ISNUMBER(R520)),I520*R520,0)</f>
        <v>0</v>
      </c>
      <c r="V520" s="30" t="n">
        <f aca="false">IF(AND(F520="Big4(국영)",K520="고정",N520="N",I520&lt;&gt;""),1,0)</f>
        <v>0</v>
      </c>
      <c r="W520" s="59" t="n">
        <f aca="false">IF(V520=1,I520*L520,0)</f>
        <v>0</v>
      </c>
      <c r="X520" s="60" t="n">
        <f aca="false">IF(AND(V520=1,ISNUMBER(R520)),I520*R520,0)</f>
        <v>0</v>
      </c>
      <c r="Y520" s="61" t="n">
        <f aca="false">IF(AND(S520=1,ISNUMBER(R520)),I520,0)</f>
        <v>0</v>
      </c>
      <c r="Z520" s="61" t="n">
        <f aca="false">IF(AND(V520=1,ISNUMBER(R520)),I520,0)</f>
        <v>0</v>
      </c>
    </row>
    <row r="521" customFormat="false" ht="15" hidden="false" customHeight="false" outlineLevel="0" collapsed="false">
      <c r="A521" s="47" t="s">
        <v>940</v>
      </c>
      <c r="B521" s="52" t="n">
        <v>45853</v>
      </c>
      <c r="C521" s="53" t="n">
        <f aca="false">DATE(YEAR(B521),MONTH(B521),1)</f>
        <v>45839</v>
      </c>
      <c r="D521" s="5" t="str">
        <f aca="false">YEAR(B521)&amp;"Q"&amp;ROUNDUP(MONTH(B521)/3,0)</f>
        <v>2025Q3</v>
      </c>
      <c r="E521" s="47" t="s">
        <v>181</v>
      </c>
      <c r="F521" s="54" t="s">
        <v>139</v>
      </c>
      <c r="G521" s="47" t="s">
        <v>182</v>
      </c>
      <c r="H521" s="47" t="s">
        <v>950</v>
      </c>
      <c r="I521" s="55" t="n">
        <v>1300</v>
      </c>
      <c r="J521" s="56" t="n">
        <v>3</v>
      </c>
      <c r="K521" s="54" t="s">
        <v>142</v>
      </c>
      <c r="L521" s="57" t="n">
        <v>0.0535</v>
      </c>
      <c r="N521" s="47" t="s">
        <v>148</v>
      </c>
      <c r="O521" s="47" t="s">
        <v>951</v>
      </c>
      <c r="P521" s="47"/>
      <c r="Q521" s="48" t="n">
        <f aca="false">IF($J521="","",IFERROR(IF($J521&lt;=1,INDEX(VN_국채일별!$B$4:$B$1436,MATCH($B521,VN_국채일별!$A$4:$A$1436,1)),IF($J521&lt;=2,INDEX(VN_국채일별!$B$4:$B$1436,MATCH($B521,VN_국채일별!$A$4:$A$1436,1))+(INDEX(VN_국채일별!$C$4:$C$1436,MATCH($B521,VN_국채일별!$A$4:$A$1436,1))-INDEX(VN_국채일별!$B$4:$B$1436,MATCH($B521,VN_국채일별!$A$4:$A$1436,1)))*($J521-1),IF($J521&lt;=3,INDEX(VN_국채일별!$C$4:$C$1436,MATCH($B521,VN_국채일별!$A$4:$A$1436,1))+(INDEX(VN_국채일별!$D$4:$D$1436,MATCH($B521,VN_국채일별!$A$4:$A$1436,1))-INDEX(VN_국채일별!$C$4:$C$1436,MATCH($B521,VN_국채일별!$A$4:$A$1436,1)))*($J521-2),IF($J521&lt;=5,INDEX(VN_국채일별!$D$4:$D$1436,MATCH($B521,VN_국채일별!$A$4:$A$1436,1))+(INDEX(VN_국채일별!$E$4:$E$1436,MATCH($B521,VN_국채일별!$A$4:$A$1436,1))-INDEX(VN_국채일별!$D$4:$D$1436,MATCH($B521,VN_국채일별!$A$4:$A$1436,1)))*($J521-3)/2,IF($J521&lt;=7,INDEX(VN_국채일별!$E$4:$E$1436,MATCH($B521,VN_국채일별!$A$4:$A$1436,1))+(INDEX(VN_국채일별!$F$4:$F$1436,MATCH($B521,VN_국채일별!$A$4:$A$1436,1))-INDEX(VN_국채일별!$E$4:$E$1436,MATCH($B521,VN_국채일별!$A$4:$A$1436,1)))*($J521-5)/2,IF($J521&lt;=10,INDEX(VN_국채일별!$F$4:$F$1436,MATCH($B521,VN_국채일별!$A$4:$A$1436,1))+(INDEX(VN_국채일별!$G$4:$G$1436,MATCH($B521,VN_국채일별!$A$4:$A$1436,1))-INDEX(VN_국채일별!$F$4:$F$1436,MATCH($B521,VN_국채일별!$A$4:$A$1436,1)))*($J521-7)/3,INDEX(VN_국채일별!$G$4:$G$1436,MATCH($B521,VN_국채일별!$A$4:$A$1436,1)))))))),""))</f>
        <v>0.02471</v>
      </c>
      <c r="R521" s="58" t="n">
        <f aca="false">IF(OR(L521="",Q521=""),"",(L521-Q521)*10000)</f>
        <v>287.9</v>
      </c>
      <c r="S521" s="30" t="n">
        <f aca="false">IF(AND(K521="고정",N521="N",J521&gt;=2,J521&lt;=4,I521&lt;&gt;""),1,0)</f>
        <v>1</v>
      </c>
      <c r="T521" s="59" t="n">
        <f aca="false">IF(S521=1,I521*L521,0)</f>
        <v>69.55</v>
      </c>
      <c r="U521" s="60" t="n">
        <f aca="false">IF(AND(S521=1,ISNUMBER(R521)),I521*R521,0)</f>
        <v>374270</v>
      </c>
      <c r="V521" s="30" t="n">
        <f aca="false">IF(AND(F521="Big4(국영)",K521="고정",N521="N",I521&lt;&gt;""),1,0)</f>
        <v>0</v>
      </c>
      <c r="W521" s="59" t="n">
        <f aca="false">IF(V521=1,I521*L521,0)</f>
        <v>0</v>
      </c>
      <c r="X521" s="60" t="n">
        <f aca="false">IF(AND(V521=1,ISNUMBER(R521)),I521*R521,0)</f>
        <v>0</v>
      </c>
      <c r="Y521" s="61" t="n">
        <f aca="false">IF(AND(S521=1,ISNUMBER(R521)),I521,0)</f>
        <v>1300</v>
      </c>
      <c r="Z521" s="61" t="n">
        <f aca="false">IF(AND(V521=1,ISNUMBER(R521)),I521,0)</f>
        <v>0</v>
      </c>
    </row>
    <row r="522" customFormat="false" ht="15" hidden="false" customHeight="false" outlineLevel="0" collapsed="false">
      <c r="A522" s="47" t="s">
        <v>940</v>
      </c>
      <c r="B522" s="52" t="n">
        <v>45853</v>
      </c>
      <c r="C522" s="53" t="n">
        <f aca="false">DATE(YEAR(B522),MONTH(B522),1)</f>
        <v>45839</v>
      </c>
      <c r="D522" s="5" t="str">
        <f aca="false">YEAR(B522)&amp;"Q"&amp;ROUNDUP(MONTH(B522)/3,0)</f>
        <v>2025Q3</v>
      </c>
      <c r="E522" s="62" t="s">
        <v>155</v>
      </c>
      <c r="F522" s="62" t="s">
        <v>156</v>
      </c>
      <c r="G522" s="47" t="s">
        <v>157</v>
      </c>
      <c r="H522" s="47" t="s">
        <v>952</v>
      </c>
      <c r="I522" s="55" t="n">
        <v>200</v>
      </c>
      <c r="J522" s="56" t="n">
        <v>7</v>
      </c>
      <c r="K522" s="54" t="s">
        <v>153</v>
      </c>
      <c r="N522" s="47" t="s">
        <v>143</v>
      </c>
      <c r="O522" s="47" t="s">
        <v>872</v>
      </c>
      <c r="P522" s="47"/>
      <c r="Q522" s="48" t="n">
        <f aca="false">IF($J522="","",IFERROR(IF($J522&lt;=1,INDEX(VN_국채일별!$B$4:$B$1436,MATCH($B522,VN_국채일별!$A$4:$A$1436,1)),IF($J522&lt;=2,INDEX(VN_국채일별!$B$4:$B$1436,MATCH($B522,VN_국채일별!$A$4:$A$1436,1))+(INDEX(VN_국채일별!$C$4:$C$1436,MATCH($B522,VN_국채일별!$A$4:$A$1436,1))-INDEX(VN_국채일별!$B$4:$B$1436,MATCH($B522,VN_국채일별!$A$4:$A$1436,1)))*($J522-1),IF($J522&lt;=3,INDEX(VN_국채일별!$C$4:$C$1436,MATCH($B522,VN_국채일별!$A$4:$A$1436,1))+(INDEX(VN_국채일별!$D$4:$D$1436,MATCH($B522,VN_국채일별!$A$4:$A$1436,1))-INDEX(VN_국채일별!$C$4:$C$1436,MATCH($B522,VN_국채일별!$A$4:$A$1436,1)))*($J522-2),IF($J522&lt;=5,INDEX(VN_국채일별!$D$4:$D$1436,MATCH($B522,VN_국채일별!$A$4:$A$1436,1))+(INDEX(VN_국채일별!$E$4:$E$1436,MATCH($B522,VN_국채일별!$A$4:$A$1436,1))-INDEX(VN_국채일별!$D$4:$D$1436,MATCH($B522,VN_국채일별!$A$4:$A$1436,1)))*($J522-3)/2,IF($J522&lt;=7,INDEX(VN_국채일별!$E$4:$E$1436,MATCH($B522,VN_국채일별!$A$4:$A$1436,1))+(INDEX(VN_국채일별!$F$4:$F$1436,MATCH($B522,VN_국채일별!$A$4:$A$1436,1))-INDEX(VN_국채일별!$E$4:$E$1436,MATCH($B522,VN_국채일별!$A$4:$A$1436,1)))*($J522-5)/2,IF($J522&lt;=10,INDEX(VN_국채일별!$F$4:$F$1436,MATCH($B522,VN_국채일별!$A$4:$A$1436,1))+(INDEX(VN_국채일별!$G$4:$G$1436,MATCH($B522,VN_국채일별!$A$4:$A$1436,1))-INDEX(VN_국채일별!$F$4:$F$1436,MATCH($B522,VN_국채일별!$A$4:$A$1436,1)))*($J522-7)/3,INDEX(VN_국채일별!$G$4:$G$1436,MATCH($B522,VN_국채일별!$A$4:$A$1436,1)))))))),""))</f>
        <v>0.03127</v>
      </c>
      <c r="R522" s="58" t="str">
        <f aca="false">IF(OR(L522="",Q522=""),"",(L522-Q522)*10000)</f>
        <v/>
      </c>
      <c r="S522" s="30" t="n">
        <f aca="false">IF(AND(K522="고정",N522="N",J522&gt;=2,J522&lt;=4,I522&lt;&gt;""),1,0)</f>
        <v>0</v>
      </c>
      <c r="T522" s="59" t="n">
        <f aca="false">IF(S522=1,I522*L522,0)</f>
        <v>0</v>
      </c>
      <c r="U522" s="60" t="n">
        <f aca="false">IF(AND(S522=1,ISNUMBER(R522)),I522*R522,0)</f>
        <v>0</v>
      </c>
      <c r="V522" s="30" t="n">
        <f aca="false">IF(AND(F522="Big4(국영)",K522="고정",N522="N",I522&lt;&gt;""),1,0)</f>
        <v>0</v>
      </c>
      <c r="W522" s="59" t="n">
        <f aca="false">IF(V522=1,I522*L522,0)</f>
        <v>0</v>
      </c>
      <c r="X522" s="60" t="n">
        <f aca="false">IF(AND(V522=1,ISNUMBER(R522)),I522*R522,0)</f>
        <v>0</v>
      </c>
      <c r="Y522" s="61" t="n">
        <f aca="false">IF(AND(S522=1,ISNUMBER(R522)),I522,0)</f>
        <v>0</v>
      </c>
      <c r="Z522" s="61" t="n">
        <f aca="false">IF(AND(V522=1,ISNUMBER(R522)),I522,0)</f>
        <v>0</v>
      </c>
    </row>
    <row r="523" customFormat="false" ht="15" hidden="false" customHeight="false" outlineLevel="0" collapsed="false">
      <c r="A523" s="47" t="s">
        <v>940</v>
      </c>
      <c r="B523" s="52" t="n">
        <v>45854</v>
      </c>
      <c r="C523" s="53" t="n">
        <f aca="false">DATE(YEAR(B523),MONTH(B523),1)</f>
        <v>45839</v>
      </c>
      <c r="D523" s="5" t="str">
        <f aca="false">YEAR(B523)&amp;"Q"&amp;ROUNDUP(MONTH(B523)/3,0)</f>
        <v>2025Q3</v>
      </c>
      <c r="E523" s="47" t="s">
        <v>160</v>
      </c>
      <c r="F523" s="54" t="s">
        <v>139</v>
      </c>
      <c r="G523" s="47" t="s">
        <v>161</v>
      </c>
      <c r="H523" s="47" t="s">
        <v>953</v>
      </c>
      <c r="I523" s="55" t="n">
        <v>1000</v>
      </c>
      <c r="J523" s="56" t="n">
        <v>10</v>
      </c>
      <c r="K523" s="54" t="s">
        <v>142</v>
      </c>
      <c r="L523" s="57" t="n">
        <v>0.0648</v>
      </c>
      <c r="N523" s="47" t="s">
        <v>143</v>
      </c>
      <c r="O523" s="47" t="s">
        <v>954</v>
      </c>
      <c r="P523" s="47"/>
      <c r="Q523" s="48" t="n">
        <f aca="false">IF($J523="","",IFERROR(IF($J523&lt;=1,INDEX(VN_국채일별!$B$4:$B$1436,MATCH($B523,VN_국채일별!$A$4:$A$1436,1)),IF($J523&lt;=2,INDEX(VN_국채일별!$B$4:$B$1436,MATCH($B523,VN_국채일별!$A$4:$A$1436,1))+(INDEX(VN_국채일별!$C$4:$C$1436,MATCH($B523,VN_국채일별!$A$4:$A$1436,1))-INDEX(VN_국채일별!$B$4:$B$1436,MATCH($B523,VN_국채일별!$A$4:$A$1436,1)))*($J523-1),IF($J523&lt;=3,INDEX(VN_국채일별!$C$4:$C$1436,MATCH($B523,VN_국채일별!$A$4:$A$1436,1))+(INDEX(VN_국채일별!$D$4:$D$1436,MATCH($B523,VN_국채일별!$A$4:$A$1436,1))-INDEX(VN_국채일별!$C$4:$C$1436,MATCH($B523,VN_국채일별!$A$4:$A$1436,1)))*($J523-2),IF($J523&lt;=5,INDEX(VN_국채일별!$D$4:$D$1436,MATCH($B523,VN_국채일별!$A$4:$A$1436,1))+(INDEX(VN_국채일별!$E$4:$E$1436,MATCH($B523,VN_국채일별!$A$4:$A$1436,1))-INDEX(VN_국채일별!$D$4:$D$1436,MATCH($B523,VN_국채일별!$A$4:$A$1436,1)))*($J523-3)/2,IF($J523&lt;=7,INDEX(VN_국채일별!$E$4:$E$1436,MATCH($B523,VN_국채일별!$A$4:$A$1436,1))+(INDEX(VN_국채일별!$F$4:$F$1436,MATCH($B523,VN_국채일별!$A$4:$A$1436,1))-INDEX(VN_국채일별!$E$4:$E$1436,MATCH($B523,VN_국채일별!$A$4:$A$1436,1)))*($J523-5)/2,IF($J523&lt;=10,INDEX(VN_국채일별!$F$4:$F$1436,MATCH($B523,VN_국채일별!$A$4:$A$1436,1))+(INDEX(VN_국채일별!$G$4:$G$1436,MATCH($B523,VN_국채일별!$A$4:$A$1436,1))-INDEX(VN_국채일별!$F$4:$F$1436,MATCH($B523,VN_국채일별!$A$4:$A$1436,1)))*($J523-7)/3,INDEX(VN_국채일별!$G$4:$G$1436,MATCH($B523,VN_국채일별!$A$4:$A$1436,1)))))))),""))</f>
        <v>0.03359</v>
      </c>
      <c r="R523" s="58" t="n">
        <f aca="false">IF(OR(L523="",Q523=""),"",(L523-Q523)*10000)</f>
        <v>312.1</v>
      </c>
      <c r="S523" s="30" t="n">
        <f aca="false">IF(AND(K523="고정",N523="N",J523&gt;=2,J523&lt;=4,I523&lt;&gt;""),1,0)</f>
        <v>0</v>
      </c>
      <c r="T523" s="59" t="n">
        <f aca="false">IF(S523=1,I523*L523,0)</f>
        <v>0</v>
      </c>
      <c r="U523" s="60" t="n">
        <f aca="false">IF(AND(S523=1,ISNUMBER(R523)),I523*R523,0)</f>
        <v>0</v>
      </c>
      <c r="V523" s="30" t="n">
        <f aca="false">IF(AND(F523="Big4(국영)",K523="고정",N523="N",I523&lt;&gt;""),1,0)</f>
        <v>0</v>
      </c>
      <c r="W523" s="59" t="n">
        <f aca="false">IF(V523=1,I523*L523,0)</f>
        <v>0</v>
      </c>
      <c r="X523" s="60" t="n">
        <f aca="false">IF(AND(V523=1,ISNUMBER(R523)),I523*R523,0)</f>
        <v>0</v>
      </c>
      <c r="Y523" s="61" t="n">
        <f aca="false">IF(AND(S523=1,ISNUMBER(R523)),I523,0)</f>
        <v>0</v>
      </c>
      <c r="Z523" s="61" t="n">
        <f aca="false">IF(AND(V523=1,ISNUMBER(R523)),I523,0)</f>
        <v>0</v>
      </c>
    </row>
    <row r="524" customFormat="false" ht="15" hidden="false" customHeight="false" outlineLevel="0" collapsed="false">
      <c r="A524" s="47" t="s">
        <v>940</v>
      </c>
      <c r="B524" s="52" t="n">
        <v>45856</v>
      </c>
      <c r="C524" s="53" t="n">
        <f aca="false">DATE(YEAR(B524),MONTH(B524),1)</f>
        <v>45839</v>
      </c>
      <c r="D524" s="5" t="str">
        <f aca="false">YEAR(B524)&amp;"Q"&amp;ROUNDUP(MONTH(B524)/3,0)</f>
        <v>2025Q3</v>
      </c>
      <c r="E524" s="47" t="s">
        <v>160</v>
      </c>
      <c r="F524" s="54" t="s">
        <v>139</v>
      </c>
      <c r="G524" s="47" t="s">
        <v>161</v>
      </c>
      <c r="H524" s="47" t="s">
        <v>955</v>
      </c>
      <c r="I524" s="55" t="n">
        <v>250</v>
      </c>
      <c r="J524" s="56" t="n">
        <v>8</v>
      </c>
      <c r="K524" s="54" t="s">
        <v>153</v>
      </c>
      <c r="N524" s="47" t="s">
        <v>143</v>
      </c>
      <c r="O524" s="47" t="s">
        <v>847</v>
      </c>
      <c r="P524" s="47"/>
      <c r="Q524" s="48" t="n">
        <f aca="false">IF($J524="","",IFERROR(IF($J524&lt;=1,INDEX(VN_국채일별!$B$4:$B$1436,MATCH($B524,VN_국채일별!$A$4:$A$1436,1)),IF($J524&lt;=2,INDEX(VN_국채일별!$B$4:$B$1436,MATCH($B524,VN_국채일별!$A$4:$A$1436,1))+(INDEX(VN_국채일별!$C$4:$C$1436,MATCH($B524,VN_국채일별!$A$4:$A$1436,1))-INDEX(VN_국채일별!$B$4:$B$1436,MATCH($B524,VN_국채일별!$A$4:$A$1436,1)))*($J524-1),IF($J524&lt;=3,INDEX(VN_국채일별!$C$4:$C$1436,MATCH($B524,VN_국채일별!$A$4:$A$1436,1))+(INDEX(VN_국채일별!$D$4:$D$1436,MATCH($B524,VN_국채일별!$A$4:$A$1436,1))-INDEX(VN_국채일별!$C$4:$C$1436,MATCH($B524,VN_국채일별!$A$4:$A$1436,1)))*($J524-2),IF($J524&lt;=5,INDEX(VN_국채일별!$D$4:$D$1436,MATCH($B524,VN_국채일별!$A$4:$A$1436,1))+(INDEX(VN_국채일별!$E$4:$E$1436,MATCH($B524,VN_국채일별!$A$4:$A$1436,1))-INDEX(VN_국채일별!$D$4:$D$1436,MATCH($B524,VN_국채일별!$A$4:$A$1436,1)))*($J524-3)/2,IF($J524&lt;=7,INDEX(VN_국채일별!$E$4:$E$1436,MATCH($B524,VN_국채일별!$A$4:$A$1436,1))+(INDEX(VN_국채일별!$F$4:$F$1436,MATCH($B524,VN_국채일별!$A$4:$A$1436,1))-INDEX(VN_국채일별!$E$4:$E$1436,MATCH($B524,VN_국채일별!$A$4:$A$1436,1)))*($J524-5)/2,IF($J524&lt;=10,INDEX(VN_국채일별!$F$4:$F$1436,MATCH($B524,VN_국채일별!$A$4:$A$1436,1))+(INDEX(VN_국채일별!$G$4:$G$1436,MATCH($B524,VN_국채일별!$A$4:$A$1436,1))-INDEX(VN_국채일별!$F$4:$F$1436,MATCH($B524,VN_국채일별!$A$4:$A$1436,1)))*($J524-7)/3,INDEX(VN_국채일별!$G$4:$G$1436,MATCH($B524,VN_국채일별!$A$4:$A$1436,1)))))))),""))</f>
        <v>0.03226</v>
      </c>
      <c r="R524" s="58" t="str">
        <f aca="false">IF(OR(L524="",Q524=""),"",(L524-Q524)*10000)</f>
        <v/>
      </c>
      <c r="S524" s="30" t="n">
        <f aca="false">IF(AND(K524="고정",N524="N",J524&gt;=2,J524&lt;=4,I524&lt;&gt;""),1,0)</f>
        <v>0</v>
      </c>
      <c r="T524" s="59" t="n">
        <f aca="false">IF(S524=1,I524*L524,0)</f>
        <v>0</v>
      </c>
      <c r="U524" s="60" t="n">
        <f aca="false">IF(AND(S524=1,ISNUMBER(R524)),I524*R524,0)</f>
        <v>0</v>
      </c>
      <c r="V524" s="30" t="n">
        <f aca="false">IF(AND(F524="Big4(국영)",K524="고정",N524="N",I524&lt;&gt;""),1,0)</f>
        <v>0</v>
      </c>
      <c r="W524" s="59" t="n">
        <f aca="false">IF(V524=1,I524*L524,0)</f>
        <v>0</v>
      </c>
      <c r="X524" s="60" t="n">
        <f aca="false">IF(AND(V524=1,ISNUMBER(R524)),I524*R524,0)</f>
        <v>0</v>
      </c>
      <c r="Y524" s="61" t="n">
        <f aca="false">IF(AND(S524=1,ISNUMBER(R524)),I524,0)</f>
        <v>0</v>
      </c>
      <c r="Z524" s="61" t="n">
        <f aca="false">IF(AND(V524=1,ISNUMBER(R524)),I524,0)</f>
        <v>0</v>
      </c>
    </row>
    <row r="525" customFormat="false" ht="15" hidden="false" customHeight="false" outlineLevel="0" collapsed="false">
      <c r="A525" s="47" t="s">
        <v>940</v>
      </c>
      <c r="B525" s="52" t="n">
        <v>45856</v>
      </c>
      <c r="C525" s="53" t="n">
        <f aca="false">DATE(YEAR(B525),MONTH(B525),1)</f>
        <v>45839</v>
      </c>
      <c r="D525" s="5" t="str">
        <f aca="false">YEAR(B525)&amp;"Q"&amp;ROUNDUP(MONTH(B525)/3,0)</f>
        <v>2025Q3</v>
      </c>
      <c r="E525" s="47" t="s">
        <v>160</v>
      </c>
      <c r="F525" s="54" t="s">
        <v>139</v>
      </c>
      <c r="G525" s="47" t="s">
        <v>161</v>
      </c>
      <c r="H525" s="47" t="s">
        <v>956</v>
      </c>
      <c r="I525" s="55" t="n">
        <v>250</v>
      </c>
      <c r="J525" s="56" t="n">
        <v>8</v>
      </c>
      <c r="K525" s="54" t="s">
        <v>153</v>
      </c>
      <c r="N525" s="47" t="s">
        <v>143</v>
      </c>
      <c r="O525" s="47" t="s">
        <v>847</v>
      </c>
      <c r="P525" s="47"/>
      <c r="Q525" s="48" t="n">
        <f aca="false">IF($J525="","",IFERROR(IF($J525&lt;=1,INDEX(VN_국채일별!$B$4:$B$1436,MATCH($B525,VN_국채일별!$A$4:$A$1436,1)),IF($J525&lt;=2,INDEX(VN_국채일별!$B$4:$B$1436,MATCH($B525,VN_국채일별!$A$4:$A$1436,1))+(INDEX(VN_국채일별!$C$4:$C$1436,MATCH($B525,VN_국채일별!$A$4:$A$1436,1))-INDEX(VN_국채일별!$B$4:$B$1436,MATCH($B525,VN_국채일별!$A$4:$A$1436,1)))*($J525-1),IF($J525&lt;=3,INDEX(VN_국채일별!$C$4:$C$1436,MATCH($B525,VN_국채일별!$A$4:$A$1436,1))+(INDEX(VN_국채일별!$D$4:$D$1436,MATCH($B525,VN_국채일별!$A$4:$A$1436,1))-INDEX(VN_국채일별!$C$4:$C$1436,MATCH($B525,VN_국채일별!$A$4:$A$1436,1)))*($J525-2),IF($J525&lt;=5,INDEX(VN_국채일별!$D$4:$D$1436,MATCH($B525,VN_국채일별!$A$4:$A$1436,1))+(INDEX(VN_국채일별!$E$4:$E$1436,MATCH($B525,VN_국채일별!$A$4:$A$1436,1))-INDEX(VN_국채일별!$D$4:$D$1436,MATCH($B525,VN_국채일별!$A$4:$A$1436,1)))*($J525-3)/2,IF($J525&lt;=7,INDEX(VN_국채일별!$E$4:$E$1436,MATCH($B525,VN_국채일별!$A$4:$A$1436,1))+(INDEX(VN_국채일별!$F$4:$F$1436,MATCH($B525,VN_국채일별!$A$4:$A$1436,1))-INDEX(VN_국채일별!$E$4:$E$1436,MATCH($B525,VN_국채일별!$A$4:$A$1436,1)))*($J525-5)/2,IF($J525&lt;=10,INDEX(VN_국채일별!$F$4:$F$1436,MATCH($B525,VN_국채일별!$A$4:$A$1436,1))+(INDEX(VN_국채일별!$G$4:$G$1436,MATCH($B525,VN_국채일별!$A$4:$A$1436,1))-INDEX(VN_국채일별!$F$4:$F$1436,MATCH($B525,VN_국채일별!$A$4:$A$1436,1)))*($J525-7)/3,INDEX(VN_국채일별!$G$4:$G$1436,MATCH($B525,VN_국채일별!$A$4:$A$1436,1)))))))),""))</f>
        <v>0.03226</v>
      </c>
      <c r="R525" s="58" t="str">
        <f aca="false">IF(OR(L525="",Q525=""),"",(L525-Q525)*10000)</f>
        <v/>
      </c>
      <c r="S525" s="30" t="n">
        <f aca="false">IF(AND(K525="고정",N525="N",J525&gt;=2,J525&lt;=4,I525&lt;&gt;""),1,0)</f>
        <v>0</v>
      </c>
      <c r="T525" s="59" t="n">
        <f aca="false">IF(S525=1,I525*L525,0)</f>
        <v>0</v>
      </c>
      <c r="U525" s="60" t="n">
        <f aca="false">IF(AND(S525=1,ISNUMBER(R525)),I525*R525,0)</f>
        <v>0</v>
      </c>
      <c r="V525" s="30" t="n">
        <f aca="false">IF(AND(F525="Big4(국영)",K525="고정",N525="N",I525&lt;&gt;""),1,0)</f>
        <v>0</v>
      </c>
      <c r="W525" s="59" t="n">
        <f aca="false">IF(V525=1,I525*L525,0)</f>
        <v>0</v>
      </c>
      <c r="X525" s="60" t="n">
        <f aca="false">IF(AND(V525=1,ISNUMBER(R525)),I525*R525,0)</f>
        <v>0</v>
      </c>
      <c r="Y525" s="61" t="n">
        <f aca="false">IF(AND(S525=1,ISNUMBER(R525)),I525,0)</f>
        <v>0</v>
      </c>
      <c r="Z525" s="61" t="n">
        <f aca="false">IF(AND(V525=1,ISNUMBER(R525)),I525,0)</f>
        <v>0</v>
      </c>
    </row>
    <row r="526" customFormat="false" ht="15" hidden="false" customHeight="false" outlineLevel="0" collapsed="false">
      <c r="A526" s="47" t="s">
        <v>940</v>
      </c>
      <c r="B526" s="52" t="n">
        <v>45859</v>
      </c>
      <c r="C526" s="53" t="n">
        <f aca="false">DATE(YEAR(B526),MONTH(B526),1)</f>
        <v>45839</v>
      </c>
      <c r="D526" s="5" t="str">
        <f aca="false">YEAR(B526)&amp;"Q"&amp;ROUNDUP(MONTH(B526)/3,0)</f>
        <v>2025Q3</v>
      </c>
      <c r="E526" s="47" t="s">
        <v>160</v>
      </c>
      <c r="F526" s="54" t="s">
        <v>139</v>
      </c>
      <c r="G526" s="47" t="s">
        <v>161</v>
      </c>
      <c r="H526" s="47" t="s">
        <v>957</v>
      </c>
      <c r="I526" s="55" t="n">
        <v>1000</v>
      </c>
      <c r="J526" s="56" t="n">
        <v>8</v>
      </c>
      <c r="K526" s="54" t="s">
        <v>153</v>
      </c>
      <c r="N526" s="47" t="s">
        <v>143</v>
      </c>
      <c r="O526" s="47" t="s">
        <v>958</v>
      </c>
      <c r="P526" s="47"/>
      <c r="Q526" s="48" t="n">
        <f aca="false">IF($J526="","",IFERROR(IF($J526&lt;=1,INDEX(VN_국채일별!$B$4:$B$1436,MATCH($B526,VN_국채일별!$A$4:$A$1436,1)),IF($J526&lt;=2,INDEX(VN_국채일별!$B$4:$B$1436,MATCH($B526,VN_국채일별!$A$4:$A$1436,1))+(INDEX(VN_국채일별!$C$4:$C$1436,MATCH($B526,VN_국채일별!$A$4:$A$1436,1))-INDEX(VN_국채일별!$B$4:$B$1436,MATCH($B526,VN_국채일별!$A$4:$A$1436,1)))*($J526-1),IF($J526&lt;=3,INDEX(VN_국채일별!$C$4:$C$1436,MATCH($B526,VN_국채일별!$A$4:$A$1436,1))+(INDEX(VN_국채일별!$D$4:$D$1436,MATCH($B526,VN_국채일별!$A$4:$A$1436,1))-INDEX(VN_국채일별!$C$4:$C$1436,MATCH($B526,VN_국채일별!$A$4:$A$1436,1)))*($J526-2),IF($J526&lt;=5,INDEX(VN_국채일별!$D$4:$D$1436,MATCH($B526,VN_국채일별!$A$4:$A$1436,1))+(INDEX(VN_국채일별!$E$4:$E$1436,MATCH($B526,VN_국채일별!$A$4:$A$1436,1))-INDEX(VN_국채일별!$D$4:$D$1436,MATCH($B526,VN_국채일별!$A$4:$A$1436,1)))*($J526-3)/2,IF($J526&lt;=7,INDEX(VN_국채일별!$E$4:$E$1436,MATCH($B526,VN_국채일별!$A$4:$A$1436,1))+(INDEX(VN_국채일별!$F$4:$F$1436,MATCH($B526,VN_국채일별!$A$4:$A$1436,1))-INDEX(VN_국채일별!$E$4:$E$1436,MATCH($B526,VN_국채일별!$A$4:$A$1436,1)))*($J526-5)/2,IF($J526&lt;=10,INDEX(VN_국채일별!$F$4:$F$1436,MATCH($B526,VN_국채일별!$A$4:$A$1436,1))+(INDEX(VN_국채일별!$G$4:$G$1436,MATCH($B526,VN_국채일별!$A$4:$A$1436,1))-INDEX(VN_국채일별!$F$4:$F$1436,MATCH($B526,VN_국채일별!$A$4:$A$1436,1)))*($J526-7)/3,INDEX(VN_국채일별!$G$4:$G$1436,MATCH($B526,VN_국채일별!$A$4:$A$1436,1)))))))),""))</f>
        <v>0.0322733333333333</v>
      </c>
      <c r="R526" s="58" t="str">
        <f aca="false">IF(OR(L526="",Q526=""),"",(L526-Q526)*10000)</f>
        <v/>
      </c>
      <c r="S526" s="30" t="n">
        <f aca="false">IF(AND(K526="고정",N526="N",J526&gt;=2,J526&lt;=4,I526&lt;&gt;""),1,0)</f>
        <v>0</v>
      </c>
      <c r="T526" s="59" t="n">
        <f aca="false">IF(S526=1,I526*L526,0)</f>
        <v>0</v>
      </c>
      <c r="U526" s="60" t="n">
        <f aca="false">IF(AND(S526=1,ISNUMBER(R526)),I526*R526,0)</f>
        <v>0</v>
      </c>
      <c r="V526" s="30" t="n">
        <f aca="false">IF(AND(F526="Big4(국영)",K526="고정",N526="N",I526&lt;&gt;""),1,0)</f>
        <v>0</v>
      </c>
      <c r="W526" s="59" t="n">
        <f aca="false">IF(V526=1,I526*L526,0)</f>
        <v>0</v>
      </c>
      <c r="X526" s="60" t="n">
        <f aca="false">IF(AND(V526=1,ISNUMBER(R526)),I526*R526,0)</f>
        <v>0</v>
      </c>
      <c r="Y526" s="61" t="n">
        <f aca="false">IF(AND(S526=1,ISNUMBER(R526)),I526,0)</f>
        <v>0</v>
      </c>
      <c r="Z526" s="61" t="n">
        <f aca="false">IF(AND(V526=1,ISNUMBER(R526)),I526,0)</f>
        <v>0</v>
      </c>
    </row>
    <row r="527" customFormat="false" ht="15" hidden="false" customHeight="false" outlineLevel="0" collapsed="false">
      <c r="A527" s="47" t="s">
        <v>940</v>
      </c>
      <c r="B527" s="52" t="n">
        <v>45861</v>
      </c>
      <c r="C527" s="53" t="n">
        <f aca="false">DATE(YEAR(B527),MONTH(B527),1)</f>
        <v>45839</v>
      </c>
      <c r="D527" s="5" t="str">
        <f aca="false">YEAR(B527)&amp;"Q"&amp;ROUNDUP(MONTH(B527)/3,0)</f>
        <v>2025Q3</v>
      </c>
      <c r="E527" s="47" t="s">
        <v>160</v>
      </c>
      <c r="F527" s="54" t="s">
        <v>139</v>
      </c>
      <c r="G527" s="47" t="s">
        <v>161</v>
      </c>
      <c r="H527" s="47" t="s">
        <v>959</v>
      </c>
      <c r="I527" s="55" t="n">
        <v>100</v>
      </c>
      <c r="J527" s="56" t="n">
        <v>10</v>
      </c>
      <c r="K527" s="54" t="s">
        <v>142</v>
      </c>
      <c r="L527" s="57" t="n">
        <v>0.0648</v>
      </c>
      <c r="N527" s="47" t="s">
        <v>143</v>
      </c>
      <c r="O527" s="47" t="s">
        <v>954</v>
      </c>
      <c r="P527" s="47"/>
      <c r="Q527" s="48" t="n">
        <f aca="false">IF($J527="","",IFERROR(IF($J527&lt;=1,INDEX(VN_국채일별!$B$4:$B$1436,MATCH($B527,VN_국채일별!$A$4:$A$1436,1)),IF($J527&lt;=2,INDEX(VN_국채일별!$B$4:$B$1436,MATCH($B527,VN_국채일별!$A$4:$A$1436,1))+(INDEX(VN_국채일별!$C$4:$C$1436,MATCH($B527,VN_국채일별!$A$4:$A$1436,1))-INDEX(VN_국채일별!$B$4:$B$1436,MATCH($B527,VN_국채일별!$A$4:$A$1436,1)))*($J527-1),IF($J527&lt;=3,INDEX(VN_국채일별!$C$4:$C$1436,MATCH($B527,VN_국채일별!$A$4:$A$1436,1))+(INDEX(VN_국채일별!$D$4:$D$1436,MATCH($B527,VN_국채일별!$A$4:$A$1436,1))-INDEX(VN_국채일별!$C$4:$C$1436,MATCH($B527,VN_국채일별!$A$4:$A$1436,1)))*($J527-2),IF($J527&lt;=5,INDEX(VN_국채일별!$D$4:$D$1436,MATCH($B527,VN_국채일별!$A$4:$A$1436,1))+(INDEX(VN_국채일별!$E$4:$E$1436,MATCH($B527,VN_국채일별!$A$4:$A$1436,1))-INDEX(VN_국채일별!$D$4:$D$1436,MATCH($B527,VN_국채일별!$A$4:$A$1436,1)))*($J527-3)/2,IF($J527&lt;=7,INDEX(VN_국채일별!$E$4:$E$1436,MATCH($B527,VN_국채일별!$A$4:$A$1436,1))+(INDEX(VN_국채일별!$F$4:$F$1436,MATCH($B527,VN_국채일별!$A$4:$A$1436,1))-INDEX(VN_국채일별!$E$4:$E$1436,MATCH($B527,VN_국채일별!$A$4:$A$1436,1)))*($J527-5)/2,IF($J527&lt;=10,INDEX(VN_국채일별!$F$4:$F$1436,MATCH($B527,VN_국채일별!$A$4:$A$1436,1))+(INDEX(VN_국채일별!$G$4:$G$1436,MATCH($B527,VN_국채일별!$A$4:$A$1436,1))-INDEX(VN_국채일별!$F$4:$F$1436,MATCH($B527,VN_국채일별!$A$4:$A$1436,1)))*($J527-7)/3,INDEX(VN_국채일별!$G$4:$G$1436,MATCH($B527,VN_국채일별!$A$4:$A$1436,1)))))))),""))</f>
        <v>0.03429</v>
      </c>
      <c r="R527" s="58" t="n">
        <f aca="false">IF(OR(L527="",Q527=""),"",(L527-Q527)*10000)</f>
        <v>305.1</v>
      </c>
      <c r="S527" s="30" t="n">
        <f aca="false">IF(AND(K527="고정",N527="N",J527&gt;=2,J527&lt;=4,I527&lt;&gt;""),1,0)</f>
        <v>0</v>
      </c>
      <c r="T527" s="59" t="n">
        <f aca="false">IF(S527=1,I527*L527,0)</f>
        <v>0</v>
      </c>
      <c r="U527" s="60" t="n">
        <f aca="false">IF(AND(S527=1,ISNUMBER(R527)),I527*R527,0)</f>
        <v>0</v>
      </c>
      <c r="V527" s="30" t="n">
        <f aca="false">IF(AND(F527="Big4(국영)",K527="고정",N527="N",I527&lt;&gt;""),1,0)</f>
        <v>0</v>
      </c>
      <c r="W527" s="59" t="n">
        <f aca="false">IF(V527=1,I527*L527,0)</f>
        <v>0</v>
      </c>
      <c r="X527" s="60" t="n">
        <f aca="false">IF(AND(V527=1,ISNUMBER(R527)),I527*R527,0)</f>
        <v>0</v>
      </c>
      <c r="Y527" s="61" t="n">
        <f aca="false">IF(AND(S527=1,ISNUMBER(R527)),I527,0)</f>
        <v>0</v>
      </c>
      <c r="Z527" s="61" t="n">
        <f aca="false">IF(AND(V527=1,ISNUMBER(R527)),I527,0)</f>
        <v>0</v>
      </c>
    </row>
    <row r="528" customFormat="false" ht="15" hidden="false" customHeight="false" outlineLevel="0" collapsed="false">
      <c r="A528" s="47" t="s">
        <v>940</v>
      </c>
      <c r="B528" s="52" t="n">
        <v>45861</v>
      </c>
      <c r="C528" s="53" t="n">
        <f aca="false">DATE(YEAR(B528),MONTH(B528),1)</f>
        <v>45839</v>
      </c>
      <c r="D528" s="5" t="str">
        <f aca="false">YEAR(B528)&amp;"Q"&amp;ROUNDUP(MONTH(B528)/3,0)</f>
        <v>2025Q3</v>
      </c>
      <c r="E528" s="47" t="s">
        <v>181</v>
      </c>
      <c r="F528" s="54" t="s">
        <v>139</v>
      </c>
      <c r="G528" s="47" t="s">
        <v>182</v>
      </c>
      <c r="H528" s="47" t="s">
        <v>960</v>
      </c>
      <c r="I528" s="55" t="n">
        <v>3000</v>
      </c>
      <c r="J528" s="56" t="n">
        <v>3</v>
      </c>
      <c r="K528" s="54" t="s">
        <v>142</v>
      </c>
      <c r="L528" s="57" t="n">
        <v>0.054</v>
      </c>
      <c r="N528" s="47" t="s">
        <v>148</v>
      </c>
      <c r="O528" s="47" t="s">
        <v>575</v>
      </c>
      <c r="P528" s="47"/>
      <c r="Q528" s="48" t="n">
        <f aca="false">IF($J528="","",IFERROR(IF($J528&lt;=1,INDEX(VN_국채일별!$B$4:$B$1436,MATCH($B528,VN_국채일별!$A$4:$A$1436,1)),IF($J528&lt;=2,INDEX(VN_국채일별!$B$4:$B$1436,MATCH($B528,VN_국채일별!$A$4:$A$1436,1))+(INDEX(VN_국채일별!$C$4:$C$1436,MATCH($B528,VN_국채일별!$A$4:$A$1436,1))-INDEX(VN_국채일별!$B$4:$B$1436,MATCH($B528,VN_국채일별!$A$4:$A$1436,1)))*($J528-1),IF($J528&lt;=3,INDEX(VN_국채일별!$C$4:$C$1436,MATCH($B528,VN_국채일별!$A$4:$A$1436,1))+(INDEX(VN_국채일별!$D$4:$D$1436,MATCH($B528,VN_국채일별!$A$4:$A$1436,1))-INDEX(VN_국채일별!$C$4:$C$1436,MATCH($B528,VN_국채일별!$A$4:$A$1436,1)))*($J528-2),IF($J528&lt;=5,INDEX(VN_국채일별!$D$4:$D$1436,MATCH($B528,VN_국채일별!$A$4:$A$1436,1))+(INDEX(VN_국채일별!$E$4:$E$1436,MATCH($B528,VN_국채일별!$A$4:$A$1436,1))-INDEX(VN_국채일별!$D$4:$D$1436,MATCH($B528,VN_국채일별!$A$4:$A$1436,1)))*($J528-3)/2,IF($J528&lt;=7,INDEX(VN_국채일별!$E$4:$E$1436,MATCH($B528,VN_국채일별!$A$4:$A$1436,1))+(INDEX(VN_국채일별!$F$4:$F$1436,MATCH($B528,VN_국채일별!$A$4:$A$1436,1))-INDEX(VN_국채일별!$E$4:$E$1436,MATCH($B528,VN_국채일별!$A$4:$A$1436,1)))*($J528-5)/2,IF($J528&lt;=10,INDEX(VN_국채일별!$F$4:$F$1436,MATCH($B528,VN_국채일별!$A$4:$A$1436,1))+(INDEX(VN_국채일별!$G$4:$G$1436,MATCH($B528,VN_국채일별!$A$4:$A$1436,1))-INDEX(VN_국채일별!$F$4:$F$1436,MATCH($B528,VN_국채일별!$A$4:$A$1436,1)))*($J528-7)/3,INDEX(VN_국채일별!$G$4:$G$1436,MATCH($B528,VN_국채일별!$A$4:$A$1436,1)))))))),""))</f>
        <v>0.02518</v>
      </c>
      <c r="R528" s="58" t="n">
        <f aca="false">IF(OR(L528="",Q528=""),"",(L528-Q528)*10000)</f>
        <v>288.2</v>
      </c>
      <c r="S528" s="30" t="n">
        <f aca="false">IF(AND(K528="고정",N528="N",J528&gt;=2,J528&lt;=4,I528&lt;&gt;""),1,0)</f>
        <v>1</v>
      </c>
      <c r="T528" s="59" t="n">
        <f aca="false">IF(S528=1,I528*L528,0)</f>
        <v>162</v>
      </c>
      <c r="U528" s="60" t="n">
        <f aca="false">IF(AND(S528=1,ISNUMBER(R528)),I528*R528,0)</f>
        <v>864600</v>
      </c>
      <c r="V528" s="30" t="n">
        <f aca="false">IF(AND(F528="Big4(국영)",K528="고정",N528="N",I528&lt;&gt;""),1,0)</f>
        <v>0</v>
      </c>
      <c r="W528" s="59" t="n">
        <f aca="false">IF(V528=1,I528*L528,0)</f>
        <v>0</v>
      </c>
      <c r="X528" s="60" t="n">
        <f aca="false">IF(AND(V528=1,ISNUMBER(R528)),I528*R528,0)</f>
        <v>0</v>
      </c>
      <c r="Y528" s="61" t="n">
        <f aca="false">IF(AND(S528=1,ISNUMBER(R528)),I528,0)</f>
        <v>3000</v>
      </c>
      <c r="Z528" s="61" t="n">
        <f aca="false">IF(AND(V528=1,ISNUMBER(R528)),I528,0)</f>
        <v>0</v>
      </c>
    </row>
    <row r="529" customFormat="false" ht="15" hidden="false" customHeight="false" outlineLevel="0" collapsed="false">
      <c r="A529" s="47" t="s">
        <v>940</v>
      </c>
      <c r="B529" s="52" t="n">
        <v>45862</v>
      </c>
      <c r="C529" s="53" t="n">
        <f aca="false">DATE(YEAR(B529),MONTH(B529),1)</f>
        <v>45839</v>
      </c>
      <c r="D529" s="5" t="str">
        <f aca="false">YEAR(B529)&amp;"Q"&amp;ROUNDUP(MONTH(B529)/3,0)</f>
        <v>2025Q3</v>
      </c>
      <c r="E529" s="47" t="s">
        <v>181</v>
      </c>
      <c r="F529" s="54" t="s">
        <v>139</v>
      </c>
      <c r="G529" s="47" t="s">
        <v>182</v>
      </c>
      <c r="H529" s="47" t="s">
        <v>961</v>
      </c>
      <c r="I529" s="55" t="n">
        <v>1000</v>
      </c>
      <c r="J529" s="56" t="n">
        <v>3</v>
      </c>
      <c r="K529" s="54" t="s">
        <v>142</v>
      </c>
      <c r="L529" s="57" t="n">
        <v>0.0535</v>
      </c>
      <c r="N529" s="47" t="s">
        <v>148</v>
      </c>
      <c r="O529" s="47" t="s">
        <v>951</v>
      </c>
      <c r="P529" s="47"/>
      <c r="Q529" s="48" t="n">
        <f aca="false">IF($J529="","",IFERROR(IF($J529&lt;=1,INDEX(VN_국채일별!$B$4:$B$1436,MATCH($B529,VN_국채일별!$A$4:$A$1436,1)),IF($J529&lt;=2,INDEX(VN_국채일별!$B$4:$B$1436,MATCH($B529,VN_국채일별!$A$4:$A$1436,1))+(INDEX(VN_국채일별!$C$4:$C$1436,MATCH($B529,VN_국채일별!$A$4:$A$1436,1))-INDEX(VN_국채일별!$B$4:$B$1436,MATCH($B529,VN_국채일별!$A$4:$A$1436,1)))*($J529-1),IF($J529&lt;=3,INDEX(VN_국채일별!$C$4:$C$1436,MATCH($B529,VN_국채일별!$A$4:$A$1436,1))+(INDEX(VN_국채일별!$D$4:$D$1436,MATCH($B529,VN_국채일별!$A$4:$A$1436,1))-INDEX(VN_국채일별!$C$4:$C$1436,MATCH($B529,VN_국채일별!$A$4:$A$1436,1)))*($J529-2),IF($J529&lt;=5,INDEX(VN_국채일별!$D$4:$D$1436,MATCH($B529,VN_국채일별!$A$4:$A$1436,1))+(INDEX(VN_국채일별!$E$4:$E$1436,MATCH($B529,VN_국채일별!$A$4:$A$1436,1))-INDEX(VN_국채일별!$D$4:$D$1436,MATCH($B529,VN_국채일별!$A$4:$A$1436,1)))*($J529-3)/2,IF($J529&lt;=7,INDEX(VN_국채일별!$E$4:$E$1436,MATCH($B529,VN_국채일별!$A$4:$A$1436,1))+(INDEX(VN_국채일별!$F$4:$F$1436,MATCH($B529,VN_국채일별!$A$4:$A$1436,1))-INDEX(VN_국채일별!$E$4:$E$1436,MATCH($B529,VN_국채일별!$A$4:$A$1436,1)))*($J529-5)/2,IF($J529&lt;=10,INDEX(VN_국채일별!$F$4:$F$1436,MATCH($B529,VN_국채일별!$A$4:$A$1436,1))+(INDEX(VN_국채일별!$G$4:$G$1436,MATCH($B529,VN_국채일별!$A$4:$A$1436,1))-INDEX(VN_국채일별!$F$4:$F$1436,MATCH($B529,VN_국채일별!$A$4:$A$1436,1)))*($J529-7)/3,INDEX(VN_국채일별!$G$4:$G$1436,MATCH($B529,VN_국채일별!$A$4:$A$1436,1)))))))),""))</f>
        <v>0.02567</v>
      </c>
      <c r="R529" s="58" t="n">
        <f aca="false">IF(OR(L529="",Q529=""),"",(L529-Q529)*10000)</f>
        <v>278.3</v>
      </c>
      <c r="S529" s="30" t="n">
        <f aca="false">IF(AND(K529="고정",N529="N",J529&gt;=2,J529&lt;=4,I529&lt;&gt;""),1,0)</f>
        <v>1</v>
      </c>
      <c r="T529" s="59" t="n">
        <f aca="false">IF(S529=1,I529*L529,0)</f>
        <v>53.5</v>
      </c>
      <c r="U529" s="60" t="n">
        <f aca="false">IF(AND(S529=1,ISNUMBER(R529)),I529*R529,0)</f>
        <v>278300</v>
      </c>
      <c r="V529" s="30" t="n">
        <f aca="false">IF(AND(F529="Big4(국영)",K529="고정",N529="N",I529&lt;&gt;""),1,0)</f>
        <v>0</v>
      </c>
      <c r="W529" s="59" t="n">
        <f aca="false">IF(V529=1,I529*L529,0)</f>
        <v>0</v>
      </c>
      <c r="X529" s="60" t="n">
        <f aca="false">IF(AND(V529=1,ISNUMBER(R529)),I529*R529,0)</f>
        <v>0</v>
      </c>
      <c r="Y529" s="61" t="n">
        <f aca="false">IF(AND(S529=1,ISNUMBER(R529)),I529,0)</f>
        <v>1000</v>
      </c>
      <c r="Z529" s="61" t="n">
        <f aca="false">IF(AND(V529=1,ISNUMBER(R529)),I529,0)</f>
        <v>0</v>
      </c>
    </row>
    <row r="530" customFormat="false" ht="15" hidden="false" customHeight="false" outlineLevel="0" collapsed="false">
      <c r="A530" s="47" t="s">
        <v>940</v>
      </c>
      <c r="B530" s="52" t="n">
        <v>45866</v>
      </c>
      <c r="C530" s="53" t="n">
        <f aca="false">DATE(YEAR(B530),MONTH(B530),1)</f>
        <v>45839</v>
      </c>
      <c r="D530" s="5" t="str">
        <f aca="false">YEAR(B530)&amp;"Q"&amp;ROUNDUP(MONTH(B530)/3,0)</f>
        <v>2025Q3</v>
      </c>
      <c r="E530" s="47" t="s">
        <v>191</v>
      </c>
      <c r="F530" s="54" t="s">
        <v>139</v>
      </c>
      <c r="G530" s="47" t="s">
        <v>917</v>
      </c>
      <c r="H530" s="47" t="s">
        <v>962</v>
      </c>
      <c r="I530" s="55" t="n">
        <v>2649.381</v>
      </c>
      <c r="J530" s="56" t="n">
        <v>7</v>
      </c>
      <c r="K530" s="54" t="s">
        <v>153</v>
      </c>
      <c r="N530" s="47" t="s">
        <v>143</v>
      </c>
      <c r="O530" s="47" t="s">
        <v>693</v>
      </c>
      <c r="P530" s="47"/>
      <c r="Q530" s="48" t="n">
        <f aca="false">IF($J530="","",IFERROR(IF($J530&lt;=1,INDEX(VN_국채일별!$B$4:$B$1436,MATCH($B530,VN_국채일별!$A$4:$A$1436,1)),IF($J530&lt;=2,INDEX(VN_국채일별!$B$4:$B$1436,MATCH($B530,VN_국채일별!$A$4:$A$1436,1))+(INDEX(VN_국채일별!$C$4:$C$1436,MATCH($B530,VN_국채일별!$A$4:$A$1436,1))-INDEX(VN_국채일별!$B$4:$B$1436,MATCH($B530,VN_국채일별!$A$4:$A$1436,1)))*($J530-1),IF($J530&lt;=3,INDEX(VN_국채일별!$C$4:$C$1436,MATCH($B530,VN_국채일별!$A$4:$A$1436,1))+(INDEX(VN_국채일별!$D$4:$D$1436,MATCH($B530,VN_국채일별!$A$4:$A$1436,1))-INDEX(VN_국채일별!$C$4:$C$1436,MATCH($B530,VN_국채일별!$A$4:$A$1436,1)))*($J530-2),IF($J530&lt;=5,INDEX(VN_국채일별!$D$4:$D$1436,MATCH($B530,VN_국채일별!$A$4:$A$1436,1))+(INDEX(VN_국채일별!$E$4:$E$1436,MATCH($B530,VN_국채일별!$A$4:$A$1436,1))-INDEX(VN_국채일별!$D$4:$D$1436,MATCH($B530,VN_국채일별!$A$4:$A$1436,1)))*($J530-3)/2,IF($J530&lt;=7,INDEX(VN_국채일별!$E$4:$E$1436,MATCH($B530,VN_국채일별!$A$4:$A$1436,1))+(INDEX(VN_국채일별!$F$4:$F$1436,MATCH($B530,VN_국채일별!$A$4:$A$1436,1))-INDEX(VN_국채일별!$E$4:$E$1436,MATCH($B530,VN_국채일별!$A$4:$A$1436,1)))*($J530-5)/2,IF($J530&lt;=10,INDEX(VN_국채일별!$F$4:$F$1436,MATCH($B530,VN_국채일별!$A$4:$A$1436,1))+(INDEX(VN_국채일별!$G$4:$G$1436,MATCH($B530,VN_국채일별!$A$4:$A$1436,1))-INDEX(VN_국채일별!$F$4:$F$1436,MATCH($B530,VN_국채일별!$A$4:$A$1436,1)))*($J530-7)/3,INDEX(VN_국채일별!$G$4:$G$1436,MATCH($B530,VN_국채일별!$A$4:$A$1436,1)))))))),""))</f>
        <v>0.03173</v>
      </c>
      <c r="R530" s="58" t="str">
        <f aca="false">IF(OR(L530="",Q530=""),"",(L530-Q530)*10000)</f>
        <v/>
      </c>
      <c r="S530" s="30" t="n">
        <f aca="false">IF(AND(K530="고정",N530="N",J530&gt;=2,J530&lt;=4,I530&lt;&gt;""),1,0)</f>
        <v>0</v>
      </c>
      <c r="T530" s="59" t="n">
        <f aca="false">IF(S530=1,I530*L530,0)</f>
        <v>0</v>
      </c>
      <c r="U530" s="60" t="n">
        <f aca="false">IF(AND(S530=1,ISNUMBER(R530)),I530*R530,0)</f>
        <v>0</v>
      </c>
      <c r="V530" s="30" t="n">
        <f aca="false">IF(AND(F530="Big4(국영)",K530="고정",N530="N",I530&lt;&gt;""),1,0)</f>
        <v>0</v>
      </c>
      <c r="W530" s="59" t="n">
        <f aca="false">IF(V530=1,I530*L530,0)</f>
        <v>0</v>
      </c>
      <c r="X530" s="60" t="n">
        <f aca="false">IF(AND(V530=1,ISNUMBER(R530)),I530*R530,0)</f>
        <v>0</v>
      </c>
      <c r="Y530" s="61" t="n">
        <f aca="false">IF(AND(S530=1,ISNUMBER(R530)),I530,0)</f>
        <v>0</v>
      </c>
      <c r="Z530" s="61" t="n">
        <f aca="false">IF(AND(V530=1,ISNUMBER(R530)),I530,0)</f>
        <v>0</v>
      </c>
    </row>
    <row r="531" customFormat="false" ht="15" hidden="false" customHeight="false" outlineLevel="0" collapsed="false">
      <c r="A531" s="47" t="s">
        <v>940</v>
      </c>
      <c r="B531" s="52" t="n">
        <v>45867</v>
      </c>
      <c r="C531" s="53" t="n">
        <f aca="false">DATE(YEAR(B531),MONTH(B531),1)</f>
        <v>45839</v>
      </c>
      <c r="D531" s="5" t="str">
        <f aca="false">YEAR(B531)&amp;"Q"&amp;ROUNDUP(MONTH(B531)/3,0)</f>
        <v>2025Q3</v>
      </c>
      <c r="E531" s="47" t="s">
        <v>196</v>
      </c>
      <c r="F531" s="54" t="s">
        <v>139</v>
      </c>
      <c r="G531" s="47" t="s">
        <v>673</v>
      </c>
      <c r="H531" s="47" t="s">
        <v>963</v>
      </c>
      <c r="I531" s="55" t="n">
        <v>2000</v>
      </c>
      <c r="J531" s="56" t="n">
        <v>3</v>
      </c>
      <c r="K531" s="54" t="s">
        <v>142</v>
      </c>
      <c r="L531" s="57" t="n">
        <v>0.053</v>
      </c>
      <c r="N531" s="47" t="s">
        <v>148</v>
      </c>
      <c r="O531" s="47" t="s">
        <v>582</v>
      </c>
      <c r="P531" s="47"/>
      <c r="Q531" s="48" t="n">
        <f aca="false">IF($J531="","",IFERROR(IF($J531&lt;=1,INDEX(VN_국채일별!$B$4:$B$1436,MATCH($B531,VN_국채일별!$A$4:$A$1436,1)),IF($J531&lt;=2,INDEX(VN_국채일별!$B$4:$B$1436,MATCH($B531,VN_국채일별!$A$4:$A$1436,1))+(INDEX(VN_국채일별!$C$4:$C$1436,MATCH($B531,VN_국채일별!$A$4:$A$1436,1))-INDEX(VN_국채일별!$B$4:$B$1436,MATCH($B531,VN_국채일별!$A$4:$A$1436,1)))*($J531-1),IF($J531&lt;=3,INDEX(VN_국채일별!$C$4:$C$1436,MATCH($B531,VN_국채일별!$A$4:$A$1436,1))+(INDEX(VN_국채일별!$D$4:$D$1436,MATCH($B531,VN_국채일별!$A$4:$A$1436,1))-INDEX(VN_국채일별!$C$4:$C$1436,MATCH($B531,VN_국채일별!$A$4:$A$1436,1)))*($J531-2),IF($J531&lt;=5,INDEX(VN_국채일별!$D$4:$D$1436,MATCH($B531,VN_국채일별!$A$4:$A$1436,1))+(INDEX(VN_국채일별!$E$4:$E$1436,MATCH($B531,VN_국채일별!$A$4:$A$1436,1))-INDEX(VN_국채일별!$D$4:$D$1436,MATCH($B531,VN_국채일별!$A$4:$A$1436,1)))*($J531-3)/2,IF($J531&lt;=7,INDEX(VN_국채일별!$E$4:$E$1436,MATCH($B531,VN_국채일별!$A$4:$A$1436,1))+(INDEX(VN_국채일별!$F$4:$F$1436,MATCH($B531,VN_국채일별!$A$4:$A$1436,1))-INDEX(VN_국채일별!$E$4:$E$1436,MATCH($B531,VN_국채일별!$A$4:$A$1436,1)))*($J531-5)/2,IF($J531&lt;=10,INDEX(VN_국채일별!$F$4:$F$1436,MATCH($B531,VN_국채일별!$A$4:$A$1436,1))+(INDEX(VN_국채일별!$G$4:$G$1436,MATCH($B531,VN_국채일별!$A$4:$A$1436,1))-INDEX(VN_국채일별!$F$4:$F$1436,MATCH($B531,VN_국채일별!$A$4:$A$1436,1)))*($J531-7)/3,INDEX(VN_국채일별!$G$4:$G$1436,MATCH($B531,VN_국채일별!$A$4:$A$1436,1)))))))),""))</f>
        <v>0.02595</v>
      </c>
      <c r="R531" s="58" t="n">
        <f aca="false">IF(OR(L531="",Q531=""),"",(L531-Q531)*10000)</f>
        <v>270.5</v>
      </c>
      <c r="S531" s="30" t="n">
        <f aca="false">IF(AND(K531="고정",N531="N",J531&gt;=2,J531&lt;=4,I531&lt;&gt;""),1,0)</f>
        <v>1</v>
      </c>
      <c r="T531" s="59" t="n">
        <f aca="false">IF(S531=1,I531*L531,0)</f>
        <v>106</v>
      </c>
      <c r="U531" s="60" t="n">
        <f aca="false">IF(AND(S531=1,ISNUMBER(R531)),I531*R531,0)</f>
        <v>541000</v>
      </c>
      <c r="V531" s="30" t="n">
        <f aca="false">IF(AND(F531="Big4(국영)",K531="고정",N531="N",I531&lt;&gt;""),1,0)</f>
        <v>0</v>
      </c>
      <c r="W531" s="59" t="n">
        <f aca="false">IF(V531=1,I531*L531,0)</f>
        <v>0</v>
      </c>
      <c r="X531" s="60" t="n">
        <f aca="false">IF(AND(V531=1,ISNUMBER(R531)),I531*R531,0)</f>
        <v>0</v>
      </c>
      <c r="Y531" s="61" t="n">
        <f aca="false">IF(AND(S531=1,ISNUMBER(R531)),I531,0)</f>
        <v>2000</v>
      </c>
      <c r="Z531" s="61" t="n">
        <f aca="false">IF(AND(V531=1,ISNUMBER(R531)),I531,0)</f>
        <v>0</v>
      </c>
    </row>
    <row r="532" customFormat="false" ht="15" hidden="false" customHeight="false" outlineLevel="0" collapsed="false">
      <c r="A532" s="47" t="s">
        <v>964</v>
      </c>
      <c r="B532" s="52" t="n">
        <v>45874</v>
      </c>
      <c r="C532" s="53" t="n">
        <f aca="false">DATE(YEAR(B532),MONTH(B532),1)</f>
        <v>45870</v>
      </c>
      <c r="D532" s="5" t="str">
        <f aca="false">YEAR(B532)&amp;"Q"&amp;ROUNDUP(MONTH(B532)/3,0)</f>
        <v>2025Q3</v>
      </c>
      <c r="E532" s="47" t="s">
        <v>323</v>
      </c>
      <c r="F532" s="54" t="s">
        <v>139</v>
      </c>
      <c r="G532" s="47" t="s">
        <v>324</v>
      </c>
      <c r="H532" s="47" t="s">
        <v>965</v>
      </c>
      <c r="I532" s="55" t="n">
        <v>1000</v>
      </c>
      <c r="J532" s="56" t="n">
        <v>3</v>
      </c>
      <c r="K532" s="54" t="s">
        <v>142</v>
      </c>
      <c r="L532" s="57" t="n">
        <v>0.055</v>
      </c>
      <c r="N532" s="47" t="s">
        <v>148</v>
      </c>
      <c r="O532" s="47" t="s">
        <v>591</v>
      </c>
      <c r="P532" s="47"/>
      <c r="Q532" s="48" t="n">
        <f aca="false">IF($J532="","",IFERROR(IF($J532&lt;=1,INDEX(VN_국채일별!$B$4:$B$1436,MATCH($B532,VN_국채일별!$A$4:$A$1436,1)),IF($J532&lt;=2,INDEX(VN_국채일별!$B$4:$B$1436,MATCH($B532,VN_국채일별!$A$4:$A$1436,1))+(INDEX(VN_국채일별!$C$4:$C$1436,MATCH($B532,VN_국채일별!$A$4:$A$1436,1))-INDEX(VN_국채일별!$B$4:$B$1436,MATCH($B532,VN_국채일별!$A$4:$A$1436,1)))*($J532-1),IF($J532&lt;=3,INDEX(VN_국채일별!$C$4:$C$1436,MATCH($B532,VN_국채일별!$A$4:$A$1436,1))+(INDEX(VN_국채일별!$D$4:$D$1436,MATCH($B532,VN_국채일별!$A$4:$A$1436,1))-INDEX(VN_국채일별!$C$4:$C$1436,MATCH($B532,VN_국채일별!$A$4:$A$1436,1)))*($J532-2),IF($J532&lt;=5,INDEX(VN_국채일별!$D$4:$D$1436,MATCH($B532,VN_국채일별!$A$4:$A$1436,1))+(INDEX(VN_국채일별!$E$4:$E$1436,MATCH($B532,VN_국채일별!$A$4:$A$1436,1))-INDEX(VN_국채일별!$D$4:$D$1436,MATCH($B532,VN_국채일별!$A$4:$A$1436,1)))*($J532-3)/2,IF($J532&lt;=7,INDEX(VN_국채일별!$E$4:$E$1436,MATCH($B532,VN_국채일별!$A$4:$A$1436,1))+(INDEX(VN_국채일별!$F$4:$F$1436,MATCH($B532,VN_국채일별!$A$4:$A$1436,1))-INDEX(VN_국채일별!$E$4:$E$1436,MATCH($B532,VN_국채일별!$A$4:$A$1436,1)))*($J532-5)/2,IF($J532&lt;=10,INDEX(VN_국채일별!$F$4:$F$1436,MATCH($B532,VN_국채일별!$A$4:$A$1436,1))+(INDEX(VN_국채일별!$G$4:$G$1436,MATCH($B532,VN_국채일별!$A$4:$A$1436,1))-INDEX(VN_국채일별!$F$4:$F$1436,MATCH($B532,VN_국채일별!$A$4:$A$1436,1)))*($J532-7)/3,INDEX(VN_국채일별!$G$4:$G$1436,MATCH($B532,VN_국채일별!$A$4:$A$1436,1)))))))),""))</f>
        <v>0.02622</v>
      </c>
      <c r="R532" s="58" t="n">
        <f aca="false">IF(OR(L532="",Q532=""),"",(L532-Q532)*10000)</f>
        <v>287.8</v>
      </c>
      <c r="S532" s="30" t="n">
        <f aca="false">IF(AND(K532="고정",N532="N",J532&gt;=2,J532&lt;=4,I532&lt;&gt;""),1,0)</f>
        <v>1</v>
      </c>
      <c r="T532" s="59" t="n">
        <f aca="false">IF(S532=1,I532*L532,0)</f>
        <v>55</v>
      </c>
      <c r="U532" s="60" t="n">
        <f aca="false">IF(AND(S532=1,ISNUMBER(R532)),I532*R532,0)</f>
        <v>287800</v>
      </c>
      <c r="V532" s="30" t="n">
        <f aca="false">IF(AND(F532="Big4(국영)",K532="고정",N532="N",I532&lt;&gt;""),1,0)</f>
        <v>0</v>
      </c>
      <c r="W532" s="59" t="n">
        <f aca="false">IF(V532=1,I532*L532,0)</f>
        <v>0</v>
      </c>
      <c r="X532" s="60" t="n">
        <f aca="false">IF(AND(V532=1,ISNUMBER(R532)),I532*R532,0)</f>
        <v>0</v>
      </c>
      <c r="Y532" s="61" t="n">
        <f aca="false">IF(AND(S532=1,ISNUMBER(R532)),I532,0)</f>
        <v>1000</v>
      </c>
      <c r="Z532" s="61" t="n">
        <f aca="false">IF(AND(V532=1,ISNUMBER(R532)),I532,0)</f>
        <v>0</v>
      </c>
    </row>
    <row r="533" customFormat="false" ht="15" hidden="false" customHeight="false" outlineLevel="0" collapsed="false">
      <c r="A533" s="47" t="s">
        <v>964</v>
      </c>
      <c r="B533" s="52" t="n">
        <v>45875</v>
      </c>
      <c r="C533" s="53" t="n">
        <f aca="false">DATE(YEAR(B533),MONTH(B533),1)</f>
        <v>45870</v>
      </c>
      <c r="D533" s="5" t="str">
        <f aca="false">YEAR(B533)&amp;"Q"&amp;ROUNDUP(MONTH(B533)/3,0)</f>
        <v>2025Q3</v>
      </c>
      <c r="E533" s="47" t="s">
        <v>160</v>
      </c>
      <c r="F533" s="54" t="s">
        <v>139</v>
      </c>
      <c r="G533" s="47" t="s">
        <v>161</v>
      </c>
      <c r="H533" s="47" t="s">
        <v>966</v>
      </c>
      <c r="I533" s="55" t="n">
        <v>280</v>
      </c>
      <c r="J533" s="56" t="n">
        <v>8</v>
      </c>
      <c r="K533" s="54" t="s">
        <v>153</v>
      </c>
      <c r="N533" s="47" t="s">
        <v>143</v>
      </c>
      <c r="O533" s="47" t="s">
        <v>847</v>
      </c>
      <c r="P533" s="47"/>
      <c r="Q533" s="48" t="n">
        <f aca="false">IF($J533="","",IFERROR(IF($J533&lt;=1,INDEX(VN_국채일별!$B$4:$B$1436,MATCH($B533,VN_국채일별!$A$4:$A$1436,1)),IF($J533&lt;=2,INDEX(VN_국채일별!$B$4:$B$1436,MATCH($B533,VN_국채일별!$A$4:$A$1436,1))+(INDEX(VN_국채일별!$C$4:$C$1436,MATCH($B533,VN_국채일별!$A$4:$A$1436,1))-INDEX(VN_국채일별!$B$4:$B$1436,MATCH($B533,VN_국채일별!$A$4:$A$1436,1)))*($J533-1),IF($J533&lt;=3,INDEX(VN_국채일별!$C$4:$C$1436,MATCH($B533,VN_국채일별!$A$4:$A$1436,1))+(INDEX(VN_국채일별!$D$4:$D$1436,MATCH($B533,VN_국채일별!$A$4:$A$1436,1))-INDEX(VN_국채일별!$C$4:$C$1436,MATCH($B533,VN_국채일별!$A$4:$A$1436,1)))*($J533-2),IF($J533&lt;=5,INDEX(VN_국채일별!$D$4:$D$1436,MATCH($B533,VN_국채일별!$A$4:$A$1436,1))+(INDEX(VN_국채일별!$E$4:$E$1436,MATCH($B533,VN_국채일별!$A$4:$A$1436,1))-INDEX(VN_국채일별!$D$4:$D$1436,MATCH($B533,VN_국채일별!$A$4:$A$1436,1)))*($J533-3)/2,IF($J533&lt;=7,INDEX(VN_국채일별!$E$4:$E$1436,MATCH($B533,VN_국채일별!$A$4:$A$1436,1))+(INDEX(VN_국채일별!$F$4:$F$1436,MATCH($B533,VN_국채일별!$A$4:$A$1436,1))-INDEX(VN_국채일별!$E$4:$E$1436,MATCH($B533,VN_국채일별!$A$4:$A$1436,1)))*($J533-5)/2,IF($J533&lt;=10,INDEX(VN_국채일별!$F$4:$F$1436,MATCH($B533,VN_국채일별!$A$4:$A$1436,1))+(INDEX(VN_국채일별!$G$4:$G$1436,MATCH($B533,VN_국채일별!$A$4:$A$1436,1))-INDEX(VN_국채일별!$F$4:$F$1436,MATCH($B533,VN_국채일별!$A$4:$A$1436,1)))*($J533-7)/3,INDEX(VN_국채일별!$G$4:$G$1436,MATCH($B533,VN_국채일별!$A$4:$A$1436,1)))))))),""))</f>
        <v>0.03297</v>
      </c>
      <c r="R533" s="58" t="str">
        <f aca="false">IF(OR(L533="",Q533=""),"",(L533-Q533)*10000)</f>
        <v/>
      </c>
      <c r="S533" s="30" t="n">
        <f aca="false">IF(AND(K533="고정",N533="N",J533&gt;=2,J533&lt;=4,I533&lt;&gt;""),1,0)</f>
        <v>0</v>
      </c>
      <c r="T533" s="59" t="n">
        <f aca="false">IF(S533=1,I533*L533,0)</f>
        <v>0</v>
      </c>
      <c r="U533" s="60" t="n">
        <f aca="false">IF(AND(S533=1,ISNUMBER(R533)),I533*R533,0)</f>
        <v>0</v>
      </c>
      <c r="V533" s="30" t="n">
        <f aca="false">IF(AND(F533="Big4(국영)",K533="고정",N533="N",I533&lt;&gt;""),1,0)</f>
        <v>0</v>
      </c>
      <c r="W533" s="59" t="n">
        <f aca="false">IF(V533=1,I533*L533,0)</f>
        <v>0</v>
      </c>
      <c r="X533" s="60" t="n">
        <f aca="false">IF(AND(V533=1,ISNUMBER(R533)),I533*R533,0)</f>
        <v>0</v>
      </c>
      <c r="Y533" s="61" t="n">
        <f aca="false">IF(AND(S533=1,ISNUMBER(R533)),I533,0)</f>
        <v>0</v>
      </c>
      <c r="Z533" s="61" t="n">
        <f aca="false">IF(AND(V533=1,ISNUMBER(R533)),I533,0)</f>
        <v>0</v>
      </c>
    </row>
    <row r="534" customFormat="false" ht="15" hidden="false" customHeight="false" outlineLevel="0" collapsed="false">
      <c r="A534" s="47" t="s">
        <v>964</v>
      </c>
      <c r="B534" s="52" t="n">
        <v>45876</v>
      </c>
      <c r="C534" s="53" t="n">
        <f aca="false">DATE(YEAR(B534),MONTH(B534),1)</f>
        <v>45870</v>
      </c>
      <c r="D534" s="5" t="str">
        <f aca="false">YEAR(B534)&amp;"Q"&amp;ROUNDUP(MONTH(B534)/3,0)</f>
        <v>2025Q3</v>
      </c>
      <c r="E534" s="47" t="s">
        <v>323</v>
      </c>
      <c r="F534" s="54" t="s">
        <v>139</v>
      </c>
      <c r="G534" s="47" t="s">
        <v>324</v>
      </c>
      <c r="H534" s="47" t="s">
        <v>967</v>
      </c>
      <c r="I534" s="55" t="n">
        <v>1200</v>
      </c>
      <c r="J534" s="56" t="n">
        <v>2</v>
      </c>
      <c r="K534" s="54" t="s">
        <v>142</v>
      </c>
      <c r="L534" s="57" t="n">
        <v>0.054</v>
      </c>
      <c r="N534" s="47" t="s">
        <v>148</v>
      </c>
      <c r="O534" s="47" t="s">
        <v>575</v>
      </c>
      <c r="P534" s="47"/>
      <c r="Q534" s="48" t="n">
        <f aca="false">IF($J534="","",IFERROR(IF($J534&lt;=1,INDEX(VN_국채일별!$B$4:$B$1436,MATCH($B534,VN_국채일별!$A$4:$A$1436,1)),IF($J534&lt;=2,INDEX(VN_국채일별!$B$4:$B$1436,MATCH($B534,VN_국채일별!$A$4:$A$1436,1))+(INDEX(VN_국채일별!$C$4:$C$1436,MATCH($B534,VN_국채일별!$A$4:$A$1436,1))-INDEX(VN_국채일별!$B$4:$B$1436,MATCH($B534,VN_국채일별!$A$4:$A$1436,1)))*($J534-1),IF($J534&lt;=3,INDEX(VN_국채일별!$C$4:$C$1436,MATCH($B534,VN_국채일별!$A$4:$A$1436,1))+(INDEX(VN_국채일별!$D$4:$D$1436,MATCH($B534,VN_국채일별!$A$4:$A$1436,1))-INDEX(VN_국채일별!$C$4:$C$1436,MATCH($B534,VN_국채일별!$A$4:$A$1436,1)))*($J534-2),IF($J534&lt;=5,INDEX(VN_국채일별!$D$4:$D$1436,MATCH($B534,VN_국채일별!$A$4:$A$1436,1))+(INDEX(VN_국채일별!$E$4:$E$1436,MATCH($B534,VN_국채일별!$A$4:$A$1436,1))-INDEX(VN_국채일별!$D$4:$D$1436,MATCH($B534,VN_국채일별!$A$4:$A$1436,1)))*($J534-3)/2,IF($J534&lt;=7,INDEX(VN_국채일별!$E$4:$E$1436,MATCH($B534,VN_국채일별!$A$4:$A$1436,1))+(INDEX(VN_국채일별!$F$4:$F$1436,MATCH($B534,VN_국채일별!$A$4:$A$1436,1))-INDEX(VN_국채일별!$E$4:$E$1436,MATCH($B534,VN_국채일별!$A$4:$A$1436,1)))*($J534-5)/2,IF($J534&lt;=10,INDEX(VN_국채일별!$F$4:$F$1436,MATCH($B534,VN_국채일별!$A$4:$A$1436,1))+(INDEX(VN_국채일별!$G$4:$G$1436,MATCH($B534,VN_국채일별!$A$4:$A$1436,1))-INDEX(VN_국채일별!$F$4:$F$1436,MATCH($B534,VN_국채일별!$A$4:$A$1436,1)))*($J534-7)/3,INDEX(VN_국채일별!$G$4:$G$1436,MATCH($B534,VN_국채일별!$A$4:$A$1436,1)))))))),""))</f>
        <v>0.02601</v>
      </c>
      <c r="R534" s="58" t="n">
        <f aca="false">IF(OR(L534="",Q534=""),"",(L534-Q534)*10000)</f>
        <v>279.9</v>
      </c>
      <c r="S534" s="30" t="n">
        <f aca="false">IF(AND(K534="고정",N534="N",J534&gt;=2,J534&lt;=4,I534&lt;&gt;""),1,0)</f>
        <v>1</v>
      </c>
      <c r="T534" s="59" t="n">
        <f aca="false">IF(S534=1,I534*L534,0)</f>
        <v>64.8</v>
      </c>
      <c r="U534" s="60" t="n">
        <f aca="false">IF(AND(S534=1,ISNUMBER(R534)),I534*R534,0)</f>
        <v>335880</v>
      </c>
      <c r="V534" s="30" t="n">
        <f aca="false">IF(AND(F534="Big4(국영)",K534="고정",N534="N",I534&lt;&gt;""),1,0)</f>
        <v>0</v>
      </c>
      <c r="W534" s="59" t="n">
        <f aca="false">IF(V534=1,I534*L534,0)</f>
        <v>0</v>
      </c>
      <c r="X534" s="60" t="n">
        <f aca="false">IF(AND(V534=1,ISNUMBER(R534)),I534*R534,0)</f>
        <v>0</v>
      </c>
      <c r="Y534" s="61" t="n">
        <f aca="false">IF(AND(S534=1,ISNUMBER(R534)),I534,0)</f>
        <v>1200</v>
      </c>
      <c r="Z534" s="61" t="n">
        <f aca="false">IF(AND(V534=1,ISNUMBER(R534)),I534,0)</f>
        <v>0</v>
      </c>
    </row>
    <row r="535" customFormat="false" ht="15" hidden="false" customHeight="false" outlineLevel="0" collapsed="false">
      <c r="A535" s="47" t="s">
        <v>964</v>
      </c>
      <c r="B535" s="52" t="n">
        <v>45881</v>
      </c>
      <c r="C535" s="53" t="n">
        <f aca="false">DATE(YEAR(B535),MONTH(B535),1)</f>
        <v>45870</v>
      </c>
      <c r="D535" s="5" t="str">
        <f aca="false">YEAR(B535)&amp;"Q"&amp;ROUNDUP(MONTH(B535)/3,0)</f>
        <v>2025Q3</v>
      </c>
      <c r="E535" s="47" t="s">
        <v>181</v>
      </c>
      <c r="F535" s="54" t="s">
        <v>139</v>
      </c>
      <c r="G535" s="47" t="s">
        <v>182</v>
      </c>
      <c r="H535" s="47" t="s">
        <v>968</v>
      </c>
      <c r="I535" s="55" t="n">
        <v>2000</v>
      </c>
      <c r="J535" s="56" t="n">
        <v>3</v>
      </c>
      <c r="K535" s="54" t="s">
        <v>142</v>
      </c>
      <c r="L535" s="57" t="n">
        <v>0.054</v>
      </c>
      <c r="N535" s="47" t="s">
        <v>148</v>
      </c>
      <c r="O535" s="47" t="s">
        <v>575</v>
      </c>
      <c r="P535" s="47"/>
      <c r="Q535" s="48" t="n">
        <f aca="false">IF($J535="","",IFERROR(IF($J535&lt;=1,INDEX(VN_국채일별!$B$4:$B$1436,MATCH($B535,VN_국채일별!$A$4:$A$1436,1)),IF($J535&lt;=2,INDEX(VN_국채일별!$B$4:$B$1436,MATCH($B535,VN_국채일별!$A$4:$A$1436,1))+(INDEX(VN_국채일별!$C$4:$C$1436,MATCH($B535,VN_국채일별!$A$4:$A$1436,1))-INDEX(VN_국채일별!$B$4:$B$1436,MATCH($B535,VN_국채일별!$A$4:$A$1436,1)))*($J535-1),IF($J535&lt;=3,INDEX(VN_국채일별!$C$4:$C$1436,MATCH($B535,VN_국채일별!$A$4:$A$1436,1))+(INDEX(VN_국채일별!$D$4:$D$1436,MATCH($B535,VN_국채일별!$A$4:$A$1436,1))-INDEX(VN_국채일별!$C$4:$C$1436,MATCH($B535,VN_국채일별!$A$4:$A$1436,1)))*($J535-2),IF($J535&lt;=5,INDEX(VN_국채일별!$D$4:$D$1436,MATCH($B535,VN_국채일별!$A$4:$A$1436,1))+(INDEX(VN_국채일별!$E$4:$E$1436,MATCH($B535,VN_국채일별!$A$4:$A$1436,1))-INDEX(VN_국채일별!$D$4:$D$1436,MATCH($B535,VN_국채일별!$A$4:$A$1436,1)))*($J535-3)/2,IF($J535&lt;=7,INDEX(VN_국채일별!$E$4:$E$1436,MATCH($B535,VN_국채일별!$A$4:$A$1436,1))+(INDEX(VN_국채일별!$F$4:$F$1436,MATCH($B535,VN_국채일별!$A$4:$A$1436,1))-INDEX(VN_국채일별!$E$4:$E$1436,MATCH($B535,VN_국채일별!$A$4:$A$1436,1)))*($J535-5)/2,IF($J535&lt;=10,INDEX(VN_국채일별!$F$4:$F$1436,MATCH($B535,VN_국채일별!$A$4:$A$1436,1))+(INDEX(VN_국채일별!$G$4:$G$1436,MATCH($B535,VN_국채일별!$A$4:$A$1436,1))-INDEX(VN_국채일별!$F$4:$F$1436,MATCH($B535,VN_국채일별!$A$4:$A$1436,1)))*($J535-7)/3,INDEX(VN_국채일별!$G$4:$G$1436,MATCH($B535,VN_국채일별!$A$4:$A$1436,1)))))))),""))</f>
        <v>0.02688</v>
      </c>
      <c r="R535" s="58" t="n">
        <f aca="false">IF(OR(L535="",Q535=""),"",(L535-Q535)*10000)</f>
        <v>271.2</v>
      </c>
      <c r="S535" s="30" t="n">
        <f aca="false">IF(AND(K535="고정",N535="N",J535&gt;=2,J535&lt;=4,I535&lt;&gt;""),1,0)</f>
        <v>1</v>
      </c>
      <c r="T535" s="59" t="n">
        <f aca="false">IF(S535=1,I535*L535,0)</f>
        <v>108</v>
      </c>
      <c r="U535" s="60" t="n">
        <f aca="false">IF(AND(S535=1,ISNUMBER(R535)),I535*R535,0)</f>
        <v>542400</v>
      </c>
      <c r="V535" s="30" t="n">
        <f aca="false">IF(AND(F535="Big4(국영)",K535="고정",N535="N",I535&lt;&gt;""),1,0)</f>
        <v>0</v>
      </c>
      <c r="W535" s="59" t="n">
        <f aca="false">IF(V535=1,I535*L535,0)</f>
        <v>0</v>
      </c>
      <c r="X535" s="60" t="n">
        <f aca="false">IF(AND(V535=1,ISNUMBER(R535)),I535*R535,0)</f>
        <v>0</v>
      </c>
      <c r="Y535" s="61" t="n">
        <f aca="false">IF(AND(S535=1,ISNUMBER(R535)),I535,0)</f>
        <v>2000</v>
      </c>
      <c r="Z535" s="61" t="n">
        <f aca="false">IF(AND(V535=1,ISNUMBER(R535)),I535,0)</f>
        <v>0</v>
      </c>
    </row>
    <row r="536" customFormat="false" ht="15" hidden="false" customHeight="false" outlineLevel="0" collapsed="false">
      <c r="A536" s="47" t="s">
        <v>964</v>
      </c>
      <c r="B536" s="52" t="n">
        <v>45881</v>
      </c>
      <c r="C536" s="53" t="n">
        <f aca="false">DATE(YEAR(B536),MONTH(B536),1)</f>
        <v>45870</v>
      </c>
      <c r="D536" s="5" t="str">
        <f aca="false">YEAR(B536)&amp;"Q"&amp;ROUNDUP(MONTH(B536)/3,0)</f>
        <v>2025Q3</v>
      </c>
      <c r="E536" s="47" t="s">
        <v>160</v>
      </c>
      <c r="F536" s="54" t="s">
        <v>139</v>
      </c>
      <c r="G536" s="47" t="s">
        <v>161</v>
      </c>
      <c r="H536" s="47" t="s">
        <v>969</v>
      </c>
      <c r="I536" s="55" t="n">
        <v>2000</v>
      </c>
      <c r="J536" s="56" t="n">
        <v>3</v>
      </c>
      <c r="K536" s="54" t="s">
        <v>142</v>
      </c>
      <c r="L536" s="57" t="n">
        <v>0.0565</v>
      </c>
      <c r="N536" s="47" t="s">
        <v>148</v>
      </c>
      <c r="O536" s="47" t="s">
        <v>970</v>
      </c>
      <c r="P536" s="47"/>
      <c r="Q536" s="48" t="n">
        <f aca="false">IF($J536="","",IFERROR(IF($J536&lt;=1,INDEX(VN_국채일별!$B$4:$B$1436,MATCH($B536,VN_국채일별!$A$4:$A$1436,1)),IF($J536&lt;=2,INDEX(VN_국채일별!$B$4:$B$1436,MATCH($B536,VN_국채일별!$A$4:$A$1436,1))+(INDEX(VN_국채일별!$C$4:$C$1436,MATCH($B536,VN_국채일별!$A$4:$A$1436,1))-INDEX(VN_국채일별!$B$4:$B$1436,MATCH($B536,VN_국채일별!$A$4:$A$1436,1)))*($J536-1),IF($J536&lt;=3,INDEX(VN_국채일별!$C$4:$C$1436,MATCH($B536,VN_국채일별!$A$4:$A$1436,1))+(INDEX(VN_국채일별!$D$4:$D$1436,MATCH($B536,VN_국채일별!$A$4:$A$1436,1))-INDEX(VN_국채일별!$C$4:$C$1436,MATCH($B536,VN_국채일별!$A$4:$A$1436,1)))*($J536-2),IF($J536&lt;=5,INDEX(VN_국채일별!$D$4:$D$1436,MATCH($B536,VN_국채일별!$A$4:$A$1436,1))+(INDEX(VN_국채일별!$E$4:$E$1436,MATCH($B536,VN_국채일별!$A$4:$A$1436,1))-INDEX(VN_국채일별!$D$4:$D$1436,MATCH($B536,VN_국채일별!$A$4:$A$1436,1)))*($J536-3)/2,IF($J536&lt;=7,INDEX(VN_국채일별!$E$4:$E$1436,MATCH($B536,VN_국채일별!$A$4:$A$1436,1))+(INDEX(VN_국채일별!$F$4:$F$1436,MATCH($B536,VN_국채일별!$A$4:$A$1436,1))-INDEX(VN_국채일별!$E$4:$E$1436,MATCH($B536,VN_국채일별!$A$4:$A$1436,1)))*($J536-5)/2,IF($J536&lt;=10,INDEX(VN_국채일별!$F$4:$F$1436,MATCH($B536,VN_국채일별!$A$4:$A$1436,1))+(INDEX(VN_국채일별!$G$4:$G$1436,MATCH($B536,VN_국채일별!$A$4:$A$1436,1))-INDEX(VN_국채일별!$F$4:$F$1436,MATCH($B536,VN_국채일별!$A$4:$A$1436,1)))*($J536-7)/3,INDEX(VN_국채일별!$G$4:$G$1436,MATCH($B536,VN_국채일별!$A$4:$A$1436,1)))))))),""))</f>
        <v>0.02688</v>
      </c>
      <c r="R536" s="58" t="n">
        <f aca="false">IF(OR(L536="",Q536=""),"",(L536-Q536)*10000)</f>
        <v>296.2</v>
      </c>
      <c r="S536" s="30" t="n">
        <f aca="false">IF(AND(K536="고정",N536="N",J536&gt;=2,J536&lt;=4,I536&lt;&gt;""),1,0)</f>
        <v>1</v>
      </c>
      <c r="T536" s="59" t="n">
        <f aca="false">IF(S536=1,I536*L536,0)</f>
        <v>113</v>
      </c>
      <c r="U536" s="60" t="n">
        <f aca="false">IF(AND(S536=1,ISNUMBER(R536)),I536*R536,0)</f>
        <v>592400</v>
      </c>
      <c r="V536" s="30" t="n">
        <f aca="false">IF(AND(F536="Big4(국영)",K536="고정",N536="N",I536&lt;&gt;""),1,0)</f>
        <v>0</v>
      </c>
      <c r="W536" s="59" t="n">
        <f aca="false">IF(V536=1,I536*L536,0)</f>
        <v>0</v>
      </c>
      <c r="X536" s="60" t="n">
        <f aca="false">IF(AND(V536=1,ISNUMBER(R536)),I536*R536,0)</f>
        <v>0</v>
      </c>
      <c r="Y536" s="61" t="n">
        <f aca="false">IF(AND(S536=1,ISNUMBER(R536)),I536,0)</f>
        <v>2000</v>
      </c>
      <c r="Z536" s="61" t="n">
        <f aca="false">IF(AND(V536=1,ISNUMBER(R536)),I536,0)</f>
        <v>0</v>
      </c>
    </row>
    <row r="537" customFormat="false" ht="15" hidden="false" customHeight="false" outlineLevel="0" collapsed="false">
      <c r="A537" s="47" t="s">
        <v>964</v>
      </c>
      <c r="B537" s="52" t="n">
        <v>45882</v>
      </c>
      <c r="C537" s="53" t="n">
        <f aca="false">DATE(YEAR(B537),MONTH(B537),1)</f>
        <v>45870</v>
      </c>
      <c r="D537" s="5" t="str">
        <f aca="false">YEAR(B537)&amp;"Q"&amp;ROUNDUP(MONTH(B537)/3,0)</f>
        <v>2025Q3</v>
      </c>
      <c r="E537" s="47" t="s">
        <v>166</v>
      </c>
      <c r="F537" s="54" t="s">
        <v>139</v>
      </c>
      <c r="G537" s="47" t="s">
        <v>167</v>
      </c>
      <c r="H537" s="47" t="s">
        <v>971</v>
      </c>
      <c r="I537" s="55" t="n">
        <v>1000</v>
      </c>
      <c r="J537" s="56" t="n">
        <v>2</v>
      </c>
      <c r="K537" s="54" t="s">
        <v>142</v>
      </c>
      <c r="L537" s="57" t="n">
        <v>0.055</v>
      </c>
      <c r="N537" s="47" t="s">
        <v>148</v>
      </c>
      <c r="O537" s="47" t="s">
        <v>591</v>
      </c>
      <c r="P537" s="47"/>
      <c r="Q537" s="48" t="n">
        <f aca="false">IF($J537="","",IFERROR(IF($J537&lt;=1,INDEX(VN_국채일별!$B$4:$B$1436,MATCH($B537,VN_국채일별!$A$4:$A$1436,1)),IF($J537&lt;=2,INDEX(VN_국채일별!$B$4:$B$1436,MATCH($B537,VN_국채일별!$A$4:$A$1436,1))+(INDEX(VN_국채일별!$C$4:$C$1436,MATCH($B537,VN_국채일별!$A$4:$A$1436,1))-INDEX(VN_국채일별!$B$4:$B$1436,MATCH($B537,VN_국채일별!$A$4:$A$1436,1)))*($J537-1),IF($J537&lt;=3,INDEX(VN_국채일별!$C$4:$C$1436,MATCH($B537,VN_국채일별!$A$4:$A$1436,1))+(INDEX(VN_국채일별!$D$4:$D$1436,MATCH($B537,VN_국채일별!$A$4:$A$1436,1))-INDEX(VN_국채일별!$C$4:$C$1436,MATCH($B537,VN_국채일별!$A$4:$A$1436,1)))*($J537-2),IF($J537&lt;=5,INDEX(VN_국채일별!$D$4:$D$1436,MATCH($B537,VN_국채일별!$A$4:$A$1436,1))+(INDEX(VN_국채일별!$E$4:$E$1436,MATCH($B537,VN_국채일별!$A$4:$A$1436,1))-INDEX(VN_국채일별!$D$4:$D$1436,MATCH($B537,VN_국채일별!$A$4:$A$1436,1)))*($J537-3)/2,IF($J537&lt;=7,INDEX(VN_국채일별!$E$4:$E$1436,MATCH($B537,VN_국채일별!$A$4:$A$1436,1))+(INDEX(VN_국채일별!$F$4:$F$1436,MATCH($B537,VN_국채일별!$A$4:$A$1436,1))-INDEX(VN_국채일별!$E$4:$E$1436,MATCH($B537,VN_국채일별!$A$4:$A$1436,1)))*($J537-5)/2,IF($J537&lt;=10,INDEX(VN_국채일별!$F$4:$F$1436,MATCH($B537,VN_국채일별!$A$4:$A$1436,1))+(INDEX(VN_국채일별!$G$4:$G$1436,MATCH($B537,VN_국채일별!$A$4:$A$1436,1))-INDEX(VN_국채일별!$F$4:$F$1436,MATCH($B537,VN_국채일별!$A$4:$A$1436,1)))*($J537-7)/3,INDEX(VN_국채일별!$G$4:$G$1436,MATCH($B537,VN_국채일별!$A$4:$A$1436,1)))))))),""))</f>
        <v>0.02614</v>
      </c>
      <c r="R537" s="58" t="n">
        <f aca="false">IF(OR(L537="",Q537=""),"",(L537-Q537)*10000)</f>
        <v>288.6</v>
      </c>
      <c r="S537" s="30" t="n">
        <f aca="false">IF(AND(K537="고정",N537="N",J537&gt;=2,J537&lt;=4,I537&lt;&gt;""),1,0)</f>
        <v>1</v>
      </c>
      <c r="T537" s="59" t="n">
        <f aca="false">IF(S537=1,I537*L537,0)</f>
        <v>55</v>
      </c>
      <c r="U537" s="60" t="n">
        <f aca="false">IF(AND(S537=1,ISNUMBER(R537)),I537*R537,0)</f>
        <v>288600</v>
      </c>
      <c r="V537" s="30" t="n">
        <f aca="false">IF(AND(F537="Big4(국영)",K537="고정",N537="N",I537&lt;&gt;""),1,0)</f>
        <v>0</v>
      </c>
      <c r="W537" s="59" t="n">
        <f aca="false">IF(V537=1,I537*L537,0)</f>
        <v>0</v>
      </c>
      <c r="X537" s="60" t="n">
        <f aca="false">IF(AND(V537=1,ISNUMBER(R537)),I537*R537,0)</f>
        <v>0</v>
      </c>
      <c r="Y537" s="61" t="n">
        <f aca="false">IF(AND(S537=1,ISNUMBER(R537)),I537,0)</f>
        <v>1000</v>
      </c>
      <c r="Z537" s="61" t="n">
        <f aca="false">IF(AND(V537=1,ISNUMBER(R537)),I537,0)</f>
        <v>0</v>
      </c>
    </row>
    <row r="538" customFormat="false" ht="15" hidden="false" customHeight="false" outlineLevel="0" collapsed="false">
      <c r="A538" s="47" t="s">
        <v>964</v>
      </c>
      <c r="B538" s="52" t="n">
        <v>45882</v>
      </c>
      <c r="C538" s="53" t="n">
        <f aca="false">DATE(YEAR(B538),MONTH(B538),1)</f>
        <v>45870</v>
      </c>
      <c r="D538" s="5" t="str">
        <f aca="false">YEAR(B538)&amp;"Q"&amp;ROUNDUP(MONTH(B538)/3,0)</f>
        <v>2025Q3</v>
      </c>
      <c r="E538" s="47" t="s">
        <v>972</v>
      </c>
      <c r="F538" s="54" t="s">
        <v>139</v>
      </c>
      <c r="G538" s="47" t="s">
        <v>973</v>
      </c>
      <c r="H538" s="47" t="s">
        <v>974</v>
      </c>
      <c r="I538" s="55" t="n">
        <v>300</v>
      </c>
      <c r="J538" s="56" t="n">
        <v>10</v>
      </c>
      <c r="K538" s="54" t="s">
        <v>153</v>
      </c>
      <c r="M538" s="57" t="n">
        <v>0.076</v>
      </c>
      <c r="N538" s="47" t="s">
        <v>143</v>
      </c>
      <c r="O538" s="47" t="s">
        <v>975</v>
      </c>
      <c r="P538" s="47"/>
      <c r="Q538" s="48" t="n">
        <f aca="false">IF($J538="","",IFERROR(IF($J538&lt;=1,INDEX(VN_국채일별!$B$4:$B$1436,MATCH($B538,VN_국채일별!$A$4:$A$1436,1)),IF($J538&lt;=2,INDEX(VN_국채일별!$B$4:$B$1436,MATCH($B538,VN_국채일별!$A$4:$A$1436,1))+(INDEX(VN_국채일별!$C$4:$C$1436,MATCH($B538,VN_국채일별!$A$4:$A$1436,1))-INDEX(VN_국채일별!$B$4:$B$1436,MATCH($B538,VN_국채일별!$A$4:$A$1436,1)))*($J538-1),IF($J538&lt;=3,INDEX(VN_국채일별!$C$4:$C$1436,MATCH($B538,VN_국채일별!$A$4:$A$1436,1))+(INDEX(VN_국채일별!$D$4:$D$1436,MATCH($B538,VN_국채일별!$A$4:$A$1436,1))-INDEX(VN_국채일별!$C$4:$C$1436,MATCH($B538,VN_국채일별!$A$4:$A$1436,1)))*($J538-2),IF($J538&lt;=5,INDEX(VN_국채일별!$D$4:$D$1436,MATCH($B538,VN_국채일별!$A$4:$A$1436,1))+(INDEX(VN_국채일별!$E$4:$E$1436,MATCH($B538,VN_국채일별!$A$4:$A$1436,1))-INDEX(VN_국채일별!$D$4:$D$1436,MATCH($B538,VN_국채일별!$A$4:$A$1436,1)))*($J538-3)/2,IF($J538&lt;=7,INDEX(VN_국채일별!$E$4:$E$1436,MATCH($B538,VN_국채일별!$A$4:$A$1436,1))+(INDEX(VN_국채일별!$F$4:$F$1436,MATCH($B538,VN_국채일별!$A$4:$A$1436,1))-INDEX(VN_국채일별!$E$4:$E$1436,MATCH($B538,VN_국채일별!$A$4:$A$1436,1)))*($J538-5)/2,IF($J538&lt;=10,INDEX(VN_국채일별!$F$4:$F$1436,MATCH($B538,VN_국채일별!$A$4:$A$1436,1))+(INDEX(VN_국채일별!$G$4:$G$1436,MATCH($B538,VN_국채일별!$A$4:$A$1436,1))-INDEX(VN_국채일별!$F$4:$F$1436,MATCH($B538,VN_국채일별!$A$4:$A$1436,1)))*($J538-7)/3,INDEX(VN_국채일별!$G$4:$G$1436,MATCH($B538,VN_국채일별!$A$4:$A$1436,1)))))))),""))</f>
        <v>0.03503</v>
      </c>
      <c r="R538" s="58" t="str">
        <f aca="false">IF(OR(L538="",Q538=""),"",(L538-Q538)*10000)</f>
        <v/>
      </c>
      <c r="S538" s="30" t="n">
        <f aca="false">IF(AND(K538="고정",N538="N",J538&gt;=2,J538&lt;=4,I538&lt;&gt;""),1,0)</f>
        <v>0</v>
      </c>
      <c r="T538" s="59" t="n">
        <f aca="false">IF(S538=1,I538*L538,0)</f>
        <v>0</v>
      </c>
      <c r="U538" s="60" t="n">
        <f aca="false">IF(AND(S538=1,ISNUMBER(R538)),I538*R538,0)</f>
        <v>0</v>
      </c>
      <c r="V538" s="30" t="n">
        <f aca="false">IF(AND(F538="Big4(국영)",K538="고정",N538="N",I538&lt;&gt;""),1,0)</f>
        <v>0</v>
      </c>
      <c r="W538" s="59" t="n">
        <f aca="false">IF(V538=1,I538*L538,0)</f>
        <v>0</v>
      </c>
      <c r="X538" s="60" t="n">
        <f aca="false">IF(AND(V538=1,ISNUMBER(R538)),I538*R538,0)</f>
        <v>0</v>
      </c>
      <c r="Y538" s="61" t="n">
        <f aca="false">IF(AND(S538=1,ISNUMBER(R538)),I538,0)</f>
        <v>0</v>
      </c>
      <c r="Z538" s="61" t="n">
        <f aca="false">IF(AND(V538=1,ISNUMBER(R538)),I538,0)</f>
        <v>0</v>
      </c>
    </row>
    <row r="539" customFormat="false" ht="15" hidden="false" customHeight="false" outlineLevel="0" collapsed="false">
      <c r="A539" s="47" t="s">
        <v>964</v>
      </c>
      <c r="B539" s="52" t="n">
        <v>45884</v>
      </c>
      <c r="C539" s="53" t="n">
        <f aca="false">DATE(YEAR(B539),MONTH(B539),1)</f>
        <v>45870</v>
      </c>
      <c r="D539" s="5" t="str">
        <f aca="false">YEAR(B539)&amp;"Q"&amp;ROUNDUP(MONTH(B539)/3,0)</f>
        <v>2025Q3</v>
      </c>
      <c r="E539" s="47" t="s">
        <v>191</v>
      </c>
      <c r="F539" s="54" t="s">
        <v>139</v>
      </c>
      <c r="G539" s="47" t="s">
        <v>917</v>
      </c>
      <c r="H539" s="47" t="s">
        <v>976</v>
      </c>
      <c r="I539" s="55" t="n">
        <v>800</v>
      </c>
      <c r="J539" s="56" t="n">
        <v>7</v>
      </c>
      <c r="K539" s="54" t="s">
        <v>153</v>
      </c>
      <c r="M539" s="57" t="n">
        <v>0.0765</v>
      </c>
      <c r="N539" s="47" t="s">
        <v>143</v>
      </c>
      <c r="O539" s="47" t="s">
        <v>919</v>
      </c>
      <c r="P539" s="47"/>
      <c r="Q539" s="48" t="n">
        <f aca="false">IF($J539="","",IFERROR(IF($J539&lt;=1,INDEX(VN_국채일별!$B$4:$B$1436,MATCH($B539,VN_국채일별!$A$4:$A$1436,1)),IF($J539&lt;=2,INDEX(VN_국채일별!$B$4:$B$1436,MATCH($B539,VN_국채일별!$A$4:$A$1436,1))+(INDEX(VN_국채일별!$C$4:$C$1436,MATCH($B539,VN_국채일별!$A$4:$A$1436,1))-INDEX(VN_국채일별!$B$4:$B$1436,MATCH($B539,VN_국채일별!$A$4:$A$1436,1)))*($J539-1),IF($J539&lt;=3,INDEX(VN_국채일별!$C$4:$C$1436,MATCH($B539,VN_국채일별!$A$4:$A$1436,1))+(INDEX(VN_국채일별!$D$4:$D$1436,MATCH($B539,VN_국채일별!$A$4:$A$1436,1))-INDEX(VN_국채일별!$C$4:$C$1436,MATCH($B539,VN_국채일별!$A$4:$A$1436,1)))*($J539-2),IF($J539&lt;=5,INDEX(VN_국채일별!$D$4:$D$1436,MATCH($B539,VN_국채일별!$A$4:$A$1436,1))+(INDEX(VN_국채일별!$E$4:$E$1436,MATCH($B539,VN_국채일별!$A$4:$A$1436,1))-INDEX(VN_국채일별!$D$4:$D$1436,MATCH($B539,VN_국채일별!$A$4:$A$1436,1)))*($J539-3)/2,IF($J539&lt;=7,INDEX(VN_국채일별!$E$4:$E$1436,MATCH($B539,VN_국채일별!$A$4:$A$1436,1))+(INDEX(VN_국채일별!$F$4:$F$1436,MATCH($B539,VN_국채일별!$A$4:$A$1436,1))-INDEX(VN_국채일별!$E$4:$E$1436,MATCH($B539,VN_국채일별!$A$4:$A$1436,1)))*($J539-5)/2,IF($J539&lt;=10,INDEX(VN_국채일별!$F$4:$F$1436,MATCH($B539,VN_국채일별!$A$4:$A$1436,1))+(INDEX(VN_국채일별!$G$4:$G$1436,MATCH($B539,VN_국채일별!$A$4:$A$1436,1))-INDEX(VN_국채일별!$F$4:$F$1436,MATCH($B539,VN_국채일별!$A$4:$A$1436,1)))*($J539-7)/3,INDEX(VN_국채일별!$G$4:$G$1436,MATCH($B539,VN_국채일별!$A$4:$A$1436,1)))))))),""))</f>
        <v>0.03248</v>
      </c>
      <c r="R539" s="58" t="str">
        <f aca="false">IF(OR(L539="",Q539=""),"",(L539-Q539)*10000)</f>
        <v/>
      </c>
      <c r="S539" s="30" t="n">
        <f aca="false">IF(AND(K539="고정",N539="N",J539&gt;=2,J539&lt;=4,I539&lt;&gt;""),1,0)</f>
        <v>0</v>
      </c>
      <c r="T539" s="59" t="n">
        <f aca="false">IF(S539=1,I539*L539,0)</f>
        <v>0</v>
      </c>
      <c r="U539" s="60" t="n">
        <f aca="false">IF(AND(S539=1,ISNUMBER(R539)),I539*R539,0)</f>
        <v>0</v>
      </c>
      <c r="V539" s="30" t="n">
        <f aca="false">IF(AND(F539="Big4(국영)",K539="고정",N539="N",I539&lt;&gt;""),1,0)</f>
        <v>0</v>
      </c>
      <c r="W539" s="59" t="n">
        <f aca="false">IF(V539=1,I539*L539,0)</f>
        <v>0</v>
      </c>
      <c r="X539" s="60" t="n">
        <f aca="false">IF(AND(V539=1,ISNUMBER(R539)),I539*R539,0)</f>
        <v>0</v>
      </c>
      <c r="Y539" s="61" t="n">
        <f aca="false">IF(AND(S539=1,ISNUMBER(R539)),I539,0)</f>
        <v>0</v>
      </c>
      <c r="Z539" s="61" t="n">
        <f aca="false">IF(AND(V539=1,ISNUMBER(R539)),I539,0)</f>
        <v>0</v>
      </c>
    </row>
    <row r="540" customFormat="false" ht="15" hidden="false" customHeight="false" outlineLevel="0" collapsed="false">
      <c r="A540" s="47" t="s">
        <v>964</v>
      </c>
      <c r="B540" s="52" t="n">
        <v>45884</v>
      </c>
      <c r="C540" s="53" t="n">
        <f aca="false">DATE(YEAR(B540),MONTH(B540),1)</f>
        <v>45870</v>
      </c>
      <c r="D540" s="5" t="str">
        <f aca="false">YEAR(B540)&amp;"Q"&amp;ROUNDUP(MONTH(B540)/3,0)</f>
        <v>2025Q3</v>
      </c>
      <c r="E540" s="47" t="s">
        <v>242</v>
      </c>
      <c r="F540" s="54" t="s">
        <v>139</v>
      </c>
      <c r="G540" s="47" t="s">
        <v>724</v>
      </c>
      <c r="H540" s="47" t="s">
        <v>977</v>
      </c>
      <c r="I540" s="55" t="n">
        <v>1000</v>
      </c>
      <c r="J540" s="56" t="n">
        <v>3</v>
      </c>
      <c r="K540" s="54" t="s">
        <v>142</v>
      </c>
      <c r="L540" s="57" t="n">
        <v>0.059</v>
      </c>
      <c r="N540" s="47" t="s">
        <v>148</v>
      </c>
      <c r="O540" s="47" t="s">
        <v>857</v>
      </c>
      <c r="P540" s="47"/>
      <c r="Q540" s="48" t="n">
        <f aca="false">IF($J540="","",IFERROR(IF($J540&lt;=1,INDEX(VN_국채일별!$B$4:$B$1436,MATCH($B540,VN_국채일별!$A$4:$A$1436,1)),IF($J540&lt;=2,INDEX(VN_국채일별!$B$4:$B$1436,MATCH($B540,VN_국채일별!$A$4:$A$1436,1))+(INDEX(VN_국채일별!$C$4:$C$1436,MATCH($B540,VN_국채일별!$A$4:$A$1436,1))-INDEX(VN_국채일별!$B$4:$B$1436,MATCH($B540,VN_국채일별!$A$4:$A$1436,1)))*($J540-1),IF($J540&lt;=3,INDEX(VN_국채일별!$C$4:$C$1436,MATCH($B540,VN_국채일별!$A$4:$A$1436,1))+(INDEX(VN_국채일별!$D$4:$D$1436,MATCH($B540,VN_국채일별!$A$4:$A$1436,1))-INDEX(VN_국채일별!$C$4:$C$1436,MATCH($B540,VN_국채일별!$A$4:$A$1436,1)))*($J540-2),IF($J540&lt;=5,INDEX(VN_국채일별!$D$4:$D$1436,MATCH($B540,VN_국채일별!$A$4:$A$1436,1))+(INDEX(VN_국채일별!$E$4:$E$1436,MATCH($B540,VN_국채일별!$A$4:$A$1436,1))-INDEX(VN_국채일별!$D$4:$D$1436,MATCH($B540,VN_국채일별!$A$4:$A$1436,1)))*($J540-3)/2,IF($J540&lt;=7,INDEX(VN_국채일별!$E$4:$E$1436,MATCH($B540,VN_국채일별!$A$4:$A$1436,1))+(INDEX(VN_국채일별!$F$4:$F$1436,MATCH($B540,VN_국채일별!$A$4:$A$1436,1))-INDEX(VN_국채일별!$E$4:$E$1436,MATCH($B540,VN_국채일별!$A$4:$A$1436,1)))*($J540-5)/2,IF($J540&lt;=10,INDEX(VN_국채일별!$F$4:$F$1436,MATCH($B540,VN_국채일별!$A$4:$A$1436,1))+(INDEX(VN_국채일별!$G$4:$G$1436,MATCH($B540,VN_국채일별!$A$4:$A$1436,1))-INDEX(VN_국채일별!$F$4:$F$1436,MATCH($B540,VN_국채일별!$A$4:$A$1436,1)))*($J540-7)/3,INDEX(VN_국채일별!$G$4:$G$1436,MATCH($B540,VN_국채일별!$A$4:$A$1436,1)))))))),""))</f>
        <v>0.02741</v>
      </c>
      <c r="R540" s="58" t="n">
        <f aca="false">IF(OR(L540="",Q540=""),"",(L540-Q540)*10000)</f>
        <v>315.9</v>
      </c>
      <c r="S540" s="30" t="n">
        <f aca="false">IF(AND(K540="고정",N540="N",J540&gt;=2,J540&lt;=4,I540&lt;&gt;""),1,0)</f>
        <v>1</v>
      </c>
      <c r="T540" s="59" t="n">
        <f aca="false">IF(S540=1,I540*L540,0)</f>
        <v>59</v>
      </c>
      <c r="U540" s="60" t="n">
        <f aca="false">IF(AND(S540=1,ISNUMBER(R540)),I540*R540,0)</f>
        <v>315900</v>
      </c>
      <c r="V540" s="30" t="n">
        <f aca="false">IF(AND(F540="Big4(국영)",K540="고정",N540="N",I540&lt;&gt;""),1,0)</f>
        <v>0</v>
      </c>
      <c r="W540" s="59" t="n">
        <f aca="false">IF(V540=1,I540*L540,0)</f>
        <v>0</v>
      </c>
      <c r="X540" s="60" t="n">
        <f aca="false">IF(AND(V540=1,ISNUMBER(R540)),I540*R540,0)</f>
        <v>0</v>
      </c>
      <c r="Y540" s="61" t="n">
        <f aca="false">IF(AND(S540=1,ISNUMBER(R540)),I540,0)</f>
        <v>1000</v>
      </c>
      <c r="Z540" s="61" t="n">
        <f aca="false">IF(AND(V540=1,ISNUMBER(R540)),I540,0)</f>
        <v>0</v>
      </c>
    </row>
    <row r="541" customFormat="false" ht="15" hidden="false" customHeight="false" outlineLevel="0" collapsed="false">
      <c r="A541" s="47" t="s">
        <v>964</v>
      </c>
      <c r="B541" s="52" t="n">
        <v>45888</v>
      </c>
      <c r="C541" s="53" t="n">
        <f aca="false">DATE(YEAR(B541),MONTH(B541),1)</f>
        <v>45870</v>
      </c>
      <c r="D541" s="5" t="str">
        <f aca="false">YEAR(B541)&amp;"Q"&amp;ROUNDUP(MONTH(B541)/3,0)</f>
        <v>2025Q3</v>
      </c>
      <c r="E541" s="47" t="s">
        <v>323</v>
      </c>
      <c r="F541" s="54" t="s">
        <v>139</v>
      </c>
      <c r="G541" s="47" t="s">
        <v>324</v>
      </c>
      <c r="H541" s="47" t="s">
        <v>978</v>
      </c>
      <c r="I541" s="55" t="n">
        <v>1000</v>
      </c>
      <c r="J541" s="56" t="n">
        <v>3</v>
      </c>
      <c r="K541" s="54" t="s">
        <v>142</v>
      </c>
      <c r="L541" s="57" t="n">
        <v>0.058</v>
      </c>
      <c r="N541" s="47" t="s">
        <v>148</v>
      </c>
      <c r="O541" s="47" t="s">
        <v>451</v>
      </c>
      <c r="P541" s="47"/>
      <c r="Q541" s="48" t="n">
        <f aca="false">IF($J541="","",IFERROR(IF($J541&lt;=1,INDEX(VN_국채일별!$B$4:$B$1436,MATCH($B541,VN_국채일별!$A$4:$A$1436,1)),IF($J541&lt;=2,INDEX(VN_국채일별!$B$4:$B$1436,MATCH($B541,VN_국채일별!$A$4:$A$1436,1))+(INDEX(VN_국채일별!$C$4:$C$1436,MATCH($B541,VN_국채일별!$A$4:$A$1436,1))-INDEX(VN_국채일별!$B$4:$B$1436,MATCH($B541,VN_국채일별!$A$4:$A$1436,1)))*($J541-1),IF($J541&lt;=3,INDEX(VN_국채일별!$C$4:$C$1436,MATCH($B541,VN_국채일별!$A$4:$A$1436,1))+(INDEX(VN_국채일별!$D$4:$D$1436,MATCH($B541,VN_국채일별!$A$4:$A$1436,1))-INDEX(VN_국채일별!$C$4:$C$1436,MATCH($B541,VN_국채일별!$A$4:$A$1436,1)))*($J541-2),IF($J541&lt;=5,INDEX(VN_국채일별!$D$4:$D$1436,MATCH($B541,VN_국채일별!$A$4:$A$1436,1))+(INDEX(VN_국채일별!$E$4:$E$1436,MATCH($B541,VN_국채일별!$A$4:$A$1436,1))-INDEX(VN_국채일별!$D$4:$D$1436,MATCH($B541,VN_국채일별!$A$4:$A$1436,1)))*($J541-3)/2,IF($J541&lt;=7,INDEX(VN_국채일별!$E$4:$E$1436,MATCH($B541,VN_국채일별!$A$4:$A$1436,1))+(INDEX(VN_국채일별!$F$4:$F$1436,MATCH($B541,VN_국채일별!$A$4:$A$1436,1))-INDEX(VN_국채일별!$E$4:$E$1436,MATCH($B541,VN_국채일별!$A$4:$A$1436,1)))*($J541-5)/2,IF($J541&lt;=10,INDEX(VN_국채일별!$F$4:$F$1436,MATCH($B541,VN_국채일별!$A$4:$A$1436,1))+(INDEX(VN_국채일별!$G$4:$G$1436,MATCH($B541,VN_국채일별!$A$4:$A$1436,1))-INDEX(VN_국채일별!$F$4:$F$1436,MATCH($B541,VN_국채일별!$A$4:$A$1436,1)))*($J541-7)/3,INDEX(VN_국채일별!$G$4:$G$1436,MATCH($B541,VN_국채일별!$A$4:$A$1436,1)))))))),""))</f>
        <v>0.02756</v>
      </c>
      <c r="R541" s="58" t="n">
        <f aca="false">IF(OR(L541="",Q541=""),"",(L541-Q541)*10000)</f>
        <v>304.4</v>
      </c>
      <c r="S541" s="30" t="n">
        <f aca="false">IF(AND(K541="고정",N541="N",J541&gt;=2,J541&lt;=4,I541&lt;&gt;""),1,0)</f>
        <v>1</v>
      </c>
      <c r="T541" s="59" t="n">
        <f aca="false">IF(S541=1,I541*L541,0)</f>
        <v>58</v>
      </c>
      <c r="U541" s="60" t="n">
        <f aca="false">IF(AND(S541=1,ISNUMBER(R541)),I541*R541,0)</f>
        <v>304400</v>
      </c>
      <c r="V541" s="30" t="n">
        <f aca="false">IF(AND(F541="Big4(국영)",K541="고정",N541="N",I541&lt;&gt;""),1,0)</f>
        <v>0</v>
      </c>
      <c r="W541" s="59" t="n">
        <f aca="false">IF(V541=1,I541*L541,0)</f>
        <v>0</v>
      </c>
      <c r="X541" s="60" t="n">
        <f aca="false">IF(AND(V541=1,ISNUMBER(R541)),I541*R541,0)</f>
        <v>0</v>
      </c>
      <c r="Y541" s="61" t="n">
        <f aca="false">IF(AND(S541=1,ISNUMBER(R541)),I541,0)</f>
        <v>1000</v>
      </c>
      <c r="Z541" s="61" t="n">
        <f aca="false">IF(AND(V541=1,ISNUMBER(R541)),I541,0)</f>
        <v>0</v>
      </c>
    </row>
    <row r="542" customFormat="false" ht="15" hidden="false" customHeight="false" outlineLevel="0" collapsed="false">
      <c r="A542" s="47" t="s">
        <v>964</v>
      </c>
      <c r="B542" s="52" t="n">
        <v>45888</v>
      </c>
      <c r="C542" s="53" t="n">
        <f aca="false">DATE(YEAR(B542),MONTH(B542),1)</f>
        <v>45870</v>
      </c>
      <c r="D542" s="5" t="str">
        <f aca="false">YEAR(B542)&amp;"Q"&amp;ROUNDUP(MONTH(B542)/3,0)</f>
        <v>2025Q3</v>
      </c>
      <c r="E542" s="47" t="s">
        <v>365</v>
      </c>
      <c r="F542" s="54" t="s">
        <v>139</v>
      </c>
      <c r="G542" s="47" t="s">
        <v>366</v>
      </c>
      <c r="H542" s="47" t="s">
        <v>979</v>
      </c>
      <c r="I542" s="55" t="n">
        <v>208.8</v>
      </c>
      <c r="J542" s="56" t="n">
        <v>2</v>
      </c>
      <c r="K542" s="54" t="s">
        <v>153</v>
      </c>
      <c r="N542" s="47" t="s">
        <v>148</v>
      </c>
      <c r="O542" s="47" t="s">
        <v>890</v>
      </c>
      <c r="P542" s="47"/>
      <c r="Q542" s="48" t="n">
        <f aca="false">IF($J542="","",IFERROR(IF($J542&lt;=1,INDEX(VN_국채일별!$B$4:$B$1436,MATCH($B542,VN_국채일별!$A$4:$A$1436,1)),IF($J542&lt;=2,INDEX(VN_국채일별!$B$4:$B$1436,MATCH($B542,VN_국채일별!$A$4:$A$1436,1))+(INDEX(VN_국채일별!$C$4:$C$1436,MATCH($B542,VN_국채일별!$A$4:$A$1436,1))-INDEX(VN_국채일별!$B$4:$B$1436,MATCH($B542,VN_국채일별!$A$4:$A$1436,1)))*($J542-1),IF($J542&lt;=3,INDEX(VN_국채일별!$C$4:$C$1436,MATCH($B542,VN_국채일별!$A$4:$A$1436,1))+(INDEX(VN_국채일별!$D$4:$D$1436,MATCH($B542,VN_국채일별!$A$4:$A$1436,1))-INDEX(VN_국채일별!$C$4:$C$1436,MATCH($B542,VN_국채일별!$A$4:$A$1436,1)))*($J542-2),IF($J542&lt;=5,INDEX(VN_국채일별!$D$4:$D$1436,MATCH($B542,VN_국채일별!$A$4:$A$1436,1))+(INDEX(VN_국채일별!$E$4:$E$1436,MATCH($B542,VN_국채일별!$A$4:$A$1436,1))-INDEX(VN_국채일별!$D$4:$D$1436,MATCH($B542,VN_국채일별!$A$4:$A$1436,1)))*($J542-3)/2,IF($J542&lt;=7,INDEX(VN_국채일별!$E$4:$E$1436,MATCH($B542,VN_국채일별!$A$4:$A$1436,1))+(INDEX(VN_국채일별!$F$4:$F$1436,MATCH($B542,VN_국채일별!$A$4:$A$1436,1))-INDEX(VN_국채일별!$E$4:$E$1436,MATCH($B542,VN_국채일별!$A$4:$A$1436,1)))*($J542-5)/2,IF($J542&lt;=10,INDEX(VN_국채일별!$F$4:$F$1436,MATCH($B542,VN_국채일별!$A$4:$A$1436,1))+(INDEX(VN_국채일별!$G$4:$G$1436,MATCH($B542,VN_국채일별!$A$4:$A$1436,1))-INDEX(VN_국채일별!$F$4:$F$1436,MATCH($B542,VN_국채일별!$A$4:$A$1436,1)))*($J542-7)/3,INDEX(VN_국채일별!$G$4:$G$1436,MATCH($B542,VN_국채일별!$A$4:$A$1436,1)))))))),""))</f>
        <v>0.027</v>
      </c>
      <c r="R542" s="58" t="str">
        <f aca="false">IF(OR(L542="",Q542=""),"",(L542-Q542)*10000)</f>
        <v/>
      </c>
      <c r="S542" s="30" t="n">
        <f aca="false">IF(AND(K542="고정",N542="N",J542&gt;=2,J542&lt;=4,I542&lt;&gt;""),1,0)</f>
        <v>0</v>
      </c>
      <c r="T542" s="59" t="n">
        <f aca="false">IF(S542=1,I542*L542,0)</f>
        <v>0</v>
      </c>
      <c r="U542" s="60" t="n">
        <f aca="false">IF(AND(S542=1,ISNUMBER(R542)),I542*R542,0)</f>
        <v>0</v>
      </c>
      <c r="V542" s="30" t="n">
        <f aca="false">IF(AND(F542="Big4(국영)",K542="고정",N542="N",I542&lt;&gt;""),1,0)</f>
        <v>0</v>
      </c>
      <c r="W542" s="59" t="n">
        <f aca="false">IF(V542=1,I542*L542,0)</f>
        <v>0</v>
      </c>
      <c r="X542" s="60" t="n">
        <f aca="false">IF(AND(V542=1,ISNUMBER(R542)),I542*R542,0)</f>
        <v>0</v>
      </c>
      <c r="Y542" s="61" t="n">
        <f aca="false">IF(AND(S542=1,ISNUMBER(R542)),I542,0)</f>
        <v>0</v>
      </c>
      <c r="Z542" s="61" t="n">
        <f aca="false">IF(AND(V542=1,ISNUMBER(R542)),I542,0)</f>
        <v>0</v>
      </c>
    </row>
    <row r="543" customFormat="false" ht="15" hidden="false" customHeight="false" outlineLevel="0" collapsed="false">
      <c r="A543" s="47" t="s">
        <v>964</v>
      </c>
      <c r="B543" s="52" t="n">
        <v>45888</v>
      </c>
      <c r="C543" s="53" t="n">
        <f aca="false">DATE(YEAR(B543),MONTH(B543),1)</f>
        <v>45870</v>
      </c>
      <c r="D543" s="5" t="str">
        <f aca="false">YEAR(B543)&amp;"Q"&amp;ROUNDUP(MONTH(B543)/3,0)</f>
        <v>2025Q3</v>
      </c>
      <c r="E543" s="47" t="s">
        <v>365</v>
      </c>
      <c r="F543" s="54" t="s">
        <v>139</v>
      </c>
      <c r="G543" s="47" t="s">
        <v>366</v>
      </c>
      <c r="H543" s="47" t="s">
        <v>980</v>
      </c>
      <c r="I543" s="55" t="n">
        <v>53</v>
      </c>
      <c r="J543" s="56" t="n">
        <v>10</v>
      </c>
      <c r="K543" s="54" t="s">
        <v>153</v>
      </c>
      <c r="N543" s="47" t="s">
        <v>143</v>
      </c>
      <c r="O543" s="47" t="s">
        <v>666</v>
      </c>
      <c r="P543" s="47"/>
      <c r="Q543" s="48" t="n">
        <f aca="false">IF($J543="","",IFERROR(IF($J543&lt;=1,INDEX(VN_국채일별!$B$4:$B$1436,MATCH($B543,VN_국채일별!$A$4:$A$1436,1)),IF($J543&lt;=2,INDEX(VN_국채일별!$B$4:$B$1436,MATCH($B543,VN_국채일별!$A$4:$A$1436,1))+(INDEX(VN_국채일별!$C$4:$C$1436,MATCH($B543,VN_국채일별!$A$4:$A$1436,1))-INDEX(VN_국채일별!$B$4:$B$1436,MATCH($B543,VN_국채일별!$A$4:$A$1436,1)))*($J543-1),IF($J543&lt;=3,INDEX(VN_국채일별!$C$4:$C$1436,MATCH($B543,VN_국채일별!$A$4:$A$1436,1))+(INDEX(VN_국채일별!$D$4:$D$1436,MATCH($B543,VN_국채일별!$A$4:$A$1436,1))-INDEX(VN_국채일별!$C$4:$C$1436,MATCH($B543,VN_국채일별!$A$4:$A$1436,1)))*($J543-2),IF($J543&lt;=5,INDEX(VN_국채일별!$D$4:$D$1436,MATCH($B543,VN_국채일별!$A$4:$A$1436,1))+(INDEX(VN_국채일별!$E$4:$E$1436,MATCH($B543,VN_국채일별!$A$4:$A$1436,1))-INDEX(VN_국채일별!$D$4:$D$1436,MATCH($B543,VN_국채일별!$A$4:$A$1436,1)))*($J543-3)/2,IF($J543&lt;=7,INDEX(VN_국채일별!$E$4:$E$1436,MATCH($B543,VN_국채일별!$A$4:$A$1436,1))+(INDEX(VN_국채일별!$F$4:$F$1436,MATCH($B543,VN_국채일별!$A$4:$A$1436,1))-INDEX(VN_국채일별!$E$4:$E$1436,MATCH($B543,VN_국채일별!$A$4:$A$1436,1)))*($J543-5)/2,IF($J543&lt;=10,INDEX(VN_국채일별!$F$4:$F$1436,MATCH($B543,VN_국채일별!$A$4:$A$1436,1))+(INDEX(VN_국채일별!$G$4:$G$1436,MATCH($B543,VN_국채일별!$A$4:$A$1436,1))-INDEX(VN_국채일별!$F$4:$F$1436,MATCH($B543,VN_국채일별!$A$4:$A$1436,1)))*($J543-7)/3,INDEX(VN_국채일별!$G$4:$G$1436,MATCH($B543,VN_국채일별!$A$4:$A$1436,1)))))))),""))</f>
        <v>0.03563</v>
      </c>
      <c r="R543" s="58" t="str">
        <f aca="false">IF(OR(L543="",Q543=""),"",(L543-Q543)*10000)</f>
        <v/>
      </c>
      <c r="S543" s="30" t="n">
        <f aca="false">IF(AND(K543="고정",N543="N",J543&gt;=2,J543&lt;=4,I543&lt;&gt;""),1,0)</f>
        <v>0</v>
      </c>
      <c r="T543" s="59" t="n">
        <f aca="false">IF(S543=1,I543*L543,0)</f>
        <v>0</v>
      </c>
      <c r="U543" s="60" t="n">
        <f aca="false">IF(AND(S543=1,ISNUMBER(R543)),I543*R543,0)</f>
        <v>0</v>
      </c>
      <c r="V543" s="30" t="n">
        <f aca="false">IF(AND(F543="Big4(국영)",K543="고정",N543="N",I543&lt;&gt;""),1,0)</f>
        <v>0</v>
      </c>
      <c r="W543" s="59" t="n">
        <f aca="false">IF(V543=1,I543*L543,0)</f>
        <v>0</v>
      </c>
      <c r="X543" s="60" t="n">
        <f aca="false">IF(AND(V543=1,ISNUMBER(R543)),I543*R543,0)</f>
        <v>0</v>
      </c>
      <c r="Y543" s="61" t="n">
        <f aca="false">IF(AND(S543=1,ISNUMBER(R543)),I543,0)</f>
        <v>0</v>
      </c>
      <c r="Z543" s="61" t="n">
        <f aca="false">IF(AND(V543=1,ISNUMBER(R543)),I543,0)</f>
        <v>0</v>
      </c>
    </row>
    <row r="544" customFormat="false" ht="15" hidden="false" customHeight="false" outlineLevel="0" collapsed="false">
      <c r="A544" s="47" t="s">
        <v>964</v>
      </c>
      <c r="B544" s="52" t="n">
        <v>45889</v>
      </c>
      <c r="C544" s="53" t="n">
        <f aca="false">DATE(YEAR(B544),MONTH(B544),1)</f>
        <v>45870</v>
      </c>
      <c r="D544" s="5" t="str">
        <f aca="false">YEAR(B544)&amp;"Q"&amp;ROUNDUP(MONTH(B544)/3,0)</f>
        <v>2025Q3</v>
      </c>
      <c r="E544" s="47" t="s">
        <v>248</v>
      </c>
      <c r="F544" s="54" t="s">
        <v>139</v>
      </c>
      <c r="G544" s="47" t="s">
        <v>361</v>
      </c>
      <c r="H544" s="47" t="s">
        <v>981</v>
      </c>
      <c r="I544" s="55" t="n">
        <v>2499.2</v>
      </c>
      <c r="J544" s="56" t="n">
        <v>8</v>
      </c>
      <c r="K544" s="54" t="s">
        <v>153</v>
      </c>
      <c r="N544" s="47" t="s">
        <v>143</v>
      </c>
      <c r="O544" s="47" t="s">
        <v>666</v>
      </c>
      <c r="P544" s="47"/>
      <c r="Q544" s="48" t="n">
        <f aca="false">IF($J544="","",IFERROR(IF($J544&lt;=1,INDEX(VN_국채일별!$B$4:$B$1436,MATCH($B544,VN_국채일별!$A$4:$A$1436,1)),IF($J544&lt;=2,INDEX(VN_국채일별!$B$4:$B$1436,MATCH($B544,VN_국채일별!$A$4:$A$1436,1))+(INDEX(VN_국채일별!$C$4:$C$1436,MATCH($B544,VN_국채일별!$A$4:$A$1436,1))-INDEX(VN_국채일별!$B$4:$B$1436,MATCH($B544,VN_국채일별!$A$4:$A$1436,1)))*($J544-1),IF($J544&lt;=3,INDEX(VN_국채일별!$C$4:$C$1436,MATCH($B544,VN_국채일별!$A$4:$A$1436,1))+(INDEX(VN_국채일별!$D$4:$D$1436,MATCH($B544,VN_국채일별!$A$4:$A$1436,1))-INDEX(VN_국채일별!$C$4:$C$1436,MATCH($B544,VN_국채일별!$A$4:$A$1436,1)))*($J544-2),IF($J544&lt;=5,INDEX(VN_국채일별!$D$4:$D$1436,MATCH($B544,VN_국채일별!$A$4:$A$1436,1))+(INDEX(VN_국채일별!$E$4:$E$1436,MATCH($B544,VN_국채일별!$A$4:$A$1436,1))-INDEX(VN_국채일별!$D$4:$D$1436,MATCH($B544,VN_국채일별!$A$4:$A$1436,1)))*($J544-3)/2,IF($J544&lt;=7,INDEX(VN_국채일별!$E$4:$E$1436,MATCH($B544,VN_국채일별!$A$4:$A$1436,1))+(INDEX(VN_국채일별!$F$4:$F$1436,MATCH($B544,VN_국채일별!$A$4:$A$1436,1))-INDEX(VN_국채일별!$E$4:$E$1436,MATCH($B544,VN_국채일별!$A$4:$A$1436,1)))*($J544-5)/2,IF($J544&lt;=10,INDEX(VN_국채일별!$F$4:$F$1436,MATCH($B544,VN_국채일별!$A$4:$A$1436,1))+(INDEX(VN_국채일별!$G$4:$G$1436,MATCH($B544,VN_국채일별!$A$4:$A$1436,1))-INDEX(VN_국채일별!$F$4:$F$1436,MATCH($B544,VN_국채일별!$A$4:$A$1436,1)))*($J544-7)/3,INDEX(VN_국채일별!$G$4:$G$1436,MATCH($B544,VN_국채일별!$A$4:$A$1436,1)))))))),""))</f>
        <v>0.0335366666666667</v>
      </c>
      <c r="R544" s="58" t="str">
        <f aca="false">IF(OR(L544="",Q544=""),"",(L544-Q544)*10000)</f>
        <v/>
      </c>
      <c r="S544" s="30" t="n">
        <f aca="false">IF(AND(K544="고정",N544="N",J544&gt;=2,J544&lt;=4,I544&lt;&gt;""),1,0)</f>
        <v>0</v>
      </c>
      <c r="T544" s="59" t="n">
        <f aca="false">IF(S544=1,I544*L544,0)</f>
        <v>0</v>
      </c>
      <c r="U544" s="60" t="n">
        <f aca="false">IF(AND(S544=1,ISNUMBER(R544)),I544*R544,0)</f>
        <v>0</v>
      </c>
      <c r="V544" s="30" t="n">
        <f aca="false">IF(AND(F544="Big4(국영)",K544="고정",N544="N",I544&lt;&gt;""),1,0)</f>
        <v>0</v>
      </c>
      <c r="W544" s="59" t="n">
        <f aca="false">IF(V544=1,I544*L544,0)</f>
        <v>0</v>
      </c>
      <c r="X544" s="60" t="n">
        <f aca="false">IF(AND(V544=1,ISNUMBER(R544)),I544*R544,0)</f>
        <v>0</v>
      </c>
      <c r="Y544" s="61" t="n">
        <f aca="false">IF(AND(S544=1,ISNUMBER(R544)),I544,0)</f>
        <v>0</v>
      </c>
      <c r="Z544" s="61" t="n">
        <f aca="false">IF(AND(V544=1,ISNUMBER(R544)),I544,0)</f>
        <v>0</v>
      </c>
    </row>
    <row r="545" customFormat="false" ht="15" hidden="false" customHeight="false" outlineLevel="0" collapsed="false">
      <c r="A545" s="47" t="s">
        <v>964</v>
      </c>
      <c r="B545" s="52" t="n">
        <v>45889</v>
      </c>
      <c r="C545" s="53" t="n">
        <f aca="false">DATE(YEAR(B545),MONTH(B545),1)</f>
        <v>45870</v>
      </c>
      <c r="D545" s="5" t="str">
        <f aca="false">YEAR(B545)&amp;"Q"&amp;ROUNDUP(MONTH(B545)/3,0)</f>
        <v>2025Q3</v>
      </c>
      <c r="E545" s="47" t="s">
        <v>248</v>
      </c>
      <c r="F545" s="54" t="s">
        <v>139</v>
      </c>
      <c r="G545" s="47" t="s">
        <v>361</v>
      </c>
      <c r="H545" s="47" t="s">
        <v>982</v>
      </c>
      <c r="I545" s="55" t="n">
        <v>32.4</v>
      </c>
      <c r="J545" s="56" t="n">
        <v>7</v>
      </c>
      <c r="K545" s="54" t="s">
        <v>153</v>
      </c>
      <c r="N545" s="47" t="s">
        <v>143</v>
      </c>
      <c r="O545" s="47" t="s">
        <v>983</v>
      </c>
      <c r="P545" s="47"/>
      <c r="Q545" s="48" t="n">
        <f aca="false">IF($J545="","",IFERROR(IF($J545&lt;=1,INDEX(VN_국채일별!$B$4:$B$1436,MATCH($B545,VN_국채일별!$A$4:$A$1436,1)),IF($J545&lt;=2,INDEX(VN_국채일별!$B$4:$B$1436,MATCH($B545,VN_국채일별!$A$4:$A$1436,1))+(INDEX(VN_국채일별!$C$4:$C$1436,MATCH($B545,VN_국채일별!$A$4:$A$1436,1))-INDEX(VN_국채일별!$B$4:$B$1436,MATCH($B545,VN_국채일별!$A$4:$A$1436,1)))*($J545-1),IF($J545&lt;=3,INDEX(VN_국채일별!$C$4:$C$1436,MATCH($B545,VN_국채일별!$A$4:$A$1436,1))+(INDEX(VN_국채일별!$D$4:$D$1436,MATCH($B545,VN_국채일별!$A$4:$A$1436,1))-INDEX(VN_국채일별!$C$4:$C$1436,MATCH($B545,VN_국채일별!$A$4:$A$1436,1)))*($J545-2),IF($J545&lt;=5,INDEX(VN_국채일별!$D$4:$D$1436,MATCH($B545,VN_국채일별!$A$4:$A$1436,1))+(INDEX(VN_국채일별!$E$4:$E$1436,MATCH($B545,VN_국채일별!$A$4:$A$1436,1))-INDEX(VN_국채일별!$D$4:$D$1436,MATCH($B545,VN_국채일별!$A$4:$A$1436,1)))*($J545-3)/2,IF($J545&lt;=7,INDEX(VN_국채일별!$E$4:$E$1436,MATCH($B545,VN_국채일별!$A$4:$A$1436,1))+(INDEX(VN_국채일별!$F$4:$F$1436,MATCH($B545,VN_국채일별!$A$4:$A$1436,1))-INDEX(VN_국채일별!$E$4:$E$1436,MATCH($B545,VN_국채일별!$A$4:$A$1436,1)))*($J545-5)/2,IF($J545&lt;=10,INDEX(VN_국채일별!$F$4:$F$1436,MATCH($B545,VN_국채일별!$A$4:$A$1436,1))+(INDEX(VN_국채일별!$G$4:$G$1436,MATCH($B545,VN_국채일별!$A$4:$A$1436,1))-INDEX(VN_국채일별!$F$4:$F$1436,MATCH($B545,VN_국채일별!$A$4:$A$1436,1)))*($J545-7)/3,INDEX(VN_국채일별!$G$4:$G$1436,MATCH($B545,VN_국채일별!$A$4:$A$1436,1)))))))),""))</f>
        <v>0.0325</v>
      </c>
      <c r="R545" s="58" t="str">
        <f aca="false">IF(OR(L545="",Q545=""),"",(L545-Q545)*10000)</f>
        <v/>
      </c>
      <c r="S545" s="30" t="n">
        <f aca="false">IF(AND(K545="고정",N545="N",J545&gt;=2,J545&lt;=4,I545&lt;&gt;""),1,0)</f>
        <v>0</v>
      </c>
      <c r="T545" s="59" t="n">
        <f aca="false">IF(S545=1,I545*L545,0)</f>
        <v>0</v>
      </c>
      <c r="U545" s="60" t="n">
        <f aca="false">IF(AND(S545=1,ISNUMBER(R545)),I545*R545,0)</f>
        <v>0</v>
      </c>
      <c r="V545" s="30" t="n">
        <f aca="false">IF(AND(F545="Big4(국영)",K545="고정",N545="N",I545&lt;&gt;""),1,0)</f>
        <v>0</v>
      </c>
      <c r="W545" s="59" t="n">
        <f aca="false">IF(V545=1,I545*L545,0)</f>
        <v>0</v>
      </c>
      <c r="X545" s="60" t="n">
        <f aca="false">IF(AND(V545=1,ISNUMBER(R545)),I545*R545,0)</f>
        <v>0</v>
      </c>
      <c r="Y545" s="61" t="n">
        <f aca="false">IF(AND(S545=1,ISNUMBER(R545)),I545,0)</f>
        <v>0</v>
      </c>
      <c r="Z545" s="61" t="n">
        <f aca="false">IF(AND(V545=1,ISNUMBER(R545)),I545,0)</f>
        <v>0</v>
      </c>
    </row>
    <row r="546" customFormat="false" ht="15" hidden="false" customHeight="false" outlineLevel="0" collapsed="false">
      <c r="A546" s="47" t="s">
        <v>964</v>
      </c>
      <c r="B546" s="52" t="n">
        <v>45889</v>
      </c>
      <c r="C546" s="53" t="n">
        <f aca="false">DATE(YEAR(B546),MONTH(B546),1)</f>
        <v>45870</v>
      </c>
      <c r="D546" s="5" t="str">
        <f aca="false">YEAR(B546)&amp;"Q"&amp;ROUNDUP(MONTH(B546)/3,0)</f>
        <v>2025Q3</v>
      </c>
      <c r="E546" s="47" t="s">
        <v>215</v>
      </c>
      <c r="F546" s="54" t="s">
        <v>139</v>
      </c>
      <c r="G546" s="47" t="s">
        <v>391</v>
      </c>
      <c r="H546" s="47" t="s">
        <v>984</v>
      </c>
      <c r="I546" s="55" t="n">
        <v>200</v>
      </c>
      <c r="J546" s="56" t="n">
        <v>7</v>
      </c>
      <c r="K546" s="54" t="s">
        <v>153</v>
      </c>
      <c r="M546" s="57" t="n">
        <v>0.02</v>
      </c>
      <c r="N546" s="47" t="s">
        <v>143</v>
      </c>
      <c r="O546" s="47" t="s">
        <v>985</v>
      </c>
      <c r="P546" s="47"/>
      <c r="Q546" s="48" t="n">
        <f aca="false">IF($J546="","",IFERROR(IF($J546&lt;=1,INDEX(VN_국채일별!$B$4:$B$1436,MATCH($B546,VN_국채일별!$A$4:$A$1436,1)),IF($J546&lt;=2,INDEX(VN_국채일별!$B$4:$B$1436,MATCH($B546,VN_국채일별!$A$4:$A$1436,1))+(INDEX(VN_국채일별!$C$4:$C$1436,MATCH($B546,VN_국채일별!$A$4:$A$1436,1))-INDEX(VN_국채일별!$B$4:$B$1436,MATCH($B546,VN_국채일별!$A$4:$A$1436,1)))*($J546-1),IF($J546&lt;=3,INDEX(VN_국채일별!$C$4:$C$1436,MATCH($B546,VN_국채일별!$A$4:$A$1436,1))+(INDEX(VN_국채일별!$D$4:$D$1436,MATCH($B546,VN_국채일별!$A$4:$A$1436,1))-INDEX(VN_국채일별!$C$4:$C$1436,MATCH($B546,VN_국채일별!$A$4:$A$1436,1)))*($J546-2),IF($J546&lt;=5,INDEX(VN_국채일별!$D$4:$D$1436,MATCH($B546,VN_국채일별!$A$4:$A$1436,1))+(INDEX(VN_국채일별!$E$4:$E$1436,MATCH($B546,VN_국채일별!$A$4:$A$1436,1))-INDEX(VN_국채일별!$D$4:$D$1436,MATCH($B546,VN_국채일별!$A$4:$A$1436,1)))*($J546-3)/2,IF($J546&lt;=7,INDEX(VN_국채일별!$E$4:$E$1436,MATCH($B546,VN_국채일별!$A$4:$A$1436,1))+(INDEX(VN_국채일별!$F$4:$F$1436,MATCH($B546,VN_국채일별!$A$4:$A$1436,1))-INDEX(VN_국채일별!$E$4:$E$1436,MATCH($B546,VN_국채일별!$A$4:$A$1436,1)))*($J546-5)/2,IF($J546&lt;=10,INDEX(VN_국채일별!$F$4:$F$1436,MATCH($B546,VN_국채일별!$A$4:$A$1436,1))+(INDEX(VN_국채일별!$G$4:$G$1436,MATCH($B546,VN_국채일별!$A$4:$A$1436,1))-INDEX(VN_국채일별!$F$4:$F$1436,MATCH($B546,VN_국채일별!$A$4:$A$1436,1)))*($J546-7)/3,INDEX(VN_국채일별!$G$4:$G$1436,MATCH($B546,VN_국채일별!$A$4:$A$1436,1)))))))),""))</f>
        <v>0.0325</v>
      </c>
      <c r="R546" s="58" t="str">
        <f aca="false">IF(OR(L546="",Q546=""),"",(L546-Q546)*10000)</f>
        <v/>
      </c>
      <c r="S546" s="30" t="n">
        <f aca="false">IF(AND(K546="고정",N546="N",J546&gt;=2,J546&lt;=4,I546&lt;&gt;""),1,0)</f>
        <v>0</v>
      </c>
      <c r="T546" s="59" t="n">
        <f aca="false">IF(S546=1,I546*L546,0)</f>
        <v>0</v>
      </c>
      <c r="U546" s="60" t="n">
        <f aca="false">IF(AND(S546=1,ISNUMBER(R546)),I546*R546,0)</f>
        <v>0</v>
      </c>
      <c r="V546" s="30" t="n">
        <f aca="false">IF(AND(F546="Big4(국영)",K546="고정",N546="N",I546&lt;&gt;""),1,0)</f>
        <v>0</v>
      </c>
      <c r="W546" s="59" t="n">
        <f aca="false">IF(V546=1,I546*L546,0)</f>
        <v>0</v>
      </c>
      <c r="X546" s="60" t="n">
        <f aca="false">IF(AND(V546=1,ISNUMBER(R546)),I546*R546,0)</f>
        <v>0</v>
      </c>
      <c r="Y546" s="61" t="n">
        <f aca="false">IF(AND(S546=1,ISNUMBER(R546)),I546,0)</f>
        <v>0</v>
      </c>
      <c r="Z546" s="61" t="n">
        <f aca="false">IF(AND(V546=1,ISNUMBER(R546)),I546,0)</f>
        <v>0</v>
      </c>
    </row>
    <row r="547" customFormat="false" ht="15" hidden="false" customHeight="false" outlineLevel="0" collapsed="false">
      <c r="A547" s="47" t="s">
        <v>964</v>
      </c>
      <c r="B547" s="52" t="n">
        <v>45889</v>
      </c>
      <c r="C547" s="53" t="n">
        <f aca="false">DATE(YEAR(B547),MONTH(B547),1)</f>
        <v>45870</v>
      </c>
      <c r="D547" s="5" t="str">
        <f aca="false">YEAR(B547)&amp;"Q"&amp;ROUNDUP(MONTH(B547)/3,0)</f>
        <v>2025Q3</v>
      </c>
      <c r="E547" s="47" t="s">
        <v>242</v>
      </c>
      <c r="F547" s="54" t="s">
        <v>139</v>
      </c>
      <c r="G547" s="47" t="s">
        <v>724</v>
      </c>
      <c r="H547" s="47" t="s">
        <v>986</v>
      </c>
      <c r="I547" s="55" t="n">
        <v>1000</v>
      </c>
      <c r="J547" s="56" t="n">
        <v>3</v>
      </c>
      <c r="K547" s="54" t="s">
        <v>142</v>
      </c>
      <c r="L547" s="57" t="n">
        <v>0.059</v>
      </c>
      <c r="N547" s="47" t="s">
        <v>148</v>
      </c>
      <c r="O547" s="47" t="s">
        <v>857</v>
      </c>
      <c r="P547" s="47"/>
      <c r="Q547" s="48" t="n">
        <f aca="false">IF($J547="","",IFERROR(IF($J547&lt;=1,INDEX(VN_국채일별!$B$4:$B$1436,MATCH($B547,VN_국채일별!$A$4:$A$1436,1)),IF($J547&lt;=2,INDEX(VN_국채일별!$B$4:$B$1436,MATCH($B547,VN_국채일별!$A$4:$A$1436,1))+(INDEX(VN_국채일별!$C$4:$C$1436,MATCH($B547,VN_국채일별!$A$4:$A$1436,1))-INDEX(VN_국채일별!$B$4:$B$1436,MATCH($B547,VN_국채일별!$A$4:$A$1436,1)))*($J547-1),IF($J547&lt;=3,INDEX(VN_국채일별!$C$4:$C$1436,MATCH($B547,VN_국채일별!$A$4:$A$1436,1))+(INDEX(VN_국채일별!$D$4:$D$1436,MATCH($B547,VN_국채일별!$A$4:$A$1436,1))-INDEX(VN_국채일별!$C$4:$C$1436,MATCH($B547,VN_국채일별!$A$4:$A$1436,1)))*($J547-2),IF($J547&lt;=5,INDEX(VN_국채일별!$D$4:$D$1436,MATCH($B547,VN_국채일별!$A$4:$A$1436,1))+(INDEX(VN_국채일별!$E$4:$E$1436,MATCH($B547,VN_국채일별!$A$4:$A$1436,1))-INDEX(VN_국채일별!$D$4:$D$1436,MATCH($B547,VN_국채일별!$A$4:$A$1436,1)))*($J547-3)/2,IF($J547&lt;=7,INDEX(VN_국채일별!$E$4:$E$1436,MATCH($B547,VN_국채일별!$A$4:$A$1436,1))+(INDEX(VN_국채일별!$F$4:$F$1436,MATCH($B547,VN_국채일별!$A$4:$A$1436,1))-INDEX(VN_국채일별!$E$4:$E$1436,MATCH($B547,VN_국채일별!$A$4:$A$1436,1)))*($J547-5)/2,IF($J547&lt;=10,INDEX(VN_국채일별!$F$4:$F$1436,MATCH($B547,VN_국채일별!$A$4:$A$1436,1))+(INDEX(VN_국채일별!$G$4:$G$1436,MATCH($B547,VN_국채일별!$A$4:$A$1436,1))-INDEX(VN_국채일별!$F$4:$F$1436,MATCH($B547,VN_국채일별!$A$4:$A$1436,1)))*($J547-7)/3,INDEX(VN_국채일별!$G$4:$G$1436,MATCH($B547,VN_국채일별!$A$4:$A$1436,1)))))))),""))</f>
        <v>0.0276</v>
      </c>
      <c r="R547" s="58" t="n">
        <f aca="false">IF(OR(L547="",Q547=""),"",(L547-Q547)*10000)</f>
        <v>314</v>
      </c>
      <c r="S547" s="30" t="n">
        <f aca="false">IF(AND(K547="고정",N547="N",J547&gt;=2,J547&lt;=4,I547&lt;&gt;""),1,0)</f>
        <v>1</v>
      </c>
      <c r="T547" s="59" t="n">
        <f aca="false">IF(S547=1,I547*L547,0)</f>
        <v>59</v>
      </c>
      <c r="U547" s="60" t="n">
        <f aca="false">IF(AND(S547=1,ISNUMBER(R547)),I547*R547,0)</f>
        <v>314000</v>
      </c>
      <c r="V547" s="30" t="n">
        <f aca="false">IF(AND(F547="Big4(국영)",K547="고정",N547="N",I547&lt;&gt;""),1,0)</f>
        <v>0</v>
      </c>
      <c r="W547" s="59" t="n">
        <f aca="false">IF(V547=1,I547*L547,0)</f>
        <v>0</v>
      </c>
      <c r="X547" s="60" t="n">
        <f aca="false">IF(AND(V547=1,ISNUMBER(R547)),I547*R547,0)</f>
        <v>0</v>
      </c>
      <c r="Y547" s="61" t="n">
        <f aca="false">IF(AND(S547=1,ISNUMBER(R547)),I547,0)</f>
        <v>1000</v>
      </c>
      <c r="Z547" s="61" t="n">
        <f aca="false">IF(AND(V547=1,ISNUMBER(R547)),I547,0)</f>
        <v>0</v>
      </c>
    </row>
    <row r="548" customFormat="false" ht="15" hidden="false" customHeight="false" outlineLevel="0" collapsed="false">
      <c r="A548" s="47" t="s">
        <v>964</v>
      </c>
      <c r="B548" s="52" t="n">
        <v>45889</v>
      </c>
      <c r="C548" s="53" t="n">
        <f aca="false">DATE(YEAR(B548),MONTH(B548),1)</f>
        <v>45870</v>
      </c>
      <c r="D548" s="5" t="str">
        <f aca="false">YEAR(B548)&amp;"Q"&amp;ROUNDUP(MONTH(B548)/3,0)</f>
        <v>2025Q3</v>
      </c>
      <c r="E548" s="47" t="s">
        <v>254</v>
      </c>
      <c r="F548" s="54" t="s">
        <v>139</v>
      </c>
      <c r="G548" s="47" t="s">
        <v>339</v>
      </c>
      <c r="H548" s="47" t="s">
        <v>987</v>
      </c>
      <c r="I548" s="55" t="n">
        <v>2000</v>
      </c>
      <c r="J548" s="56" t="n">
        <v>7</v>
      </c>
      <c r="K548" s="54" t="s">
        <v>142</v>
      </c>
      <c r="L548" s="57" t="n">
        <v>0.0565</v>
      </c>
      <c r="N548" s="47" t="s">
        <v>143</v>
      </c>
      <c r="O548" s="47" t="s">
        <v>970</v>
      </c>
      <c r="P548" s="47"/>
      <c r="Q548" s="48" t="n">
        <f aca="false">IF($J548="","",IFERROR(IF($J548&lt;=1,INDEX(VN_국채일별!$B$4:$B$1436,MATCH($B548,VN_국채일별!$A$4:$A$1436,1)),IF($J548&lt;=2,INDEX(VN_국채일별!$B$4:$B$1436,MATCH($B548,VN_국채일별!$A$4:$A$1436,1))+(INDEX(VN_국채일별!$C$4:$C$1436,MATCH($B548,VN_국채일별!$A$4:$A$1436,1))-INDEX(VN_국채일별!$B$4:$B$1436,MATCH($B548,VN_국채일별!$A$4:$A$1436,1)))*($J548-1),IF($J548&lt;=3,INDEX(VN_국채일별!$C$4:$C$1436,MATCH($B548,VN_국채일별!$A$4:$A$1436,1))+(INDEX(VN_국채일별!$D$4:$D$1436,MATCH($B548,VN_국채일별!$A$4:$A$1436,1))-INDEX(VN_국채일별!$C$4:$C$1436,MATCH($B548,VN_국채일별!$A$4:$A$1436,1)))*($J548-2),IF($J548&lt;=5,INDEX(VN_국채일별!$D$4:$D$1436,MATCH($B548,VN_국채일별!$A$4:$A$1436,1))+(INDEX(VN_국채일별!$E$4:$E$1436,MATCH($B548,VN_국채일별!$A$4:$A$1436,1))-INDEX(VN_국채일별!$D$4:$D$1436,MATCH($B548,VN_국채일별!$A$4:$A$1436,1)))*($J548-3)/2,IF($J548&lt;=7,INDEX(VN_국채일별!$E$4:$E$1436,MATCH($B548,VN_국채일별!$A$4:$A$1436,1))+(INDEX(VN_국채일별!$F$4:$F$1436,MATCH($B548,VN_국채일별!$A$4:$A$1436,1))-INDEX(VN_국채일별!$E$4:$E$1436,MATCH($B548,VN_국채일별!$A$4:$A$1436,1)))*($J548-5)/2,IF($J548&lt;=10,INDEX(VN_국채일별!$F$4:$F$1436,MATCH($B548,VN_국채일별!$A$4:$A$1436,1))+(INDEX(VN_국채일별!$G$4:$G$1436,MATCH($B548,VN_국채일별!$A$4:$A$1436,1))-INDEX(VN_국채일별!$F$4:$F$1436,MATCH($B548,VN_국채일별!$A$4:$A$1436,1)))*($J548-7)/3,INDEX(VN_국채일별!$G$4:$G$1436,MATCH($B548,VN_국채일별!$A$4:$A$1436,1)))))))),""))</f>
        <v>0.0325</v>
      </c>
      <c r="R548" s="58" t="n">
        <f aca="false">IF(OR(L548="",Q548=""),"",(L548-Q548)*10000)</f>
        <v>240</v>
      </c>
      <c r="S548" s="30" t="n">
        <f aca="false">IF(AND(K548="고정",N548="N",J548&gt;=2,J548&lt;=4,I548&lt;&gt;""),1,0)</f>
        <v>0</v>
      </c>
      <c r="T548" s="59" t="n">
        <f aca="false">IF(S548=1,I548*L548,0)</f>
        <v>0</v>
      </c>
      <c r="U548" s="60" t="n">
        <f aca="false">IF(AND(S548=1,ISNUMBER(R548)),I548*R548,0)</f>
        <v>0</v>
      </c>
      <c r="V548" s="30" t="n">
        <f aca="false">IF(AND(F548="Big4(국영)",K548="고정",N548="N",I548&lt;&gt;""),1,0)</f>
        <v>0</v>
      </c>
      <c r="W548" s="59" t="n">
        <f aca="false">IF(V548=1,I548*L548,0)</f>
        <v>0</v>
      </c>
      <c r="X548" s="60" t="n">
        <f aca="false">IF(AND(V548=1,ISNUMBER(R548)),I548*R548,0)</f>
        <v>0</v>
      </c>
      <c r="Y548" s="61" t="n">
        <f aca="false">IF(AND(S548=1,ISNUMBER(R548)),I548,0)</f>
        <v>0</v>
      </c>
      <c r="Z548" s="61" t="n">
        <f aca="false">IF(AND(V548=1,ISNUMBER(R548)),I548,0)</f>
        <v>0</v>
      </c>
    </row>
    <row r="549" customFormat="false" ht="15" hidden="false" customHeight="false" outlineLevel="0" collapsed="false">
      <c r="A549" s="47" t="s">
        <v>964</v>
      </c>
      <c r="B549" s="52" t="n">
        <v>45889</v>
      </c>
      <c r="C549" s="53" t="n">
        <f aca="false">DATE(YEAR(B549),MONTH(B549),1)</f>
        <v>45870</v>
      </c>
      <c r="D549" s="5" t="str">
        <f aca="false">YEAR(B549)&amp;"Q"&amp;ROUNDUP(MONTH(B549)/3,0)</f>
        <v>2025Q3</v>
      </c>
      <c r="E549" s="47" t="s">
        <v>160</v>
      </c>
      <c r="F549" s="54" t="s">
        <v>139</v>
      </c>
      <c r="G549" s="47" t="s">
        <v>161</v>
      </c>
      <c r="H549" s="47" t="s">
        <v>988</v>
      </c>
      <c r="I549" s="55" t="n">
        <v>200</v>
      </c>
      <c r="J549" s="56" t="n">
        <v>1.5</v>
      </c>
      <c r="K549" s="54" t="s">
        <v>153</v>
      </c>
      <c r="N549" s="47" t="s">
        <v>143</v>
      </c>
      <c r="O549" s="47" t="s">
        <v>989</v>
      </c>
      <c r="P549" s="47"/>
      <c r="Q549" s="48" t="n">
        <f aca="false">IF($J549="","",IFERROR(IF($J549&lt;=1,INDEX(VN_국채일별!$B$4:$B$1436,MATCH($B549,VN_국채일별!$A$4:$A$1436,1)),IF($J549&lt;=2,INDEX(VN_국채일별!$B$4:$B$1436,MATCH($B549,VN_국채일별!$A$4:$A$1436,1))+(INDEX(VN_국채일별!$C$4:$C$1436,MATCH($B549,VN_국채일별!$A$4:$A$1436,1))-INDEX(VN_국채일별!$B$4:$B$1436,MATCH($B549,VN_국채일별!$A$4:$A$1436,1)))*($J549-1),IF($J549&lt;=3,INDEX(VN_국채일별!$C$4:$C$1436,MATCH($B549,VN_국채일별!$A$4:$A$1436,1))+(INDEX(VN_국채일별!$D$4:$D$1436,MATCH($B549,VN_국채일별!$A$4:$A$1436,1))-INDEX(VN_국채일별!$C$4:$C$1436,MATCH($B549,VN_국채일별!$A$4:$A$1436,1)))*($J549-2),IF($J549&lt;=5,INDEX(VN_국채일별!$D$4:$D$1436,MATCH($B549,VN_국채일별!$A$4:$A$1436,1))+(INDEX(VN_국채일별!$E$4:$E$1436,MATCH($B549,VN_국채일별!$A$4:$A$1436,1))-INDEX(VN_국채일별!$D$4:$D$1436,MATCH($B549,VN_국채일별!$A$4:$A$1436,1)))*($J549-3)/2,IF($J549&lt;=7,INDEX(VN_국채일별!$E$4:$E$1436,MATCH($B549,VN_국채일별!$A$4:$A$1436,1))+(INDEX(VN_국채일별!$F$4:$F$1436,MATCH($B549,VN_국채일별!$A$4:$A$1436,1))-INDEX(VN_국채일별!$E$4:$E$1436,MATCH($B549,VN_국채일별!$A$4:$A$1436,1)))*($J549-5)/2,IF($J549&lt;=10,INDEX(VN_국채일별!$F$4:$F$1436,MATCH($B549,VN_국채일별!$A$4:$A$1436,1))+(INDEX(VN_국채일별!$G$4:$G$1436,MATCH($B549,VN_국채일별!$A$4:$A$1436,1))-INDEX(VN_국채일별!$F$4:$F$1436,MATCH($B549,VN_국채일별!$A$4:$A$1436,1)))*($J549-7)/3,INDEX(VN_국채일별!$G$4:$G$1436,MATCH($B549,VN_국채일별!$A$4:$A$1436,1)))))))),""))</f>
        <v>0.02681</v>
      </c>
      <c r="R549" s="58" t="str">
        <f aca="false">IF(OR(L549="",Q549=""),"",(L549-Q549)*10000)</f>
        <v/>
      </c>
      <c r="S549" s="30" t="n">
        <f aca="false">IF(AND(K549="고정",N549="N",J549&gt;=2,J549&lt;=4,I549&lt;&gt;""),1,0)</f>
        <v>0</v>
      </c>
      <c r="T549" s="59" t="n">
        <f aca="false">IF(S549=1,I549*L549,0)</f>
        <v>0</v>
      </c>
      <c r="U549" s="60" t="n">
        <f aca="false">IF(AND(S549=1,ISNUMBER(R549)),I549*R549,0)</f>
        <v>0</v>
      </c>
      <c r="V549" s="30" t="n">
        <f aca="false">IF(AND(F549="Big4(국영)",K549="고정",N549="N",I549&lt;&gt;""),1,0)</f>
        <v>0</v>
      </c>
      <c r="W549" s="59" t="n">
        <f aca="false">IF(V549=1,I549*L549,0)</f>
        <v>0</v>
      </c>
      <c r="X549" s="60" t="n">
        <f aca="false">IF(AND(V549=1,ISNUMBER(R549)),I549*R549,0)</f>
        <v>0</v>
      </c>
      <c r="Y549" s="61" t="n">
        <f aca="false">IF(AND(S549=1,ISNUMBER(R549)),I549,0)</f>
        <v>0</v>
      </c>
      <c r="Z549" s="61" t="n">
        <f aca="false">IF(AND(V549=1,ISNUMBER(R549)),I549,0)</f>
        <v>0</v>
      </c>
    </row>
    <row r="550" customFormat="false" ht="15" hidden="false" customHeight="false" outlineLevel="0" collapsed="false">
      <c r="A550" s="47" t="s">
        <v>964</v>
      </c>
      <c r="B550" s="52" t="n">
        <v>45889</v>
      </c>
      <c r="C550" s="53" t="n">
        <f aca="false">DATE(YEAR(B550),MONTH(B550),1)</f>
        <v>45870</v>
      </c>
      <c r="D550" s="5" t="str">
        <f aca="false">YEAR(B550)&amp;"Q"&amp;ROUNDUP(MONTH(B550)/3,0)</f>
        <v>2025Q3</v>
      </c>
      <c r="E550" s="47" t="s">
        <v>365</v>
      </c>
      <c r="F550" s="54" t="s">
        <v>139</v>
      </c>
      <c r="G550" s="47" t="s">
        <v>366</v>
      </c>
      <c r="H550" s="47" t="s">
        <v>990</v>
      </c>
      <c r="I550" s="55" t="n">
        <v>100</v>
      </c>
      <c r="J550" s="56" t="n">
        <v>10</v>
      </c>
      <c r="K550" s="54" t="s">
        <v>153</v>
      </c>
      <c r="N550" s="47" t="s">
        <v>143</v>
      </c>
      <c r="O550" s="47" t="s">
        <v>909</v>
      </c>
      <c r="P550" s="47"/>
      <c r="Q550" s="48" t="n">
        <f aca="false">IF($J550="","",IFERROR(IF($J550&lt;=1,INDEX(VN_국채일별!$B$4:$B$1436,MATCH($B550,VN_국채일별!$A$4:$A$1436,1)),IF($J550&lt;=2,INDEX(VN_국채일별!$B$4:$B$1436,MATCH($B550,VN_국채일별!$A$4:$A$1436,1))+(INDEX(VN_국채일별!$C$4:$C$1436,MATCH($B550,VN_국채일별!$A$4:$A$1436,1))-INDEX(VN_국채일별!$B$4:$B$1436,MATCH($B550,VN_국채일별!$A$4:$A$1436,1)))*($J550-1),IF($J550&lt;=3,INDEX(VN_국채일별!$C$4:$C$1436,MATCH($B550,VN_국채일별!$A$4:$A$1436,1))+(INDEX(VN_국채일별!$D$4:$D$1436,MATCH($B550,VN_국채일별!$A$4:$A$1436,1))-INDEX(VN_국채일별!$C$4:$C$1436,MATCH($B550,VN_국채일별!$A$4:$A$1436,1)))*($J550-2),IF($J550&lt;=5,INDEX(VN_국채일별!$D$4:$D$1436,MATCH($B550,VN_국채일별!$A$4:$A$1436,1))+(INDEX(VN_국채일별!$E$4:$E$1436,MATCH($B550,VN_국채일별!$A$4:$A$1436,1))-INDEX(VN_국채일별!$D$4:$D$1436,MATCH($B550,VN_국채일별!$A$4:$A$1436,1)))*($J550-3)/2,IF($J550&lt;=7,INDEX(VN_국채일별!$E$4:$E$1436,MATCH($B550,VN_국채일별!$A$4:$A$1436,1))+(INDEX(VN_국채일별!$F$4:$F$1436,MATCH($B550,VN_국채일별!$A$4:$A$1436,1))-INDEX(VN_국채일별!$E$4:$E$1436,MATCH($B550,VN_국채일별!$A$4:$A$1436,1)))*($J550-5)/2,IF($J550&lt;=10,INDEX(VN_국채일별!$F$4:$F$1436,MATCH($B550,VN_국채일별!$A$4:$A$1436,1))+(INDEX(VN_국채일별!$G$4:$G$1436,MATCH($B550,VN_국채일별!$A$4:$A$1436,1))-INDEX(VN_국채일별!$F$4:$F$1436,MATCH($B550,VN_국채일별!$A$4:$A$1436,1)))*($J550-7)/3,INDEX(VN_국채일별!$G$4:$G$1436,MATCH($B550,VN_국채일별!$A$4:$A$1436,1)))))))),""))</f>
        <v>0.03561</v>
      </c>
      <c r="R550" s="58" t="str">
        <f aca="false">IF(OR(L550="",Q550=""),"",(L550-Q550)*10000)</f>
        <v/>
      </c>
      <c r="S550" s="30" t="n">
        <f aca="false">IF(AND(K550="고정",N550="N",J550&gt;=2,J550&lt;=4,I550&lt;&gt;""),1,0)</f>
        <v>0</v>
      </c>
      <c r="T550" s="59" t="n">
        <f aca="false">IF(S550=1,I550*L550,0)</f>
        <v>0</v>
      </c>
      <c r="U550" s="60" t="n">
        <f aca="false">IF(AND(S550=1,ISNUMBER(R550)),I550*R550,0)</f>
        <v>0</v>
      </c>
      <c r="V550" s="30" t="n">
        <f aca="false">IF(AND(F550="Big4(국영)",K550="고정",N550="N",I550&lt;&gt;""),1,0)</f>
        <v>0</v>
      </c>
      <c r="W550" s="59" t="n">
        <f aca="false">IF(V550=1,I550*L550,0)</f>
        <v>0</v>
      </c>
      <c r="X550" s="60" t="n">
        <f aca="false">IF(AND(V550=1,ISNUMBER(R550)),I550*R550,0)</f>
        <v>0</v>
      </c>
      <c r="Y550" s="61" t="n">
        <f aca="false">IF(AND(S550=1,ISNUMBER(R550)),I550,0)</f>
        <v>0</v>
      </c>
      <c r="Z550" s="61" t="n">
        <f aca="false">IF(AND(V550=1,ISNUMBER(R550)),I550,0)</f>
        <v>0</v>
      </c>
    </row>
    <row r="551" customFormat="false" ht="15" hidden="false" customHeight="false" outlineLevel="0" collapsed="false">
      <c r="A551" s="47" t="s">
        <v>964</v>
      </c>
      <c r="B551" s="52" t="n">
        <v>45890</v>
      </c>
      <c r="C551" s="53" t="n">
        <f aca="false">DATE(YEAR(B551),MONTH(B551),1)</f>
        <v>45870</v>
      </c>
      <c r="D551" s="5" t="str">
        <f aca="false">YEAR(B551)&amp;"Q"&amp;ROUNDUP(MONTH(B551)/3,0)</f>
        <v>2025Q3</v>
      </c>
      <c r="E551" s="47" t="s">
        <v>191</v>
      </c>
      <c r="F551" s="54" t="s">
        <v>139</v>
      </c>
      <c r="G551" s="47" t="s">
        <v>917</v>
      </c>
      <c r="H551" s="47" t="s">
        <v>991</v>
      </c>
      <c r="I551" s="55" t="n">
        <v>500</v>
      </c>
      <c r="J551" s="56" t="n">
        <v>3</v>
      </c>
      <c r="K551" s="54" t="s">
        <v>153</v>
      </c>
      <c r="M551" s="57" t="n">
        <v>0.0765</v>
      </c>
      <c r="N551" s="47" t="s">
        <v>148</v>
      </c>
      <c r="O551" s="47" t="s">
        <v>919</v>
      </c>
      <c r="P551" s="47"/>
      <c r="Q551" s="48" t="n">
        <f aca="false">IF($J551="","",IFERROR(IF($J551&lt;=1,INDEX(VN_국채일별!$B$4:$B$1436,MATCH($B551,VN_국채일별!$A$4:$A$1436,1)),IF($J551&lt;=2,INDEX(VN_국채일별!$B$4:$B$1436,MATCH($B551,VN_국채일별!$A$4:$A$1436,1))+(INDEX(VN_국채일별!$C$4:$C$1436,MATCH($B551,VN_국채일별!$A$4:$A$1436,1))-INDEX(VN_국채일별!$B$4:$B$1436,MATCH($B551,VN_국채일별!$A$4:$A$1436,1)))*($J551-1),IF($J551&lt;=3,INDEX(VN_국채일별!$C$4:$C$1436,MATCH($B551,VN_국채일별!$A$4:$A$1436,1))+(INDEX(VN_국채일별!$D$4:$D$1436,MATCH($B551,VN_국채일별!$A$4:$A$1436,1))-INDEX(VN_국채일별!$C$4:$C$1436,MATCH($B551,VN_국채일별!$A$4:$A$1436,1)))*($J551-2),IF($J551&lt;=5,INDEX(VN_국채일별!$D$4:$D$1436,MATCH($B551,VN_국채일별!$A$4:$A$1436,1))+(INDEX(VN_국채일별!$E$4:$E$1436,MATCH($B551,VN_국채일별!$A$4:$A$1436,1))-INDEX(VN_국채일별!$D$4:$D$1436,MATCH($B551,VN_국채일별!$A$4:$A$1436,1)))*($J551-3)/2,IF($J551&lt;=7,INDEX(VN_국채일별!$E$4:$E$1436,MATCH($B551,VN_국채일별!$A$4:$A$1436,1))+(INDEX(VN_국채일별!$F$4:$F$1436,MATCH($B551,VN_국채일별!$A$4:$A$1436,1))-INDEX(VN_국채일별!$E$4:$E$1436,MATCH($B551,VN_국채일별!$A$4:$A$1436,1)))*($J551-5)/2,IF($J551&lt;=10,INDEX(VN_국채일별!$F$4:$F$1436,MATCH($B551,VN_국채일별!$A$4:$A$1436,1))+(INDEX(VN_국채일별!$G$4:$G$1436,MATCH($B551,VN_국채일별!$A$4:$A$1436,1))-INDEX(VN_국채일별!$F$4:$F$1436,MATCH($B551,VN_국채일별!$A$4:$A$1436,1)))*($J551-7)/3,INDEX(VN_국채일별!$G$4:$G$1436,MATCH($B551,VN_국채일별!$A$4:$A$1436,1)))))))),""))</f>
        <v>0.02789</v>
      </c>
      <c r="R551" s="58" t="str">
        <f aca="false">IF(OR(L551="",Q551=""),"",(L551-Q551)*10000)</f>
        <v/>
      </c>
      <c r="S551" s="30" t="n">
        <f aca="false">IF(AND(K551="고정",N551="N",J551&gt;=2,J551&lt;=4,I551&lt;&gt;""),1,0)</f>
        <v>0</v>
      </c>
      <c r="T551" s="59" t="n">
        <f aca="false">IF(S551=1,I551*L551,0)</f>
        <v>0</v>
      </c>
      <c r="U551" s="60" t="n">
        <f aca="false">IF(AND(S551=1,ISNUMBER(R551)),I551*R551,0)</f>
        <v>0</v>
      </c>
      <c r="V551" s="30" t="n">
        <f aca="false">IF(AND(F551="Big4(국영)",K551="고정",N551="N",I551&lt;&gt;""),1,0)</f>
        <v>0</v>
      </c>
      <c r="W551" s="59" t="n">
        <f aca="false">IF(V551=1,I551*L551,0)</f>
        <v>0</v>
      </c>
      <c r="X551" s="60" t="n">
        <f aca="false">IF(AND(V551=1,ISNUMBER(R551)),I551*R551,0)</f>
        <v>0</v>
      </c>
      <c r="Y551" s="61" t="n">
        <f aca="false">IF(AND(S551=1,ISNUMBER(R551)),I551,0)</f>
        <v>0</v>
      </c>
      <c r="Z551" s="61" t="n">
        <f aca="false">IF(AND(V551=1,ISNUMBER(R551)),I551,0)</f>
        <v>0</v>
      </c>
    </row>
    <row r="552" customFormat="false" ht="15" hidden="false" customHeight="false" outlineLevel="0" collapsed="false">
      <c r="A552" s="47" t="s">
        <v>964</v>
      </c>
      <c r="B552" s="52" t="n">
        <v>45890</v>
      </c>
      <c r="C552" s="53" t="n">
        <f aca="false">DATE(YEAR(B552),MONTH(B552),1)</f>
        <v>45870</v>
      </c>
      <c r="D552" s="5" t="str">
        <f aca="false">YEAR(B552)&amp;"Q"&amp;ROUNDUP(MONTH(B552)/3,0)</f>
        <v>2025Q3</v>
      </c>
      <c r="E552" s="47" t="s">
        <v>242</v>
      </c>
      <c r="F552" s="54" t="s">
        <v>139</v>
      </c>
      <c r="G552" s="47" t="s">
        <v>724</v>
      </c>
      <c r="H552" s="47" t="s">
        <v>992</v>
      </c>
      <c r="I552" s="55" t="n">
        <v>1000</v>
      </c>
      <c r="J552" s="56" t="n">
        <v>3</v>
      </c>
      <c r="K552" s="54" t="s">
        <v>142</v>
      </c>
      <c r="L552" s="57" t="n">
        <v>0.059</v>
      </c>
      <c r="N552" s="47" t="s">
        <v>148</v>
      </c>
      <c r="O552" s="47" t="s">
        <v>857</v>
      </c>
      <c r="P552" s="47"/>
      <c r="Q552" s="48" t="n">
        <f aca="false">IF($J552="","",IFERROR(IF($J552&lt;=1,INDEX(VN_국채일별!$B$4:$B$1436,MATCH($B552,VN_국채일별!$A$4:$A$1436,1)),IF($J552&lt;=2,INDEX(VN_국채일별!$B$4:$B$1436,MATCH($B552,VN_국채일별!$A$4:$A$1436,1))+(INDEX(VN_국채일별!$C$4:$C$1436,MATCH($B552,VN_국채일별!$A$4:$A$1436,1))-INDEX(VN_국채일별!$B$4:$B$1436,MATCH($B552,VN_국채일별!$A$4:$A$1436,1)))*($J552-1),IF($J552&lt;=3,INDEX(VN_국채일별!$C$4:$C$1436,MATCH($B552,VN_국채일별!$A$4:$A$1436,1))+(INDEX(VN_국채일별!$D$4:$D$1436,MATCH($B552,VN_국채일별!$A$4:$A$1436,1))-INDEX(VN_국채일별!$C$4:$C$1436,MATCH($B552,VN_국채일별!$A$4:$A$1436,1)))*($J552-2),IF($J552&lt;=5,INDEX(VN_국채일별!$D$4:$D$1436,MATCH($B552,VN_국채일별!$A$4:$A$1436,1))+(INDEX(VN_국채일별!$E$4:$E$1436,MATCH($B552,VN_국채일별!$A$4:$A$1436,1))-INDEX(VN_국채일별!$D$4:$D$1436,MATCH($B552,VN_국채일별!$A$4:$A$1436,1)))*($J552-3)/2,IF($J552&lt;=7,INDEX(VN_국채일별!$E$4:$E$1436,MATCH($B552,VN_국채일별!$A$4:$A$1436,1))+(INDEX(VN_국채일별!$F$4:$F$1436,MATCH($B552,VN_국채일별!$A$4:$A$1436,1))-INDEX(VN_국채일별!$E$4:$E$1436,MATCH($B552,VN_국채일별!$A$4:$A$1436,1)))*($J552-5)/2,IF($J552&lt;=10,INDEX(VN_국채일별!$F$4:$F$1436,MATCH($B552,VN_국채일별!$A$4:$A$1436,1))+(INDEX(VN_국채일별!$G$4:$G$1436,MATCH($B552,VN_국채일별!$A$4:$A$1436,1))-INDEX(VN_국채일별!$F$4:$F$1436,MATCH($B552,VN_국채일별!$A$4:$A$1436,1)))*($J552-7)/3,INDEX(VN_국채일별!$G$4:$G$1436,MATCH($B552,VN_국채일별!$A$4:$A$1436,1)))))))),""))</f>
        <v>0.02789</v>
      </c>
      <c r="R552" s="58" t="n">
        <f aca="false">IF(OR(L552="",Q552=""),"",(L552-Q552)*10000)</f>
        <v>311.1</v>
      </c>
      <c r="S552" s="30" t="n">
        <f aca="false">IF(AND(K552="고정",N552="N",J552&gt;=2,J552&lt;=4,I552&lt;&gt;""),1,0)</f>
        <v>1</v>
      </c>
      <c r="T552" s="59" t="n">
        <f aca="false">IF(S552=1,I552*L552,0)</f>
        <v>59</v>
      </c>
      <c r="U552" s="60" t="n">
        <f aca="false">IF(AND(S552=1,ISNUMBER(R552)),I552*R552,0)</f>
        <v>311100</v>
      </c>
      <c r="V552" s="30" t="n">
        <f aca="false">IF(AND(F552="Big4(국영)",K552="고정",N552="N",I552&lt;&gt;""),1,0)</f>
        <v>0</v>
      </c>
      <c r="W552" s="59" t="n">
        <f aca="false">IF(V552=1,I552*L552,0)</f>
        <v>0</v>
      </c>
      <c r="X552" s="60" t="n">
        <f aca="false">IF(AND(V552=1,ISNUMBER(R552)),I552*R552,0)</f>
        <v>0</v>
      </c>
      <c r="Y552" s="61" t="n">
        <f aca="false">IF(AND(S552=1,ISNUMBER(R552)),I552,0)</f>
        <v>1000</v>
      </c>
      <c r="Z552" s="61" t="n">
        <f aca="false">IF(AND(V552=1,ISNUMBER(R552)),I552,0)</f>
        <v>0</v>
      </c>
    </row>
    <row r="553" customFormat="false" ht="15" hidden="false" customHeight="false" outlineLevel="0" collapsed="false">
      <c r="A553" s="47" t="s">
        <v>964</v>
      </c>
      <c r="B553" s="52" t="n">
        <v>45890</v>
      </c>
      <c r="C553" s="53" t="n">
        <f aca="false">DATE(YEAR(B553),MONTH(B553),1)</f>
        <v>45870</v>
      </c>
      <c r="D553" s="5" t="str">
        <f aca="false">YEAR(B553)&amp;"Q"&amp;ROUNDUP(MONTH(B553)/3,0)</f>
        <v>2025Q3</v>
      </c>
      <c r="E553" s="47" t="s">
        <v>181</v>
      </c>
      <c r="F553" s="54" t="s">
        <v>139</v>
      </c>
      <c r="G553" s="47" t="s">
        <v>182</v>
      </c>
      <c r="H553" s="47" t="s">
        <v>993</v>
      </c>
      <c r="I553" s="55" t="n">
        <v>1000</v>
      </c>
      <c r="J553" s="56" t="n">
        <v>7</v>
      </c>
      <c r="K553" s="54" t="s">
        <v>142</v>
      </c>
      <c r="L553" s="57" t="n">
        <v>0.057</v>
      </c>
      <c r="N553" s="47" t="s">
        <v>143</v>
      </c>
      <c r="O553" s="47" t="s">
        <v>649</v>
      </c>
      <c r="P553" s="47"/>
      <c r="Q553" s="48" t="n">
        <f aca="false">IF($J553="","",IFERROR(IF($J553&lt;=1,INDEX(VN_국채일별!$B$4:$B$1436,MATCH($B553,VN_국채일별!$A$4:$A$1436,1)),IF($J553&lt;=2,INDEX(VN_국채일별!$B$4:$B$1436,MATCH($B553,VN_국채일별!$A$4:$A$1436,1))+(INDEX(VN_국채일별!$C$4:$C$1436,MATCH($B553,VN_국채일별!$A$4:$A$1436,1))-INDEX(VN_국채일별!$B$4:$B$1436,MATCH($B553,VN_국채일별!$A$4:$A$1436,1)))*($J553-1),IF($J553&lt;=3,INDEX(VN_국채일별!$C$4:$C$1436,MATCH($B553,VN_국채일별!$A$4:$A$1436,1))+(INDEX(VN_국채일별!$D$4:$D$1436,MATCH($B553,VN_국채일별!$A$4:$A$1436,1))-INDEX(VN_국채일별!$C$4:$C$1436,MATCH($B553,VN_국채일별!$A$4:$A$1436,1)))*($J553-2),IF($J553&lt;=5,INDEX(VN_국채일별!$D$4:$D$1436,MATCH($B553,VN_국채일별!$A$4:$A$1436,1))+(INDEX(VN_국채일별!$E$4:$E$1436,MATCH($B553,VN_국채일별!$A$4:$A$1436,1))-INDEX(VN_국채일별!$D$4:$D$1436,MATCH($B553,VN_국채일별!$A$4:$A$1436,1)))*($J553-3)/2,IF($J553&lt;=7,INDEX(VN_국채일별!$E$4:$E$1436,MATCH($B553,VN_국채일별!$A$4:$A$1436,1))+(INDEX(VN_국채일별!$F$4:$F$1436,MATCH($B553,VN_국채일별!$A$4:$A$1436,1))-INDEX(VN_국채일별!$E$4:$E$1436,MATCH($B553,VN_국채일별!$A$4:$A$1436,1)))*($J553-5)/2,IF($J553&lt;=10,INDEX(VN_국채일별!$F$4:$F$1436,MATCH($B553,VN_국채일별!$A$4:$A$1436,1))+(INDEX(VN_국채일별!$G$4:$G$1436,MATCH($B553,VN_국채일별!$A$4:$A$1436,1))-INDEX(VN_국채일별!$F$4:$F$1436,MATCH($B553,VN_국채일별!$A$4:$A$1436,1)))*($J553-7)/3,INDEX(VN_국채일별!$G$4:$G$1436,MATCH($B553,VN_국채일별!$A$4:$A$1436,1)))))))),""))</f>
        <v>0.03285</v>
      </c>
      <c r="R553" s="58" t="n">
        <f aca="false">IF(OR(L553="",Q553=""),"",(L553-Q553)*10000)</f>
        <v>241.5</v>
      </c>
      <c r="S553" s="30" t="n">
        <f aca="false">IF(AND(K553="고정",N553="N",J553&gt;=2,J553&lt;=4,I553&lt;&gt;""),1,0)</f>
        <v>0</v>
      </c>
      <c r="T553" s="59" t="n">
        <f aca="false">IF(S553=1,I553*L553,0)</f>
        <v>0</v>
      </c>
      <c r="U553" s="60" t="n">
        <f aca="false">IF(AND(S553=1,ISNUMBER(R553)),I553*R553,0)</f>
        <v>0</v>
      </c>
      <c r="V553" s="30" t="n">
        <f aca="false">IF(AND(F553="Big4(국영)",K553="고정",N553="N",I553&lt;&gt;""),1,0)</f>
        <v>0</v>
      </c>
      <c r="W553" s="59" t="n">
        <f aca="false">IF(V553=1,I553*L553,0)</f>
        <v>0</v>
      </c>
      <c r="X553" s="60" t="n">
        <f aca="false">IF(AND(V553=1,ISNUMBER(R553)),I553*R553,0)</f>
        <v>0</v>
      </c>
      <c r="Y553" s="61" t="n">
        <f aca="false">IF(AND(S553=1,ISNUMBER(R553)),I553,0)</f>
        <v>0</v>
      </c>
      <c r="Z553" s="61" t="n">
        <f aca="false">IF(AND(V553=1,ISNUMBER(R553)),I553,0)</f>
        <v>0</v>
      </c>
    </row>
    <row r="554" customFormat="false" ht="15" hidden="false" customHeight="false" outlineLevel="0" collapsed="false">
      <c r="A554" s="47" t="s">
        <v>964</v>
      </c>
      <c r="B554" s="52" t="n">
        <v>45891</v>
      </c>
      <c r="C554" s="53" t="n">
        <f aca="false">DATE(YEAR(B554),MONTH(B554),1)</f>
        <v>45870</v>
      </c>
      <c r="D554" s="5" t="str">
        <f aca="false">YEAR(B554)&amp;"Q"&amp;ROUNDUP(MONTH(B554)/3,0)</f>
        <v>2025Q3</v>
      </c>
      <c r="E554" s="47" t="s">
        <v>196</v>
      </c>
      <c r="F554" s="54" t="s">
        <v>139</v>
      </c>
      <c r="G554" s="47" t="s">
        <v>673</v>
      </c>
      <c r="H554" s="47" t="s">
        <v>994</v>
      </c>
      <c r="I554" s="55" t="n">
        <v>500</v>
      </c>
      <c r="J554" s="56" t="n">
        <v>3</v>
      </c>
      <c r="K554" s="54" t="s">
        <v>142</v>
      </c>
      <c r="L554" s="57" t="n">
        <v>0.053</v>
      </c>
      <c r="N554" s="47" t="s">
        <v>148</v>
      </c>
      <c r="O554" s="47" t="s">
        <v>582</v>
      </c>
      <c r="P554" s="47"/>
      <c r="Q554" s="48" t="n">
        <f aca="false">IF($J554="","",IFERROR(IF($J554&lt;=1,INDEX(VN_국채일별!$B$4:$B$1436,MATCH($B554,VN_국채일별!$A$4:$A$1436,1)),IF($J554&lt;=2,INDEX(VN_국채일별!$B$4:$B$1436,MATCH($B554,VN_국채일별!$A$4:$A$1436,1))+(INDEX(VN_국채일별!$C$4:$C$1436,MATCH($B554,VN_국채일별!$A$4:$A$1436,1))-INDEX(VN_국채일별!$B$4:$B$1436,MATCH($B554,VN_국채일별!$A$4:$A$1436,1)))*($J554-1),IF($J554&lt;=3,INDEX(VN_국채일별!$C$4:$C$1436,MATCH($B554,VN_국채일별!$A$4:$A$1436,1))+(INDEX(VN_국채일별!$D$4:$D$1436,MATCH($B554,VN_국채일별!$A$4:$A$1436,1))-INDEX(VN_국채일별!$C$4:$C$1436,MATCH($B554,VN_국채일별!$A$4:$A$1436,1)))*($J554-2),IF($J554&lt;=5,INDEX(VN_국채일별!$D$4:$D$1436,MATCH($B554,VN_국채일별!$A$4:$A$1436,1))+(INDEX(VN_국채일별!$E$4:$E$1436,MATCH($B554,VN_국채일별!$A$4:$A$1436,1))-INDEX(VN_국채일별!$D$4:$D$1436,MATCH($B554,VN_국채일별!$A$4:$A$1436,1)))*($J554-3)/2,IF($J554&lt;=7,INDEX(VN_국채일별!$E$4:$E$1436,MATCH($B554,VN_국채일별!$A$4:$A$1436,1))+(INDEX(VN_국채일별!$F$4:$F$1436,MATCH($B554,VN_국채일별!$A$4:$A$1436,1))-INDEX(VN_국채일별!$E$4:$E$1436,MATCH($B554,VN_국채일별!$A$4:$A$1436,1)))*($J554-5)/2,IF($J554&lt;=10,INDEX(VN_국채일별!$F$4:$F$1436,MATCH($B554,VN_국채일별!$A$4:$A$1436,1))+(INDEX(VN_국채일별!$G$4:$G$1436,MATCH($B554,VN_국채일별!$A$4:$A$1436,1))-INDEX(VN_국채일별!$F$4:$F$1436,MATCH($B554,VN_국채일별!$A$4:$A$1436,1)))*($J554-7)/3,INDEX(VN_국채일별!$G$4:$G$1436,MATCH($B554,VN_국채일별!$A$4:$A$1436,1)))))))),""))</f>
        <v>0.0279</v>
      </c>
      <c r="R554" s="58" t="n">
        <f aca="false">IF(OR(L554="",Q554=""),"",(L554-Q554)*10000)</f>
        <v>251</v>
      </c>
      <c r="S554" s="30" t="n">
        <f aca="false">IF(AND(K554="고정",N554="N",J554&gt;=2,J554&lt;=4,I554&lt;&gt;""),1,0)</f>
        <v>1</v>
      </c>
      <c r="T554" s="59" t="n">
        <f aca="false">IF(S554=1,I554*L554,0)</f>
        <v>26.5</v>
      </c>
      <c r="U554" s="60" t="n">
        <f aca="false">IF(AND(S554=1,ISNUMBER(R554)),I554*R554,0)</f>
        <v>125500</v>
      </c>
      <c r="V554" s="30" t="n">
        <f aca="false">IF(AND(F554="Big4(국영)",K554="고정",N554="N",I554&lt;&gt;""),1,0)</f>
        <v>0</v>
      </c>
      <c r="W554" s="59" t="n">
        <f aca="false">IF(V554=1,I554*L554,0)</f>
        <v>0</v>
      </c>
      <c r="X554" s="60" t="n">
        <f aca="false">IF(AND(V554=1,ISNUMBER(R554)),I554*R554,0)</f>
        <v>0</v>
      </c>
      <c r="Y554" s="61" t="n">
        <f aca="false">IF(AND(S554=1,ISNUMBER(R554)),I554,0)</f>
        <v>500</v>
      </c>
      <c r="Z554" s="61" t="n">
        <f aca="false">IF(AND(V554=1,ISNUMBER(R554)),I554,0)</f>
        <v>0</v>
      </c>
    </row>
    <row r="555" customFormat="false" ht="15" hidden="false" customHeight="false" outlineLevel="0" collapsed="false">
      <c r="A555" s="47" t="s">
        <v>964</v>
      </c>
      <c r="B555" s="52" t="n">
        <v>45894</v>
      </c>
      <c r="C555" s="53" t="n">
        <f aca="false">DATE(YEAR(B555),MONTH(B555),1)</f>
        <v>45870</v>
      </c>
      <c r="D555" s="5" t="str">
        <f aca="false">YEAR(B555)&amp;"Q"&amp;ROUNDUP(MONTH(B555)/3,0)</f>
        <v>2025Q3</v>
      </c>
      <c r="E555" s="47" t="s">
        <v>323</v>
      </c>
      <c r="F555" s="54" t="s">
        <v>139</v>
      </c>
      <c r="G555" s="47" t="s">
        <v>324</v>
      </c>
      <c r="H555" s="47" t="s">
        <v>995</v>
      </c>
      <c r="I555" s="55" t="n">
        <v>700</v>
      </c>
      <c r="J555" s="56" t="n">
        <v>7</v>
      </c>
      <c r="K555" s="54" t="s">
        <v>153</v>
      </c>
      <c r="N555" s="47" t="s">
        <v>143</v>
      </c>
      <c r="O555" s="47" t="s">
        <v>996</v>
      </c>
      <c r="P555" s="47"/>
      <c r="Q555" s="48" t="n">
        <f aca="false">IF($J555="","",IFERROR(IF($J555&lt;=1,INDEX(VN_국채일별!$B$4:$B$1436,MATCH($B555,VN_국채일별!$A$4:$A$1436,1)),IF($J555&lt;=2,INDEX(VN_국채일별!$B$4:$B$1436,MATCH($B555,VN_국채일별!$A$4:$A$1436,1))+(INDEX(VN_국채일별!$C$4:$C$1436,MATCH($B555,VN_국채일별!$A$4:$A$1436,1))-INDEX(VN_국채일별!$B$4:$B$1436,MATCH($B555,VN_국채일별!$A$4:$A$1436,1)))*($J555-1),IF($J555&lt;=3,INDEX(VN_국채일별!$C$4:$C$1436,MATCH($B555,VN_국채일별!$A$4:$A$1436,1))+(INDEX(VN_국채일별!$D$4:$D$1436,MATCH($B555,VN_국채일별!$A$4:$A$1436,1))-INDEX(VN_국채일별!$C$4:$C$1436,MATCH($B555,VN_국채일별!$A$4:$A$1436,1)))*($J555-2),IF($J555&lt;=5,INDEX(VN_국채일별!$D$4:$D$1436,MATCH($B555,VN_국채일별!$A$4:$A$1436,1))+(INDEX(VN_국채일별!$E$4:$E$1436,MATCH($B555,VN_국채일별!$A$4:$A$1436,1))-INDEX(VN_국채일별!$D$4:$D$1436,MATCH($B555,VN_국채일별!$A$4:$A$1436,1)))*($J555-3)/2,IF($J555&lt;=7,INDEX(VN_국채일별!$E$4:$E$1436,MATCH($B555,VN_국채일별!$A$4:$A$1436,1))+(INDEX(VN_국채일별!$F$4:$F$1436,MATCH($B555,VN_국채일별!$A$4:$A$1436,1))-INDEX(VN_국채일별!$E$4:$E$1436,MATCH($B555,VN_국채일별!$A$4:$A$1436,1)))*($J555-5)/2,IF($J555&lt;=10,INDEX(VN_국채일별!$F$4:$F$1436,MATCH($B555,VN_국채일별!$A$4:$A$1436,1))+(INDEX(VN_국채일별!$G$4:$G$1436,MATCH($B555,VN_국채일별!$A$4:$A$1436,1))-INDEX(VN_국채일별!$F$4:$F$1436,MATCH($B555,VN_국채일별!$A$4:$A$1436,1)))*($J555-7)/3,INDEX(VN_국채일별!$G$4:$G$1436,MATCH($B555,VN_국채일별!$A$4:$A$1436,1)))))))),""))</f>
        <v>0.03474</v>
      </c>
      <c r="R555" s="58" t="str">
        <f aca="false">IF(OR(L555="",Q555=""),"",(L555-Q555)*10000)</f>
        <v/>
      </c>
      <c r="S555" s="30" t="n">
        <f aca="false">IF(AND(K555="고정",N555="N",J555&gt;=2,J555&lt;=4,I555&lt;&gt;""),1,0)</f>
        <v>0</v>
      </c>
      <c r="T555" s="59" t="n">
        <f aca="false">IF(S555=1,I555*L555,0)</f>
        <v>0</v>
      </c>
      <c r="U555" s="60" t="n">
        <f aca="false">IF(AND(S555=1,ISNUMBER(R555)),I555*R555,0)</f>
        <v>0</v>
      </c>
      <c r="V555" s="30" t="n">
        <f aca="false">IF(AND(F555="Big4(국영)",K555="고정",N555="N",I555&lt;&gt;""),1,0)</f>
        <v>0</v>
      </c>
      <c r="W555" s="59" t="n">
        <f aca="false">IF(V555=1,I555*L555,0)</f>
        <v>0</v>
      </c>
      <c r="X555" s="60" t="n">
        <f aca="false">IF(AND(V555=1,ISNUMBER(R555)),I555*R555,0)</f>
        <v>0</v>
      </c>
      <c r="Y555" s="61" t="n">
        <f aca="false">IF(AND(S555=1,ISNUMBER(R555)),I555,0)</f>
        <v>0</v>
      </c>
      <c r="Z555" s="61" t="n">
        <f aca="false">IF(AND(V555=1,ISNUMBER(R555)),I555,0)</f>
        <v>0</v>
      </c>
    </row>
    <row r="556" customFormat="false" ht="15" hidden="false" customHeight="false" outlineLevel="0" collapsed="false">
      <c r="A556" s="47" t="s">
        <v>964</v>
      </c>
      <c r="B556" s="52" t="n">
        <v>45894</v>
      </c>
      <c r="C556" s="53" t="n">
        <f aca="false">DATE(YEAR(B556),MONTH(B556),1)</f>
        <v>45870</v>
      </c>
      <c r="D556" s="5" t="str">
        <f aca="false">YEAR(B556)&amp;"Q"&amp;ROUNDUP(MONTH(B556)/3,0)</f>
        <v>2025Q3</v>
      </c>
      <c r="E556" s="47" t="s">
        <v>323</v>
      </c>
      <c r="F556" s="54" t="s">
        <v>139</v>
      </c>
      <c r="G556" s="47" t="s">
        <v>324</v>
      </c>
      <c r="H556" s="47" t="s">
        <v>997</v>
      </c>
      <c r="I556" s="55" t="n">
        <v>800</v>
      </c>
      <c r="J556" s="56" t="n">
        <v>7</v>
      </c>
      <c r="K556" s="54" t="s">
        <v>153</v>
      </c>
      <c r="N556" s="47" t="s">
        <v>143</v>
      </c>
      <c r="O556" s="47" t="s">
        <v>998</v>
      </c>
      <c r="P556" s="47"/>
      <c r="Q556" s="48" t="n">
        <f aca="false">IF($J556="","",IFERROR(IF($J556&lt;=1,INDEX(VN_국채일별!$B$4:$B$1436,MATCH($B556,VN_국채일별!$A$4:$A$1436,1)),IF($J556&lt;=2,INDEX(VN_국채일별!$B$4:$B$1436,MATCH($B556,VN_국채일별!$A$4:$A$1436,1))+(INDEX(VN_국채일별!$C$4:$C$1436,MATCH($B556,VN_국채일별!$A$4:$A$1436,1))-INDEX(VN_국채일별!$B$4:$B$1436,MATCH($B556,VN_국채일별!$A$4:$A$1436,1)))*($J556-1),IF($J556&lt;=3,INDEX(VN_국채일별!$C$4:$C$1436,MATCH($B556,VN_국채일별!$A$4:$A$1436,1))+(INDEX(VN_국채일별!$D$4:$D$1436,MATCH($B556,VN_국채일별!$A$4:$A$1436,1))-INDEX(VN_국채일별!$C$4:$C$1436,MATCH($B556,VN_국채일별!$A$4:$A$1436,1)))*($J556-2),IF($J556&lt;=5,INDEX(VN_국채일별!$D$4:$D$1436,MATCH($B556,VN_국채일별!$A$4:$A$1436,1))+(INDEX(VN_국채일별!$E$4:$E$1436,MATCH($B556,VN_국채일별!$A$4:$A$1436,1))-INDEX(VN_국채일별!$D$4:$D$1436,MATCH($B556,VN_국채일별!$A$4:$A$1436,1)))*($J556-3)/2,IF($J556&lt;=7,INDEX(VN_국채일별!$E$4:$E$1436,MATCH($B556,VN_국채일별!$A$4:$A$1436,1))+(INDEX(VN_국채일별!$F$4:$F$1436,MATCH($B556,VN_국채일별!$A$4:$A$1436,1))-INDEX(VN_국채일별!$E$4:$E$1436,MATCH($B556,VN_국채일별!$A$4:$A$1436,1)))*($J556-5)/2,IF($J556&lt;=10,INDEX(VN_국채일별!$F$4:$F$1436,MATCH($B556,VN_국채일별!$A$4:$A$1436,1))+(INDEX(VN_국채일별!$G$4:$G$1436,MATCH($B556,VN_국채일별!$A$4:$A$1436,1))-INDEX(VN_국채일별!$F$4:$F$1436,MATCH($B556,VN_국채일별!$A$4:$A$1436,1)))*($J556-7)/3,INDEX(VN_국채일별!$G$4:$G$1436,MATCH($B556,VN_국채일별!$A$4:$A$1436,1)))))))),""))</f>
        <v>0.03474</v>
      </c>
      <c r="R556" s="58" t="str">
        <f aca="false">IF(OR(L556="",Q556=""),"",(L556-Q556)*10000)</f>
        <v/>
      </c>
      <c r="S556" s="30" t="n">
        <f aca="false">IF(AND(K556="고정",N556="N",J556&gt;=2,J556&lt;=4,I556&lt;&gt;""),1,0)</f>
        <v>0</v>
      </c>
      <c r="T556" s="59" t="n">
        <f aca="false">IF(S556=1,I556*L556,0)</f>
        <v>0</v>
      </c>
      <c r="U556" s="60" t="n">
        <f aca="false">IF(AND(S556=1,ISNUMBER(R556)),I556*R556,0)</f>
        <v>0</v>
      </c>
      <c r="V556" s="30" t="n">
        <f aca="false">IF(AND(F556="Big4(국영)",K556="고정",N556="N",I556&lt;&gt;""),1,0)</f>
        <v>0</v>
      </c>
      <c r="W556" s="59" t="n">
        <f aca="false">IF(V556=1,I556*L556,0)</f>
        <v>0</v>
      </c>
      <c r="X556" s="60" t="n">
        <f aca="false">IF(AND(V556=1,ISNUMBER(R556)),I556*R556,0)</f>
        <v>0</v>
      </c>
      <c r="Y556" s="61" t="n">
        <f aca="false">IF(AND(S556=1,ISNUMBER(R556)),I556,0)</f>
        <v>0</v>
      </c>
      <c r="Z556" s="61" t="n">
        <f aca="false">IF(AND(V556=1,ISNUMBER(R556)),I556,0)</f>
        <v>0</v>
      </c>
    </row>
    <row r="557" customFormat="false" ht="15" hidden="false" customHeight="false" outlineLevel="0" collapsed="false">
      <c r="A557" s="47" t="s">
        <v>964</v>
      </c>
      <c r="B557" s="52" t="n">
        <v>45895</v>
      </c>
      <c r="C557" s="53" t="n">
        <f aca="false">DATE(YEAR(B557),MONTH(B557),1)</f>
        <v>45870</v>
      </c>
      <c r="D557" s="5" t="str">
        <f aca="false">YEAR(B557)&amp;"Q"&amp;ROUNDUP(MONTH(B557)/3,0)</f>
        <v>2025Q3</v>
      </c>
      <c r="E557" s="47" t="s">
        <v>160</v>
      </c>
      <c r="F557" s="54" t="s">
        <v>139</v>
      </c>
      <c r="G557" s="47" t="s">
        <v>161</v>
      </c>
      <c r="H557" s="47" t="s">
        <v>999</v>
      </c>
      <c r="I557" s="55" t="n">
        <v>200</v>
      </c>
      <c r="J557" s="56" t="n">
        <v>8</v>
      </c>
      <c r="K557" s="54" t="s">
        <v>142</v>
      </c>
      <c r="L557" s="57" t="n">
        <v>0.0638</v>
      </c>
      <c r="N557" s="47" t="s">
        <v>143</v>
      </c>
      <c r="O557" s="47" t="s">
        <v>1000</v>
      </c>
      <c r="P557" s="47"/>
      <c r="Q557" s="48" t="n">
        <f aca="false">IF($J557="","",IFERROR(IF($J557&lt;=1,INDEX(VN_국채일별!$B$4:$B$1436,MATCH($B557,VN_국채일별!$A$4:$A$1436,1)),IF($J557&lt;=2,INDEX(VN_국채일별!$B$4:$B$1436,MATCH($B557,VN_국채일별!$A$4:$A$1436,1))+(INDEX(VN_국채일별!$C$4:$C$1436,MATCH($B557,VN_국채일별!$A$4:$A$1436,1))-INDEX(VN_국채일별!$B$4:$B$1436,MATCH($B557,VN_국채일별!$A$4:$A$1436,1)))*($J557-1),IF($J557&lt;=3,INDEX(VN_국채일별!$C$4:$C$1436,MATCH($B557,VN_국채일별!$A$4:$A$1436,1))+(INDEX(VN_국채일별!$D$4:$D$1436,MATCH($B557,VN_국채일별!$A$4:$A$1436,1))-INDEX(VN_국채일별!$C$4:$C$1436,MATCH($B557,VN_국채일별!$A$4:$A$1436,1)))*($J557-2),IF($J557&lt;=5,INDEX(VN_국채일별!$D$4:$D$1436,MATCH($B557,VN_국채일별!$A$4:$A$1436,1))+(INDEX(VN_국채일별!$E$4:$E$1436,MATCH($B557,VN_국채일별!$A$4:$A$1436,1))-INDEX(VN_국채일별!$D$4:$D$1436,MATCH($B557,VN_국채일별!$A$4:$A$1436,1)))*($J557-3)/2,IF($J557&lt;=7,INDEX(VN_국채일별!$E$4:$E$1436,MATCH($B557,VN_국채일별!$A$4:$A$1436,1))+(INDEX(VN_국채일별!$F$4:$F$1436,MATCH($B557,VN_국채일별!$A$4:$A$1436,1))-INDEX(VN_국채일별!$E$4:$E$1436,MATCH($B557,VN_국채일별!$A$4:$A$1436,1)))*($J557-5)/2,IF($J557&lt;=10,INDEX(VN_국채일별!$F$4:$F$1436,MATCH($B557,VN_국채일별!$A$4:$A$1436,1))+(INDEX(VN_국채일별!$G$4:$G$1436,MATCH($B557,VN_국채일별!$A$4:$A$1436,1))-INDEX(VN_국채일별!$F$4:$F$1436,MATCH($B557,VN_국채일별!$A$4:$A$1436,1)))*($J557-7)/3,INDEX(VN_국채일별!$G$4:$G$1436,MATCH($B557,VN_국채일별!$A$4:$A$1436,1)))))))),""))</f>
        <v>0.0357566666666667</v>
      </c>
      <c r="R557" s="58" t="n">
        <f aca="false">IF(OR(L557="",Q557=""),"",(L557-Q557)*10000)</f>
        <v>280.433333333333</v>
      </c>
      <c r="S557" s="30" t="n">
        <f aca="false">IF(AND(K557="고정",N557="N",J557&gt;=2,J557&lt;=4,I557&lt;&gt;""),1,0)</f>
        <v>0</v>
      </c>
      <c r="T557" s="59" t="n">
        <f aca="false">IF(S557=1,I557*L557,0)</f>
        <v>0</v>
      </c>
      <c r="U557" s="60" t="n">
        <f aca="false">IF(AND(S557=1,ISNUMBER(R557)),I557*R557,0)</f>
        <v>0</v>
      </c>
      <c r="V557" s="30" t="n">
        <f aca="false">IF(AND(F557="Big4(국영)",K557="고정",N557="N",I557&lt;&gt;""),1,0)</f>
        <v>0</v>
      </c>
      <c r="W557" s="59" t="n">
        <f aca="false">IF(V557=1,I557*L557,0)</f>
        <v>0</v>
      </c>
      <c r="X557" s="60" t="n">
        <f aca="false">IF(AND(V557=1,ISNUMBER(R557)),I557*R557,0)</f>
        <v>0</v>
      </c>
      <c r="Y557" s="61" t="n">
        <f aca="false">IF(AND(S557=1,ISNUMBER(R557)),I557,0)</f>
        <v>0</v>
      </c>
      <c r="Z557" s="61" t="n">
        <f aca="false">IF(AND(V557=1,ISNUMBER(R557)),I557,0)</f>
        <v>0</v>
      </c>
    </row>
    <row r="558" customFormat="false" ht="15" hidden="false" customHeight="false" outlineLevel="0" collapsed="false">
      <c r="A558" s="47" t="s">
        <v>964</v>
      </c>
      <c r="B558" s="52" t="n">
        <v>45895</v>
      </c>
      <c r="C558" s="53" t="n">
        <f aca="false">DATE(YEAR(B558),MONTH(B558),1)</f>
        <v>45870</v>
      </c>
      <c r="D558" s="5" t="str">
        <f aca="false">YEAR(B558)&amp;"Q"&amp;ROUNDUP(MONTH(B558)/3,0)</f>
        <v>2025Q3</v>
      </c>
      <c r="E558" s="47" t="s">
        <v>248</v>
      </c>
      <c r="F558" s="54" t="s">
        <v>139</v>
      </c>
      <c r="G558" s="47" t="s">
        <v>361</v>
      </c>
      <c r="H558" s="47" t="s">
        <v>1001</v>
      </c>
      <c r="I558" s="55" t="n">
        <v>2000</v>
      </c>
      <c r="J558" s="56" t="n">
        <v>2</v>
      </c>
      <c r="K558" s="54" t="s">
        <v>142</v>
      </c>
      <c r="L558" s="57" t="n">
        <v>0.055</v>
      </c>
      <c r="N558" s="47" t="s">
        <v>148</v>
      </c>
      <c r="O558" s="47" t="s">
        <v>591</v>
      </c>
      <c r="P558" s="47"/>
      <c r="Q558" s="48" t="n">
        <f aca="false">IF($J558="","",IFERROR(IF($J558&lt;=1,INDEX(VN_국채일별!$B$4:$B$1436,MATCH($B558,VN_국채일별!$A$4:$A$1436,1)),IF($J558&lt;=2,INDEX(VN_국채일별!$B$4:$B$1436,MATCH($B558,VN_국채일별!$A$4:$A$1436,1))+(INDEX(VN_국채일별!$C$4:$C$1436,MATCH($B558,VN_국채일별!$A$4:$A$1436,1))-INDEX(VN_국채일별!$B$4:$B$1436,MATCH($B558,VN_국채일별!$A$4:$A$1436,1)))*($J558-1),IF($J558&lt;=3,INDEX(VN_국채일별!$C$4:$C$1436,MATCH($B558,VN_국채일별!$A$4:$A$1436,1))+(INDEX(VN_국채일별!$D$4:$D$1436,MATCH($B558,VN_국채일별!$A$4:$A$1436,1))-INDEX(VN_국채일별!$C$4:$C$1436,MATCH($B558,VN_국채일별!$A$4:$A$1436,1)))*($J558-2),IF($J558&lt;=5,INDEX(VN_국채일별!$D$4:$D$1436,MATCH($B558,VN_국채일별!$A$4:$A$1436,1))+(INDEX(VN_국채일별!$E$4:$E$1436,MATCH($B558,VN_국채일별!$A$4:$A$1436,1))-INDEX(VN_국채일별!$D$4:$D$1436,MATCH($B558,VN_국채일별!$A$4:$A$1436,1)))*($J558-3)/2,IF($J558&lt;=7,INDEX(VN_국채일별!$E$4:$E$1436,MATCH($B558,VN_국채일별!$A$4:$A$1436,1))+(INDEX(VN_국채일별!$F$4:$F$1436,MATCH($B558,VN_국채일별!$A$4:$A$1436,1))-INDEX(VN_국채일별!$E$4:$E$1436,MATCH($B558,VN_국채일별!$A$4:$A$1436,1)))*($J558-5)/2,IF($J558&lt;=10,INDEX(VN_국채일별!$F$4:$F$1436,MATCH($B558,VN_국채일별!$A$4:$A$1436,1))+(INDEX(VN_국채일별!$G$4:$G$1436,MATCH($B558,VN_국채일별!$A$4:$A$1436,1))-INDEX(VN_국채일별!$F$4:$F$1436,MATCH($B558,VN_국채일별!$A$4:$A$1436,1)))*($J558-7)/3,INDEX(VN_국채일별!$G$4:$G$1436,MATCH($B558,VN_국채일별!$A$4:$A$1436,1)))))))),""))</f>
        <v>0.02806</v>
      </c>
      <c r="R558" s="58" t="n">
        <f aca="false">IF(OR(L558="",Q558=""),"",(L558-Q558)*10000)</f>
        <v>269.4</v>
      </c>
      <c r="S558" s="30" t="n">
        <f aca="false">IF(AND(K558="고정",N558="N",J558&gt;=2,J558&lt;=4,I558&lt;&gt;""),1,0)</f>
        <v>1</v>
      </c>
      <c r="T558" s="59" t="n">
        <f aca="false">IF(S558=1,I558*L558,0)</f>
        <v>110</v>
      </c>
      <c r="U558" s="60" t="n">
        <f aca="false">IF(AND(S558=1,ISNUMBER(R558)),I558*R558,0)</f>
        <v>538800</v>
      </c>
      <c r="V558" s="30" t="n">
        <f aca="false">IF(AND(F558="Big4(국영)",K558="고정",N558="N",I558&lt;&gt;""),1,0)</f>
        <v>0</v>
      </c>
      <c r="W558" s="59" t="n">
        <f aca="false">IF(V558=1,I558*L558,0)</f>
        <v>0</v>
      </c>
      <c r="X558" s="60" t="n">
        <f aca="false">IF(AND(V558=1,ISNUMBER(R558)),I558*R558,0)</f>
        <v>0</v>
      </c>
      <c r="Y558" s="61" t="n">
        <f aca="false">IF(AND(S558=1,ISNUMBER(R558)),I558,0)</f>
        <v>2000</v>
      </c>
      <c r="Z558" s="61" t="n">
        <f aca="false">IF(AND(V558=1,ISNUMBER(R558)),I558,0)</f>
        <v>0</v>
      </c>
    </row>
    <row r="559" customFormat="false" ht="15" hidden="false" customHeight="false" outlineLevel="0" collapsed="false">
      <c r="A559" s="47" t="s">
        <v>1002</v>
      </c>
      <c r="B559" s="52" t="n">
        <v>45903</v>
      </c>
      <c r="C559" s="53" t="n">
        <f aca="false">DATE(YEAR(B559),MONTH(B559),1)</f>
        <v>45901</v>
      </c>
      <c r="D559" s="5" t="str">
        <f aca="false">YEAR(B559)&amp;"Q"&amp;ROUNDUP(MONTH(B559)/3,0)</f>
        <v>2025Q3</v>
      </c>
      <c r="E559" s="47" t="s">
        <v>160</v>
      </c>
      <c r="F559" s="54" t="s">
        <v>139</v>
      </c>
      <c r="G559" s="47" t="s">
        <v>161</v>
      </c>
      <c r="H559" s="47" t="s">
        <v>1003</v>
      </c>
      <c r="I559" s="55" t="n">
        <v>3000</v>
      </c>
      <c r="J559" s="56" t="n">
        <v>3</v>
      </c>
      <c r="K559" s="54" t="s">
        <v>142</v>
      </c>
      <c r="L559" s="57" t="n">
        <v>0.0585</v>
      </c>
      <c r="N559" s="47" t="s">
        <v>148</v>
      </c>
      <c r="O559" s="47" t="s">
        <v>1004</v>
      </c>
      <c r="P559" s="47"/>
      <c r="Q559" s="48" t="n">
        <f aca="false">IF($J559="","",IFERROR(IF($J559&lt;=1,INDEX(VN_국채일별!$B$4:$B$1436,MATCH($B559,VN_국채일별!$A$4:$A$1436,1)),IF($J559&lt;=2,INDEX(VN_국채일별!$B$4:$B$1436,MATCH($B559,VN_국채일별!$A$4:$A$1436,1))+(INDEX(VN_국채일별!$C$4:$C$1436,MATCH($B559,VN_국채일별!$A$4:$A$1436,1))-INDEX(VN_국채일별!$B$4:$B$1436,MATCH($B559,VN_국채일별!$A$4:$A$1436,1)))*($J559-1),IF($J559&lt;=3,INDEX(VN_국채일별!$C$4:$C$1436,MATCH($B559,VN_국채일별!$A$4:$A$1436,1))+(INDEX(VN_국채일별!$D$4:$D$1436,MATCH($B559,VN_국채일별!$A$4:$A$1436,1))-INDEX(VN_국채일별!$C$4:$C$1436,MATCH($B559,VN_국채일별!$A$4:$A$1436,1)))*($J559-2),IF($J559&lt;=5,INDEX(VN_국채일별!$D$4:$D$1436,MATCH($B559,VN_국채일별!$A$4:$A$1436,1))+(INDEX(VN_국채일별!$E$4:$E$1436,MATCH($B559,VN_국채일별!$A$4:$A$1436,1))-INDEX(VN_국채일별!$D$4:$D$1436,MATCH($B559,VN_국채일별!$A$4:$A$1436,1)))*($J559-3)/2,IF($J559&lt;=7,INDEX(VN_국채일별!$E$4:$E$1436,MATCH($B559,VN_국채일별!$A$4:$A$1436,1))+(INDEX(VN_국채일별!$F$4:$F$1436,MATCH($B559,VN_국채일별!$A$4:$A$1436,1))-INDEX(VN_국채일별!$E$4:$E$1436,MATCH($B559,VN_국채일별!$A$4:$A$1436,1)))*($J559-5)/2,IF($J559&lt;=10,INDEX(VN_국채일별!$F$4:$F$1436,MATCH($B559,VN_국채일별!$A$4:$A$1436,1))+(INDEX(VN_국채일별!$G$4:$G$1436,MATCH($B559,VN_국채일별!$A$4:$A$1436,1))-INDEX(VN_국채일별!$F$4:$F$1436,MATCH($B559,VN_국채일별!$A$4:$A$1436,1)))*($J559-7)/3,INDEX(VN_국채일별!$G$4:$G$1436,MATCH($B559,VN_국채일별!$A$4:$A$1436,1)))))))),""))</f>
        <v>0.02909</v>
      </c>
      <c r="R559" s="58" t="n">
        <f aca="false">IF(OR(L559="",Q559=""),"",(L559-Q559)*10000)</f>
        <v>294.1</v>
      </c>
      <c r="S559" s="30" t="n">
        <f aca="false">IF(AND(K559="고정",N559="N",J559&gt;=2,J559&lt;=4,I559&lt;&gt;""),1,0)</f>
        <v>1</v>
      </c>
      <c r="T559" s="59" t="n">
        <f aca="false">IF(S559=1,I559*L559,0)</f>
        <v>175.5</v>
      </c>
      <c r="U559" s="60" t="n">
        <f aca="false">IF(AND(S559=1,ISNUMBER(R559)),I559*R559,0)</f>
        <v>882300</v>
      </c>
      <c r="V559" s="30" t="n">
        <f aca="false">IF(AND(F559="Big4(국영)",K559="고정",N559="N",I559&lt;&gt;""),1,0)</f>
        <v>0</v>
      </c>
      <c r="W559" s="59" t="n">
        <f aca="false">IF(V559=1,I559*L559,0)</f>
        <v>0</v>
      </c>
      <c r="X559" s="60" t="n">
        <f aca="false">IF(AND(V559=1,ISNUMBER(R559)),I559*R559,0)</f>
        <v>0</v>
      </c>
      <c r="Y559" s="61" t="n">
        <f aca="false">IF(AND(S559=1,ISNUMBER(R559)),I559,0)</f>
        <v>3000</v>
      </c>
      <c r="Z559" s="61" t="n">
        <f aca="false">IF(AND(V559=1,ISNUMBER(R559)),I559,0)</f>
        <v>0</v>
      </c>
    </row>
    <row r="560" customFormat="false" ht="15" hidden="false" customHeight="false" outlineLevel="0" collapsed="false">
      <c r="A560" s="47" t="s">
        <v>1002</v>
      </c>
      <c r="B560" s="52" t="n">
        <v>45905</v>
      </c>
      <c r="C560" s="53" t="n">
        <f aca="false">DATE(YEAR(B560),MONTH(B560),1)</f>
        <v>45901</v>
      </c>
      <c r="D560" s="5" t="str">
        <f aca="false">YEAR(B560)&amp;"Q"&amp;ROUNDUP(MONTH(B560)/3,0)</f>
        <v>2025Q3</v>
      </c>
      <c r="E560" s="47" t="s">
        <v>365</v>
      </c>
      <c r="F560" s="54" t="s">
        <v>139</v>
      </c>
      <c r="G560" s="47" t="s">
        <v>366</v>
      </c>
      <c r="H560" s="47" t="s">
        <v>1005</v>
      </c>
      <c r="I560" s="55" t="n">
        <v>100</v>
      </c>
      <c r="J560" s="56" t="n">
        <v>10</v>
      </c>
      <c r="K560" s="54" t="s">
        <v>153</v>
      </c>
      <c r="N560" s="47" t="s">
        <v>143</v>
      </c>
      <c r="O560" s="47" t="s">
        <v>909</v>
      </c>
      <c r="P560" s="47"/>
      <c r="Q560" s="48" t="n">
        <f aca="false">IF($J560="","",IFERROR(IF($J560&lt;=1,INDEX(VN_국채일별!$B$4:$B$1436,MATCH($B560,VN_국채일별!$A$4:$A$1436,1)),IF($J560&lt;=2,INDEX(VN_국채일별!$B$4:$B$1436,MATCH($B560,VN_국채일별!$A$4:$A$1436,1))+(INDEX(VN_국채일별!$C$4:$C$1436,MATCH($B560,VN_국채일별!$A$4:$A$1436,1))-INDEX(VN_국채일별!$B$4:$B$1436,MATCH($B560,VN_국채일별!$A$4:$A$1436,1)))*($J560-1),IF($J560&lt;=3,INDEX(VN_국채일별!$C$4:$C$1436,MATCH($B560,VN_국채일별!$A$4:$A$1436,1))+(INDEX(VN_국채일별!$D$4:$D$1436,MATCH($B560,VN_국채일별!$A$4:$A$1436,1))-INDEX(VN_국채일별!$C$4:$C$1436,MATCH($B560,VN_국채일별!$A$4:$A$1436,1)))*($J560-2),IF($J560&lt;=5,INDEX(VN_국채일별!$D$4:$D$1436,MATCH($B560,VN_국채일별!$A$4:$A$1436,1))+(INDEX(VN_국채일별!$E$4:$E$1436,MATCH($B560,VN_국채일별!$A$4:$A$1436,1))-INDEX(VN_국채일별!$D$4:$D$1436,MATCH($B560,VN_국채일별!$A$4:$A$1436,1)))*($J560-3)/2,IF($J560&lt;=7,INDEX(VN_국채일별!$E$4:$E$1436,MATCH($B560,VN_국채일별!$A$4:$A$1436,1))+(INDEX(VN_국채일별!$F$4:$F$1436,MATCH($B560,VN_국채일별!$A$4:$A$1436,1))-INDEX(VN_국채일별!$E$4:$E$1436,MATCH($B560,VN_국채일별!$A$4:$A$1436,1)))*($J560-5)/2,IF($J560&lt;=10,INDEX(VN_국채일별!$F$4:$F$1436,MATCH($B560,VN_국채일별!$A$4:$A$1436,1))+(INDEX(VN_국채일별!$G$4:$G$1436,MATCH($B560,VN_국채일별!$A$4:$A$1436,1))-INDEX(VN_국채일별!$F$4:$F$1436,MATCH($B560,VN_국채일별!$A$4:$A$1436,1)))*($J560-7)/3,INDEX(VN_국채일별!$G$4:$G$1436,MATCH($B560,VN_국채일별!$A$4:$A$1436,1)))))))),""))</f>
        <v>0.03664</v>
      </c>
      <c r="R560" s="58" t="str">
        <f aca="false">IF(OR(L560="",Q560=""),"",(L560-Q560)*10000)</f>
        <v/>
      </c>
      <c r="S560" s="30" t="n">
        <f aca="false">IF(AND(K560="고정",N560="N",J560&gt;=2,J560&lt;=4,I560&lt;&gt;""),1,0)</f>
        <v>0</v>
      </c>
      <c r="T560" s="59" t="n">
        <f aca="false">IF(S560=1,I560*L560,0)</f>
        <v>0</v>
      </c>
      <c r="U560" s="60" t="n">
        <f aca="false">IF(AND(S560=1,ISNUMBER(R560)),I560*R560,0)</f>
        <v>0</v>
      </c>
      <c r="V560" s="30" t="n">
        <f aca="false">IF(AND(F560="Big4(국영)",K560="고정",N560="N",I560&lt;&gt;""),1,0)</f>
        <v>0</v>
      </c>
      <c r="W560" s="59" t="n">
        <f aca="false">IF(V560=1,I560*L560,0)</f>
        <v>0</v>
      </c>
      <c r="X560" s="60" t="n">
        <f aca="false">IF(AND(V560=1,ISNUMBER(R560)),I560*R560,0)</f>
        <v>0</v>
      </c>
      <c r="Y560" s="61" t="n">
        <f aca="false">IF(AND(S560=1,ISNUMBER(R560)),I560,0)</f>
        <v>0</v>
      </c>
      <c r="Z560" s="61" t="n">
        <f aca="false">IF(AND(V560=1,ISNUMBER(R560)),I560,0)</f>
        <v>0</v>
      </c>
    </row>
    <row r="561" customFormat="false" ht="15" hidden="false" customHeight="false" outlineLevel="0" collapsed="false">
      <c r="A561" s="47" t="s">
        <v>1002</v>
      </c>
      <c r="B561" s="52" t="n">
        <v>45908</v>
      </c>
      <c r="C561" s="53" t="n">
        <f aca="false">DATE(YEAR(B561),MONTH(B561),1)</f>
        <v>45901</v>
      </c>
      <c r="D561" s="5" t="str">
        <f aca="false">YEAR(B561)&amp;"Q"&amp;ROUNDUP(MONTH(B561)/3,0)</f>
        <v>2025Q3</v>
      </c>
      <c r="E561" s="47" t="s">
        <v>160</v>
      </c>
      <c r="F561" s="54" t="s">
        <v>139</v>
      </c>
      <c r="G561" s="47" t="s">
        <v>161</v>
      </c>
      <c r="H561" s="47" t="s">
        <v>1006</v>
      </c>
      <c r="I561" s="55" t="n">
        <v>3000</v>
      </c>
      <c r="J561" s="56" t="n">
        <v>3</v>
      </c>
      <c r="K561" s="54" t="s">
        <v>142</v>
      </c>
      <c r="L561" s="57" t="n">
        <v>0.056</v>
      </c>
      <c r="N561" s="47" t="s">
        <v>148</v>
      </c>
      <c r="O561" s="47" t="s">
        <v>660</v>
      </c>
      <c r="P561" s="47"/>
      <c r="Q561" s="48" t="n">
        <f aca="false">IF($J561="","",IFERROR(IF($J561&lt;=1,INDEX(VN_국채일별!$B$4:$B$1436,MATCH($B561,VN_국채일별!$A$4:$A$1436,1)),IF($J561&lt;=2,INDEX(VN_국채일별!$B$4:$B$1436,MATCH($B561,VN_국채일별!$A$4:$A$1436,1))+(INDEX(VN_국채일별!$C$4:$C$1436,MATCH($B561,VN_국채일별!$A$4:$A$1436,1))-INDEX(VN_국채일별!$B$4:$B$1436,MATCH($B561,VN_국채일별!$A$4:$A$1436,1)))*($J561-1),IF($J561&lt;=3,INDEX(VN_국채일별!$C$4:$C$1436,MATCH($B561,VN_국채일별!$A$4:$A$1436,1))+(INDEX(VN_국채일별!$D$4:$D$1436,MATCH($B561,VN_국채일별!$A$4:$A$1436,1))-INDEX(VN_국채일별!$C$4:$C$1436,MATCH($B561,VN_국채일별!$A$4:$A$1436,1)))*($J561-2),IF($J561&lt;=5,INDEX(VN_국채일별!$D$4:$D$1436,MATCH($B561,VN_국채일별!$A$4:$A$1436,1))+(INDEX(VN_국채일별!$E$4:$E$1436,MATCH($B561,VN_국채일별!$A$4:$A$1436,1))-INDEX(VN_국채일별!$D$4:$D$1436,MATCH($B561,VN_국채일별!$A$4:$A$1436,1)))*($J561-3)/2,IF($J561&lt;=7,INDEX(VN_국채일별!$E$4:$E$1436,MATCH($B561,VN_국채일별!$A$4:$A$1436,1))+(INDEX(VN_국채일별!$F$4:$F$1436,MATCH($B561,VN_국채일별!$A$4:$A$1436,1))-INDEX(VN_국채일별!$E$4:$E$1436,MATCH($B561,VN_국채일별!$A$4:$A$1436,1)))*($J561-5)/2,IF($J561&lt;=10,INDEX(VN_국채일별!$F$4:$F$1436,MATCH($B561,VN_국채일별!$A$4:$A$1436,1))+(INDEX(VN_국채일별!$G$4:$G$1436,MATCH($B561,VN_국채일별!$A$4:$A$1436,1))-INDEX(VN_국채일별!$F$4:$F$1436,MATCH($B561,VN_국채일별!$A$4:$A$1436,1)))*($J561-7)/3,INDEX(VN_국채일별!$G$4:$G$1436,MATCH($B561,VN_국채일별!$A$4:$A$1436,1)))))))),""))</f>
        <v>0.02923</v>
      </c>
      <c r="R561" s="58" t="n">
        <f aca="false">IF(OR(L561="",Q561=""),"",(L561-Q561)*10000)</f>
        <v>267.7</v>
      </c>
      <c r="S561" s="30" t="n">
        <f aca="false">IF(AND(K561="고정",N561="N",J561&gt;=2,J561&lt;=4,I561&lt;&gt;""),1,0)</f>
        <v>1</v>
      </c>
      <c r="T561" s="59" t="n">
        <f aca="false">IF(S561=1,I561*L561,0)</f>
        <v>168</v>
      </c>
      <c r="U561" s="60" t="n">
        <f aca="false">IF(AND(S561=1,ISNUMBER(R561)),I561*R561,0)</f>
        <v>803100</v>
      </c>
      <c r="V561" s="30" t="n">
        <f aca="false">IF(AND(F561="Big4(국영)",K561="고정",N561="N",I561&lt;&gt;""),1,0)</f>
        <v>0</v>
      </c>
      <c r="W561" s="59" t="n">
        <f aca="false">IF(V561=1,I561*L561,0)</f>
        <v>0</v>
      </c>
      <c r="X561" s="60" t="n">
        <f aca="false">IF(AND(V561=1,ISNUMBER(R561)),I561*R561,0)</f>
        <v>0</v>
      </c>
      <c r="Y561" s="61" t="n">
        <f aca="false">IF(AND(S561=1,ISNUMBER(R561)),I561,0)</f>
        <v>3000</v>
      </c>
      <c r="Z561" s="61" t="n">
        <f aca="false">IF(AND(V561=1,ISNUMBER(R561)),I561,0)</f>
        <v>0</v>
      </c>
    </row>
    <row r="562" customFormat="false" ht="15" hidden="false" customHeight="false" outlineLevel="0" collapsed="false">
      <c r="A562" s="47" t="s">
        <v>1002</v>
      </c>
      <c r="B562" s="52" t="n">
        <v>45908</v>
      </c>
      <c r="C562" s="53" t="n">
        <f aca="false">DATE(YEAR(B562),MONTH(B562),1)</f>
        <v>45901</v>
      </c>
      <c r="D562" s="5" t="str">
        <f aca="false">YEAR(B562)&amp;"Q"&amp;ROUNDUP(MONTH(B562)/3,0)</f>
        <v>2025Q3</v>
      </c>
      <c r="E562" s="47" t="s">
        <v>365</v>
      </c>
      <c r="F562" s="54" t="s">
        <v>139</v>
      </c>
      <c r="G562" s="47" t="s">
        <v>366</v>
      </c>
      <c r="H562" s="47" t="s">
        <v>1007</v>
      </c>
      <c r="I562" s="55" t="n">
        <v>50</v>
      </c>
      <c r="J562" s="56" t="n">
        <v>10</v>
      </c>
      <c r="K562" s="54" t="s">
        <v>153</v>
      </c>
      <c r="N562" s="47" t="s">
        <v>143</v>
      </c>
      <c r="O562" s="47" t="s">
        <v>890</v>
      </c>
      <c r="P562" s="47"/>
      <c r="Q562" s="48" t="n">
        <f aca="false">IF($J562="","",IFERROR(IF($J562&lt;=1,INDEX(VN_국채일별!$B$4:$B$1436,MATCH($B562,VN_국채일별!$A$4:$A$1436,1)),IF($J562&lt;=2,INDEX(VN_국채일별!$B$4:$B$1436,MATCH($B562,VN_국채일별!$A$4:$A$1436,1))+(INDEX(VN_국채일별!$C$4:$C$1436,MATCH($B562,VN_국채일별!$A$4:$A$1436,1))-INDEX(VN_국채일별!$B$4:$B$1436,MATCH($B562,VN_국채일별!$A$4:$A$1436,1)))*($J562-1),IF($J562&lt;=3,INDEX(VN_국채일별!$C$4:$C$1436,MATCH($B562,VN_국채일별!$A$4:$A$1436,1))+(INDEX(VN_국채일별!$D$4:$D$1436,MATCH($B562,VN_국채일별!$A$4:$A$1436,1))-INDEX(VN_국채일별!$C$4:$C$1436,MATCH($B562,VN_국채일별!$A$4:$A$1436,1)))*($J562-2),IF($J562&lt;=5,INDEX(VN_국채일별!$D$4:$D$1436,MATCH($B562,VN_국채일별!$A$4:$A$1436,1))+(INDEX(VN_국채일별!$E$4:$E$1436,MATCH($B562,VN_국채일별!$A$4:$A$1436,1))-INDEX(VN_국채일별!$D$4:$D$1436,MATCH($B562,VN_국채일별!$A$4:$A$1436,1)))*($J562-3)/2,IF($J562&lt;=7,INDEX(VN_국채일별!$E$4:$E$1436,MATCH($B562,VN_국채일별!$A$4:$A$1436,1))+(INDEX(VN_국채일별!$F$4:$F$1436,MATCH($B562,VN_국채일별!$A$4:$A$1436,1))-INDEX(VN_국채일별!$E$4:$E$1436,MATCH($B562,VN_국채일별!$A$4:$A$1436,1)))*($J562-5)/2,IF($J562&lt;=10,INDEX(VN_국채일별!$F$4:$F$1436,MATCH($B562,VN_국채일별!$A$4:$A$1436,1))+(INDEX(VN_국채일별!$G$4:$G$1436,MATCH($B562,VN_국채일별!$A$4:$A$1436,1))-INDEX(VN_국채일별!$F$4:$F$1436,MATCH($B562,VN_국채일별!$A$4:$A$1436,1)))*($J562-7)/3,INDEX(VN_국채일별!$G$4:$G$1436,MATCH($B562,VN_국채일별!$A$4:$A$1436,1)))))))),""))</f>
        <v>0.03664</v>
      </c>
      <c r="R562" s="58" t="str">
        <f aca="false">IF(OR(L562="",Q562=""),"",(L562-Q562)*10000)</f>
        <v/>
      </c>
      <c r="S562" s="30" t="n">
        <f aca="false">IF(AND(K562="고정",N562="N",J562&gt;=2,J562&lt;=4,I562&lt;&gt;""),1,0)</f>
        <v>0</v>
      </c>
      <c r="T562" s="59" t="n">
        <f aca="false">IF(S562=1,I562*L562,0)</f>
        <v>0</v>
      </c>
      <c r="U562" s="60" t="n">
        <f aca="false">IF(AND(S562=1,ISNUMBER(R562)),I562*R562,0)</f>
        <v>0</v>
      </c>
      <c r="V562" s="30" t="n">
        <f aca="false">IF(AND(F562="Big4(국영)",K562="고정",N562="N",I562&lt;&gt;""),1,0)</f>
        <v>0</v>
      </c>
      <c r="W562" s="59" t="n">
        <f aca="false">IF(V562=1,I562*L562,0)</f>
        <v>0</v>
      </c>
      <c r="X562" s="60" t="n">
        <f aca="false">IF(AND(V562=1,ISNUMBER(R562)),I562*R562,0)</f>
        <v>0</v>
      </c>
      <c r="Y562" s="61" t="n">
        <f aca="false">IF(AND(S562=1,ISNUMBER(R562)),I562,0)</f>
        <v>0</v>
      </c>
      <c r="Z562" s="61" t="n">
        <f aca="false">IF(AND(V562=1,ISNUMBER(R562)),I562,0)</f>
        <v>0</v>
      </c>
    </row>
    <row r="563" customFormat="false" ht="15" hidden="false" customHeight="false" outlineLevel="0" collapsed="false">
      <c r="A563" s="47" t="s">
        <v>1002</v>
      </c>
      <c r="B563" s="52" t="n">
        <v>45909</v>
      </c>
      <c r="C563" s="53" t="n">
        <f aca="false">DATE(YEAR(B563),MONTH(B563),1)</f>
        <v>45901</v>
      </c>
      <c r="D563" s="5" t="str">
        <f aca="false">YEAR(B563)&amp;"Q"&amp;ROUNDUP(MONTH(B563)/3,0)</f>
        <v>2025Q3</v>
      </c>
      <c r="E563" s="47" t="s">
        <v>365</v>
      </c>
      <c r="F563" s="54" t="s">
        <v>139</v>
      </c>
      <c r="G563" s="47" t="s">
        <v>366</v>
      </c>
      <c r="H563" s="47" t="s">
        <v>1008</v>
      </c>
      <c r="I563" s="55" t="n">
        <v>101.8</v>
      </c>
      <c r="J563" s="56" t="n">
        <v>10</v>
      </c>
      <c r="K563" s="54" t="s">
        <v>153</v>
      </c>
      <c r="N563" s="47" t="s">
        <v>143</v>
      </c>
      <c r="O563" s="47" t="s">
        <v>890</v>
      </c>
      <c r="P563" s="47"/>
      <c r="Q563" s="48" t="n">
        <f aca="false">IF($J563="","",IFERROR(IF($J563&lt;=1,INDEX(VN_국채일별!$B$4:$B$1436,MATCH($B563,VN_국채일별!$A$4:$A$1436,1)),IF($J563&lt;=2,INDEX(VN_국채일별!$B$4:$B$1436,MATCH($B563,VN_국채일별!$A$4:$A$1436,1))+(INDEX(VN_국채일별!$C$4:$C$1436,MATCH($B563,VN_국채일별!$A$4:$A$1436,1))-INDEX(VN_국채일별!$B$4:$B$1436,MATCH($B563,VN_국채일별!$A$4:$A$1436,1)))*($J563-1),IF($J563&lt;=3,INDEX(VN_국채일별!$C$4:$C$1436,MATCH($B563,VN_국채일별!$A$4:$A$1436,1))+(INDEX(VN_국채일별!$D$4:$D$1436,MATCH($B563,VN_국채일별!$A$4:$A$1436,1))-INDEX(VN_국채일별!$C$4:$C$1436,MATCH($B563,VN_국채일별!$A$4:$A$1436,1)))*($J563-2),IF($J563&lt;=5,INDEX(VN_국채일별!$D$4:$D$1436,MATCH($B563,VN_국채일별!$A$4:$A$1436,1))+(INDEX(VN_국채일별!$E$4:$E$1436,MATCH($B563,VN_국채일별!$A$4:$A$1436,1))-INDEX(VN_국채일별!$D$4:$D$1436,MATCH($B563,VN_국채일별!$A$4:$A$1436,1)))*($J563-3)/2,IF($J563&lt;=7,INDEX(VN_국채일별!$E$4:$E$1436,MATCH($B563,VN_국채일별!$A$4:$A$1436,1))+(INDEX(VN_국채일별!$F$4:$F$1436,MATCH($B563,VN_국채일별!$A$4:$A$1436,1))-INDEX(VN_국채일별!$E$4:$E$1436,MATCH($B563,VN_국채일별!$A$4:$A$1436,1)))*($J563-5)/2,IF($J563&lt;=10,INDEX(VN_국채일별!$F$4:$F$1436,MATCH($B563,VN_국채일별!$A$4:$A$1436,1))+(INDEX(VN_국채일별!$G$4:$G$1436,MATCH($B563,VN_국채일별!$A$4:$A$1436,1))-INDEX(VN_국채일별!$F$4:$F$1436,MATCH($B563,VN_국채일별!$A$4:$A$1436,1)))*($J563-7)/3,INDEX(VN_국채일별!$G$4:$G$1436,MATCH($B563,VN_국채일별!$A$4:$A$1436,1)))))))),""))</f>
        <v>0.0367</v>
      </c>
      <c r="R563" s="58" t="str">
        <f aca="false">IF(OR(L563="",Q563=""),"",(L563-Q563)*10000)</f>
        <v/>
      </c>
      <c r="S563" s="30" t="n">
        <f aca="false">IF(AND(K563="고정",N563="N",J563&gt;=2,J563&lt;=4,I563&lt;&gt;""),1,0)</f>
        <v>0</v>
      </c>
      <c r="T563" s="59" t="n">
        <f aca="false">IF(S563=1,I563*L563,0)</f>
        <v>0</v>
      </c>
      <c r="U563" s="60" t="n">
        <f aca="false">IF(AND(S563=1,ISNUMBER(R563)),I563*R563,0)</f>
        <v>0</v>
      </c>
      <c r="V563" s="30" t="n">
        <f aca="false">IF(AND(F563="Big4(국영)",K563="고정",N563="N",I563&lt;&gt;""),1,0)</f>
        <v>0</v>
      </c>
      <c r="W563" s="59" t="n">
        <f aca="false">IF(V563=1,I563*L563,0)</f>
        <v>0</v>
      </c>
      <c r="X563" s="60" t="n">
        <f aca="false">IF(AND(V563=1,ISNUMBER(R563)),I563*R563,0)</f>
        <v>0</v>
      </c>
      <c r="Y563" s="61" t="n">
        <f aca="false">IF(AND(S563=1,ISNUMBER(R563)),I563,0)</f>
        <v>0</v>
      </c>
      <c r="Z563" s="61" t="n">
        <f aca="false">IF(AND(V563=1,ISNUMBER(R563)),I563,0)</f>
        <v>0</v>
      </c>
    </row>
    <row r="564" customFormat="false" ht="15" hidden="false" customHeight="false" outlineLevel="0" collapsed="false">
      <c r="A564" s="47" t="s">
        <v>1002</v>
      </c>
      <c r="B564" s="52" t="n">
        <v>45909</v>
      </c>
      <c r="C564" s="53" t="n">
        <f aca="false">DATE(YEAR(B564),MONTH(B564),1)</f>
        <v>45901</v>
      </c>
      <c r="D564" s="5" t="str">
        <f aca="false">YEAR(B564)&amp;"Q"&amp;ROUNDUP(MONTH(B564)/3,0)</f>
        <v>2025Q3</v>
      </c>
      <c r="E564" s="47" t="s">
        <v>254</v>
      </c>
      <c r="F564" s="54" t="s">
        <v>139</v>
      </c>
      <c r="G564" s="47" t="s">
        <v>339</v>
      </c>
      <c r="H564" s="47" t="s">
        <v>1009</v>
      </c>
      <c r="I564" s="55" t="n">
        <v>3000</v>
      </c>
      <c r="J564" s="56" t="n">
        <v>2</v>
      </c>
      <c r="K564" s="54" t="s">
        <v>142</v>
      </c>
      <c r="L564" s="57" t="n">
        <v>0.0585</v>
      </c>
      <c r="N564" s="47" t="s">
        <v>148</v>
      </c>
      <c r="O564" s="47" t="s">
        <v>1004</v>
      </c>
      <c r="P564" s="47"/>
      <c r="Q564" s="48" t="n">
        <f aca="false">IF($J564="","",IFERROR(IF($J564&lt;=1,INDEX(VN_국채일별!$B$4:$B$1436,MATCH($B564,VN_국채일별!$A$4:$A$1436,1)),IF($J564&lt;=2,INDEX(VN_국채일별!$B$4:$B$1436,MATCH($B564,VN_국채일별!$A$4:$A$1436,1))+(INDEX(VN_국채일별!$C$4:$C$1436,MATCH($B564,VN_국채일별!$A$4:$A$1436,1))-INDEX(VN_국채일별!$B$4:$B$1436,MATCH($B564,VN_국채일별!$A$4:$A$1436,1)))*($J564-1),IF($J564&lt;=3,INDEX(VN_국채일별!$C$4:$C$1436,MATCH($B564,VN_국채일별!$A$4:$A$1436,1))+(INDEX(VN_국채일별!$D$4:$D$1436,MATCH($B564,VN_국채일별!$A$4:$A$1436,1))-INDEX(VN_국채일별!$C$4:$C$1436,MATCH($B564,VN_국채일별!$A$4:$A$1436,1)))*($J564-2),IF($J564&lt;=5,INDEX(VN_국채일별!$D$4:$D$1436,MATCH($B564,VN_국채일별!$A$4:$A$1436,1))+(INDEX(VN_국채일별!$E$4:$E$1436,MATCH($B564,VN_국채일별!$A$4:$A$1436,1))-INDEX(VN_국채일별!$D$4:$D$1436,MATCH($B564,VN_국채일별!$A$4:$A$1436,1)))*($J564-3)/2,IF($J564&lt;=7,INDEX(VN_국채일별!$E$4:$E$1436,MATCH($B564,VN_국채일별!$A$4:$A$1436,1))+(INDEX(VN_국채일별!$F$4:$F$1436,MATCH($B564,VN_국채일별!$A$4:$A$1436,1))-INDEX(VN_국채일별!$E$4:$E$1436,MATCH($B564,VN_국채일별!$A$4:$A$1436,1)))*($J564-5)/2,IF($J564&lt;=10,INDEX(VN_국채일별!$F$4:$F$1436,MATCH($B564,VN_국채일별!$A$4:$A$1436,1))+(INDEX(VN_국채일별!$G$4:$G$1436,MATCH($B564,VN_국채일별!$A$4:$A$1436,1))-INDEX(VN_국채일별!$F$4:$F$1436,MATCH($B564,VN_국채일별!$A$4:$A$1436,1)))*($J564-7)/3,INDEX(VN_국채일별!$G$4:$G$1436,MATCH($B564,VN_국채일별!$A$4:$A$1436,1)))))))),""))</f>
        <v>0.02855</v>
      </c>
      <c r="R564" s="58" t="n">
        <f aca="false">IF(OR(L564="",Q564=""),"",(L564-Q564)*10000)</f>
        <v>299.5</v>
      </c>
      <c r="S564" s="30" t="n">
        <f aca="false">IF(AND(K564="고정",N564="N",J564&gt;=2,J564&lt;=4,I564&lt;&gt;""),1,0)</f>
        <v>1</v>
      </c>
      <c r="T564" s="59" t="n">
        <f aca="false">IF(S564=1,I564*L564,0)</f>
        <v>175.5</v>
      </c>
      <c r="U564" s="60" t="n">
        <f aca="false">IF(AND(S564=1,ISNUMBER(R564)),I564*R564,0)</f>
        <v>898500</v>
      </c>
      <c r="V564" s="30" t="n">
        <f aca="false">IF(AND(F564="Big4(국영)",K564="고정",N564="N",I564&lt;&gt;""),1,0)</f>
        <v>0</v>
      </c>
      <c r="W564" s="59" t="n">
        <f aca="false">IF(V564=1,I564*L564,0)</f>
        <v>0</v>
      </c>
      <c r="X564" s="60" t="n">
        <f aca="false">IF(AND(V564=1,ISNUMBER(R564)),I564*R564,0)</f>
        <v>0</v>
      </c>
      <c r="Y564" s="61" t="n">
        <f aca="false">IF(AND(S564=1,ISNUMBER(R564)),I564,0)</f>
        <v>3000</v>
      </c>
      <c r="Z564" s="61" t="n">
        <f aca="false">IF(AND(V564=1,ISNUMBER(R564)),I564,0)</f>
        <v>0</v>
      </c>
    </row>
    <row r="565" customFormat="false" ht="15" hidden="false" customHeight="false" outlineLevel="0" collapsed="false">
      <c r="A565" s="47" t="s">
        <v>1002</v>
      </c>
      <c r="B565" s="52" t="n">
        <v>45910</v>
      </c>
      <c r="C565" s="53" t="n">
        <f aca="false">DATE(YEAR(B565),MONTH(B565),1)</f>
        <v>45901</v>
      </c>
      <c r="D565" s="5" t="str">
        <f aca="false">YEAR(B565)&amp;"Q"&amp;ROUNDUP(MONTH(B565)/3,0)</f>
        <v>2025Q3</v>
      </c>
      <c r="E565" s="62" t="s">
        <v>155</v>
      </c>
      <c r="F565" s="62" t="s">
        <v>156</v>
      </c>
      <c r="G565" s="47" t="s">
        <v>157</v>
      </c>
      <c r="H565" s="47" t="s">
        <v>1010</v>
      </c>
      <c r="I565" s="55" t="n">
        <v>415</v>
      </c>
      <c r="J565" s="56" t="n">
        <v>7</v>
      </c>
      <c r="K565" s="54" t="s">
        <v>153</v>
      </c>
      <c r="N565" s="47" t="s">
        <v>143</v>
      </c>
      <c r="O565" s="47" t="s">
        <v>872</v>
      </c>
      <c r="P565" s="47"/>
      <c r="Q565" s="48" t="n">
        <f aca="false">IF($J565="","",IFERROR(IF($J565&lt;=1,INDEX(VN_국채일별!$B$4:$B$1436,MATCH($B565,VN_국채일별!$A$4:$A$1436,1)),IF($J565&lt;=2,INDEX(VN_국채일별!$B$4:$B$1436,MATCH($B565,VN_국채일별!$A$4:$A$1436,1))+(INDEX(VN_국채일별!$C$4:$C$1436,MATCH($B565,VN_국채일별!$A$4:$A$1436,1))-INDEX(VN_국채일별!$B$4:$B$1436,MATCH($B565,VN_국채일별!$A$4:$A$1436,1)))*($J565-1),IF($J565&lt;=3,INDEX(VN_국채일별!$C$4:$C$1436,MATCH($B565,VN_국채일별!$A$4:$A$1436,1))+(INDEX(VN_국채일별!$D$4:$D$1436,MATCH($B565,VN_국채일별!$A$4:$A$1436,1))-INDEX(VN_국채일별!$C$4:$C$1436,MATCH($B565,VN_국채일별!$A$4:$A$1436,1)))*($J565-2),IF($J565&lt;=5,INDEX(VN_국채일별!$D$4:$D$1436,MATCH($B565,VN_국채일별!$A$4:$A$1436,1))+(INDEX(VN_국채일별!$E$4:$E$1436,MATCH($B565,VN_국채일별!$A$4:$A$1436,1))-INDEX(VN_국채일별!$D$4:$D$1436,MATCH($B565,VN_국채일별!$A$4:$A$1436,1)))*($J565-3)/2,IF($J565&lt;=7,INDEX(VN_국채일별!$E$4:$E$1436,MATCH($B565,VN_국채일별!$A$4:$A$1436,1))+(INDEX(VN_국채일별!$F$4:$F$1436,MATCH($B565,VN_국채일별!$A$4:$A$1436,1))-INDEX(VN_국채일별!$E$4:$E$1436,MATCH($B565,VN_국채일별!$A$4:$A$1436,1)))*($J565-5)/2,IF($J565&lt;=10,INDEX(VN_국채일별!$F$4:$F$1436,MATCH($B565,VN_국채일별!$A$4:$A$1436,1))+(INDEX(VN_국채일별!$G$4:$G$1436,MATCH($B565,VN_국채일별!$A$4:$A$1436,1))-INDEX(VN_국채일별!$F$4:$F$1436,MATCH($B565,VN_국채일별!$A$4:$A$1436,1)))*($J565-7)/3,INDEX(VN_국채일별!$G$4:$G$1436,MATCH($B565,VN_국채일별!$A$4:$A$1436,1)))))))),""))</f>
        <v>0.03493</v>
      </c>
      <c r="R565" s="58" t="str">
        <f aca="false">IF(OR(L565="",Q565=""),"",(L565-Q565)*10000)</f>
        <v/>
      </c>
      <c r="S565" s="30" t="n">
        <f aca="false">IF(AND(K565="고정",N565="N",J565&gt;=2,J565&lt;=4,I565&lt;&gt;""),1,0)</f>
        <v>0</v>
      </c>
      <c r="T565" s="59" t="n">
        <f aca="false">IF(S565=1,I565*L565,0)</f>
        <v>0</v>
      </c>
      <c r="U565" s="60" t="n">
        <f aca="false">IF(AND(S565=1,ISNUMBER(R565)),I565*R565,0)</f>
        <v>0</v>
      </c>
      <c r="V565" s="30" t="n">
        <f aca="false">IF(AND(F565="Big4(국영)",K565="고정",N565="N",I565&lt;&gt;""),1,0)</f>
        <v>0</v>
      </c>
      <c r="W565" s="59" t="n">
        <f aca="false">IF(V565=1,I565*L565,0)</f>
        <v>0</v>
      </c>
      <c r="X565" s="60" t="n">
        <f aca="false">IF(AND(V565=1,ISNUMBER(R565)),I565*R565,0)</f>
        <v>0</v>
      </c>
      <c r="Y565" s="61" t="n">
        <f aca="false">IF(AND(S565=1,ISNUMBER(R565)),I565,0)</f>
        <v>0</v>
      </c>
      <c r="Z565" s="61" t="n">
        <f aca="false">IF(AND(V565=1,ISNUMBER(R565)),I565,0)</f>
        <v>0</v>
      </c>
    </row>
    <row r="566" customFormat="false" ht="15" hidden="false" customHeight="false" outlineLevel="0" collapsed="false">
      <c r="A566" s="47" t="s">
        <v>1002</v>
      </c>
      <c r="B566" s="52" t="n">
        <v>45910</v>
      </c>
      <c r="C566" s="53" t="n">
        <f aca="false">DATE(YEAR(B566),MONTH(B566),1)</f>
        <v>45901</v>
      </c>
      <c r="D566" s="5" t="str">
        <f aca="false">YEAR(B566)&amp;"Q"&amp;ROUNDUP(MONTH(B566)/3,0)</f>
        <v>2025Q3</v>
      </c>
      <c r="E566" s="47" t="s">
        <v>242</v>
      </c>
      <c r="F566" s="54" t="s">
        <v>139</v>
      </c>
      <c r="G566" s="47" t="s">
        <v>724</v>
      </c>
      <c r="H566" s="47" t="s">
        <v>1011</v>
      </c>
      <c r="I566" s="55" t="n">
        <v>1500</v>
      </c>
      <c r="J566" s="56" t="n">
        <v>3</v>
      </c>
      <c r="K566" s="54" t="s">
        <v>142</v>
      </c>
      <c r="L566" s="57" t="n">
        <v>0.059</v>
      </c>
      <c r="N566" s="47" t="s">
        <v>148</v>
      </c>
      <c r="O566" s="47" t="s">
        <v>857</v>
      </c>
      <c r="P566" s="47"/>
      <c r="Q566" s="48" t="n">
        <f aca="false">IF($J566="","",IFERROR(IF($J566&lt;=1,INDEX(VN_국채일별!$B$4:$B$1436,MATCH($B566,VN_국채일별!$A$4:$A$1436,1)),IF($J566&lt;=2,INDEX(VN_국채일별!$B$4:$B$1436,MATCH($B566,VN_국채일별!$A$4:$A$1436,1))+(INDEX(VN_국채일별!$C$4:$C$1436,MATCH($B566,VN_국채일별!$A$4:$A$1436,1))-INDEX(VN_국채일별!$B$4:$B$1436,MATCH($B566,VN_국채일별!$A$4:$A$1436,1)))*($J566-1),IF($J566&lt;=3,INDEX(VN_국채일별!$C$4:$C$1436,MATCH($B566,VN_국채일별!$A$4:$A$1436,1))+(INDEX(VN_국채일별!$D$4:$D$1436,MATCH($B566,VN_국채일별!$A$4:$A$1436,1))-INDEX(VN_국채일별!$C$4:$C$1436,MATCH($B566,VN_국채일별!$A$4:$A$1436,1)))*($J566-2),IF($J566&lt;=5,INDEX(VN_국채일별!$D$4:$D$1436,MATCH($B566,VN_국채일별!$A$4:$A$1436,1))+(INDEX(VN_국채일별!$E$4:$E$1436,MATCH($B566,VN_국채일별!$A$4:$A$1436,1))-INDEX(VN_국채일별!$D$4:$D$1436,MATCH($B566,VN_국채일별!$A$4:$A$1436,1)))*($J566-3)/2,IF($J566&lt;=7,INDEX(VN_국채일별!$E$4:$E$1436,MATCH($B566,VN_국채일별!$A$4:$A$1436,1))+(INDEX(VN_국채일별!$F$4:$F$1436,MATCH($B566,VN_국채일별!$A$4:$A$1436,1))-INDEX(VN_국채일별!$E$4:$E$1436,MATCH($B566,VN_국채일별!$A$4:$A$1436,1)))*($J566-5)/2,IF($J566&lt;=10,INDEX(VN_국채일별!$F$4:$F$1436,MATCH($B566,VN_국채일별!$A$4:$A$1436,1))+(INDEX(VN_국채일별!$G$4:$G$1436,MATCH($B566,VN_국채일별!$A$4:$A$1436,1))-INDEX(VN_국채일별!$F$4:$F$1436,MATCH($B566,VN_국채일별!$A$4:$A$1436,1)))*($J566-7)/3,INDEX(VN_국채일별!$G$4:$G$1436,MATCH($B566,VN_국채일별!$A$4:$A$1436,1)))))))),""))</f>
        <v>0.02929</v>
      </c>
      <c r="R566" s="58" t="n">
        <f aca="false">IF(OR(L566="",Q566=""),"",(L566-Q566)*10000)</f>
        <v>297.1</v>
      </c>
      <c r="S566" s="30" t="n">
        <f aca="false">IF(AND(K566="고정",N566="N",J566&gt;=2,J566&lt;=4,I566&lt;&gt;""),1,0)</f>
        <v>1</v>
      </c>
      <c r="T566" s="59" t="n">
        <f aca="false">IF(S566=1,I566*L566,0)</f>
        <v>88.5</v>
      </c>
      <c r="U566" s="60" t="n">
        <f aca="false">IF(AND(S566=1,ISNUMBER(R566)),I566*R566,0)</f>
        <v>445650</v>
      </c>
      <c r="V566" s="30" t="n">
        <f aca="false">IF(AND(F566="Big4(국영)",K566="고정",N566="N",I566&lt;&gt;""),1,0)</f>
        <v>0</v>
      </c>
      <c r="W566" s="59" t="n">
        <f aca="false">IF(V566=1,I566*L566,0)</f>
        <v>0</v>
      </c>
      <c r="X566" s="60" t="n">
        <f aca="false">IF(AND(V566=1,ISNUMBER(R566)),I566*R566,0)</f>
        <v>0</v>
      </c>
      <c r="Y566" s="61" t="n">
        <f aca="false">IF(AND(S566=1,ISNUMBER(R566)),I566,0)</f>
        <v>1500</v>
      </c>
      <c r="Z566" s="61" t="n">
        <f aca="false">IF(AND(V566=1,ISNUMBER(R566)),I566,0)</f>
        <v>0</v>
      </c>
    </row>
    <row r="567" customFormat="false" ht="15" hidden="false" customHeight="false" outlineLevel="0" collapsed="false">
      <c r="A567" s="47" t="s">
        <v>1002</v>
      </c>
      <c r="B567" s="52" t="n">
        <v>45912</v>
      </c>
      <c r="C567" s="53" t="n">
        <f aca="false">DATE(YEAR(B567),MONTH(B567),1)</f>
        <v>45901</v>
      </c>
      <c r="D567" s="5" t="str">
        <f aca="false">YEAR(B567)&amp;"Q"&amp;ROUNDUP(MONTH(B567)/3,0)</f>
        <v>2025Q3</v>
      </c>
      <c r="E567" s="47" t="s">
        <v>365</v>
      </c>
      <c r="F567" s="54" t="s">
        <v>139</v>
      </c>
      <c r="G567" s="47" t="s">
        <v>366</v>
      </c>
      <c r="H567" s="47" t="s">
        <v>1012</v>
      </c>
      <c r="I567" s="55" t="n">
        <v>150</v>
      </c>
      <c r="J567" s="56" t="n">
        <v>10</v>
      </c>
      <c r="K567" s="54" t="s">
        <v>153</v>
      </c>
      <c r="N567" s="47" t="s">
        <v>143</v>
      </c>
      <c r="O567" s="47" t="s">
        <v>890</v>
      </c>
      <c r="P567" s="47"/>
      <c r="Q567" s="48" t="n">
        <f aca="false">IF($J567="","",IFERROR(IF($J567&lt;=1,INDEX(VN_국채일별!$B$4:$B$1436,MATCH($B567,VN_국채일별!$A$4:$A$1436,1)),IF($J567&lt;=2,INDEX(VN_국채일별!$B$4:$B$1436,MATCH($B567,VN_국채일별!$A$4:$A$1436,1))+(INDEX(VN_국채일별!$C$4:$C$1436,MATCH($B567,VN_국채일별!$A$4:$A$1436,1))-INDEX(VN_국채일별!$B$4:$B$1436,MATCH($B567,VN_국채일별!$A$4:$A$1436,1)))*($J567-1),IF($J567&lt;=3,INDEX(VN_국채일별!$C$4:$C$1436,MATCH($B567,VN_국채일별!$A$4:$A$1436,1))+(INDEX(VN_국채일별!$D$4:$D$1436,MATCH($B567,VN_국채일별!$A$4:$A$1436,1))-INDEX(VN_국채일별!$C$4:$C$1436,MATCH($B567,VN_국채일별!$A$4:$A$1436,1)))*($J567-2),IF($J567&lt;=5,INDEX(VN_국채일별!$D$4:$D$1436,MATCH($B567,VN_국채일별!$A$4:$A$1436,1))+(INDEX(VN_국채일별!$E$4:$E$1436,MATCH($B567,VN_국채일별!$A$4:$A$1436,1))-INDEX(VN_국채일별!$D$4:$D$1436,MATCH($B567,VN_국채일별!$A$4:$A$1436,1)))*($J567-3)/2,IF($J567&lt;=7,INDEX(VN_국채일별!$E$4:$E$1436,MATCH($B567,VN_국채일별!$A$4:$A$1436,1))+(INDEX(VN_국채일별!$F$4:$F$1436,MATCH($B567,VN_국채일별!$A$4:$A$1436,1))-INDEX(VN_국채일별!$E$4:$E$1436,MATCH($B567,VN_국채일별!$A$4:$A$1436,1)))*($J567-5)/2,IF($J567&lt;=10,INDEX(VN_국채일별!$F$4:$F$1436,MATCH($B567,VN_국채일별!$A$4:$A$1436,1))+(INDEX(VN_국채일별!$G$4:$G$1436,MATCH($B567,VN_국채일별!$A$4:$A$1436,1))-INDEX(VN_국채일별!$F$4:$F$1436,MATCH($B567,VN_국채일별!$A$4:$A$1436,1)))*($J567-7)/3,INDEX(VN_국채일별!$G$4:$G$1436,MATCH($B567,VN_국채일별!$A$4:$A$1436,1)))))))),""))</f>
        <v>0.03695</v>
      </c>
      <c r="R567" s="58" t="str">
        <f aca="false">IF(OR(L567="",Q567=""),"",(L567-Q567)*10000)</f>
        <v/>
      </c>
      <c r="S567" s="30" t="n">
        <f aca="false">IF(AND(K567="고정",N567="N",J567&gt;=2,J567&lt;=4,I567&lt;&gt;""),1,0)</f>
        <v>0</v>
      </c>
      <c r="T567" s="59" t="n">
        <f aca="false">IF(S567=1,I567*L567,0)</f>
        <v>0</v>
      </c>
      <c r="U567" s="60" t="n">
        <f aca="false">IF(AND(S567=1,ISNUMBER(R567)),I567*R567,0)</f>
        <v>0</v>
      </c>
      <c r="V567" s="30" t="n">
        <f aca="false">IF(AND(F567="Big4(국영)",K567="고정",N567="N",I567&lt;&gt;""),1,0)</f>
        <v>0</v>
      </c>
      <c r="W567" s="59" t="n">
        <f aca="false">IF(V567=1,I567*L567,0)</f>
        <v>0</v>
      </c>
      <c r="X567" s="60" t="n">
        <f aca="false">IF(AND(V567=1,ISNUMBER(R567)),I567*R567,0)</f>
        <v>0</v>
      </c>
      <c r="Y567" s="61" t="n">
        <f aca="false">IF(AND(S567=1,ISNUMBER(R567)),I567,0)</f>
        <v>0</v>
      </c>
      <c r="Z567" s="61" t="n">
        <f aca="false">IF(AND(V567=1,ISNUMBER(R567)),I567,0)</f>
        <v>0</v>
      </c>
    </row>
    <row r="568" customFormat="false" ht="15" hidden="false" customHeight="false" outlineLevel="0" collapsed="false">
      <c r="A568" s="47" t="s">
        <v>1002</v>
      </c>
      <c r="B568" s="52" t="n">
        <v>45915</v>
      </c>
      <c r="C568" s="53" t="n">
        <f aca="false">DATE(YEAR(B568),MONTH(B568),1)</f>
        <v>45901</v>
      </c>
      <c r="D568" s="5" t="str">
        <f aca="false">YEAR(B568)&amp;"Q"&amp;ROUNDUP(MONTH(B568)/3,0)</f>
        <v>2025Q3</v>
      </c>
      <c r="E568" s="47" t="s">
        <v>242</v>
      </c>
      <c r="F568" s="54" t="s">
        <v>139</v>
      </c>
      <c r="G568" s="47" t="s">
        <v>724</v>
      </c>
      <c r="H568" s="47" t="s">
        <v>1013</v>
      </c>
      <c r="I568" s="55" t="n">
        <v>1000</v>
      </c>
      <c r="J568" s="56" t="n">
        <v>3</v>
      </c>
      <c r="K568" s="54" t="s">
        <v>142</v>
      </c>
      <c r="L568" s="57" t="n">
        <v>0.058</v>
      </c>
      <c r="N568" s="47" t="s">
        <v>148</v>
      </c>
      <c r="O568" s="47" t="s">
        <v>451</v>
      </c>
      <c r="P568" s="47"/>
      <c r="Q568" s="48" t="n">
        <f aca="false">IF($J568="","",IFERROR(IF($J568&lt;=1,INDEX(VN_국채일별!$B$4:$B$1436,MATCH($B568,VN_국채일별!$A$4:$A$1436,1)),IF($J568&lt;=2,INDEX(VN_국채일별!$B$4:$B$1436,MATCH($B568,VN_국채일별!$A$4:$A$1436,1))+(INDEX(VN_국채일별!$C$4:$C$1436,MATCH($B568,VN_국채일별!$A$4:$A$1436,1))-INDEX(VN_국채일별!$B$4:$B$1436,MATCH($B568,VN_국채일별!$A$4:$A$1436,1)))*($J568-1),IF($J568&lt;=3,INDEX(VN_국채일별!$C$4:$C$1436,MATCH($B568,VN_국채일별!$A$4:$A$1436,1))+(INDEX(VN_국채일별!$D$4:$D$1436,MATCH($B568,VN_국채일별!$A$4:$A$1436,1))-INDEX(VN_국채일별!$C$4:$C$1436,MATCH($B568,VN_국채일별!$A$4:$A$1436,1)))*($J568-2),IF($J568&lt;=5,INDEX(VN_국채일별!$D$4:$D$1436,MATCH($B568,VN_국채일별!$A$4:$A$1436,1))+(INDEX(VN_국채일별!$E$4:$E$1436,MATCH($B568,VN_국채일별!$A$4:$A$1436,1))-INDEX(VN_국채일별!$D$4:$D$1436,MATCH($B568,VN_국채일별!$A$4:$A$1436,1)))*($J568-3)/2,IF($J568&lt;=7,INDEX(VN_국채일별!$E$4:$E$1436,MATCH($B568,VN_국채일별!$A$4:$A$1436,1))+(INDEX(VN_국채일별!$F$4:$F$1436,MATCH($B568,VN_국채일별!$A$4:$A$1436,1))-INDEX(VN_국채일별!$E$4:$E$1436,MATCH($B568,VN_국채일별!$A$4:$A$1436,1)))*($J568-5)/2,IF($J568&lt;=10,INDEX(VN_국채일별!$F$4:$F$1436,MATCH($B568,VN_국채일별!$A$4:$A$1436,1))+(INDEX(VN_국채일별!$G$4:$G$1436,MATCH($B568,VN_국채일별!$A$4:$A$1436,1))-INDEX(VN_국채일별!$F$4:$F$1436,MATCH($B568,VN_국채일별!$A$4:$A$1436,1)))*($J568-7)/3,INDEX(VN_국채일별!$G$4:$G$1436,MATCH($B568,VN_국채일별!$A$4:$A$1436,1)))))))),""))</f>
        <v>0.02932</v>
      </c>
      <c r="R568" s="58" t="n">
        <f aca="false">IF(OR(L568="",Q568=""),"",(L568-Q568)*10000)</f>
        <v>286.8</v>
      </c>
      <c r="S568" s="30" t="n">
        <f aca="false">IF(AND(K568="고정",N568="N",J568&gt;=2,J568&lt;=4,I568&lt;&gt;""),1,0)</f>
        <v>1</v>
      </c>
      <c r="T568" s="59" t="n">
        <f aca="false">IF(S568=1,I568*L568,0)</f>
        <v>58</v>
      </c>
      <c r="U568" s="60" t="n">
        <f aca="false">IF(AND(S568=1,ISNUMBER(R568)),I568*R568,0)</f>
        <v>286800</v>
      </c>
      <c r="V568" s="30" t="n">
        <f aca="false">IF(AND(F568="Big4(국영)",K568="고정",N568="N",I568&lt;&gt;""),1,0)</f>
        <v>0</v>
      </c>
      <c r="W568" s="59" t="n">
        <f aca="false">IF(V568=1,I568*L568,0)</f>
        <v>0</v>
      </c>
      <c r="X568" s="60" t="n">
        <f aca="false">IF(AND(V568=1,ISNUMBER(R568)),I568*R568,0)</f>
        <v>0</v>
      </c>
      <c r="Y568" s="61" t="n">
        <f aca="false">IF(AND(S568=1,ISNUMBER(R568)),I568,0)</f>
        <v>1000</v>
      </c>
      <c r="Z568" s="61" t="n">
        <f aca="false">IF(AND(V568=1,ISNUMBER(R568)),I568,0)</f>
        <v>0</v>
      </c>
    </row>
    <row r="569" customFormat="false" ht="15" hidden="false" customHeight="false" outlineLevel="0" collapsed="false">
      <c r="A569" s="47" t="s">
        <v>1002</v>
      </c>
      <c r="B569" s="52" t="n">
        <v>45915</v>
      </c>
      <c r="C569" s="53" t="n">
        <f aca="false">DATE(YEAR(B569),MONTH(B569),1)</f>
        <v>45901</v>
      </c>
      <c r="D569" s="5" t="str">
        <f aca="false">YEAR(B569)&amp;"Q"&amp;ROUNDUP(MONTH(B569)/3,0)</f>
        <v>2025Q3</v>
      </c>
      <c r="E569" s="47" t="s">
        <v>150</v>
      </c>
      <c r="F569" s="54" t="s">
        <v>139</v>
      </c>
      <c r="G569" s="47" t="s">
        <v>170</v>
      </c>
      <c r="H569" s="47" t="s">
        <v>1014</v>
      </c>
      <c r="I569" s="55" t="n">
        <v>2000</v>
      </c>
      <c r="J569" s="56" t="n">
        <v>3</v>
      </c>
      <c r="K569" s="54" t="s">
        <v>142</v>
      </c>
      <c r="L569" s="57" t="n">
        <v>0.056</v>
      </c>
      <c r="N569" s="47" t="s">
        <v>148</v>
      </c>
      <c r="O569" s="47" t="s">
        <v>660</v>
      </c>
      <c r="P569" s="47"/>
      <c r="Q569" s="48" t="n">
        <f aca="false">IF($J569="","",IFERROR(IF($J569&lt;=1,INDEX(VN_국채일별!$B$4:$B$1436,MATCH($B569,VN_국채일별!$A$4:$A$1436,1)),IF($J569&lt;=2,INDEX(VN_국채일별!$B$4:$B$1436,MATCH($B569,VN_국채일별!$A$4:$A$1436,1))+(INDEX(VN_국채일별!$C$4:$C$1436,MATCH($B569,VN_국채일별!$A$4:$A$1436,1))-INDEX(VN_국채일별!$B$4:$B$1436,MATCH($B569,VN_국채일별!$A$4:$A$1436,1)))*($J569-1),IF($J569&lt;=3,INDEX(VN_국채일별!$C$4:$C$1436,MATCH($B569,VN_국채일별!$A$4:$A$1436,1))+(INDEX(VN_국채일별!$D$4:$D$1436,MATCH($B569,VN_국채일별!$A$4:$A$1436,1))-INDEX(VN_국채일별!$C$4:$C$1436,MATCH($B569,VN_국채일별!$A$4:$A$1436,1)))*($J569-2),IF($J569&lt;=5,INDEX(VN_국채일별!$D$4:$D$1436,MATCH($B569,VN_국채일별!$A$4:$A$1436,1))+(INDEX(VN_국채일별!$E$4:$E$1436,MATCH($B569,VN_국채일별!$A$4:$A$1436,1))-INDEX(VN_국채일별!$D$4:$D$1436,MATCH($B569,VN_국채일별!$A$4:$A$1436,1)))*($J569-3)/2,IF($J569&lt;=7,INDEX(VN_국채일별!$E$4:$E$1436,MATCH($B569,VN_국채일별!$A$4:$A$1436,1))+(INDEX(VN_국채일별!$F$4:$F$1436,MATCH($B569,VN_국채일별!$A$4:$A$1436,1))-INDEX(VN_국채일별!$E$4:$E$1436,MATCH($B569,VN_국채일별!$A$4:$A$1436,1)))*($J569-5)/2,IF($J569&lt;=10,INDEX(VN_국채일별!$F$4:$F$1436,MATCH($B569,VN_국채일별!$A$4:$A$1436,1))+(INDEX(VN_국채일별!$G$4:$G$1436,MATCH($B569,VN_국채일별!$A$4:$A$1436,1))-INDEX(VN_국채일별!$F$4:$F$1436,MATCH($B569,VN_국채일별!$A$4:$A$1436,1)))*($J569-7)/3,INDEX(VN_국채일별!$G$4:$G$1436,MATCH($B569,VN_국채일별!$A$4:$A$1436,1)))))))),""))</f>
        <v>0.02932</v>
      </c>
      <c r="R569" s="58" t="n">
        <f aca="false">IF(OR(L569="",Q569=""),"",(L569-Q569)*10000)</f>
        <v>266.8</v>
      </c>
      <c r="S569" s="30" t="n">
        <f aca="false">IF(AND(K569="고정",N569="N",J569&gt;=2,J569&lt;=4,I569&lt;&gt;""),1,0)</f>
        <v>1</v>
      </c>
      <c r="T569" s="59" t="n">
        <f aca="false">IF(S569=1,I569*L569,0)</f>
        <v>112</v>
      </c>
      <c r="U569" s="60" t="n">
        <f aca="false">IF(AND(S569=1,ISNUMBER(R569)),I569*R569,0)</f>
        <v>533600</v>
      </c>
      <c r="V569" s="30" t="n">
        <f aca="false">IF(AND(F569="Big4(국영)",K569="고정",N569="N",I569&lt;&gt;""),1,0)</f>
        <v>0</v>
      </c>
      <c r="W569" s="59" t="n">
        <f aca="false">IF(V569=1,I569*L569,0)</f>
        <v>0</v>
      </c>
      <c r="X569" s="60" t="n">
        <f aca="false">IF(AND(V569=1,ISNUMBER(R569)),I569*R569,0)</f>
        <v>0</v>
      </c>
      <c r="Y569" s="61" t="n">
        <f aca="false">IF(AND(S569=1,ISNUMBER(R569)),I569,0)</f>
        <v>2000</v>
      </c>
      <c r="Z569" s="61" t="n">
        <f aca="false">IF(AND(V569=1,ISNUMBER(R569)),I569,0)</f>
        <v>0</v>
      </c>
    </row>
    <row r="570" customFormat="false" ht="15" hidden="false" customHeight="false" outlineLevel="0" collapsed="false">
      <c r="A570" s="47" t="s">
        <v>1002</v>
      </c>
      <c r="B570" s="52" t="n">
        <v>45915</v>
      </c>
      <c r="C570" s="53" t="n">
        <f aca="false">DATE(YEAR(B570),MONTH(B570),1)</f>
        <v>45901</v>
      </c>
      <c r="D570" s="5" t="str">
        <f aca="false">YEAR(B570)&amp;"Q"&amp;ROUNDUP(MONTH(B570)/3,0)</f>
        <v>2025Q3</v>
      </c>
      <c r="E570" s="62" t="s">
        <v>155</v>
      </c>
      <c r="F570" s="62" t="s">
        <v>156</v>
      </c>
      <c r="G570" s="47" t="s">
        <v>157</v>
      </c>
      <c r="H570" s="47" t="s">
        <v>1015</v>
      </c>
      <c r="I570" s="55" t="n">
        <v>600</v>
      </c>
      <c r="J570" s="56" t="n">
        <v>15</v>
      </c>
      <c r="K570" s="54" t="s">
        <v>142</v>
      </c>
      <c r="L570" s="57" t="n">
        <v>0.0626</v>
      </c>
      <c r="N570" s="47" t="s">
        <v>143</v>
      </c>
      <c r="O570" s="47" t="s">
        <v>874</v>
      </c>
      <c r="P570" s="47"/>
      <c r="Q570" s="48" t="n">
        <f aca="false">IF($J570="","",IFERROR(IF($J570&lt;=1,INDEX(VN_국채일별!$B$4:$B$1436,MATCH($B570,VN_국채일별!$A$4:$A$1436,1)),IF($J570&lt;=2,INDEX(VN_국채일별!$B$4:$B$1436,MATCH($B570,VN_국채일별!$A$4:$A$1436,1))+(INDEX(VN_국채일별!$C$4:$C$1436,MATCH($B570,VN_국채일별!$A$4:$A$1436,1))-INDEX(VN_국채일별!$B$4:$B$1436,MATCH($B570,VN_국채일별!$A$4:$A$1436,1)))*($J570-1),IF($J570&lt;=3,INDEX(VN_국채일별!$C$4:$C$1436,MATCH($B570,VN_국채일별!$A$4:$A$1436,1))+(INDEX(VN_국채일별!$D$4:$D$1436,MATCH($B570,VN_국채일별!$A$4:$A$1436,1))-INDEX(VN_국채일별!$C$4:$C$1436,MATCH($B570,VN_국채일별!$A$4:$A$1436,1)))*($J570-2),IF($J570&lt;=5,INDEX(VN_국채일별!$D$4:$D$1436,MATCH($B570,VN_국채일별!$A$4:$A$1436,1))+(INDEX(VN_국채일별!$E$4:$E$1436,MATCH($B570,VN_국채일별!$A$4:$A$1436,1))-INDEX(VN_국채일별!$D$4:$D$1436,MATCH($B570,VN_국채일별!$A$4:$A$1436,1)))*($J570-3)/2,IF($J570&lt;=7,INDEX(VN_국채일별!$E$4:$E$1436,MATCH($B570,VN_국채일별!$A$4:$A$1436,1))+(INDEX(VN_국채일별!$F$4:$F$1436,MATCH($B570,VN_국채일별!$A$4:$A$1436,1))-INDEX(VN_국채일별!$E$4:$E$1436,MATCH($B570,VN_국채일별!$A$4:$A$1436,1)))*($J570-5)/2,IF($J570&lt;=10,INDEX(VN_국채일별!$F$4:$F$1436,MATCH($B570,VN_국채일별!$A$4:$A$1436,1))+(INDEX(VN_국채일별!$G$4:$G$1436,MATCH($B570,VN_국채일별!$A$4:$A$1436,1))-INDEX(VN_국채일별!$F$4:$F$1436,MATCH($B570,VN_국채일별!$A$4:$A$1436,1)))*($J570-7)/3,INDEX(VN_국채일별!$G$4:$G$1436,MATCH($B570,VN_국채일별!$A$4:$A$1436,1)))))))),""))</f>
        <v>0.0369</v>
      </c>
      <c r="R570" s="58" t="n">
        <f aca="false">IF(OR(L570="",Q570=""),"",(L570-Q570)*10000)</f>
        <v>257</v>
      </c>
      <c r="S570" s="30" t="n">
        <f aca="false">IF(AND(K570="고정",N570="N",J570&gt;=2,J570&lt;=4,I570&lt;&gt;""),1,0)</f>
        <v>0</v>
      </c>
      <c r="T570" s="59" t="n">
        <f aca="false">IF(S570=1,I570*L570,0)</f>
        <v>0</v>
      </c>
      <c r="U570" s="60" t="n">
        <f aca="false">IF(AND(S570=1,ISNUMBER(R570)),I570*R570,0)</f>
        <v>0</v>
      </c>
      <c r="V570" s="30" t="n">
        <f aca="false">IF(AND(F570="Big4(국영)",K570="고정",N570="N",I570&lt;&gt;""),1,0)</f>
        <v>0</v>
      </c>
      <c r="W570" s="59" t="n">
        <f aca="false">IF(V570=1,I570*L570,0)</f>
        <v>0</v>
      </c>
      <c r="X570" s="60" t="n">
        <f aca="false">IF(AND(V570=1,ISNUMBER(R570)),I570*R570,0)</f>
        <v>0</v>
      </c>
      <c r="Y570" s="61" t="n">
        <f aca="false">IF(AND(S570=1,ISNUMBER(R570)),I570,0)</f>
        <v>0</v>
      </c>
      <c r="Z570" s="61" t="n">
        <f aca="false">IF(AND(V570=1,ISNUMBER(R570)),I570,0)</f>
        <v>0</v>
      </c>
    </row>
    <row r="571" customFormat="false" ht="15" hidden="false" customHeight="false" outlineLevel="0" collapsed="false">
      <c r="A571" s="47" t="s">
        <v>1002</v>
      </c>
      <c r="B571" s="52" t="n">
        <v>45916</v>
      </c>
      <c r="C571" s="53" t="n">
        <f aca="false">DATE(YEAR(B571),MONTH(B571),1)</f>
        <v>45901</v>
      </c>
      <c r="D571" s="5" t="str">
        <f aca="false">YEAR(B571)&amp;"Q"&amp;ROUNDUP(MONTH(B571)/3,0)</f>
        <v>2025Q3</v>
      </c>
      <c r="E571" s="47" t="s">
        <v>365</v>
      </c>
      <c r="F571" s="54" t="s">
        <v>139</v>
      </c>
      <c r="G571" s="47" t="s">
        <v>366</v>
      </c>
      <c r="H571" s="47" t="s">
        <v>1016</v>
      </c>
      <c r="I571" s="55" t="n">
        <v>327.4</v>
      </c>
      <c r="J571" s="56" t="n">
        <v>10</v>
      </c>
      <c r="K571" s="54" t="s">
        <v>153</v>
      </c>
      <c r="N571" s="47" t="s">
        <v>143</v>
      </c>
      <c r="O571" s="47" t="s">
        <v>890</v>
      </c>
      <c r="P571" s="47"/>
      <c r="Q571" s="48" t="n">
        <f aca="false">IF($J571="","",IFERROR(IF($J571&lt;=1,INDEX(VN_국채일별!$B$4:$B$1436,MATCH($B571,VN_국채일별!$A$4:$A$1436,1)),IF($J571&lt;=2,INDEX(VN_국채일별!$B$4:$B$1436,MATCH($B571,VN_국채일별!$A$4:$A$1436,1))+(INDEX(VN_국채일별!$C$4:$C$1436,MATCH($B571,VN_국채일별!$A$4:$A$1436,1))-INDEX(VN_국채일별!$B$4:$B$1436,MATCH($B571,VN_국채일별!$A$4:$A$1436,1)))*($J571-1),IF($J571&lt;=3,INDEX(VN_국채일별!$C$4:$C$1436,MATCH($B571,VN_국채일별!$A$4:$A$1436,1))+(INDEX(VN_국채일별!$D$4:$D$1436,MATCH($B571,VN_국채일별!$A$4:$A$1436,1))-INDEX(VN_국채일별!$C$4:$C$1436,MATCH($B571,VN_국채일별!$A$4:$A$1436,1)))*($J571-2),IF($J571&lt;=5,INDEX(VN_국채일별!$D$4:$D$1436,MATCH($B571,VN_국채일별!$A$4:$A$1436,1))+(INDEX(VN_국채일별!$E$4:$E$1436,MATCH($B571,VN_국채일별!$A$4:$A$1436,1))-INDEX(VN_국채일별!$D$4:$D$1436,MATCH($B571,VN_국채일별!$A$4:$A$1436,1)))*($J571-3)/2,IF($J571&lt;=7,INDEX(VN_국채일별!$E$4:$E$1436,MATCH($B571,VN_국채일별!$A$4:$A$1436,1))+(INDEX(VN_국채일별!$F$4:$F$1436,MATCH($B571,VN_국채일별!$A$4:$A$1436,1))-INDEX(VN_국채일별!$E$4:$E$1436,MATCH($B571,VN_국채일별!$A$4:$A$1436,1)))*($J571-5)/2,IF($J571&lt;=10,INDEX(VN_국채일별!$F$4:$F$1436,MATCH($B571,VN_국채일별!$A$4:$A$1436,1))+(INDEX(VN_국채일별!$G$4:$G$1436,MATCH($B571,VN_국채일별!$A$4:$A$1436,1))-INDEX(VN_국채일별!$F$4:$F$1436,MATCH($B571,VN_국채일별!$A$4:$A$1436,1)))*($J571-7)/3,INDEX(VN_국채일별!$G$4:$G$1436,MATCH($B571,VN_국채일별!$A$4:$A$1436,1)))))))),""))</f>
        <v>0.0369</v>
      </c>
      <c r="R571" s="58" t="str">
        <f aca="false">IF(OR(L571="",Q571=""),"",(L571-Q571)*10000)</f>
        <v/>
      </c>
      <c r="S571" s="30" t="n">
        <f aca="false">IF(AND(K571="고정",N571="N",J571&gt;=2,J571&lt;=4,I571&lt;&gt;""),1,0)</f>
        <v>0</v>
      </c>
      <c r="T571" s="59" t="n">
        <f aca="false">IF(S571=1,I571*L571,0)</f>
        <v>0</v>
      </c>
      <c r="U571" s="60" t="n">
        <f aca="false">IF(AND(S571=1,ISNUMBER(R571)),I571*R571,0)</f>
        <v>0</v>
      </c>
      <c r="V571" s="30" t="n">
        <f aca="false">IF(AND(F571="Big4(국영)",K571="고정",N571="N",I571&lt;&gt;""),1,0)</f>
        <v>0</v>
      </c>
      <c r="W571" s="59" t="n">
        <f aca="false">IF(V571=1,I571*L571,0)</f>
        <v>0</v>
      </c>
      <c r="X571" s="60" t="n">
        <f aca="false">IF(AND(V571=1,ISNUMBER(R571)),I571*R571,0)</f>
        <v>0</v>
      </c>
      <c r="Y571" s="61" t="n">
        <f aca="false">IF(AND(S571=1,ISNUMBER(R571)),I571,0)</f>
        <v>0</v>
      </c>
      <c r="Z571" s="61" t="n">
        <f aca="false">IF(AND(V571=1,ISNUMBER(R571)),I571,0)</f>
        <v>0</v>
      </c>
    </row>
    <row r="572" customFormat="false" ht="15" hidden="false" customHeight="false" outlineLevel="0" collapsed="false">
      <c r="A572" s="47" t="s">
        <v>1002</v>
      </c>
      <c r="B572" s="52" t="n">
        <v>45917</v>
      </c>
      <c r="C572" s="53" t="n">
        <f aca="false">DATE(YEAR(B572),MONTH(B572),1)</f>
        <v>45901</v>
      </c>
      <c r="D572" s="5" t="str">
        <f aca="false">YEAR(B572)&amp;"Q"&amp;ROUNDUP(MONTH(B572)/3,0)</f>
        <v>2025Q3</v>
      </c>
      <c r="E572" s="47" t="s">
        <v>248</v>
      </c>
      <c r="F572" s="54" t="s">
        <v>139</v>
      </c>
      <c r="G572" s="47" t="s">
        <v>361</v>
      </c>
      <c r="H572" s="47" t="s">
        <v>1017</v>
      </c>
      <c r="I572" s="55" t="n">
        <v>500</v>
      </c>
      <c r="J572" s="56" t="n">
        <v>8</v>
      </c>
      <c r="K572" s="54" t="s">
        <v>153</v>
      </c>
      <c r="N572" s="47" t="s">
        <v>143</v>
      </c>
      <c r="O572" s="47" t="s">
        <v>494</v>
      </c>
      <c r="P572" s="47"/>
      <c r="Q572" s="48" t="n">
        <f aca="false">IF($J572="","",IFERROR(IF($J572&lt;=1,INDEX(VN_국채일별!$B$4:$B$1436,MATCH($B572,VN_국채일별!$A$4:$A$1436,1)),IF($J572&lt;=2,INDEX(VN_국채일별!$B$4:$B$1436,MATCH($B572,VN_국채일별!$A$4:$A$1436,1))+(INDEX(VN_국채일별!$C$4:$C$1436,MATCH($B572,VN_국채일별!$A$4:$A$1436,1))-INDEX(VN_국채일별!$B$4:$B$1436,MATCH($B572,VN_국채일별!$A$4:$A$1436,1)))*($J572-1),IF($J572&lt;=3,INDEX(VN_국채일별!$C$4:$C$1436,MATCH($B572,VN_국채일별!$A$4:$A$1436,1))+(INDEX(VN_국채일별!$D$4:$D$1436,MATCH($B572,VN_국채일별!$A$4:$A$1436,1))-INDEX(VN_국채일별!$C$4:$C$1436,MATCH($B572,VN_국채일별!$A$4:$A$1436,1)))*($J572-2),IF($J572&lt;=5,INDEX(VN_국채일별!$D$4:$D$1436,MATCH($B572,VN_국채일별!$A$4:$A$1436,1))+(INDEX(VN_국채일별!$E$4:$E$1436,MATCH($B572,VN_국채일별!$A$4:$A$1436,1))-INDEX(VN_국채일별!$D$4:$D$1436,MATCH($B572,VN_국채일별!$A$4:$A$1436,1)))*($J572-3)/2,IF($J572&lt;=7,INDEX(VN_국채일별!$E$4:$E$1436,MATCH($B572,VN_국채일별!$A$4:$A$1436,1))+(INDEX(VN_국채일별!$F$4:$F$1436,MATCH($B572,VN_국채일별!$A$4:$A$1436,1))-INDEX(VN_국채일별!$E$4:$E$1436,MATCH($B572,VN_국채일별!$A$4:$A$1436,1)))*($J572-5)/2,IF($J572&lt;=10,INDEX(VN_국채일별!$F$4:$F$1436,MATCH($B572,VN_국채일별!$A$4:$A$1436,1))+(INDEX(VN_국채일별!$G$4:$G$1436,MATCH($B572,VN_국채일별!$A$4:$A$1436,1))-INDEX(VN_국채일별!$F$4:$F$1436,MATCH($B572,VN_국채일별!$A$4:$A$1436,1)))*($J572-7)/3,INDEX(VN_국채일별!$G$4:$G$1436,MATCH($B572,VN_국채일별!$A$4:$A$1436,1)))))))),""))</f>
        <v>0.0355366666666667</v>
      </c>
      <c r="R572" s="58" t="str">
        <f aca="false">IF(OR(L572="",Q572=""),"",(L572-Q572)*10000)</f>
        <v/>
      </c>
      <c r="S572" s="30" t="n">
        <f aca="false">IF(AND(K572="고정",N572="N",J572&gt;=2,J572&lt;=4,I572&lt;&gt;""),1,0)</f>
        <v>0</v>
      </c>
      <c r="T572" s="59" t="n">
        <f aca="false">IF(S572=1,I572*L572,0)</f>
        <v>0</v>
      </c>
      <c r="U572" s="60" t="n">
        <f aca="false">IF(AND(S572=1,ISNUMBER(R572)),I572*R572,0)</f>
        <v>0</v>
      </c>
      <c r="V572" s="30" t="n">
        <f aca="false">IF(AND(F572="Big4(국영)",K572="고정",N572="N",I572&lt;&gt;""),1,0)</f>
        <v>0</v>
      </c>
      <c r="W572" s="59" t="n">
        <f aca="false">IF(V572=1,I572*L572,0)</f>
        <v>0</v>
      </c>
      <c r="X572" s="60" t="n">
        <f aca="false">IF(AND(V572=1,ISNUMBER(R572)),I572*R572,0)</f>
        <v>0</v>
      </c>
      <c r="Y572" s="61" t="n">
        <f aca="false">IF(AND(S572=1,ISNUMBER(R572)),I572,0)</f>
        <v>0</v>
      </c>
      <c r="Z572" s="61" t="n">
        <f aca="false">IF(AND(V572=1,ISNUMBER(R572)),I572,0)</f>
        <v>0</v>
      </c>
    </row>
    <row r="573" customFormat="false" ht="15" hidden="false" customHeight="false" outlineLevel="0" collapsed="false">
      <c r="A573" s="47" t="s">
        <v>1002</v>
      </c>
      <c r="B573" s="52" t="n">
        <v>45917</v>
      </c>
      <c r="C573" s="53" t="n">
        <f aca="false">DATE(YEAR(B573),MONTH(B573),1)</f>
        <v>45901</v>
      </c>
      <c r="D573" s="5" t="str">
        <f aca="false">YEAR(B573)&amp;"Q"&amp;ROUNDUP(MONTH(B573)/3,0)</f>
        <v>2025Q3</v>
      </c>
      <c r="E573" s="47" t="s">
        <v>323</v>
      </c>
      <c r="F573" s="54" t="s">
        <v>139</v>
      </c>
      <c r="G573" s="47" t="s">
        <v>324</v>
      </c>
      <c r="H573" s="47" t="s">
        <v>1018</v>
      </c>
      <c r="I573" s="55" t="n">
        <v>1000</v>
      </c>
      <c r="J573" s="56" t="n">
        <v>3</v>
      </c>
      <c r="K573" s="54" t="s">
        <v>142</v>
      </c>
      <c r="L573" s="57" t="n">
        <v>0.058</v>
      </c>
      <c r="N573" s="47" t="s">
        <v>148</v>
      </c>
      <c r="O573" s="47" t="s">
        <v>451</v>
      </c>
      <c r="P573" s="47"/>
      <c r="Q573" s="48" t="n">
        <f aca="false">IF($J573="","",IFERROR(IF($J573&lt;=1,INDEX(VN_국채일별!$B$4:$B$1436,MATCH($B573,VN_국채일별!$A$4:$A$1436,1)),IF($J573&lt;=2,INDEX(VN_국채일별!$B$4:$B$1436,MATCH($B573,VN_국채일별!$A$4:$A$1436,1))+(INDEX(VN_국채일별!$C$4:$C$1436,MATCH($B573,VN_국채일별!$A$4:$A$1436,1))-INDEX(VN_국채일별!$B$4:$B$1436,MATCH($B573,VN_국채일별!$A$4:$A$1436,1)))*($J573-1),IF($J573&lt;=3,INDEX(VN_국채일별!$C$4:$C$1436,MATCH($B573,VN_국채일별!$A$4:$A$1436,1))+(INDEX(VN_국채일별!$D$4:$D$1436,MATCH($B573,VN_국채일별!$A$4:$A$1436,1))-INDEX(VN_국채일별!$C$4:$C$1436,MATCH($B573,VN_국채일별!$A$4:$A$1436,1)))*($J573-2),IF($J573&lt;=5,INDEX(VN_국채일별!$D$4:$D$1436,MATCH($B573,VN_국채일별!$A$4:$A$1436,1))+(INDEX(VN_국채일별!$E$4:$E$1436,MATCH($B573,VN_국채일별!$A$4:$A$1436,1))-INDEX(VN_국채일별!$D$4:$D$1436,MATCH($B573,VN_국채일별!$A$4:$A$1436,1)))*($J573-3)/2,IF($J573&lt;=7,INDEX(VN_국채일별!$E$4:$E$1436,MATCH($B573,VN_국채일별!$A$4:$A$1436,1))+(INDEX(VN_국채일별!$F$4:$F$1436,MATCH($B573,VN_국채일별!$A$4:$A$1436,1))-INDEX(VN_국채일별!$E$4:$E$1436,MATCH($B573,VN_국채일별!$A$4:$A$1436,1)))*($J573-5)/2,IF($J573&lt;=10,INDEX(VN_국채일별!$F$4:$F$1436,MATCH($B573,VN_국채일별!$A$4:$A$1436,1))+(INDEX(VN_국채일별!$G$4:$G$1436,MATCH($B573,VN_국채일별!$A$4:$A$1436,1))-INDEX(VN_국채일별!$F$4:$F$1436,MATCH($B573,VN_국채일별!$A$4:$A$1436,1)))*($J573-7)/3,INDEX(VN_국채일별!$G$4:$G$1436,MATCH($B573,VN_국채일별!$A$4:$A$1436,1)))))))),""))</f>
        <v>0.02931</v>
      </c>
      <c r="R573" s="58" t="n">
        <f aca="false">IF(OR(L573="",Q573=""),"",(L573-Q573)*10000)</f>
        <v>286.9</v>
      </c>
      <c r="S573" s="30" t="n">
        <f aca="false">IF(AND(K573="고정",N573="N",J573&gt;=2,J573&lt;=4,I573&lt;&gt;""),1,0)</f>
        <v>1</v>
      </c>
      <c r="T573" s="59" t="n">
        <f aca="false">IF(S573=1,I573*L573,0)</f>
        <v>58</v>
      </c>
      <c r="U573" s="60" t="n">
        <f aca="false">IF(AND(S573=1,ISNUMBER(R573)),I573*R573,0)</f>
        <v>286900</v>
      </c>
      <c r="V573" s="30" t="n">
        <f aca="false">IF(AND(F573="Big4(국영)",K573="고정",N573="N",I573&lt;&gt;""),1,0)</f>
        <v>0</v>
      </c>
      <c r="W573" s="59" t="n">
        <f aca="false">IF(V573=1,I573*L573,0)</f>
        <v>0</v>
      </c>
      <c r="X573" s="60" t="n">
        <f aca="false">IF(AND(V573=1,ISNUMBER(R573)),I573*R573,0)</f>
        <v>0</v>
      </c>
      <c r="Y573" s="61" t="n">
        <f aca="false">IF(AND(S573=1,ISNUMBER(R573)),I573,0)</f>
        <v>1000</v>
      </c>
      <c r="Z573" s="61" t="n">
        <f aca="false">IF(AND(V573=1,ISNUMBER(R573)),I573,0)</f>
        <v>0</v>
      </c>
    </row>
    <row r="574" customFormat="false" ht="15" hidden="false" customHeight="false" outlineLevel="0" collapsed="false">
      <c r="A574" s="47" t="s">
        <v>1002</v>
      </c>
      <c r="B574" s="52" t="n">
        <v>45918</v>
      </c>
      <c r="C574" s="53" t="n">
        <f aca="false">DATE(YEAR(B574),MONTH(B574),1)</f>
        <v>45901</v>
      </c>
      <c r="D574" s="5" t="str">
        <f aca="false">YEAR(B574)&amp;"Q"&amp;ROUNDUP(MONTH(B574)/3,0)</f>
        <v>2025Q3</v>
      </c>
      <c r="E574" s="62" t="s">
        <v>155</v>
      </c>
      <c r="F574" s="62" t="s">
        <v>156</v>
      </c>
      <c r="G574" s="47" t="s">
        <v>157</v>
      </c>
      <c r="H574" s="47" t="s">
        <v>1019</v>
      </c>
      <c r="I574" s="55" t="n">
        <v>250</v>
      </c>
      <c r="J574" s="56" t="n">
        <v>8</v>
      </c>
      <c r="K574" s="54" t="s">
        <v>153</v>
      </c>
      <c r="N574" s="47" t="s">
        <v>143</v>
      </c>
      <c r="O574" s="47" t="s">
        <v>870</v>
      </c>
      <c r="P574" s="47"/>
      <c r="Q574" s="48" t="n">
        <f aca="false">IF($J574="","",IFERROR(IF($J574&lt;=1,INDEX(VN_국채일별!$B$4:$B$1436,MATCH($B574,VN_국채일별!$A$4:$A$1436,1)),IF($J574&lt;=2,INDEX(VN_국채일별!$B$4:$B$1436,MATCH($B574,VN_국채일별!$A$4:$A$1436,1))+(INDEX(VN_국채일별!$C$4:$C$1436,MATCH($B574,VN_국채일별!$A$4:$A$1436,1))-INDEX(VN_국채일별!$B$4:$B$1436,MATCH($B574,VN_국채일별!$A$4:$A$1436,1)))*($J574-1),IF($J574&lt;=3,INDEX(VN_국채일별!$C$4:$C$1436,MATCH($B574,VN_국채일별!$A$4:$A$1436,1))+(INDEX(VN_국채일별!$D$4:$D$1436,MATCH($B574,VN_국채일별!$A$4:$A$1436,1))-INDEX(VN_국채일별!$C$4:$C$1436,MATCH($B574,VN_국채일별!$A$4:$A$1436,1)))*($J574-2),IF($J574&lt;=5,INDEX(VN_국채일별!$D$4:$D$1436,MATCH($B574,VN_국채일별!$A$4:$A$1436,1))+(INDEX(VN_국채일별!$E$4:$E$1436,MATCH($B574,VN_국채일별!$A$4:$A$1436,1))-INDEX(VN_국채일별!$D$4:$D$1436,MATCH($B574,VN_국채일별!$A$4:$A$1436,1)))*($J574-3)/2,IF($J574&lt;=7,INDEX(VN_국채일별!$E$4:$E$1436,MATCH($B574,VN_국채일별!$A$4:$A$1436,1))+(INDEX(VN_국채일별!$F$4:$F$1436,MATCH($B574,VN_국채일별!$A$4:$A$1436,1))-INDEX(VN_국채일별!$E$4:$E$1436,MATCH($B574,VN_국채일별!$A$4:$A$1436,1)))*($J574-5)/2,IF($J574&lt;=10,INDEX(VN_국채일별!$F$4:$F$1436,MATCH($B574,VN_국채일별!$A$4:$A$1436,1))+(INDEX(VN_국채일별!$G$4:$G$1436,MATCH($B574,VN_국채일별!$A$4:$A$1436,1))-INDEX(VN_국채일별!$F$4:$F$1436,MATCH($B574,VN_국채일별!$A$4:$A$1436,1)))*($J574-7)/3,INDEX(VN_국채일별!$G$4:$G$1436,MATCH($B574,VN_국채일별!$A$4:$A$1436,1)))))))),""))</f>
        <v>0.0356566666666667</v>
      </c>
      <c r="R574" s="58" t="str">
        <f aca="false">IF(OR(L574="",Q574=""),"",(L574-Q574)*10000)</f>
        <v/>
      </c>
      <c r="S574" s="30" t="n">
        <f aca="false">IF(AND(K574="고정",N574="N",J574&gt;=2,J574&lt;=4,I574&lt;&gt;""),1,0)</f>
        <v>0</v>
      </c>
      <c r="T574" s="59" t="n">
        <f aca="false">IF(S574=1,I574*L574,0)</f>
        <v>0</v>
      </c>
      <c r="U574" s="60" t="n">
        <f aca="false">IF(AND(S574=1,ISNUMBER(R574)),I574*R574,0)</f>
        <v>0</v>
      </c>
      <c r="V574" s="30" t="n">
        <f aca="false">IF(AND(F574="Big4(국영)",K574="고정",N574="N",I574&lt;&gt;""),1,0)</f>
        <v>0</v>
      </c>
      <c r="W574" s="59" t="n">
        <f aca="false">IF(V574=1,I574*L574,0)</f>
        <v>0</v>
      </c>
      <c r="X574" s="60" t="n">
        <f aca="false">IF(AND(V574=1,ISNUMBER(R574)),I574*R574,0)</f>
        <v>0</v>
      </c>
      <c r="Y574" s="61" t="n">
        <f aca="false">IF(AND(S574=1,ISNUMBER(R574)),I574,0)</f>
        <v>0</v>
      </c>
      <c r="Z574" s="61" t="n">
        <f aca="false">IF(AND(V574=1,ISNUMBER(R574)),I574,0)</f>
        <v>0</v>
      </c>
    </row>
    <row r="575" customFormat="false" ht="15" hidden="false" customHeight="false" outlineLevel="0" collapsed="false">
      <c r="A575" s="47" t="s">
        <v>1002</v>
      </c>
      <c r="B575" s="52" t="n">
        <v>45918</v>
      </c>
      <c r="C575" s="53" t="n">
        <f aca="false">DATE(YEAR(B575),MONTH(B575),1)</f>
        <v>45901</v>
      </c>
      <c r="D575" s="5" t="str">
        <f aca="false">YEAR(B575)&amp;"Q"&amp;ROUNDUP(MONTH(B575)/3,0)</f>
        <v>2025Q3</v>
      </c>
      <c r="E575" s="62" t="s">
        <v>155</v>
      </c>
      <c r="F575" s="62" t="s">
        <v>156</v>
      </c>
      <c r="G575" s="47" t="s">
        <v>157</v>
      </c>
      <c r="H575" s="47" t="s">
        <v>1020</v>
      </c>
      <c r="I575" s="55" t="n">
        <v>120</v>
      </c>
      <c r="J575" s="56" t="n">
        <v>7</v>
      </c>
      <c r="K575" s="54" t="s">
        <v>153</v>
      </c>
      <c r="N575" s="47" t="s">
        <v>143</v>
      </c>
      <c r="O575" s="47" t="s">
        <v>872</v>
      </c>
      <c r="P575" s="47"/>
      <c r="Q575" s="48" t="n">
        <f aca="false">IF($J575="","",IFERROR(IF($J575&lt;=1,INDEX(VN_국채일별!$B$4:$B$1436,MATCH($B575,VN_국채일별!$A$4:$A$1436,1)),IF($J575&lt;=2,INDEX(VN_국채일별!$B$4:$B$1436,MATCH($B575,VN_국채일별!$A$4:$A$1436,1))+(INDEX(VN_국채일별!$C$4:$C$1436,MATCH($B575,VN_국채일별!$A$4:$A$1436,1))-INDEX(VN_국채일별!$B$4:$B$1436,MATCH($B575,VN_국채일별!$A$4:$A$1436,1)))*($J575-1),IF($J575&lt;=3,INDEX(VN_국채일별!$C$4:$C$1436,MATCH($B575,VN_국채일별!$A$4:$A$1436,1))+(INDEX(VN_국채일별!$D$4:$D$1436,MATCH($B575,VN_국채일별!$A$4:$A$1436,1))-INDEX(VN_국채일별!$C$4:$C$1436,MATCH($B575,VN_국채일별!$A$4:$A$1436,1)))*($J575-2),IF($J575&lt;=5,INDEX(VN_국채일별!$D$4:$D$1436,MATCH($B575,VN_국채일별!$A$4:$A$1436,1))+(INDEX(VN_국채일별!$E$4:$E$1436,MATCH($B575,VN_국채일별!$A$4:$A$1436,1))-INDEX(VN_국채일별!$D$4:$D$1436,MATCH($B575,VN_국채일별!$A$4:$A$1436,1)))*($J575-3)/2,IF($J575&lt;=7,INDEX(VN_국채일별!$E$4:$E$1436,MATCH($B575,VN_국채일별!$A$4:$A$1436,1))+(INDEX(VN_국채일별!$F$4:$F$1436,MATCH($B575,VN_국채일별!$A$4:$A$1436,1))-INDEX(VN_국채일별!$E$4:$E$1436,MATCH($B575,VN_국채일별!$A$4:$A$1436,1)))*($J575-5)/2,IF($J575&lt;=10,INDEX(VN_국채일별!$F$4:$F$1436,MATCH($B575,VN_국채일별!$A$4:$A$1436,1))+(INDEX(VN_국채일별!$G$4:$G$1436,MATCH($B575,VN_국채일별!$A$4:$A$1436,1))-INDEX(VN_국채일별!$F$4:$F$1436,MATCH($B575,VN_국채일별!$A$4:$A$1436,1)))*($J575-7)/3,INDEX(VN_국채일별!$G$4:$G$1436,MATCH($B575,VN_국채일별!$A$4:$A$1436,1)))))))),""))</f>
        <v>0.035</v>
      </c>
      <c r="R575" s="58" t="str">
        <f aca="false">IF(OR(L575="",Q575=""),"",(L575-Q575)*10000)</f>
        <v/>
      </c>
      <c r="S575" s="30" t="n">
        <f aca="false">IF(AND(K575="고정",N575="N",J575&gt;=2,J575&lt;=4,I575&lt;&gt;""),1,0)</f>
        <v>0</v>
      </c>
      <c r="T575" s="59" t="n">
        <f aca="false">IF(S575=1,I575*L575,0)</f>
        <v>0</v>
      </c>
      <c r="U575" s="60" t="n">
        <f aca="false">IF(AND(S575=1,ISNUMBER(R575)),I575*R575,0)</f>
        <v>0</v>
      </c>
      <c r="V575" s="30" t="n">
        <f aca="false">IF(AND(F575="Big4(국영)",K575="고정",N575="N",I575&lt;&gt;""),1,0)</f>
        <v>0</v>
      </c>
      <c r="W575" s="59" t="n">
        <f aca="false">IF(V575=1,I575*L575,0)</f>
        <v>0</v>
      </c>
      <c r="X575" s="60" t="n">
        <f aca="false">IF(AND(V575=1,ISNUMBER(R575)),I575*R575,0)</f>
        <v>0</v>
      </c>
      <c r="Y575" s="61" t="n">
        <f aca="false">IF(AND(S575=1,ISNUMBER(R575)),I575,0)</f>
        <v>0</v>
      </c>
      <c r="Z575" s="61" t="n">
        <f aca="false">IF(AND(V575=1,ISNUMBER(R575)),I575,0)</f>
        <v>0</v>
      </c>
    </row>
    <row r="576" customFormat="false" ht="15" hidden="false" customHeight="false" outlineLevel="0" collapsed="false">
      <c r="A576" s="47" t="s">
        <v>1002</v>
      </c>
      <c r="B576" s="52" t="n">
        <v>45922</v>
      </c>
      <c r="C576" s="53" t="n">
        <f aca="false">DATE(YEAR(B576),MONTH(B576),1)</f>
        <v>45901</v>
      </c>
      <c r="D576" s="5" t="str">
        <f aca="false">YEAR(B576)&amp;"Q"&amp;ROUNDUP(MONTH(B576)/3,0)</f>
        <v>2025Q3</v>
      </c>
      <c r="E576" s="47" t="s">
        <v>248</v>
      </c>
      <c r="F576" s="54" t="s">
        <v>139</v>
      </c>
      <c r="G576" s="47" t="s">
        <v>361</v>
      </c>
      <c r="H576" s="47" t="s">
        <v>1021</v>
      </c>
      <c r="I576" s="55" t="n">
        <v>500</v>
      </c>
      <c r="J576" s="56" t="n">
        <v>8</v>
      </c>
      <c r="K576" s="54" t="s">
        <v>153</v>
      </c>
      <c r="N576" s="47" t="s">
        <v>143</v>
      </c>
      <c r="O576" s="47" t="s">
        <v>494</v>
      </c>
      <c r="P576" s="47"/>
      <c r="Q576" s="48" t="n">
        <f aca="false">IF($J576="","",IFERROR(IF($J576&lt;=1,INDEX(VN_국채일별!$B$4:$B$1436,MATCH($B576,VN_국채일별!$A$4:$A$1436,1)),IF($J576&lt;=2,INDEX(VN_국채일별!$B$4:$B$1436,MATCH($B576,VN_국채일별!$A$4:$A$1436,1))+(INDEX(VN_국채일별!$C$4:$C$1436,MATCH($B576,VN_국채일별!$A$4:$A$1436,1))-INDEX(VN_국채일별!$B$4:$B$1436,MATCH($B576,VN_국채일별!$A$4:$A$1436,1)))*($J576-1),IF($J576&lt;=3,INDEX(VN_국채일별!$C$4:$C$1436,MATCH($B576,VN_국채일별!$A$4:$A$1436,1))+(INDEX(VN_국채일별!$D$4:$D$1436,MATCH($B576,VN_국채일별!$A$4:$A$1436,1))-INDEX(VN_국채일별!$C$4:$C$1436,MATCH($B576,VN_국채일별!$A$4:$A$1436,1)))*($J576-2),IF($J576&lt;=5,INDEX(VN_국채일별!$D$4:$D$1436,MATCH($B576,VN_국채일별!$A$4:$A$1436,1))+(INDEX(VN_국채일별!$E$4:$E$1436,MATCH($B576,VN_국채일별!$A$4:$A$1436,1))-INDEX(VN_국채일별!$D$4:$D$1436,MATCH($B576,VN_국채일별!$A$4:$A$1436,1)))*($J576-3)/2,IF($J576&lt;=7,INDEX(VN_국채일별!$E$4:$E$1436,MATCH($B576,VN_국채일별!$A$4:$A$1436,1))+(INDEX(VN_국채일별!$F$4:$F$1436,MATCH($B576,VN_국채일별!$A$4:$A$1436,1))-INDEX(VN_국채일별!$E$4:$E$1436,MATCH($B576,VN_국채일별!$A$4:$A$1436,1)))*($J576-5)/2,IF($J576&lt;=10,INDEX(VN_국채일별!$F$4:$F$1436,MATCH($B576,VN_국채일별!$A$4:$A$1436,1))+(INDEX(VN_국채일별!$G$4:$G$1436,MATCH($B576,VN_국채일별!$A$4:$A$1436,1))-INDEX(VN_국채일별!$F$4:$F$1436,MATCH($B576,VN_국채일별!$A$4:$A$1436,1)))*($J576-7)/3,INDEX(VN_국채일별!$G$4:$G$1436,MATCH($B576,VN_국채일별!$A$4:$A$1436,1)))))))),""))</f>
        <v>0.0356833333333333</v>
      </c>
      <c r="R576" s="58" t="str">
        <f aca="false">IF(OR(L576="",Q576=""),"",(L576-Q576)*10000)</f>
        <v/>
      </c>
      <c r="S576" s="30" t="n">
        <f aca="false">IF(AND(K576="고정",N576="N",J576&gt;=2,J576&lt;=4,I576&lt;&gt;""),1,0)</f>
        <v>0</v>
      </c>
      <c r="T576" s="59" t="n">
        <f aca="false">IF(S576=1,I576*L576,0)</f>
        <v>0</v>
      </c>
      <c r="U576" s="60" t="n">
        <f aca="false">IF(AND(S576=1,ISNUMBER(R576)),I576*R576,0)</f>
        <v>0</v>
      </c>
      <c r="V576" s="30" t="n">
        <f aca="false">IF(AND(F576="Big4(국영)",K576="고정",N576="N",I576&lt;&gt;""),1,0)</f>
        <v>0</v>
      </c>
      <c r="W576" s="59" t="n">
        <f aca="false">IF(V576=1,I576*L576,0)</f>
        <v>0</v>
      </c>
      <c r="X576" s="60" t="n">
        <f aca="false">IF(AND(V576=1,ISNUMBER(R576)),I576*R576,0)</f>
        <v>0</v>
      </c>
      <c r="Y576" s="61" t="n">
        <f aca="false">IF(AND(S576=1,ISNUMBER(R576)),I576,0)</f>
        <v>0</v>
      </c>
      <c r="Z576" s="61" t="n">
        <f aca="false">IF(AND(V576=1,ISNUMBER(R576)),I576,0)</f>
        <v>0</v>
      </c>
    </row>
    <row r="577" customFormat="false" ht="15" hidden="false" customHeight="false" outlineLevel="0" collapsed="false">
      <c r="A577" s="47" t="s">
        <v>1022</v>
      </c>
      <c r="B577" s="52" t="n">
        <v>45932</v>
      </c>
      <c r="C577" s="53" t="n">
        <f aca="false">DATE(YEAR(B577),MONTH(B577),1)</f>
        <v>45931</v>
      </c>
      <c r="D577" s="5" t="str">
        <f aca="false">YEAR(B577)&amp;"Q"&amp;ROUNDUP(MONTH(B577)/3,0)</f>
        <v>2025Q4</v>
      </c>
      <c r="E577" s="47" t="s">
        <v>181</v>
      </c>
      <c r="F577" s="54" t="s">
        <v>139</v>
      </c>
      <c r="G577" s="47" t="s">
        <v>182</v>
      </c>
      <c r="H577" s="47" t="s">
        <v>1023</v>
      </c>
      <c r="I577" s="55" t="n">
        <v>600</v>
      </c>
      <c r="J577" s="56" t="n">
        <v>2</v>
      </c>
      <c r="K577" s="54" t="s">
        <v>142</v>
      </c>
      <c r="L577" s="57" t="n">
        <v>0.063</v>
      </c>
      <c r="N577" s="47" t="s">
        <v>148</v>
      </c>
      <c r="O577" s="47" t="s">
        <v>439</v>
      </c>
      <c r="P577" s="47"/>
      <c r="Q577" s="48" t="n">
        <f aca="false">IF($J577="","",IFERROR(IF($J577&lt;=1,INDEX(VN_국채일별!$B$4:$B$1436,MATCH($B577,VN_국채일별!$A$4:$A$1436,1)),IF($J577&lt;=2,INDEX(VN_국채일별!$B$4:$B$1436,MATCH($B577,VN_국채일별!$A$4:$A$1436,1))+(INDEX(VN_국채일별!$C$4:$C$1436,MATCH($B577,VN_국채일별!$A$4:$A$1436,1))-INDEX(VN_국채일별!$B$4:$B$1436,MATCH($B577,VN_국채일별!$A$4:$A$1436,1)))*($J577-1),IF($J577&lt;=3,INDEX(VN_국채일별!$C$4:$C$1436,MATCH($B577,VN_국채일별!$A$4:$A$1436,1))+(INDEX(VN_국채일별!$D$4:$D$1436,MATCH($B577,VN_국채일별!$A$4:$A$1436,1))-INDEX(VN_국채일별!$C$4:$C$1436,MATCH($B577,VN_국채일별!$A$4:$A$1436,1)))*($J577-2),IF($J577&lt;=5,INDEX(VN_국채일별!$D$4:$D$1436,MATCH($B577,VN_국채일별!$A$4:$A$1436,1))+(INDEX(VN_국채일별!$E$4:$E$1436,MATCH($B577,VN_국채일별!$A$4:$A$1436,1))-INDEX(VN_국채일별!$D$4:$D$1436,MATCH($B577,VN_국채일별!$A$4:$A$1436,1)))*($J577-3)/2,IF($J577&lt;=7,INDEX(VN_국채일별!$E$4:$E$1436,MATCH($B577,VN_국채일별!$A$4:$A$1436,1))+(INDEX(VN_국채일별!$F$4:$F$1436,MATCH($B577,VN_국채일별!$A$4:$A$1436,1))-INDEX(VN_국채일별!$E$4:$E$1436,MATCH($B577,VN_국채일별!$A$4:$A$1436,1)))*($J577-5)/2,IF($J577&lt;=10,INDEX(VN_국채일별!$F$4:$F$1436,MATCH($B577,VN_국채일별!$A$4:$A$1436,1))+(INDEX(VN_국채일별!$G$4:$G$1436,MATCH($B577,VN_국채일별!$A$4:$A$1436,1))-INDEX(VN_국채일별!$F$4:$F$1436,MATCH($B577,VN_국채일별!$A$4:$A$1436,1)))*($J577-7)/3,INDEX(VN_국채일별!$G$4:$G$1436,MATCH($B577,VN_국채일별!$A$4:$A$1436,1)))))))),""))</f>
        <v>0.02909</v>
      </c>
      <c r="R577" s="58" t="n">
        <f aca="false">IF(OR(L577="",Q577=""),"",(L577-Q577)*10000)</f>
        <v>339.1</v>
      </c>
      <c r="S577" s="30" t="n">
        <f aca="false">IF(AND(K577="고정",N577="N",J577&gt;=2,J577&lt;=4,I577&lt;&gt;""),1,0)</f>
        <v>1</v>
      </c>
      <c r="T577" s="59" t="n">
        <f aca="false">IF(S577=1,I577*L577,0)</f>
        <v>37.8</v>
      </c>
      <c r="U577" s="60" t="n">
        <f aca="false">IF(AND(S577=1,ISNUMBER(R577)),I577*R577,0)</f>
        <v>203460</v>
      </c>
      <c r="V577" s="30" t="n">
        <f aca="false">IF(AND(F577="Big4(국영)",K577="고정",N577="N",I577&lt;&gt;""),1,0)</f>
        <v>0</v>
      </c>
      <c r="W577" s="59" t="n">
        <f aca="false">IF(V577=1,I577*L577,0)</f>
        <v>0</v>
      </c>
      <c r="X577" s="60" t="n">
        <f aca="false">IF(AND(V577=1,ISNUMBER(R577)),I577*R577,0)</f>
        <v>0</v>
      </c>
      <c r="Y577" s="61" t="n">
        <f aca="false">IF(AND(S577=1,ISNUMBER(R577)),I577,0)</f>
        <v>600</v>
      </c>
      <c r="Z577" s="61" t="n">
        <f aca="false">IF(AND(V577=1,ISNUMBER(R577)),I577,0)</f>
        <v>0</v>
      </c>
    </row>
    <row r="578" customFormat="false" ht="15" hidden="false" customHeight="false" outlineLevel="0" collapsed="false">
      <c r="A578" s="47" t="s">
        <v>1022</v>
      </c>
      <c r="B578" s="52" t="n">
        <v>45932</v>
      </c>
      <c r="C578" s="53" t="n">
        <f aca="false">DATE(YEAR(B578),MONTH(B578),1)</f>
        <v>45931</v>
      </c>
      <c r="D578" s="5" t="str">
        <f aca="false">YEAR(B578)&amp;"Q"&amp;ROUNDUP(MONTH(B578)/3,0)</f>
        <v>2025Q4</v>
      </c>
      <c r="E578" s="47" t="s">
        <v>181</v>
      </c>
      <c r="F578" s="54" t="s">
        <v>139</v>
      </c>
      <c r="G578" s="47" t="s">
        <v>182</v>
      </c>
      <c r="H578" s="47" t="s">
        <v>1024</v>
      </c>
      <c r="I578" s="55" t="n">
        <v>1000</v>
      </c>
      <c r="J578" s="56" t="n">
        <v>3</v>
      </c>
      <c r="K578" s="54" t="s">
        <v>142</v>
      </c>
      <c r="L578" s="57" t="n">
        <v>0.065</v>
      </c>
      <c r="N578" s="47" t="s">
        <v>148</v>
      </c>
      <c r="O578" s="47" t="s">
        <v>417</v>
      </c>
      <c r="P578" s="47"/>
      <c r="Q578" s="48" t="n">
        <f aca="false">IF($J578="","",IFERROR(IF($J578&lt;=1,INDEX(VN_국채일별!$B$4:$B$1436,MATCH($B578,VN_국채일별!$A$4:$A$1436,1)),IF($J578&lt;=2,INDEX(VN_국채일별!$B$4:$B$1436,MATCH($B578,VN_국채일별!$A$4:$A$1436,1))+(INDEX(VN_국채일별!$C$4:$C$1436,MATCH($B578,VN_국채일별!$A$4:$A$1436,1))-INDEX(VN_국채일별!$B$4:$B$1436,MATCH($B578,VN_국채일별!$A$4:$A$1436,1)))*($J578-1),IF($J578&lt;=3,INDEX(VN_국채일별!$C$4:$C$1436,MATCH($B578,VN_국채일별!$A$4:$A$1436,1))+(INDEX(VN_국채일별!$D$4:$D$1436,MATCH($B578,VN_국채일별!$A$4:$A$1436,1))-INDEX(VN_국채일별!$C$4:$C$1436,MATCH($B578,VN_국채일별!$A$4:$A$1436,1)))*($J578-2),IF($J578&lt;=5,INDEX(VN_국채일별!$D$4:$D$1436,MATCH($B578,VN_국채일별!$A$4:$A$1436,1))+(INDEX(VN_국채일별!$E$4:$E$1436,MATCH($B578,VN_국채일별!$A$4:$A$1436,1))-INDEX(VN_국채일별!$D$4:$D$1436,MATCH($B578,VN_국채일별!$A$4:$A$1436,1)))*($J578-3)/2,IF($J578&lt;=7,INDEX(VN_국채일별!$E$4:$E$1436,MATCH($B578,VN_국채일별!$A$4:$A$1436,1))+(INDEX(VN_국채일별!$F$4:$F$1436,MATCH($B578,VN_국채일별!$A$4:$A$1436,1))-INDEX(VN_국채일별!$E$4:$E$1436,MATCH($B578,VN_국채일별!$A$4:$A$1436,1)))*($J578-5)/2,IF($J578&lt;=10,INDEX(VN_국채일별!$F$4:$F$1436,MATCH($B578,VN_국채일별!$A$4:$A$1436,1))+(INDEX(VN_국채일별!$G$4:$G$1436,MATCH($B578,VN_국채일별!$A$4:$A$1436,1))-INDEX(VN_국채일별!$F$4:$F$1436,MATCH($B578,VN_국채일별!$A$4:$A$1436,1)))*($J578-7)/3,INDEX(VN_국채일별!$G$4:$G$1436,MATCH($B578,VN_국채일별!$A$4:$A$1436,1)))))))),""))</f>
        <v>0.02978</v>
      </c>
      <c r="R578" s="58" t="n">
        <f aca="false">IF(OR(L578="",Q578=""),"",(L578-Q578)*10000)</f>
        <v>352.2</v>
      </c>
      <c r="S578" s="30" t="n">
        <f aca="false">IF(AND(K578="고정",N578="N",J578&gt;=2,J578&lt;=4,I578&lt;&gt;""),1,0)</f>
        <v>1</v>
      </c>
      <c r="T578" s="59" t="n">
        <f aca="false">IF(S578=1,I578*L578,0)</f>
        <v>65</v>
      </c>
      <c r="U578" s="60" t="n">
        <f aca="false">IF(AND(S578=1,ISNUMBER(R578)),I578*R578,0)</f>
        <v>352200</v>
      </c>
      <c r="V578" s="30" t="n">
        <f aca="false">IF(AND(F578="Big4(국영)",K578="고정",N578="N",I578&lt;&gt;""),1,0)</f>
        <v>0</v>
      </c>
      <c r="W578" s="59" t="n">
        <f aca="false">IF(V578=1,I578*L578,0)</f>
        <v>0</v>
      </c>
      <c r="X578" s="60" t="n">
        <f aca="false">IF(AND(V578=1,ISNUMBER(R578)),I578*R578,0)</f>
        <v>0</v>
      </c>
      <c r="Y578" s="61" t="n">
        <f aca="false">IF(AND(S578=1,ISNUMBER(R578)),I578,0)</f>
        <v>1000</v>
      </c>
      <c r="Z578" s="61" t="n">
        <f aca="false">IF(AND(V578=1,ISNUMBER(R578)),I578,0)</f>
        <v>0</v>
      </c>
    </row>
    <row r="579" customFormat="false" ht="15" hidden="false" customHeight="false" outlineLevel="0" collapsed="false">
      <c r="A579" s="47" t="s">
        <v>1022</v>
      </c>
      <c r="B579" s="52" t="n">
        <v>45936</v>
      </c>
      <c r="C579" s="53" t="n">
        <f aca="false">DATE(YEAR(B579),MONTH(B579),1)</f>
        <v>45931</v>
      </c>
      <c r="D579" s="5" t="str">
        <f aca="false">YEAR(B579)&amp;"Q"&amp;ROUNDUP(MONTH(B579)/3,0)</f>
        <v>2025Q4</v>
      </c>
      <c r="E579" s="47" t="s">
        <v>248</v>
      </c>
      <c r="F579" s="54" t="s">
        <v>139</v>
      </c>
      <c r="G579" s="47" t="s">
        <v>361</v>
      </c>
      <c r="H579" s="47" t="s">
        <v>1025</v>
      </c>
      <c r="I579" s="55" t="n">
        <v>500</v>
      </c>
      <c r="J579" s="56" t="n">
        <v>8</v>
      </c>
      <c r="K579" s="54" t="s">
        <v>153</v>
      </c>
      <c r="N579" s="47" t="s">
        <v>143</v>
      </c>
      <c r="O579" s="47" t="s">
        <v>494</v>
      </c>
      <c r="P579" s="47"/>
      <c r="Q579" s="48" t="n">
        <f aca="false">IF($J579="","",IFERROR(IF($J579&lt;=1,INDEX(VN_국채일별!$B$4:$B$1436,MATCH($B579,VN_국채일별!$A$4:$A$1436,1)),IF($J579&lt;=2,INDEX(VN_국채일별!$B$4:$B$1436,MATCH($B579,VN_국채일별!$A$4:$A$1436,1))+(INDEX(VN_국채일별!$C$4:$C$1436,MATCH($B579,VN_국채일별!$A$4:$A$1436,1))-INDEX(VN_국채일별!$B$4:$B$1436,MATCH($B579,VN_국채일별!$A$4:$A$1436,1)))*($J579-1),IF($J579&lt;=3,INDEX(VN_국채일별!$C$4:$C$1436,MATCH($B579,VN_국채일별!$A$4:$A$1436,1))+(INDEX(VN_국채일별!$D$4:$D$1436,MATCH($B579,VN_국채일별!$A$4:$A$1436,1))-INDEX(VN_국채일별!$C$4:$C$1436,MATCH($B579,VN_국채일별!$A$4:$A$1436,1)))*($J579-2),IF($J579&lt;=5,INDEX(VN_국채일별!$D$4:$D$1436,MATCH($B579,VN_국채일별!$A$4:$A$1436,1))+(INDEX(VN_국채일별!$E$4:$E$1436,MATCH($B579,VN_국채일별!$A$4:$A$1436,1))-INDEX(VN_국채일별!$D$4:$D$1436,MATCH($B579,VN_국채일별!$A$4:$A$1436,1)))*($J579-3)/2,IF($J579&lt;=7,INDEX(VN_국채일별!$E$4:$E$1436,MATCH($B579,VN_국채일별!$A$4:$A$1436,1))+(INDEX(VN_국채일별!$F$4:$F$1436,MATCH($B579,VN_국채일별!$A$4:$A$1436,1))-INDEX(VN_국채일별!$E$4:$E$1436,MATCH($B579,VN_국채일별!$A$4:$A$1436,1)))*($J579-5)/2,IF($J579&lt;=10,INDEX(VN_국채일별!$F$4:$F$1436,MATCH($B579,VN_국채일별!$A$4:$A$1436,1))+(INDEX(VN_국채일별!$G$4:$G$1436,MATCH($B579,VN_국채일별!$A$4:$A$1436,1))-INDEX(VN_국채일별!$F$4:$F$1436,MATCH($B579,VN_국채일별!$A$4:$A$1436,1)))*($J579-7)/3,INDEX(VN_국채일별!$G$4:$G$1436,MATCH($B579,VN_국채일별!$A$4:$A$1436,1)))))))),""))</f>
        <v>0.0361933333333333</v>
      </c>
      <c r="R579" s="58" t="str">
        <f aca="false">IF(OR(L579="",Q579=""),"",(L579-Q579)*10000)</f>
        <v/>
      </c>
      <c r="S579" s="30" t="n">
        <f aca="false">IF(AND(K579="고정",N579="N",J579&gt;=2,J579&lt;=4,I579&lt;&gt;""),1,0)</f>
        <v>0</v>
      </c>
      <c r="T579" s="59" t="n">
        <f aca="false">IF(S579=1,I579*L579,0)</f>
        <v>0</v>
      </c>
      <c r="U579" s="60" t="n">
        <f aca="false">IF(AND(S579=1,ISNUMBER(R579)),I579*R579,0)</f>
        <v>0</v>
      </c>
      <c r="V579" s="30" t="n">
        <f aca="false">IF(AND(F579="Big4(국영)",K579="고정",N579="N",I579&lt;&gt;""),1,0)</f>
        <v>0</v>
      </c>
      <c r="W579" s="59" t="n">
        <f aca="false">IF(V579=1,I579*L579,0)</f>
        <v>0</v>
      </c>
      <c r="X579" s="60" t="n">
        <f aca="false">IF(AND(V579=1,ISNUMBER(R579)),I579*R579,0)</f>
        <v>0</v>
      </c>
      <c r="Y579" s="61" t="n">
        <f aca="false">IF(AND(S579=1,ISNUMBER(R579)),I579,0)</f>
        <v>0</v>
      </c>
      <c r="Z579" s="61" t="n">
        <f aca="false">IF(AND(V579=1,ISNUMBER(R579)),I579,0)</f>
        <v>0</v>
      </c>
    </row>
    <row r="580" customFormat="false" ht="15" hidden="false" customHeight="false" outlineLevel="0" collapsed="false">
      <c r="A580" s="47" t="s">
        <v>1022</v>
      </c>
      <c r="B580" s="52" t="n">
        <v>45936</v>
      </c>
      <c r="C580" s="53" t="n">
        <f aca="false">DATE(YEAR(B580),MONTH(B580),1)</f>
        <v>45931</v>
      </c>
      <c r="D580" s="5" t="str">
        <f aca="false">YEAR(B580)&amp;"Q"&amp;ROUNDUP(MONTH(B580)/3,0)</f>
        <v>2025Q4</v>
      </c>
      <c r="E580" s="62" t="s">
        <v>155</v>
      </c>
      <c r="F580" s="62" t="s">
        <v>156</v>
      </c>
      <c r="G580" s="47" t="s">
        <v>157</v>
      </c>
      <c r="H580" s="47" t="s">
        <v>1026</v>
      </c>
      <c r="I580" s="55" t="n">
        <v>100</v>
      </c>
      <c r="J580" s="56" t="n">
        <v>8</v>
      </c>
      <c r="K580" s="54" t="s">
        <v>153</v>
      </c>
      <c r="N580" s="47" t="s">
        <v>143</v>
      </c>
      <c r="O580" s="47" t="s">
        <v>870</v>
      </c>
      <c r="P580" s="47"/>
      <c r="Q580" s="48" t="n">
        <f aca="false">IF($J580="","",IFERROR(IF($J580&lt;=1,INDEX(VN_국채일별!$B$4:$B$1436,MATCH($B580,VN_국채일별!$A$4:$A$1436,1)),IF($J580&lt;=2,INDEX(VN_국채일별!$B$4:$B$1436,MATCH($B580,VN_국채일별!$A$4:$A$1436,1))+(INDEX(VN_국채일별!$C$4:$C$1436,MATCH($B580,VN_국채일별!$A$4:$A$1436,1))-INDEX(VN_국채일별!$B$4:$B$1436,MATCH($B580,VN_국채일별!$A$4:$A$1436,1)))*($J580-1),IF($J580&lt;=3,INDEX(VN_국채일별!$C$4:$C$1436,MATCH($B580,VN_국채일별!$A$4:$A$1436,1))+(INDEX(VN_국채일별!$D$4:$D$1436,MATCH($B580,VN_국채일별!$A$4:$A$1436,1))-INDEX(VN_국채일별!$C$4:$C$1436,MATCH($B580,VN_국채일별!$A$4:$A$1436,1)))*($J580-2),IF($J580&lt;=5,INDEX(VN_국채일별!$D$4:$D$1436,MATCH($B580,VN_국채일별!$A$4:$A$1436,1))+(INDEX(VN_국채일별!$E$4:$E$1436,MATCH($B580,VN_국채일별!$A$4:$A$1436,1))-INDEX(VN_국채일별!$D$4:$D$1436,MATCH($B580,VN_국채일별!$A$4:$A$1436,1)))*($J580-3)/2,IF($J580&lt;=7,INDEX(VN_국채일별!$E$4:$E$1436,MATCH($B580,VN_국채일별!$A$4:$A$1436,1))+(INDEX(VN_국채일별!$F$4:$F$1436,MATCH($B580,VN_국채일별!$A$4:$A$1436,1))-INDEX(VN_국채일별!$E$4:$E$1436,MATCH($B580,VN_국채일별!$A$4:$A$1436,1)))*($J580-5)/2,IF($J580&lt;=10,INDEX(VN_국채일별!$F$4:$F$1436,MATCH($B580,VN_국채일별!$A$4:$A$1436,1))+(INDEX(VN_국채일별!$G$4:$G$1436,MATCH($B580,VN_국채일별!$A$4:$A$1436,1))-INDEX(VN_국채일별!$F$4:$F$1436,MATCH($B580,VN_국채일별!$A$4:$A$1436,1)))*($J580-7)/3,INDEX(VN_국채일별!$G$4:$G$1436,MATCH($B580,VN_국채일별!$A$4:$A$1436,1)))))))),""))</f>
        <v>0.0361933333333333</v>
      </c>
      <c r="R580" s="58" t="str">
        <f aca="false">IF(OR(L580="",Q580=""),"",(L580-Q580)*10000)</f>
        <v/>
      </c>
      <c r="S580" s="30" t="n">
        <f aca="false">IF(AND(K580="고정",N580="N",J580&gt;=2,J580&lt;=4,I580&lt;&gt;""),1,0)</f>
        <v>0</v>
      </c>
      <c r="T580" s="59" t="n">
        <f aca="false">IF(S580=1,I580*L580,0)</f>
        <v>0</v>
      </c>
      <c r="U580" s="60" t="n">
        <f aca="false">IF(AND(S580=1,ISNUMBER(R580)),I580*R580,0)</f>
        <v>0</v>
      </c>
      <c r="V580" s="30" t="n">
        <f aca="false">IF(AND(F580="Big4(국영)",K580="고정",N580="N",I580&lt;&gt;""),1,0)</f>
        <v>0</v>
      </c>
      <c r="W580" s="59" t="n">
        <f aca="false">IF(V580=1,I580*L580,0)</f>
        <v>0</v>
      </c>
      <c r="X580" s="60" t="n">
        <f aca="false">IF(AND(V580=1,ISNUMBER(R580)),I580*R580,0)</f>
        <v>0</v>
      </c>
      <c r="Y580" s="61" t="n">
        <f aca="false">IF(AND(S580=1,ISNUMBER(R580)),I580,0)</f>
        <v>0</v>
      </c>
      <c r="Z580" s="61" t="n">
        <f aca="false">IF(AND(V580=1,ISNUMBER(R580)),I580,0)</f>
        <v>0</v>
      </c>
    </row>
    <row r="581" customFormat="false" ht="15" hidden="false" customHeight="false" outlineLevel="0" collapsed="false">
      <c r="A581" s="47" t="s">
        <v>1022</v>
      </c>
      <c r="B581" s="52" t="n">
        <v>45936</v>
      </c>
      <c r="C581" s="53" t="n">
        <f aca="false">DATE(YEAR(B581),MONTH(B581),1)</f>
        <v>45931</v>
      </c>
      <c r="D581" s="5" t="str">
        <f aca="false">YEAR(B581)&amp;"Q"&amp;ROUNDUP(MONTH(B581)/3,0)</f>
        <v>2025Q4</v>
      </c>
      <c r="E581" s="62" t="s">
        <v>155</v>
      </c>
      <c r="F581" s="62" t="s">
        <v>156</v>
      </c>
      <c r="G581" s="47" t="s">
        <v>157</v>
      </c>
      <c r="H581" s="47" t="s">
        <v>1027</v>
      </c>
      <c r="I581" s="55" t="n">
        <v>100</v>
      </c>
      <c r="J581" s="56" t="n">
        <v>10</v>
      </c>
      <c r="K581" s="54" t="s">
        <v>153</v>
      </c>
      <c r="N581" s="47" t="s">
        <v>143</v>
      </c>
      <c r="O581" s="47" t="s">
        <v>1028</v>
      </c>
      <c r="P581" s="47"/>
      <c r="Q581" s="48" t="n">
        <f aca="false">IF($J581="","",IFERROR(IF($J581&lt;=1,INDEX(VN_국채일별!$B$4:$B$1436,MATCH($B581,VN_국채일별!$A$4:$A$1436,1)),IF($J581&lt;=2,INDEX(VN_국채일별!$B$4:$B$1436,MATCH($B581,VN_국채일별!$A$4:$A$1436,1))+(INDEX(VN_국채일별!$C$4:$C$1436,MATCH($B581,VN_국채일별!$A$4:$A$1436,1))-INDEX(VN_국채일별!$B$4:$B$1436,MATCH($B581,VN_국채일별!$A$4:$A$1436,1)))*($J581-1),IF($J581&lt;=3,INDEX(VN_국채일별!$C$4:$C$1436,MATCH($B581,VN_국채일별!$A$4:$A$1436,1))+(INDEX(VN_국채일별!$D$4:$D$1436,MATCH($B581,VN_국채일별!$A$4:$A$1436,1))-INDEX(VN_국채일별!$C$4:$C$1436,MATCH($B581,VN_국채일별!$A$4:$A$1436,1)))*($J581-2),IF($J581&lt;=5,INDEX(VN_국채일별!$D$4:$D$1436,MATCH($B581,VN_국채일별!$A$4:$A$1436,1))+(INDEX(VN_국채일별!$E$4:$E$1436,MATCH($B581,VN_국채일별!$A$4:$A$1436,1))-INDEX(VN_국채일별!$D$4:$D$1436,MATCH($B581,VN_국채일별!$A$4:$A$1436,1)))*($J581-3)/2,IF($J581&lt;=7,INDEX(VN_국채일별!$E$4:$E$1436,MATCH($B581,VN_국채일별!$A$4:$A$1436,1))+(INDEX(VN_국채일별!$F$4:$F$1436,MATCH($B581,VN_국채일별!$A$4:$A$1436,1))-INDEX(VN_국채일별!$E$4:$E$1436,MATCH($B581,VN_국채일별!$A$4:$A$1436,1)))*($J581-5)/2,IF($J581&lt;=10,INDEX(VN_국채일별!$F$4:$F$1436,MATCH($B581,VN_국채일별!$A$4:$A$1436,1))+(INDEX(VN_국채일별!$G$4:$G$1436,MATCH($B581,VN_국채일별!$A$4:$A$1436,1))-INDEX(VN_국채일별!$F$4:$F$1436,MATCH($B581,VN_국채일별!$A$4:$A$1436,1)))*($J581-7)/3,INDEX(VN_국채일별!$G$4:$G$1436,MATCH($B581,VN_국채일별!$A$4:$A$1436,1)))))))),""))</f>
        <v>0.038</v>
      </c>
      <c r="R581" s="58" t="str">
        <f aca="false">IF(OR(L581="",Q581=""),"",(L581-Q581)*10000)</f>
        <v/>
      </c>
      <c r="S581" s="30" t="n">
        <f aca="false">IF(AND(K581="고정",N581="N",J581&gt;=2,J581&lt;=4,I581&lt;&gt;""),1,0)</f>
        <v>0</v>
      </c>
      <c r="T581" s="59" t="n">
        <f aca="false">IF(S581=1,I581*L581,0)</f>
        <v>0</v>
      </c>
      <c r="U581" s="60" t="n">
        <f aca="false">IF(AND(S581=1,ISNUMBER(R581)),I581*R581,0)</f>
        <v>0</v>
      </c>
      <c r="V581" s="30" t="n">
        <f aca="false">IF(AND(F581="Big4(국영)",K581="고정",N581="N",I581&lt;&gt;""),1,0)</f>
        <v>0</v>
      </c>
      <c r="W581" s="59" t="n">
        <f aca="false">IF(V581=1,I581*L581,0)</f>
        <v>0</v>
      </c>
      <c r="X581" s="60" t="n">
        <f aca="false">IF(AND(V581=1,ISNUMBER(R581)),I581*R581,0)</f>
        <v>0</v>
      </c>
      <c r="Y581" s="61" t="n">
        <f aca="false">IF(AND(S581=1,ISNUMBER(R581)),I581,0)</f>
        <v>0</v>
      </c>
      <c r="Z581" s="61" t="n">
        <f aca="false">IF(AND(V581=1,ISNUMBER(R581)),I581,0)</f>
        <v>0</v>
      </c>
    </row>
    <row r="582" customFormat="false" ht="15" hidden="false" customHeight="false" outlineLevel="0" collapsed="false">
      <c r="A582" s="47" t="s">
        <v>1022</v>
      </c>
      <c r="B582" s="52" t="n">
        <v>45936</v>
      </c>
      <c r="C582" s="53" t="n">
        <f aca="false">DATE(YEAR(B582),MONTH(B582),1)</f>
        <v>45931</v>
      </c>
      <c r="D582" s="5" t="str">
        <f aca="false">YEAR(B582)&amp;"Q"&amp;ROUNDUP(MONTH(B582)/3,0)</f>
        <v>2025Q4</v>
      </c>
      <c r="E582" s="62" t="s">
        <v>155</v>
      </c>
      <c r="F582" s="62" t="s">
        <v>156</v>
      </c>
      <c r="G582" s="47" t="s">
        <v>157</v>
      </c>
      <c r="H582" s="47" t="s">
        <v>1029</v>
      </c>
      <c r="I582" s="55" t="n">
        <v>138</v>
      </c>
      <c r="J582" s="56" t="n">
        <v>7</v>
      </c>
      <c r="K582" s="54" t="s">
        <v>153</v>
      </c>
      <c r="N582" s="47" t="s">
        <v>143</v>
      </c>
      <c r="O582" s="47" t="s">
        <v>872</v>
      </c>
      <c r="P582" s="47"/>
      <c r="Q582" s="48" t="n">
        <f aca="false">IF($J582="","",IFERROR(IF($J582&lt;=1,INDEX(VN_국채일별!$B$4:$B$1436,MATCH($B582,VN_국채일별!$A$4:$A$1436,1)),IF($J582&lt;=2,INDEX(VN_국채일별!$B$4:$B$1436,MATCH($B582,VN_국채일별!$A$4:$A$1436,1))+(INDEX(VN_국채일별!$C$4:$C$1436,MATCH($B582,VN_국채일별!$A$4:$A$1436,1))-INDEX(VN_국채일별!$B$4:$B$1436,MATCH($B582,VN_국채일별!$A$4:$A$1436,1)))*($J582-1),IF($J582&lt;=3,INDEX(VN_국채일별!$C$4:$C$1436,MATCH($B582,VN_국채일별!$A$4:$A$1436,1))+(INDEX(VN_국채일별!$D$4:$D$1436,MATCH($B582,VN_국채일별!$A$4:$A$1436,1))-INDEX(VN_국채일별!$C$4:$C$1436,MATCH($B582,VN_국채일별!$A$4:$A$1436,1)))*($J582-2),IF($J582&lt;=5,INDEX(VN_국채일별!$D$4:$D$1436,MATCH($B582,VN_국채일별!$A$4:$A$1436,1))+(INDEX(VN_국채일별!$E$4:$E$1436,MATCH($B582,VN_국채일별!$A$4:$A$1436,1))-INDEX(VN_국채일별!$D$4:$D$1436,MATCH($B582,VN_국채일별!$A$4:$A$1436,1)))*($J582-3)/2,IF($J582&lt;=7,INDEX(VN_국채일별!$E$4:$E$1436,MATCH($B582,VN_국채일별!$A$4:$A$1436,1))+(INDEX(VN_국채일별!$F$4:$F$1436,MATCH($B582,VN_국채일별!$A$4:$A$1436,1))-INDEX(VN_국채일별!$E$4:$E$1436,MATCH($B582,VN_국채일별!$A$4:$A$1436,1)))*($J582-5)/2,IF($J582&lt;=10,INDEX(VN_국채일별!$F$4:$F$1436,MATCH($B582,VN_국채일별!$A$4:$A$1436,1))+(INDEX(VN_국채일별!$G$4:$G$1436,MATCH($B582,VN_국채일별!$A$4:$A$1436,1))-INDEX(VN_국채일별!$F$4:$F$1436,MATCH($B582,VN_국채일별!$A$4:$A$1436,1)))*($J582-7)/3,INDEX(VN_국채일별!$G$4:$G$1436,MATCH($B582,VN_국채일별!$A$4:$A$1436,1)))))))),""))</f>
        <v>0.03529</v>
      </c>
      <c r="R582" s="58" t="str">
        <f aca="false">IF(OR(L582="",Q582=""),"",(L582-Q582)*10000)</f>
        <v/>
      </c>
      <c r="S582" s="30" t="n">
        <f aca="false">IF(AND(K582="고정",N582="N",J582&gt;=2,J582&lt;=4,I582&lt;&gt;""),1,0)</f>
        <v>0</v>
      </c>
      <c r="T582" s="59" t="n">
        <f aca="false">IF(S582=1,I582*L582,0)</f>
        <v>0</v>
      </c>
      <c r="U582" s="60" t="n">
        <f aca="false">IF(AND(S582=1,ISNUMBER(R582)),I582*R582,0)</f>
        <v>0</v>
      </c>
      <c r="V582" s="30" t="n">
        <f aca="false">IF(AND(F582="Big4(국영)",K582="고정",N582="N",I582&lt;&gt;""),1,0)</f>
        <v>0</v>
      </c>
      <c r="W582" s="59" t="n">
        <f aca="false">IF(V582=1,I582*L582,0)</f>
        <v>0</v>
      </c>
      <c r="X582" s="60" t="n">
        <f aca="false">IF(AND(V582=1,ISNUMBER(R582)),I582*R582,0)</f>
        <v>0</v>
      </c>
      <c r="Y582" s="61" t="n">
        <f aca="false">IF(AND(S582=1,ISNUMBER(R582)),I582,0)</f>
        <v>0</v>
      </c>
      <c r="Z582" s="61" t="n">
        <f aca="false">IF(AND(V582=1,ISNUMBER(R582)),I582,0)</f>
        <v>0</v>
      </c>
    </row>
    <row r="583" customFormat="false" ht="15" hidden="false" customHeight="false" outlineLevel="0" collapsed="false">
      <c r="A583" s="47" t="s">
        <v>1022</v>
      </c>
      <c r="B583" s="52" t="n">
        <v>45936</v>
      </c>
      <c r="C583" s="53" t="n">
        <f aca="false">DATE(YEAR(B583),MONTH(B583),1)</f>
        <v>45931</v>
      </c>
      <c r="D583" s="5" t="str">
        <f aca="false">YEAR(B583)&amp;"Q"&amp;ROUNDUP(MONTH(B583)/3,0)</f>
        <v>2025Q4</v>
      </c>
      <c r="E583" s="62" t="s">
        <v>155</v>
      </c>
      <c r="F583" s="62" t="s">
        <v>156</v>
      </c>
      <c r="G583" s="47" t="s">
        <v>157</v>
      </c>
      <c r="H583" s="47" t="s">
        <v>1030</v>
      </c>
      <c r="I583" s="55" t="n">
        <v>100</v>
      </c>
      <c r="J583" s="56" t="n">
        <v>7</v>
      </c>
      <c r="K583" s="54" t="s">
        <v>153</v>
      </c>
      <c r="N583" s="47" t="s">
        <v>143</v>
      </c>
      <c r="O583" s="47" t="s">
        <v>867</v>
      </c>
      <c r="P583" s="47"/>
      <c r="Q583" s="48" t="n">
        <f aca="false">IF($J583="","",IFERROR(IF($J583&lt;=1,INDEX(VN_국채일별!$B$4:$B$1436,MATCH($B583,VN_국채일별!$A$4:$A$1436,1)),IF($J583&lt;=2,INDEX(VN_국채일별!$B$4:$B$1436,MATCH($B583,VN_국채일별!$A$4:$A$1436,1))+(INDEX(VN_국채일별!$C$4:$C$1436,MATCH($B583,VN_국채일별!$A$4:$A$1436,1))-INDEX(VN_국채일별!$B$4:$B$1436,MATCH($B583,VN_국채일별!$A$4:$A$1436,1)))*($J583-1),IF($J583&lt;=3,INDEX(VN_국채일별!$C$4:$C$1436,MATCH($B583,VN_국채일별!$A$4:$A$1436,1))+(INDEX(VN_국채일별!$D$4:$D$1436,MATCH($B583,VN_국채일별!$A$4:$A$1436,1))-INDEX(VN_국채일별!$C$4:$C$1436,MATCH($B583,VN_국채일별!$A$4:$A$1436,1)))*($J583-2),IF($J583&lt;=5,INDEX(VN_국채일별!$D$4:$D$1436,MATCH($B583,VN_국채일별!$A$4:$A$1436,1))+(INDEX(VN_국채일별!$E$4:$E$1436,MATCH($B583,VN_국채일별!$A$4:$A$1436,1))-INDEX(VN_국채일별!$D$4:$D$1436,MATCH($B583,VN_국채일별!$A$4:$A$1436,1)))*($J583-3)/2,IF($J583&lt;=7,INDEX(VN_국채일별!$E$4:$E$1436,MATCH($B583,VN_국채일별!$A$4:$A$1436,1))+(INDEX(VN_국채일별!$F$4:$F$1436,MATCH($B583,VN_국채일별!$A$4:$A$1436,1))-INDEX(VN_국채일별!$E$4:$E$1436,MATCH($B583,VN_국채일별!$A$4:$A$1436,1)))*($J583-5)/2,IF($J583&lt;=10,INDEX(VN_국채일별!$F$4:$F$1436,MATCH($B583,VN_국채일별!$A$4:$A$1436,1))+(INDEX(VN_국채일별!$G$4:$G$1436,MATCH($B583,VN_국채일별!$A$4:$A$1436,1))-INDEX(VN_국채일별!$F$4:$F$1436,MATCH($B583,VN_국채일별!$A$4:$A$1436,1)))*($J583-7)/3,INDEX(VN_국채일별!$G$4:$G$1436,MATCH($B583,VN_국채일별!$A$4:$A$1436,1)))))))),""))</f>
        <v>0.03529</v>
      </c>
      <c r="R583" s="58" t="str">
        <f aca="false">IF(OR(L583="",Q583=""),"",(L583-Q583)*10000)</f>
        <v/>
      </c>
      <c r="S583" s="30" t="n">
        <f aca="false">IF(AND(K583="고정",N583="N",J583&gt;=2,J583&lt;=4,I583&lt;&gt;""),1,0)</f>
        <v>0</v>
      </c>
      <c r="T583" s="59" t="n">
        <f aca="false">IF(S583=1,I583*L583,0)</f>
        <v>0</v>
      </c>
      <c r="U583" s="60" t="n">
        <f aca="false">IF(AND(S583=1,ISNUMBER(R583)),I583*R583,0)</f>
        <v>0</v>
      </c>
      <c r="V583" s="30" t="n">
        <f aca="false">IF(AND(F583="Big4(국영)",K583="고정",N583="N",I583&lt;&gt;""),1,0)</f>
        <v>0</v>
      </c>
      <c r="W583" s="59" t="n">
        <f aca="false">IF(V583=1,I583*L583,0)</f>
        <v>0</v>
      </c>
      <c r="X583" s="60" t="n">
        <f aca="false">IF(AND(V583=1,ISNUMBER(R583)),I583*R583,0)</f>
        <v>0</v>
      </c>
      <c r="Y583" s="61" t="n">
        <f aca="false">IF(AND(S583=1,ISNUMBER(R583)),I583,0)</f>
        <v>0</v>
      </c>
      <c r="Z583" s="61" t="n">
        <f aca="false">IF(AND(V583=1,ISNUMBER(R583)),I583,0)</f>
        <v>0</v>
      </c>
    </row>
    <row r="584" customFormat="false" ht="15" hidden="false" customHeight="false" outlineLevel="0" collapsed="false">
      <c r="A584" s="47" t="s">
        <v>1022</v>
      </c>
      <c r="B584" s="52" t="n">
        <v>45937</v>
      </c>
      <c r="C584" s="53" t="n">
        <f aca="false">DATE(YEAR(B584),MONTH(B584),1)</f>
        <v>45931</v>
      </c>
      <c r="D584" s="5" t="str">
        <f aca="false">YEAR(B584)&amp;"Q"&amp;ROUNDUP(MONTH(B584)/3,0)</f>
        <v>2025Q4</v>
      </c>
      <c r="E584" s="47" t="s">
        <v>365</v>
      </c>
      <c r="F584" s="54" t="s">
        <v>139</v>
      </c>
      <c r="G584" s="47" t="s">
        <v>366</v>
      </c>
      <c r="H584" s="47" t="s">
        <v>1031</v>
      </c>
      <c r="I584" s="55" t="n">
        <v>500</v>
      </c>
      <c r="J584" s="56" t="n">
        <v>2</v>
      </c>
      <c r="K584" s="54" t="s">
        <v>142</v>
      </c>
      <c r="L584" s="57" t="n">
        <v>0.062</v>
      </c>
      <c r="N584" s="47" t="s">
        <v>148</v>
      </c>
      <c r="O584" s="47" t="s">
        <v>485</v>
      </c>
      <c r="P584" s="47"/>
      <c r="Q584" s="48" t="n">
        <f aca="false">IF($J584="","",IFERROR(IF($J584&lt;=1,INDEX(VN_국채일별!$B$4:$B$1436,MATCH($B584,VN_국채일별!$A$4:$A$1436,1)),IF($J584&lt;=2,INDEX(VN_국채일별!$B$4:$B$1436,MATCH($B584,VN_국채일별!$A$4:$A$1436,1))+(INDEX(VN_국채일별!$C$4:$C$1436,MATCH($B584,VN_국채일별!$A$4:$A$1436,1))-INDEX(VN_국채일별!$B$4:$B$1436,MATCH($B584,VN_국채일별!$A$4:$A$1436,1)))*($J584-1),IF($J584&lt;=3,INDEX(VN_국채일별!$C$4:$C$1436,MATCH($B584,VN_국채일별!$A$4:$A$1436,1))+(INDEX(VN_국채일별!$D$4:$D$1436,MATCH($B584,VN_국채일별!$A$4:$A$1436,1))-INDEX(VN_국채일별!$C$4:$C$1436,MATCH($B584,VN_국채일별!$A$4:$A$1436,1)))*($J584-2),IF($J584&lt;=5,INDEX(VN_국채일별!$D$4:$D$1436,MATCH($B584,VN_국채일별!$A$4:$A$1436,1))+(INDEX(VN_국채일별!$E$4:$E$1436,MATCH($B584,VN_국채일별!$A$4:$A$1436,1))-INDEX(VN_국채일별!$D$4:$D$1436,MATCH($B584,VN_국채일별!$A$4:$A$1436,1)))*($J584-3)/2,IF($J584&lt;=7,INDEX(VN_국채일별!$E$4:$E$1436,MATCH($B584,VN_국채일별!$A$4:$A$1436,1))+(INDEX(VN_국채일별!$F$4:$F$1436,MATCH($B584,VN_국채일별!$A$4:$A$1436,1))-INDEX(VN_국채일별!$E$4:$E$1436,MATCH($B584,VN_국채일별!$A$4:$A$1436,1)))*($J584-5)/2,IF($J584&lt;=10,INDEX(VN_국채일별!$F$4:$F$1436,MATCH($B584,VN_국채일별!$A$4:$A$1436,1))+(INDEX(VN_국채일별!$G$4:$G$1436,MATCH($B584,VN_국채일별!$A$4:$A$1436,1))-INDEX(VN_국채일별!$F$4:$F$1436,MATCH($B584,VN_국채일별!$A$4:$A$1436,1)))*($J584-7)/3,INDEX(VN_국채일별!$G$4:$G$1436,MATCH($B584,VN_국채일별!$A$4:$A$1436,1)))))))),""))</f>
        <v>0.02908</v>
      </c>
      <c r="R584" s="58" t="n">
        <f aca="false">IF(OR(L584="",Q584=""),"",(L584-Q584)*10000)</f>
        <v>329.2</v>
      </c>
      <c r="S584" s="30" t="n">
        <f aca="false">IF(AND(K584="고정",N584="N",J584&gt;=2,J584&lt;=4,I584&lt;&gt;""),1,0)</f>
        <v>1</v>
      </c>
      <c r="T584" s="59" t="n">
        <f aca="false">IF(S584=1,I584*L584,0)</f>
        <v>31</v>
      </c>
      <c r="U584" s="60" t="n">
        <f aca="false">IF(AND(S584=1,ISNUMBER(R584)),I584*R584,0)</f>
        <v>164600</v>
      </c>
      <c r="V584" s="30" t="n">
        <f aca="false">IF(AND(F584="Big4(국영)",K584="고정",N584="N",I584&lt;&gt;""),1,0)</f>
        <v>0</v>
      </c>
      <c r="W584" s="59" t="n">
        <f aca="false">IF(V584=1,I584*L584,0)</f>
        <v>0</v>
      </c>
      <c r="X584" s="60" t="n">
        <f aca="false">IF(AND(V584=1,ISNUMBER(R584)),I584*R584,0)</f>
        <v>0</v>
      </c>
      <c r="Y584" s="61" t="n">
        <f aca="false">IF(AND(S584=1,ISNUMBER(R584)),I584,0)</f>
        <v>500</v>
      </c>
      <c r="Z584" s="61" t="n">
        <f aca="false">IF(AND(V584=1,ISNUMBER(R584)),I584,0)</f>
        <v>0</v>
      </c>
    </row>
    <row r="585" customFormat="false" ht="15" hidden="false" customHeight="false" outlineLevel="0" collapsed="false">
      <c r="A585" s="47" t="s">
        <v>1022</v>
      </c>
      <c r="B585" s="52" t="n">
        <v>45938</v>
      </c>
      <c r="C585" s="53" t="n">
        <f aca="false">DATE(YEAR(B585),MONTH(B585),1)</f>
        <v>45931</v>
      </c>
      <c r="D585" s="5" t="str">
        <f aca="false">YEAR(B585)&amp;"Q"&amp;ROUNDUP(MONTH(B585)/3,0)</f>
        <v>2025Q4</v>
      </c>
      <c r="E585" s="47" t="s">
        <v>181</v>
      </c>
      <c r="F585" s="54" t="s">
        <v>139</v>
      </c>
      <c r="G585" s="47" t="s">
        <v>182</v>
      </c>
      <c r="H585" s="47" t="s">
        <v>1032</v>
      </c>
      <c r="I585" s="55" t="n">
        <v>1000</v>
      </c>
      <c r="J585" s="56" t="n">
        <v>3</v>
      </c>
      <c r="K585" s="54" t="s">
        <v>142</v>
      </c>
      <c r="L585" s="57" t="n">
        <v>0.065</v>
      </c>
      <c r="N585" s="47" t="s">
        <v>148</v>
      </c>
      <c r="O585" s="47" t="s">
        <v>417</v>
      </c>
      <c r="P585" s="47"/>
      <c r="Q585" s="48" t="n">
        <f aca="false">IF($J585="","",IFERROR(IF($J585&lt;=1,INDEX(VN_국채일별!$B$4:$B$1436,MATCH($B585,VN_국채일별!$A$4:$A$1436,1)),IF($J585&lt;=2,INDEX(VN_국채일별!$B$4:$B$1436,MATCH($B585,VN_국채일별!$A$4:$A$1436,1))+(INDEX(VN_국채일별!$C$4:$C$1436,MATCH($B585,VN_국채일별!$A$4:$A$1436,1))-INDEX(VN_국채일별!$B$4:$B$1436,MATCH($B585,VN_국채일별!$A$4:$A$1436,1)))*($J585-1),IF($J585&lt;=3,INDEX(VN_국채일별!$C$4:$C$1436,MATCH($B585,VN_국채일별!$A$4:$A$1436,1))+(INDEX(VN_국채일별!$D$4:$D$1436,MATCH($B585,VN_국채일별!$A$4:$A$1436,1))-INDEX(VN_국채일별!$C$4:$C$1436,MATCH($B585,VN_국채일별!$A$4:$A$1436,1)))*($J585-2),IF($J585&lt;=5,INDEX(VN_국채일별!$D$4:$D$1436,MATCH($B585,VN_국채일별!$A$4:$A$1436,1))+(INDEX(VN_국채일별!$E$4:$E$1436,MATCH($B585,VN_국채일별!$A$4:$A$1436,1))-INDEX(VN_국채일별!$D$4:$D$1436,MATCH($B585,VN_국채일별!$A$4:$A$1436,1)))*($J585-3)/2,IF($J585&lt;=7,INDEX(VN_국채일별!$E$4:$E$1436,MATCH($B585,VN_국채일별!$A$4:$A$1436,1))+(INDEX(VN_국채일별!$F$4:$F$1436,MATCH($B585,VN_국채일별!$A$4:$A$1436,1))-INDEX(VN_국채일별!$E$4:$E$1436,MATCH($B585,VN_국채일별!$A$4:$A$1436,1)))*($J585-5)/2,IF($J585&lt;=10,INDEX(VN_국채일별!$F$4:$F$1436,MATCH($B585,VN_국채일별!$A$4:$A$1436,1))+(INDEX(VN_국채일별!$G$4:$G$1436,MATCH($B585,VN_국채일별!$A$4:$A$1436,1))-INDEX(VN_국채일별!$F$4:$F$1436,MATCH($B585,VN_국채일별!$A$4:$A$1436,1)))*($J585-7)/3,INDEX(VN_국채일별!$G$4:$G$1436,MATCH($B585,VN_국채일별!$A$4:$A$1436,1)))))))),""))</f>
        <v>0.02976</v>
      </c>
      <c r="R585" s="58" t="n">
        <f aca="false">IF(OR(L585="",Q585=""),"",(L585-Q585)*10000)</f>
        <v>352.4</v>
      </c>
      <c r="S585" s="30" t="n">
        <f aca="false">IF(AND(K585="고정",N585="N",J585&gt;=2,J585&lt;=4,I585&lt;&gt;""),1,0)</f>
        <v>1</v>
      </c>
      <c r="T585" s="59" t="n">
        <f aca="false">IF(S585=1,I585*L585,0)</f>
        <v>65</v>
      </c>
      <c r="U585" s="60" t="n">
        <f aca="false">IF(AND(S585=1,ISNUMBER(R585)),I585*R585,0)</f>
        <v>352400</v>
      </c>
      <c r="V585" s="30" t="n">
        <f aca="false">IF(AND(F585="Big4(국영)",K585="고정",N585="N",I585&lt;&gt;""),1,0)</f>
        <v>0</v>
      </c>
      <c r="W585" s="59" t="n">
        <f aca="false">IF(V585=1,I585*L585,0)</f>
        <v>0</v>
      </c>
      <c r="X585" s="60" t="n">
        <f aca="false">IF(AND(V585=1,ISNUMBER(R585)),I585*R585,0)</f>
        <v>0</v>
      </c>
      <c r="Y585" s="61" t="n">
        <f aca="false">IF(AND(S585=1,ISNUMBER(R585)),I585,0)</f>
        <v>1000</v>
      </c>
      <c r="Z585" s="61" t="n">
        <f aca="false">IF(AND(V585=1,ISNUMBER(R585)),I585,0)</f>
        <v>0</v>
      </c>
    </row>
    <row r="586" customFormat="false" ht="15" hidden="false" customHeight="false" outlineLevel="0" collapsed="false">
      <c r="A586" s="47" t="s">
        <v>1022</v>
      </c>
      <c r="B586" s="52" t="n">
        <v>45939</v>
      </c>
      <c r="C586" s="53" t="n">
        <f aca="false">DATE(YEAR(B586),MONTH(B586),1)</f>
        <v>45931</v>
      </c>
      <c r="D586" s="5" t="str">
        <f aca="false">YEAR(B586)&amp;"Q"&amp;ROUNDUP(MONTH(B586)/3,0)</f>
        <v>2025Q4</v>
      </c>
      <c r="E586" s="47" t="s">
        <v>254</v>
      </c>
      <c r="F586" s="54" t="s">
        <v>139</v>
      </c>
      <c r="G586" s="47" t="s">
        <v>339</v>
      </c>
      <c r="H586" s="47" t="s">
        <v>1033</v>
      </c>
      <c r="I586" s="55" t="n">
        <v>800</v>
      </c>
      <c r="J586" s="56" t="n">
        <v>3</v>
      </c>
      <c r="K586" s="54" t="s">
        <v>153</v>
      </c>
      <c r="M586" s="57" t="n">
        <v>0.063</v>
      </c>
      <c r="N586" s="47" t="s">
        <v>148</v>
      </c>
      <c r="O586" s="47" t="s">
        <v>1034</v>
      </c>
      <c r="P586" s="47"/>
      <c r="Q586" s="48" t="n">
        <f aca="false">IF($J586="","",IFERROR(IF($J586&lt;=1,INDEX(VN_국채일별!$B$4:$B$1436,MATCH($B586,VN_국채일별!$A$4:$A$1436,1)),IF($J586&lt;=2,INDEX(VN_국채일별!$B$4:$B$1436,MATCH($B586,VN_국채일별!$A$4:$A$1436,1))+(INDEX(VN_국채일별!$C$4:$C$1436,MATCH($B586,VN_국채일별!$A$4:$A$1436,1))-INDEX(VN_국채일별!$B$4:$B$1436,MATCH($B586,VN_국채일별!$A$4:$A$1436,1)))*($J586-1),IF($J586&lt;=3,INDEX(VN_국채일별!$C$4:$C$1436,MATCH($B586,VN_국채일별!$A$4:$A$1436,1))+(INDEX(VN_국채일별!$D$4:$D$1436,MATCH($B586,VN_국채일별!$A$4:$A$1436,1))-INDEX(VN_국채일별!$C$4:$C$1436,MATCH($B586,VN_국채일별!$A$4:$A$1436,1)))*($J586-2),IF($J586&lt;=5,INDEX(VN_국채일별!$D$4:$D$1436,MATCH($B586,VN_국채일별!$A$4:$A$1436,1))+(INDEX(VN_국채일별!$E$4:$E$1436,MATCH($B586,VN_국채일별!$A$4:$A$1436,1))-INDEX(VN_국채일별!$D$4:$D$1436,MATCH($B586,VN_국채일별!$A$4:$A$1436,1)))*($J586-3)/2,IF($J586&lt;=7,INDEX(VN_국채일별!$E$4:$E$1436,MATCH($B586,VN_국채일별!$A$4:$A$1436,1))+(INDEX(VN_국채일별!$F$4:$F$1436,MATCH($B586,VN_국채일별!$A$4:$A$1436,1))-INDEX(VN_국채일별!$E$4:$E$1436,MATCH($B586,VN_국채일별!$A$4:$A$1436,1)))*($J586-5)/2,IF($J586&lt;=10,INDEX(VN_국채일별!$F$4:$F$1436,MATCH($B586,VN_국채일별!$A$4:$A$1436,1))+(INDEX(VN_국채일별!$G$4:$G$1436,MATCH($B586,VN_국채일별!$A$4:$A$1436,1))-INDEX(VN_국채일별!$F$4:$F$1436,MATCH($B586,VN_국채일별!$A$4:$A$1436,1)))*($J586-7)/3,INDEX(VN_국채일별!$G$4:$G$1436,MATCH($B586,VN_국채일별!$A$4:$A$1436,1)))))))),""))</f>
        <v>0.02992</v>
      </c>
      <c r="R586" s="58" t="str">
        <f aca="false">IF(OR(L586="",Q586=""),"",(L586-Q586)*10000)</f>
        <v/>
      </c>
      <c r="S586" s="30" t="n">
        <f aca="false">IF(AND(K586="고정",N586="N",J586&gt;=2,J586&lt;=4,I586&lt;&gt;""),1,0)</f>
        <v>0</v>
      </c>
      <c r="T586" s="59" t="n">
        <f aca="false">IF(S586=1,I586*L586,0)</f>
        <v>0</v>
      </c>
      <c r="U586" s="60" t="n">
        <f aca="false">IF(AND(S586=1,ISNUMBER(R586)),I586*R586,0)</f>
        <v>0</v>
      </c>
      <c r="V586" s="30" t="n">
        <f aca="false">IF(AND(F586="Big4(국영)",K586="고정",N586="N",I586&lt;&gt;""),1,0)</f>
        <v>0</v>
      </c>
      <c r="W586" s="59" t="n">
        <f aca="false">IF(V586=1,I586*L586,0)</f>
        <v>0</v>
      </c>
      <c r="X586" s="60" t="n">
        <f aca="false">IF(AND(V586=1,ISNUMBER(R586)),I586*R586,0)</f>
        <v>0</v>
      </c>
      <c r="Y586" s="61" t="n">
        <f aca="false">IF(AND(S586=1,ISNUMBER(R586)),I586,0)</f>
        <v>0</v>
      </c>
      <c r="Z586" s="61" t="n">
        <f aca="false">IF(AND(V586=1,ISNUMBER(R586)),I586,0)</f>
        <v>0</v>
      </c>
    </row>
    <row r="587" customFormat="false" ht="15" hidden="false" customHeight="false" outlineLevel="0" collapsed="false">
      <c r="A587" s="47" t="s">
        <v>1022</v>
      </c>
      <c r="B587" s="52" t="n">
        <v>45940</v>
      </c>
      <c r="C587" s="53" t="n">
        <f aca="false">DATE(YEAR(B587),MONTH(B587),1)</f>
        <v>45931</v>
      </c>
      <c r="D587" s="5" t="str">
        <f aca="false">YEAR(B587)&amp;"Q"&amp;ROUNDUP(MONTH(B587)/3,0)</f>
        <v>2025Q4</v>
      </c>
      <c r="E587" s="47" t="s">
        <v>150</v>
      </c>
      <c r="F587" s="54" t="s">
        <v>139</v>
      </c>
      <c r="G587" s="47" t="s">
        <v>170</v>
      </c>
      <c r="H587" s="47" t="s">
        <v>1035</v>
      </c>
      <c r="I587" s="55" t="n">
        <v>1575</v>
      </c>
      <c r="J587" s="56" t="n">
        <v>8</v>
      </c>
      <c r="K587" s="54" t="s">
        <v>153</v>
      </c>
      <c r="N587" s="47" t="s">
        <v>143</v>
      </c>
      <c r="O587" s="47" t="s">
        <v>1036</v>
      </c>
      <c r="P587" s="47"/>
      <c r="Q587" s="48" t="n">
        <f aca="false">IF($J587="","",IFERROR(IF($J587&lt;=1,INDEX(VN_국채일별!$B$4:$B$1436,MATCH($B587,VN_국채일별!$A$4:$A$1436,1)),IF($J587&lt;=2,INDEX(VN_국채일별!$B$4:$B$1436,MATCH($B587,VN_국채일별!$A$4:$A$1436,1))+(INDEX(VN_국채일별!$C$4:$C$1436,MATCH($B587,VN_국채일별!$A$4:$A$1436,1))-INDEX(VN_국채일별!$B$4:$B$1436,MATCH($B587,VN_국채일별!$A$4:$A$1436,1)))*($J587-1),IF($J587&lt;=3,INDEX(VN_국채일별!$C$4:$C$1436,MATCH($B587,VN_국채일별!$A$4:$A$1436,1))+(INDEX(VN_국채일별!$D$4:$D$1436,MATCH($B587,VN_국채일별!$A$4:$A$1436,1))-INDEX(VN_국채일별!$C$4:$C$1436,MATCH($B587,VN_국채일별!$A$4:$A$1436,1)))*($J587-2),IF($J587&lt;=5,INDEX(VN_국채일별!$D$4:$D$1436,MATCH($B587,VN_국채일별!$A$4:$A$1436,1))+(INDEX(VN_국채일별!$E$4:$E$1436,MATCH($B587,VN_국채일별!$A$4:$A$1436,1))-INDEX(VN_국채일별!$D$4:$D$1436,MATCH($B587,VN_국채일별!$A$4:$A$1436,1)))*($J587-3)/2,IF($J587&lt;=7,INDEX(VN_국채일별!$E$4:$E$1436,MATCH($B587,VN_국채일별!$A$4:$A$1436,1))+(INDEX(VN_국채일별!$F$4:$F$1436,MATCH($B587,VN_국채일별!$A$4:$A$1436,1))-INDEX(VN_국채일별!$E$4:$E$1436,MATCH($B587,VN_국채일별!$A$4:$A$1436,1)))*($J587-5)/2,IF($J587&lt;=10,INDEX(VN_국채일별!$F$4:$F$1436,MATCH($B587,VN_국채일별!$A$4:$A$1436,1))+(INDEX(VN_국채일별!$G$4:$G$1436,MATCH($B587,VN_국채일별!$A$4:$A$1436,1))-INDEX(VN_국채일별!$F$4:$F$1436,MATCH($B587,VN_국채일별!$A$4:$A$1436,1)))*($J587-7)/3,INDEX(VN_국채일별!$G$4:$G$1436,MATCH($B587,VN_국채일별!$A$4:$A$1436,1)))))))),""))</f>
        <v>0.0365666666666667</v>
      </c>
      <c r="R587" s="58" t="str">
        <f aca="false">IF(OR(L587="",Q587=""),"",(L587-Q587)*10000)</f>
        <v/>
      </c>
      <c r="S587" s="30" t="n">
        <f aca="false">IF(AND(K587="고정",N587="N",J587&gt;=2,J587&lt;=4,I587&lt;&gt;""),1,0)</f>
        <v>0</v>
      </c>
      <c r="T587" s="59" t="n">
        <f aca="false">IF(S587=1,I587*L587,0)</f>
        <v>0</v>
      </c>
      <c r="U587" s="60" t="n">
        <f aca="false">IF(AND(S587=1,ISNUMBER(R587)),I587*R587,0)</f>
        <v>0</v>
      </c>
      <c r="V587" s="30" t="n">
        <f aca="false">IF(AND(F587="Big4(국영)",K587="고정",N587="N",I587&lt;&gt;""),1,0)</f>
        <v>0</v>
      </c>
      <c r="W587" s="59" t="n">
        <f aca="false">IF(V587=1,I587*L587,0)</f>
        <v>0</v>
      </c>
      <c r="X587" s="60" t="n">
        <f aca="false">IF(AND(V587=1,ISNUMBER(R587)),I587*R587,0)</f>
        <v>0</v>
      </c>
      <c r="Y587" s="61" t="n">
        <f aca="false">IF(AND(S587=1,ISNUMBER(R587)),I587,0)</f>
        <v>0</v>
      </c>
      <c r="Z587" s="61" t="n">
        <f aca="false">IF(AND(V587=1,ISNUMBER(R587)),I587,0)</f>
        <v>0</v>
      </c>
    </row>
    <row r="588" customFormat="false" ht="15" hidden="false" customHeight="false" outlineLevel="0" collapsed="false">
      <c r="A588" s="47" t="s">
        <v>1022</v>
      </c>
      <c r="B588" s="52" t="n">
        <v>45940</v>
      </c>
      <c r="C588" s="53" t="n">
        <f aca="false">DATE(YEAR(B588),MONTH(B588),1)</f>
        <v>45931</v>
      </c>
      <c r="D588" s="5" t="str">
        <f aca="false">YEAR(B588)&amp;"Q"&amp;ROUNDUP(MONTH(B588)/3,0)</f>
        <v>2025Q4</v>
      </c>
      <c r="E588" s="47" t="s">
        <v>254</v>
      </c>
      <c r="F588" s="54" t="s">
        <v>139</v>
      </c>
      <c r="G588" s="47" t="s">
        <v>339</v>
      </c>
      <c r="H588" s="47" t="s">
        <v>1037</v>
      </c>
      <c r="I588" s="55" t="n">
        <v>500</v>
      </c>
      <c r="J588" s="56" t="n">
        <v>3</v>
      </c>
      <c r="K588" s="54" t="s">
        <v>153</v>
      </c>
      <c r="M588" s="57" t="n">
        <v>0.063</v>
      </c>
      <c r="N588" s="47" t="s">
        <v>148</v>
      </c>
      <c r="O588" s="47" t="s">
        <v>1034</v>
      </c>
      <c r="P588" s="47"/>
      <c r="Q588" s="48" t="n">
        <f aca="false">IF($J588="","",IFERROR(IF($J588&lt;=1,INDEX(VN_국채일별!$B$4:$B$1436,MATCH($B588,VN_국채일별!$A$4:$A$1436,1)),IF($J588&lt;=2,INDEX(VN_국채일별!$B$4:$B$1436,MATCH($B588,VN_국채일별!$A$4:$A$1436,1))+(INDEX(VN_국채일별!$C$4:$C$1436,MATCH($B588,VN_국채일별!$A$4:$A$1436,1))-INDEX(VN_국채일별!$B$4:$B$1436,MATCH($B588,VN_국채일별!$A$4:$A$1436,1)))*($J588-1),IF($J588&lt;=3,INDEX(VN_국채일별!$C$4:$C$1436,MATCH($B588,VN_국채일별!$A$4:$A$1436,1))+(INDEX(VN_국채일별!$D$4:$D$1436,MATCH($B588,VN_국채일별!$A$4:$A$1436,1))-INDEX(VN_국채일별!$C$4:$C$1436,MATCH($B588,VN_국채일별!$A$4:$A$1436,1)))*($J588-2),IF($J588&lt;=5,INDEX(VN_국채일별!$D$4:$D$1436,MATCH($B588,VN_국채일별!$A$4:$A$1436,1))+(INDEX(VN_국채일별!$E$4:$E$1436,MATCH($B588,VN_국채일별!$A$4:$A$1436,1))-INDEX(VN_국채일별!$D$4:$D$1436,MATCH($B588,VN_국채일별!$A$4:$A$1436,1)))*($J588-3)/2,IF($J588&lt;=7,INDEX(VN_국채일별!$E$4:$E$1436,MATCH($B588,VN_국채일별!$A$4:$A$1436,1))+(INDEX(VN_국채일별!$F$4:$F$1436,MATCH($B588,VN_국채일별!$A$4:$A$1436,1))-INDEX(VN_국채일별!$E$4:$E$1436,MATCH($B588,VN_국채일별!$A$4:$A$1436,1)))*($J588-5)/2,IF($J588&lt;=10,INDEX(VN_국채일별!$F$4:$F$1436,MATCH($B588,VN_국채일별!$A$4:$A$1436,1))+(INDEX(VN_국채일별!$G$4:$G$1436,MATCH($B588,VN_국채일별!$A$4:$A$1436,1))-INDEX(VN_국채일별!$F$4:$F$1436,MATCH($B588,VN_국채일별!$A$4:$A$1436,1)))*($J588-7)/3,INDEX(VN_국채일별!$G$4:$G$1436,MATCH($B588,VN_국채일별!$A$4:$A$1436,1)))))))),""))</f>
        <v>0.02992</v>
      </c>
      <c r="R588" s="58" t="str">
        <f aca="false">IF(OR(L588="",Q588=""),"",(L588-Q588)*10000)</f>
        <v/>
      </c>
      <c r="S588" s="30" t="n">
        <f aca="false">IF(AND(K588="고정",N588="N",J588&gt;=2,J588&lt;=4,I588&lt;&gt;""),1,0)</f>
        <v>0</v>
      </c>
      <c r="T588" s="59" t="n">
        <f aca="false">IF(S588=1,I588*L588,0)</f>
        <v>0</v>
      </c>
      <c r="U588" s="60" t="n">
        <f aca="false">IF(AND(S588=1,ISNUMBER(R588)),I588*R588,0)</f>
        <v>0</v>
      </c>
      <c r="V588" s="30" t="n">
        <f aca="false">IF(AND(F588="Big4(국영)",K588="고정",N588="N",I588&lt;&gt;""),1,0)</f>
        <v>0</v>
      </c>
      <c r="W588" s="59" t="n">
        <f aca="false">IF(V588=1,I588*L588,0)</f>
        <v>0</v>
      </c>
      <c r="X588" s="60" t="n">
        <f aca="false">IF(AND(V588=1,ISNUMBER(R588)),I588*R588,0)</f>
        <v>0</v>
      </c>
      <c r="Y588" s="61" t="n">
        <f aca="false">IF(AND(S588=1,ISNUMBER(R588)),I588,0)</f>
        <v>0</v>
      </c>
      <c r="Z588" s="61" t="n">
        <f aca="false">IF(AND(V588=1,ISNUMBER(R588)),I588,0)</f>
        <v>0</v>
      </c>
    </row>
    <row r="589" customFormat="false" ht="15" hidden="false" customHeight="false" outlineLevel="0" collapsed="false">
      <c r="A589" s="47" t="s">
        <v>1022</v>
      </c>
      <c r="B589" s="52" t="n">
        <v>45940</v>
      </c>
      <c r="C589" s="53" t="n">
        <f aca="false">DATE(YEAR(B589),MONTH(B589),1)</f>
        <v>45931</v>
      </c>
      <c r="D589" s="5" t="str">
        <f aca="false">YEAR(B589)&amp;"Q"&amp;ROUNDUP(MONTH(B589)/3,0)</f>
        <v>2025Q4</v>
      </c>
      <c r="E589" s="47" t="s">
        <v>145</v>
      </c>
      <c r="F589" s="54" t="s">
        <v>139</v>
      </c>
      <c r="G589" s="47" t="s">
        <v>146</v>
      </c>
      <c r="H589" s="47" t="s">
        <v>1038</v>
      </c>
      <c r="I589" s="55" t="n">
        <v>2500</v>
      </c>
      <c r="J589" s="56" t="n">
        <v>7</v>
      </c>
      <c r="K589" s="54" t="s">
        <v>153</v>
      </c>
      <c r="N589" s="47" t="s">
        <v>143</v>
      </c>
      <c r="O589" s="47" t="s">
        <v>1039</v>
      </c>
      <c r="P589" s="47"/>
      <c r="Q589" s="48" t="n">
        <f aca="false">IF($J589="","",IFERROR(IF($J589&lt;=1,INDEX(VN_국채일별!$B$4:$B$1436,MATCH($B589,VN_국채일별!$A$4:$A$1436,1)),IF($J589&lt;=2,INDEX(VN_국채일별!$B$4:$B$1436,MATCH($B589,VN_국채일별!$A$4:$A$1436,1))+(INDEX(VN_국채일별!$C$4:$C$1436,MATCH($B589,VN_국채일별!$A$4:$A$1436,1))-INDEX(VN_국채일별!$B$4:$B$1436,MATCH($B589,VN_국채일별!$A$4:$A$1436,1)))*($J589-1),IF($J589&lt;=3,INDEX(VN_국채일별!$C$4:$C$1436,MATCH($B589,VN_국채일별!$A$4:$A$1436,1))+(INDEX(VN_국채일별!$D$4:$D$1436,MATCH($B589,VN_국채일별!$A$4:$A$1436,1))-INDEX(VN_국채일별!$C$4:$C$1436,MATCH($B589,VN_국채일별!$A$4:$A$1436,1)))*($J589-2),IF($J589&lt;=5,INDEX(VN_국채일별!$D$4:$D$1436,MATCH($B589,VN_국채일별!$A$4:$A$1436,1))+(INDEX(VN_국채일별!$E$4:$E$1436,MATCH($B589,VN_국채일별!$A$4:$A$1436,1))-INDEX(VN_국채일별!$D$4:$D$1436,MATCH($B589,VN_국채일별!$A$4:$A$1436,1)))*($J589-3)/2,IF($J589&lt;=7,INDEX(VN_국채일별!$E$4:$E$1436,MATCH($B589,VN_국채일별!$A$4:$A$1436,1))+(INDEX(VN_국채일별!$F$4:$F$1436,MATCH($B589,VN_국채일별!$A$4:$A$1436,1))-INDEX(VN_국채일별!$E$4:$E$1436,MATCH($B589,VN_국채일별!$A$4:$A$1436,1)))*($J589-5)/2,IF($J589&lt;=10,INDEX(VN_국채일별!$F$4:$F$1436,MATCH($B589,VN_국채일별!$A$4:$A$1436,1))+(INDEX(VN_국채일별!$G$4:$G$1436,MATCH($B589,VN_국채일별!$A$4:$A$1436,1))-INDEX(VN_국채일별!$F$4:$F$1436,MATCH($B589,VN_국채일별!$A$4:$A$1436,1)))*($J589-7)/3,INDEX(VN_국채일별!$G$4:$G$1436,MATCH($B589,VN_국채일별!$A$4:$A$1436,1)))))))),""))</f>
        <v>0.03558</v>
      </c>
      <c r="R589" s="58" t="str">
        <f aca="false">IF(OR(L589="",Q589=""),"",(L589-Q589)*10000)</f>
        <v/>
      </c>
      <c r="S589" s="30" t="n">
        <f aca="false">IF(AND(K589="고정",N589="N",J589&gt;=2,J589&lt;=4,I589&lt;&gt;""),1,0)</f>
        <v>0</v>
      </c>
      <c r="T589" s="59" t="n">
        <f aca="false">IF(S589=1,I589*L589,0)</f>
        <v>0</v>
      </c>
      <c r="U589" s="60" t="n">
        <f aca="false">IF(AND(S589=1,ISNUMBER(R589)),I589*R589,0)</f>
        <v>0</v>
      </c>
      <c r="V589" s="30" t="n">
        <f aca="false">IF(AND(F589="Big4(국영)",K589="고정",N589="N",I589&lt;&gt;""),1,0)</f>
        <v>0</v>
      </c>
      <c r="W589" s="59" t="n">
        <f aca="false">IF(V589=1,I589*L589,0)</f>
        <v>0</v>
      </c>
      <c r="X589" s="60" t="n">
        <f aca="false">IF(AND(V589=1,ISNUMBER(R589)),I589*R589,0)</f>
        <v>0</v>
      </c>
      <c r="Y589" s="61" t="n">
        <f aca="false">IF(AND(S589=1,ISNUMBER(R589)),I589,0)</f>
        <v>0</v>
      </c>
      <c r="Z589" s="61" t="n">
        <f aca="false">IF(AND(V589=1,ISNUMBER(R589)),I589,0)</f>
        <v>0</v>
      </c>
    </row>
    <row r="590" customFormat="false" ht="15" hidden="false" customHeight="false" outlineLevel="0" collapsed="false">
      <c r="A590" s="47" t="s">
        <v>1022</v>
      </c>
      <c r="B590" s="52" t="n">
        <v>45943</v>
      </c>
      <c r="C590" s="53" t="n">
        <f aca="false">DATE(YEAR(B590),MONTH(B590),1)</f>
        <v>45931</v>
      </c>
      <c r="D590" s="5" t="str">
        <f aca="false">YEAR(B590)&amp;"Q"&amp;ROUNDUP(MONTH(B590)/3,0)</f>
        <v>2025Q4</v>
      </c>
      <c r="E590" s="47" t="s">
        <v>242</v>
      </c>
      <c r="F590" s="54" t="s">
        <v>139</v>
      </c>
      <c r="G590" s="47" t="s">
        <v>724</v>
      </c>
      <c r="H590" s="47" t="s">
        <v>1040</v>
      </c>
      <c r="I590" s="55" t="n">
        <v>350</v>
      </c>
      <c r="J590" s="56" t="n">
        <v>8</v>
      </c>
      <c r="K590" s="54" t="s">
        <v>153</v>
      </c>
      <c r="N590" s="47" t="s">
        <v>143</v>
      </c>
      <c r="O590" s="47" t="s">
        <v>1041</v>
      </c>
      <c r="P590" s="47"/>
      <c r="Q590" s="48" t="n">
        <f aca="false">IF($J590="","",IFERROR(IF($J590&lt;=1,INDEX(VN_국채일별!$B$4:$B$1436,MATCH($B590,VN_국채일별!$A$4:$A$1436,1)),IF($J590&lt;=2,INDEX(VN_국채일별!$B$4:$B$1436,MATCH($B590,VN_국채일별!$A$4:$A$1436,1))+(INDEX(VN_국채일별!$C$4:$C$1436,MATCH($B590,VN_국채일별!$A$4:$A$1436,1))-INDEX(VN_국채일별!$B$4:$B$1436,MATCH($B590,VN_국채일별!$A$4:$A$1436,1)))*($J590-1),IF($J590&lt;=3,INDEX(VN_국채일별!$C$4:$C$1436,MATCH($B590,VN_국채일별!$A$4:$A$1436,1))+(INDEX(VN_국채일별!$D$4:$D$1436,MATCH($B590,VN_국채일별!$A$4:$A$1436,1))-INDEX(VN_국채일별!$C$4:$C$1436,MATCH($B590,VN_국채일별!$A$4:$A$1436,1)))*($J590-2),IF($J590&lt;=5,INDEX(VN_국채일별!$D$4:$D$1436,MATCH($B590,VN_국채일별!$A$4:$A$1436,1))+(INDEX(VN_국채일별!$E$4:$E$1436,MATCH($B590,VN_국채일별!$A$4:$A$1436,1))-INDEX(VN_국채일별!$D$4:$D$1436,MATCH($B590,VN_국채일별!$A$4:$A$1436,1)))*($J590-3)/2,IF($J590&lt;=7,INDEX(VN_국채일별!$E$4:$E$1436,MATCH($B590,VN_국채일별!$A$4:$A$1436,1))+(INDEX(VN_국채일별!$F$4:$F$1436,MATCH($B590,VN_국채일별!$A$4:$A$1436,1))-INDEX(VN_국채일별!$E$4:$E$1436,MATCH($B590,VN_국채일별!$A$4:$A$1436,1)))*($J590-5)/2,IF($J590&lt;=10,INDEX(VN_국채일별!$F$4:$F$1436,MATCH($B590,VN_국채일별!$A$4:$A$1436,1))+(INDEX(VN_국채일별!$G$4:$G$1436,MATCH($B590,VN_국채일별!$A$4:$A$1436,1))-INDEX(VN_국채일별!$F$4:$F$1436,MATCH($B590,VN_국채일별!$A$4:$A$1436,1)))*($J590-7)/3,INDEX(VN_국채일별!$G$4:$G$1436,MATCH($B590,VN_국채일별!$A$4:$A$1436,1)))))))),""))</f>
        <v>0.03646</v>
      </c>
      <c r="R590" s="58" t="str">
        <f aca="false">IF(OR(L590="",Q590=""),"",(L590-Q590)*10000)</f>
        <v/>
      </c>
      <c r="S590" s="30" t="n">
        <f aca="false">IF(AND(K590="고정",N590="N",J590&gt;=2,J590&lt;=4,I590&lt;&gt;""),1,0)</f>
        <v>0</v>
      </c>
      <c r="T590" s="59" t="n">
        <f aca="false">IF(S590=1,I590*L590,0)</f>
        <v>0</v>
      </c>
      <c r="U590" s="60" t="n">
        <f aca="false">IF(AND(S590=1,ISNUMBER(R590)),I590*R590,0)</f>
        <v>0</v>
      </c>
      <c r="V590" s="30" t="n">
        <f aca="false">IF(AND(F590="Big4(국영)",K590="고정",N590="N",I590&lt;&gt;""),1,0)</f>
        <v>0</v>
      </c>
      <c r="W590" s="59" t="n">
        <f aca="false">IF(V590=1,I590*L590,0)</f>
        <v>0</v>
      </c>
      <c r="X590" s="60" t="n">
        <f aca="false">IF(AND(V590=1,ISNUMBER(R590)),I590*R590,0)</f>
        <v>0</v>
      </c>
      <c r="Y590" s="61" t="n">
        <f aca="false">IF(AND(S590=1,ISNUMBER(R590)),I590,0)</f>
        <v>0</v>
      </c>
      <c r="Z590" s="61" t="n">
        <f aca="false">IF(AND(V590=1,ISNUMBER(R590)),I590,0)</f>
        <v>0</v>
      </c>
    </row>
    <row r="591" customFormat="false" ht="15" hidden="false" customHeight="false" outlineLevel="0" collapsed="false">
      <c r="A591" s="47" t="s">
        <v>1022</v>
      </c>
      <c r="B591" s="52" t="n">
        <v>45943</v>
      </c>
      <c r="C591" s="53" t="n">
        <f aca="false">DATE(YEAR(B591),MONTH(B591),1)</f>
        <v>45931</v>
      </c>
      <c r="D591" s="5" t="str">
        <f aca="false">YEAR(B591)&amp;"Q"&amp;ROUNDUP(MONTH(B591)/3,0)</f>
        <v>2025Q4</v>
      </c>
      <c r="E591" s="47" t="s">
        <v>166</v>
      </c>
      <c r="F591" s="54" t="s">
        <v>139</v>
      </c>
      <c r="G591" s="47" t="s">
        <v>167</v>
      </c>
      <c r="H591" s="47" t="s">
        <v>1042</v>
      </c>
      <c r="I591" s="55" t="n">
        <v>450</v>
      </c>
      <c r="J591" s="56" t="n">
        <v>7</v>
      </c>
      <c r="K591" s="54" t="s">
        <v>153</v>
      </c>
      <c r="N591" s="47" t="s">
        <v>143</v>
      </c>
      <c r="O591" s="47" t="s">
        <v>411</v>
      </c>
      <c r="P591" s="47"/>
      <c r="Q591" s="48" t="n">
        <f aca="false">IF($J591="","",IFERROR(IF($J591&lt;=1,INDEX(VN_국채일별!$B$4:$B$1436,MATCH($B591,VN_국채일별!$A$4:$A$1436,1)),IF($J591&lt;=2,INDEX(VN_국채일별!$B$4:$B$1436,MATCH($B591,VN_국채일별!$A$4:$A$1436,1))+(INDEX(VN_국채일별!$C$4:$C$1436,MATCH($B591,VN_국채일별!$A$4:$A$1436,1))-INDEX(VN_국채일별!$B$4:$B$1436,MATCH($B591,VN_국채일별!$A$4:$A$1436,1)))*($J591-1),IF($J591&lt;=3,INDEX(VN_국채일별!$C$4:$C$1436,MATCH($B591,VN_국채일별!$A$4:$A$1436,1))+(INDEX(VN_국채일별!$D$4:$D$1436,MATCH($B591,VN_국채일별!$A$4:$A$1436,1))-INDEX(VN_국채일별!$C$4:$C$1436,MATCH($B591,VN_국채일별!$A$4:$A$1436,1)))*($J591-2),IF($J591&lt;=5,INDEX(VN_국채일별!$D$4:$D$1436,MATCH($B591,VN_국채일별!$A$4:$A$1436,1))+(INDEX(VN_국채일별!$E$4:$E$1436,MATCH($B591,VN_국채일별!$A$4:$A$1436,1))-INDEX(VN_국채일별!$D$4:$D$1436,MATCH($B591,VN_국채일별!$A$4:$A$1436,1)))*($J591-3)/2,IF($J591&lt;=7,INDEX(VN_국채일별!$E$4:$E$1436,MATCH($B591,VN_국채일별!$A$4:$A$1436,1))+(INDEX(VN_국채일별!$F$4:$F$1436,MATCH($B591,VN_국채일별!$A$4:$A$1436,1))-INDEX(VN_국채일별!$E$4:$E$1436,MATCH($B591,VN_국채일별!$A$4:$A$1436,1)))*($J591-5)/2,IF($J591&lt;=10,INDEX(VN_국채일별!$F$4:$F$1436,MATCH($B591,VN_국채일별!$A$4:$A$1436,1))+(INDEX(VN_국채일별!$G$4:$G$1436,MATCH($B591,VN_국채일별!$A$4:$A$1436,1))-INDEX(VN_국채일별!$F$4:$F$1436,MATCH($B591,VN_국채일별!$A$4:$A$1436,1)))*($J591-7)/3,INDEX(VN_국채일별!$G$4:$G$1436,MATCH($B591,VN_국채일별!$A$4:$A$1436,1)))))))),""))</f>
        <v>0.03539</v>
      </c>
      <c r="R591" s="58" t="str">
        <f aca="false">IF(OR(L591="",Q591=""),"",(L591-Q591)*10000)</f>
        <v/>
      </c>
      <c r="S591" s="30" t="n">
        <f aca="false">IF(AND(K591="고정",N591="N",J591&gt;=2,J591&lt;=4,I591&lt;&gt;""),1,0)</f>
        <v>0</v>
      </c>
      <c r="T591" s="59" t="n">
        <f aca="false">IF(S591=1,I591*L591,0)</f>
        <v>0</v>
      </c>
      <c r="U591" s="60" t="n">
        <f aca="false">IF(AND(S591=1,ISNUMBER(R591)),I591*R591,0)</f>
        <v>0</v>
      </c>
      <c r="V591" s="30" t="n">
        <f aca="false">IF(AND(F591="Big4(국영)",K591="고정",N591="N",I591&lt;&gt;""),1,0)</f>
        <v>0</v>
      </c>
      <c r="W591" s="59" t="n">
        <f aca="false">IF(V591=1,I591*L591,0)</f>
        <v>0</v>
      </c>
      <c r="X591" s="60" t="n">
        <f aca="false">IF(AND(V591=1,ISNUMBER(R591)),I591*R591,0)</f>
        <v>0</v>
      </c>
      <c r="Y591" s="61" t="n">
        <f aca="false">IF(AND(S591=1,ISNUMBER(R591)),I591,0)</f>
        <v>0</v>
      </c>
      <c r="Z591" s="61" t="n">
        <f aca="false">IF(AND(V591=1,ISNUMBER(R591)),I591,0)</f>
        <v>0</v>
      </c>
    </row>
    <row r="592" customFormat="false" ht="15" hidden="false" customHeight="false" outlineLevel="0" collapsed="false">
      <c r="A592" s="47" t="s">
        <v>1022</v>
      </c>
      <c r="B592" s="52" t="n">
        <v>45943</v>
      </c>
      <c r="C592" s="53" t="n">
        <f aca="false">DATE(YEAR(B592),MONTH(B592),1)</f>
        <v>45931</v>
      </c>
      <c r="D592" s="5" t="str">
        <f aca="false">YEAR(B592)&amp;"Q"&amp;ROUNDUP(MONTH(B592)/3,0)</f>
        <v>2025Q4</v>
      </c>
      <c r="E592" s="47" t="s">
        <v>242</v>
      </c>
      <c r="F592" s="54" t="s">
        <v>139</v>
      </c>
      <c r="G592" s="47" t="s">
        <v>724</v>
      </c>
      <c r="H592" s="47" t="s">
        <v>1043</v>
      </c>
      <c r="I592" s="55" t="n">
        <v>900</v>
      </c>
      <c r="J592" s="56" t="n">
        <v>7</v>
      </c>
      <c r="K592" s="54" t="s">
        <v>153</v>
      </c>
      <c r="N592" s="47" t="s">
        <v>143</v>
      </c>
      <c r="O592" s="47" t="s">
        <v>1044</v>
      </c>
      <c r="P592" s="47"/>
      <c r="Q592" s="48" t="n">
        <f aca="false">IF($J592="","",IFERROR(IF($J592&lt;=1,INDEX(VN_국채일별!$B$4:$B$1436,MATCH($B592,VN_국채일별!$A$4:$A$1436,1)),IF($J592&lt;=2,INDEX(VN_국채일별!$B$4:$B$1436,MATCH($B592,VN_국채일별!$A$4:$A$1436,1))+(INDEX(VN_국채일별!$C$4:$C$1436,MATCH($B592,VN_국채일별!$A$4:$A$1436,1))-INDEX(VN_국채일별!$B$4:$B$1436,MATCH($B592,VN_국채일별!$A$4:$A$1436,1)))*($J592-1),IF($J592&lt;=3,INDEX(VN_국채일별!$C$4:$C$1436,MATCH($B592,VN_국채일별!$A$4:$A$1436,1))+(INDEX(VN_국채일별!$D$4:$D$1436,MATCH($B592,VN_국채일별!$A$4:$A$1436,1))-INDEX(VN_국채일별!$C$4:$C$1436,MATCH($B592,VN_국채일별!$A$4:$A$1436,1)))*($J592-2),IF($J592&lt;=5,INDEX(VN_국채일별!$D$4:$D$1436,MATCH($B592,VN_국채일별!$A$4:$A$1436,1))+(INDEX(VN_국채일별!$E$4:$E$1436,MATCH($B592,VN_국채일별!$A$4:$A$1436,1))-INDEX(VN_국채일별!$D$4:$D$1436,MATCH($B592,VN_국채일별!$A$4:$A$1436,1)))*($J592-3)/2,IF($J592&lt;=7,INDEX(VN_국채일별!$E$4:$E$1436,MATCH($B592,VN_국채일별!$A$4:$A$1436,1))+(INDEX(VN_국채일별!$F$4:$F$1436,MATCH($B592,VN_국채일별!$A$4:$A$1436,1))-INDEX(VN_국채일별!$E$4:$E$1436,MATCH($B592,VN_국채일별!$A$4:$A$1436,1)))*($J592-5)/2,IF($J592&lt;=10,INDEX(VN_국채일별!$F$4:$F$1436,MATCH($B592,VN_국채일별!$A$4:$A$1436,1))+(INDEX(VN_국채일별!$G$4:$G$1436,MATCH($B592,VN_국채일별!$A$4:$A$1436,1))-INDEX(VN_국채일별!$F$4:$F$1436,MATCH($B592,VN_국채일별!$A$4:$A$1436,1)))*($J592-7)/3,INDEX(VN_국채일별!$G$4:$G$1436,MATCH($B592,VN_국채일별!$A$4:$A$1436,1)))))))),""))</f>
        <v>0.03539</v>
      </c>
      <c r="R592" s="58" t="str">
        <f aca="false">IF(OR(L592="",Q592=""),"",(L592-Q592)*10000)</f>
        <v/>
      </c>
      <c r="S592" s="30" t="n">
        <f aca="false">IF(AND(K592="고정",N592="N",J592&gt;=2,J592&lt;=4,I592&lt;&gt;""),1,0)</f>
        <v>0</v>
      </c>
      <c r="T592" s="59" t="n">
        <f aca="false">IF(S592=1,I592*L592,0)</f>
        <v>0</v>
      </c>
      <c r="U592" s="60" t="n">
        <f aca="false">IF(AND(S592=1,ISNUMBER(R592)),I592*R592,0)</f>
        <v>0</v>
      </c>
      <c r="V592" s="30" t="n">
        <f aca="false">IF(AND(F592="Big4(국영)",K592="고정",N592="N",I592&lt;&gt;""),1,0)</f>
        <v>0</v>
      </c>
      <c r="W592" s="59" t="n">
        <f aca="false">IF(V592=1,I592*L592,0)</f>
        <v>0</v>
      </c>
      <c r="X592" s="60" t="n">
        <f aca="false">IF(AND(V592=1,ISNUMBER(R592)),I592*R592,0)</f>
        <v>0</v>
      </c>
      <c r="Y592" s="61" t="n">
        <f aca="false">IF(AND(S592=1,ISNUMBER(R592)),I592,0)</f>
        <v>0</v>
      </c>
      <c r="Z592" s="61" t="n">
        <f aca="false">IF(AND(V592=1,ISNUMBER(R592)),I592,0)</f>
        <v>0</v>
      </c>
    </row>
    <row r="593" customFormat="false" ht="15" hidden="false" customHeight="false" outlineLevel="0" collapsed="false">
      <c r="A593" s="47" t="s">
        <v>1022</v>
      </c>
      <c r="B593" s="52" t="n">
        <v>45943</v>
      </c>
      <c r="C593" s="53" t="n">
        <f aca="false">DATE(YEAR(B593),MONTH(B593),1)</f>
        <v>45931</v>
      </c>
      <c r="D593" s="5" t="str">
        <f aca="false">YEAR(B593)&amp;"Q"&amp;ROUNDUP(MONTH(B593)/3,0)</f>
        <v>2025Q4</v>
      </c>
      <c r="E593" s="47" t="s">
        <v>242</v>
      </c>
      <c r="F593" s="54" t="s">
        <v>139</v>
      </c>
      <c r="G593" s="47" t="s">
        <v>724</v>
      </c>
      <c r="H593" s="47" t="s">
        <v>1045</v>
      </c>
      <c r="I593" s="55" t="n">
        <v>100</v>
      </c>
      <c r="J593" s="56" t="n">
        <v>10</v>
      </c>
      <c r="K593" s="54" t="s">
        <v>153</v>
      </c>
      <c r="N593" s="47" t="s">
        <v>143</v>
      </c>
      <c r="O593" s="47" t="s">
        <v>1041</v>
      </c>
      <c r="P593" s="47"/>
      <c r="Q593" s="48" t="n">
        <f aca="false">IF($J593="","",IFERROR(IF($J593&lt;=1,INDEX(VN_국채일별!$B$4:$B$1436,MATCH($B593,VN_국채일별!$A$4:$A$1436,1)),IF($J593&lt;=2,INDEX(VN_국채일별!$B$4:$B$1436,MATCH($B593,VN_국채일별!$A$4:$A$1436,1))+(INDEX(VN_국채일별!$C$4:$C$1436,MATCH($B593,VN_국채일별!$A$4:$A$1436,1))-INDEX(VN_국채일별!$B$4:$B$1436,MATCH($B593,VN_국채일별!$A$4:$A$1436,1)))*($J593-1),IF($J593&lt;=3,INDEX(VN_국채일별!$C$4:$C$1436,MATCH($B593,VN_국채일별!$A$4:$A$1436,1))+(INDEX(VN_국채일별!$D$4:$D$1436,MATCH($B593,VN_국채일별!$A$4:$A$1436,1))-INDEX(VN_국채일별!$C$4:$C$1436,MATCH($B593,VN_국채일별!$A$4:$A$1436,1)))*($J593-2),IF($J593&lt;=5,INDEX(VN_국채일별!$D$4:$D$1436,MATCH($B593,VN_국채일별!$A$4:$A$1436,1))+(INDEX(VN_국채일별!$E$4:$E$1436,MATCH($B593,VN_국채일별!$A$4:$A$1436,1))-INDEX(VN_국채일별!$D$4:$D$1436,MATCH($B593,VN_국채일별!$A$4:$A$1436,1)))*($J593-3)/2,IF($J593&lt;=7,INDEX(VN_국채일별!$E$4:$E$1436,MATCH($B593,VN_국채일별!$A$4:$A$1436,1))+(INDEX(VN_국채일별!$F$4:$F$1436,MATCH($B593,VN_국채일별!$A$4:$A$1436,1))-INDEX(VN_국채일별!$E$4:$E$1436,MATCH($B593,VN_국채일별!$A$4:$A$1436,1)))*($J593-5)/2,IF($J593&lt;=10,INDEX(VN_국채일별!$F$4:$F$1436,MATCH($B593,VN_국채일별!$A$4:$A$1436,1))+(INDEX(VN_국채일별!$G$4:$G$1436,MATCH($B593,VN_국채일별!$A$4:$A$1436,1))-INDEX(VN_국채일별!$F$4:$F$1436,MATCH($B593,VN_국채일별!$A$4:$A$1436,1)))*($J593-7)/3,INDEX(VN_국채일별!$G$4:$G$1436,MATCH($B593,VN_국채일별!$A$4:$A$1436,1)))))))),""))</f>
        <v>0.0386</v>
      </c>
      <c r="R593" s="58" t="str">
        <f aca="false">IF(OR(L593="",Q593=""),"",(L593-Q593)*10000)</f>
        <v/>
      </c>
      <c r="S593" s="30" t="n">
        <f aca="false">IF(AND(K593="고정",N593="N",J593&gt;=2,J593&lt;=4,I593&lt;&gt;""),1,0)</f>
        <v>0</v>
      </c>
      <c r="T593" s="59" t="n">
        <f aca="false">IF(S593=1,I593*L593,0)</f>
        <v>0</v>
      </c>
      <c r="U593" s="60" t="n">
        <f aca="false">IF(AND(S593=1,ISNUMBER(R593)),I593*R593,0)</f>
        <v>0</v>
      </c>
      <c r="V593" s="30" t="n">
        <f aca="false">IF(AND(F593="Big4(국영)",K593="고정",N593="N",I593&lt;&gt;""),1,0)</f>
        <v>0</v>
      </c>
      <c r="W593" s="59" t="n">
        <f aca="false">IF(V593=1,I593*L593,0)</f>
        <v>0</v>
      </c>
      <c r="X593" s="60" t="n">
        <f aca="false">IF(AND(V593=1,ISNUMBER(R593)),I593*R593,0)</f>
        <v>0</v>
      </c>
      <c r="Y593" s="61" t="n">
        <f aca="false">IF(AND(S593=1,ISNUMBER(R593)),I593,0)</f>
        <v>0</v>
      </c>
      <c r="Z593" s="61" t="n">
        <f aca="false">IF(AND(V593=1,ISNUMBER(R593)),I593,0)</f>
        <v>0</v>
      </c>
    </row>
    <row r="594" customFormat="false" ht="15" hidden="false" customHeight="false" outlineLevel="0" collapsed="false">
      <c r="A594" s="47" t="s">
        <v>1022</v>
      </c>
      <c r="B594" s="52" t="n">
        <v>45944</v>
      </c>
      <c r="C594" s="53" t="n">
        <f aca="false">DATE(YEAR(B594),MONTH(B594),1)</f>
        <v>45931</v>
      </c>
      <c r="D594" s="5" t="str">
        <f aca="false">YEAR(B594)&amp;"Q"&amp;ROUNDUP(MONTH(B594)/3,0)</f>
        <v>2025Q4</v>
      </c>
      <c r="E594" s="47" t="s">
        <v>972</v>
      </c>
      <c r="F594" s="54" t="s">
        <v>139</v>
      </c>
      <c r="G594" s="47" t="s">
        <v>973</v>
      </c>
      <c r="H594" s="47" t="s">
        <v>1046</v>
      </c>
      <c r="I594" s="55" t="n">
        <v>299.407</v>
      </c>
      <c r="J594" s="56" t="n">
        <v>7</v>
      </c>
      <c r="K594" s="54" t="s">
        <v>153</v>
      </c>
      <c r="M594" s="57" t="n">
        <v>0.076</v>
      </c>
      <c r="N594" s="47" t="s">
        <v>143</v>
      </c>
      <c r="O594" s="47" t="s">
        <v>975</v>
      </c>
      <c r="P594" s="47"/>
      <c r="Q594" s="48" t="n">
        <f aca="false">IF($J594="","",IFERROR(IF($J594&lt;=1,INDEX(VN_국채일별!$B$4:$B$1436,MATCH($B594,VN_국채일별!$A$4:$A$1436,1)),IF($J594&lt;=2,INDEX(VN_국채일별!$B$4:$B$1436,MATCH($B594,VN_국채일별!$A$4:$A$1436,1))+(INDEX(VN_국채일별!$C$4:$C$1436,MATCH($B594,VN_국채일별!$A$4:$A$1436,1))-INDEX(VN_국채일별!$B$4:$B$1436,MATCH($B594,VN_국채일별!$A$4:$A$1436,1)))*($J594-1),IF($J594&lt;=3,INDEX(VN_국채일별!$C$4:$C$1436,MATCH($B594,VN_국채일별!$A$4:$A$1436,1))+(INDEX(VN_국채일별!$D$4:$D$1436,MATCH($B594,VN_국채일별!$A$4:$A$1436,1))-INDEX(VN_국채일별!$C$4:$C$1436,MATCH($B594,VN_국채일별!$A$4:$A$1436,1)))*($J594-2),IF($J594&lt;=5,INDEX(VN_국채일별!$D$4:$D$1436,MATCH($B594,VN_국채일별!$A$4:$A$1436,1))+(INDEX(VN_국채일별!$E$4:$E$1436,MATCH($B594,VN_국채일별!$A$4:$A$1436,1))-INDEX(VN_국채일별!$D$4:$D$1436,MATCH($B594,VN_국채일별!$A$4:$A$1436,1)))*($J594-3)/2,IF($J594&lt;=7,INDEX(VN_국채일별!$E$4:$E$1436,MATCH($B594,VN_국채일별!$A$4:$A$1436,1))+(INDEX(VN_국채일별!$F$4:$F$1436,MATCH($B594,VN_국채일별!$A$4:$A$1436,1))-INDEX(VN_국채일별!$E$4:$E$1436,MATCH($B594,VN_국채일별!$A$4:$A$1436,1)))*($J594-5)/2,IF($J594&lt;=10,INDEX(VN_국채일별!$F$4:$F$1436,MATCH($B594,VN_국채일별!$A$4:$A$1436,1))+(INDEX(VN_국채일별!$G$4:$G$1436,MATCH($B594,VN_국채일별!$A$4:$A$1436,1))-INDEX(VN_국채일별!$F$4:$F$1436,MATCH($B594,VN_국채일별!$A$4:$A$1436,1)))*($J594-7)/3,INDEX(VN_국채일별!$G$4:$G$1436,MATCH($B594,VN_국채일별!$A$4:$A$1436,1)))))))),""))</f>
        <v>0.03532</v>
      </c>
      <c r="R594" s="58" t="str">
        <f aca="false">IF(OR(L594="",Q594=""),"",(L594-Q594)*10000)</f>
        <v/>
      </c>
      <c r="S594" s="30" t="n">
        <f aca="false">IF(AND(K594="고정",N594="N",J594&gt;=2,J594&lt;=4,I594&lt;&gt;""),1,0)</f>
        <v>0</v>
      </c>
      <c r="T594" s="59" t="n">
        <f aca="false">IF(S594=1,I594*L594,0)</f>
        <v>0</v>
      </c>
      <c r="U594" s="60" t="n">
        <f aca="false">IF(AND(S594=1,ISNUMBER(R594)),I594*R594,0)</f>
        <v>0</v>
      </c>
      <c r="V594" s="30" t="n">
        <f aca="false">IF(AND(F594="Big4(국영)",K594="고정",N594="N",I594&lt;&gt;""),1,0)</f>
        <v>0</v>
      </c>
      <c r="W594" s="59" t="n">
        <f aca="false">IF(V594=1,I594*L594,0)</f>
        <v>0</v>
      </c>
      <c r="X594" s="60" t="n">
        <f aca="false">IF(AND(V594=1,ISNUMBER(R594)),I594*R594,0)</f>
        <v>0</v>
      </c>
      <c r="Y594" s="61" t="n">
        <f aca="false">IF(AND(S594=1,ISNUMBER(R594)),I594,0)</f>
        <v>0</v>
      </c>
      <c r="Z594" s="61" t="n">
        <f aca="false">IF(AND(V594=1,ISNUMBER(R594)),I594,0)</f>
        <v>0</v>
      </c>
    </row>
    <row r="595" customFormat="false" ht="15" hidden="false" customHeight="false" outlineLevel="0" collapsed="false">
      <c r="A595" s="47" t="s">
        <v>1022</v>
      </c>
      <c r="B595" s="52" t="n">
        <v>45945</v>
      </c>
      <c r="C595" s="53" t="n">
        <f aca="false">DATE(YEAR(B595),MONTH(B595),1)</f>
        <v>45931</v>
      </c>
      <c r="D595" s="5" t="str">
        <f aca="false">YEAR(B595)&amp;"Q"&amp;ROUNDUP(MONTH(B595)/3,0)</f>
        <v>2025Q4</v>
      </c>
      <c r="E595" s="47" t="s">
        <v>307</v>
      </c>
      <c r="F595" s="54" t="s">
        <v>139</v>
      </c>
      <c r="G595" s="47" t="s">
        <v>308</v>
      </c>
      <c r="H595" s="47" t="s">
        <v>1047</v>
      </c>
      <c r="I595" s="55" t="n">
        <v>1000</v>
      </c>
      <c r="J595" s="56" t="n">
        <v>2</v>
      </c>
      <c r="K595" s="54" t="s">
        <v>142</v>
      </c>
      <c r="L595" s="57" t="n">
        <v>0.061</v>
      </c>
      <c r="N595" s="47" t="s">
        <v>148</v>
      </c>
      <c r="O595" s="47" t="s">
        <v>467</v>
      </c>
      <c r="P595" s="47"/>
      <c r="Q595" s="48" t="n">
        <f aca="false">IF($J595="","",IFERROR(IF($J595&lt;=1,INDEX(VN_국채일별!$B$4:$B$1436,MATCH($B595,VN_국채일별!$A$4:$A$1436,1)),IF($J595&lt;=2,INDEX(VN_국채일별!$B$4:$B$1436,MATCH($B595,VN_국채일별!$A$4:$A$1436,1))+(INDEX(VN_국채일별!$C$4:$C$1436,MATCH($B595,VN_국채일별!$A$4:$A$1436,1))-INDEX(VN_국채일별!$B$4:$B$1436,MATCH($B595,VN_국채일별!$A$4:$A$1436,1)))*($J595-1),IF($J595&lt;=3,INDEX(VN_국채일별!$C$4:$C$1436,MATCH($B595,VN_국채일별!$A$4:$A$1436,1))+(INDEX(VN_국채일별!$D$4:$D$1436,MATCH($B595,VN_국채일별!$A$4:$A$1436,1))-INDEX(VN_국채일별!$C$4:$C$1436,MATCH($B595,VN_국채일별!$A$4:$A$1436,1)))*($J595-2),IF($J595&lt;=5,INDEX(VN_국채일별!$D$4:$D$1436,MATCH($B595,VN_국채일별!$A$4:$A$1436,1))+(INDEX(VN_국채일별!$E$4:$E$1436,MATCH($B595,VN_국채일별!$A$4:$A$1436,1))-INDEX(VN_국채일별!$D$4:$D$1436,MATCH($B595,VN_국채일별!$A$4:$A$1436,1)))*($J595-3)/2,IF($J595&lt;=7,INDEX(VN_국채일별!$E$4:$E$1436,MATCH($B595,VN_국채일별!$A$4:$A$1436,1))+(INDEX(VN_국채일별!$F$4:$F$1436,MATCH($B595,VN_국채일별!$A$4:$A$1436,1))-INDEX(VN_국채일별!$E$4:$E$1436,MATCH($B595,VN_국채일별!$A$4:$A$1436,1)))*($J595-5)/2,IF($J595&lt;=10,INDEX(VN_국채일별!$F$4:$F$1436,MATCH($B595,VN_국채일별!$A$4:$A$1436,1))+(INDEX(VN_국채일별!$G$4:$G$1436,MATCH($B595,VN_국채일별!$A$4:$A$1436,1))-INDEX(VN_국채일별!$F$4:$F$1436,MATCH($B595,VN_국채일별!$A$4:$A$1436,1)))*($J595-7)/3,INDEX(VN_국채일별!$G$4:$G$1436,MATCH($B595,VN_국채일별!$A$4:$A$1436,1)))))))),""))</f>
        <v>0.0292</v>
      </c>
      <c r="R595" s="58" t="n">
        <f aca="false">IF(OR(L595="",Q595=""),"",(L595-Q595)*10000)</f>
        <v>318</v>
      </c>
      <c r="S595" s="30" t="n">
        <f aca="false">IF(AND(K595="고정",N595="N",J595&gt;=2,J595&lt;=4,I595&lt;&gt;""),1,0)</f>
        <v>1</v>
      </c>
      <c r="T595" s="59" t="n">
        <f aca="false">IF(S595=1,I595*L595,0)</f>
        <v>61</v>
      </c>
      <c r="U595" s="60" t="n">
        <f aca="false">IF(AND(S595=1,ISNUMBER(R595)),I595*R595,0)</f>
        <v>318000</v>
      </c>
      <c r="V595" s="30" t="n">
        <f aca="false">IF(AND(F595="Big4(국영)",K595="고정",N595="N",I595&lt;&gt;""),1,0)</f>
        <v>0</v>
      </c>
      <c r="W595" s="59" t="n">
        <f aca="false">IF(V595=1,I595*L595,0)</f>
        <v>0</v>
      </c>
      <c r="X595" s="60" t="n">
        <f aca="false">IF(AND(V595=1,ISNUMBER(R595)),I595*R595,0)</f>
        <v>0</v>
      </c>
      <c r="Y595" s="61" t="n">
        <f aca="false">IF(AND(S595=1,ISNUMBER(R595)),I595,0)</f>
        <v>1000</v>
      </c>
      <c r="Z595" s="61" t="n">
        <f aca="false">IF(AND(V595=1,ISNUMBER(R595)),I595,0)</f>
        <v>0</v>
      </c>
    </row>
    <row r="596" customFormat="false" ht="15" hidden="false" customHeight="false" outlineLevel="0" collapsed="false">
      <c r="A596" s="47" t="s">
        <v>1022</v>
      </c>
      <c r="B596" s="52" t="n">
        <v>45946</v>
      </c>
      <c r="C596" s="53" t="n">
        <f aca="false">DATE(YEAR(B596),MONTH(B596),1)</f>
        <v>45931</v>
      </c>
      <c r="D596" s="5" t="str">
        <f aca="false">YEAR(B596)&amp;"Q"&amp;ROUNDUP(MONTH(B596)/3,0)</f>
        <v>2025Q4</v>
      </c>
      <c r="E596" s="47" t="s">
        <v>365</v>
      </c>
      <c r="F596" s="54" t="s">
        <v>139</v>
      </c>
      <c r="G596" s="47" t="s">
        <v>366</v>
      </c>
      <c r="H596" s="47" t="s">
        <v>1048</v>
      </c>
      <c r="I596" s="55" t="n">
        <v>2000</v>
      </c>
      <c r="J596" s="56" t="n">
        <v>7</v>
      </c>
      <c r="K596" s="54" t="s">
        <v>153</v>
      </c>
      <c r="N596" s="47" t="s">
        <v>143</v>
      </c>
      <c r="O596" s="47" t="s">
        <v>1049</v>
      </c>
      <c r="P596" s="47"/>
      <c r="Q596" s="48" t="n">
        <f aca="false">IF($J596="","",IFERROR(IF($J596&lt;=1,INDEX(VN_국채일별!$B$4:$B$1436,MATCH($B596,VN_국채일별!$A$4:$A$1436,1)),IF($J596&lt;=2,INDEX(VN_국채일별!$B$4:$B$1436,MATCH($B596,VN_국채일별!$A$4:$A$1436,1))+(INDEX(VN_국채일별!$C$4:$C$1436,MATCH($B596,VN_국채일별!$A$4:$A$1436,1))-INDEX(VN_국채일별!$B$4:$B$1436,MATCH($B596,VN_국채일별!$A$4:$A$1436,1)))*($J596-1),IF($J596&lt;=3,INDEX(VN_국채일별!$C$4:$C$1436,MATCH($B596,VN_국채일별!$A$4:$A$1436,1))+(INDEX(VN_국채일별!$D$4:$D$1436,MATCH($B596,VN_국채일별!$A$4:$A$1436,1))-INDEX(VN_국채일별!$C$4:$C$1436,MATCH($B596,VN_국채일별!$A$4:$A$1436,1)))*($J596-2),IF($J596&lt;=5,INDEX(VN_국채일별!$D$4:$D$1436,MATCH($B596,VN_국채일별!$A$4:$A$1436,1))+(INDEX(VN_국채일별!$E$4:$E$1436,MATCH($B596,VN_국채일별!$A$4:$A$1436,1))-INDEX(VN_국채일별!$D$4:$D$1436,MATCH($B596,VN_국채일별!$A$4:$A$1436,1)))*($J596-3)/2,IF($J596&lt;=7,INDEX(VN_국채일별!$E$4:$E$1436,MATCH($B596,VN_국채일별!$A$4:$A$1436,1))+(INDEX(VN_국채일별!$F$4:$F$1436,MATCH($B596,VN_국채일별!$A$4:$A$1436,1))-INDEX(VN_국채일별!$E$4:$E$1436,MATCH($B596,VN_국채일별!$A$4:$A$1436,1)))*($J596-5)/2,IF($J596&lt;=10,INDEX(VN_국채일별!$F$4:$F$1436,MATCH($B596,VN_국채일별!$A$4:$A$1436,1))+(INDEX(VN_국채일별!$G$4:$G$1436,MATCH($B596,VN_국채일별!$A$4:$A$1436,1))-INDEX(VN_국채일별!$F$4:$F$1436,MATCH($B596,VN_국채일별!$A$4:$A$1436,1)))*($J596-7)/3,INDEX(VN_국채일별!$G$4:$G$1436,MATCH($B596,VN_국채일별!$A$4:$A$1436,1)))))))),""))</f>
        <v>0.03568</v>
      </c>
      <c r="R596" s="58" t="str">
        <f aca="false">IF(OR(L596="",Q596=""),"",(L596-Q596)*10000)</f>
        <v/>
      </c>
      <c r="S596" s="30" t="n">
        <f aca="false">IF(AND(K596="고정",N596="N",J596&gt;=2,J596&lt;=4,I596&lt;&gt;""),1,0)</f>
        <v>0</v>
      </c>
      <c r="T596" s="59" t="n">
        <f aca="false">IF(S596=1,I596*L596,0)</f>
        <v>0</v>
      </c>
      <c r="U596" s="60" t="n">
        <f aca="false">IF(AND(S596=1,ISNUMBER(R596)),I596*R596,0)</f>
        <v>0</v>
      </c>
      <c r="V596" s="30" t="n">
        <f aca="false">IF(AND(F596="Big4(국영)",K596="고정",N596="N",I596&lt;&gt;""),1,0)</f>
        <v>0</v>
      </c>
      <c r="W596" s="59" t="n">
        <f aca="false">IF(V596=1,I596*L596,0)</f>
        <v>0</v>
      </c>
      <c r="X596" s="60" t="n">
        <f aca="false">IF(AND(V596=1,ISNUMBER(R596)),I596*R596,0)</f>
        <v>0</v>
      </c>
      <c r="Y596" s="61" t="n">
        <f aca="false">IF(AND(S596=1,ISNUMBER(R596)),I596,0)</f>
        <v>0</v>
      </c>
      <c r="Z596" s="61" t="n">
        <f aca="false">IF(AND(V596=1,ISNUMBER(R596)),I596,0)</f>
        <v>0</v>
      </c>
    </row>
    <row r="597" customFormat="false" ht="15" hidden="false" customHeight="false" outlineLevel="0" collapsed="false">
      <c r="A597" s="47" t="s">
        <v>1022</v>
      </c>
      <c r="B597" s="52" t="n">
        <v>45946</v>
      </c>
      <c r="C597" s="53" t="n">
        <f aca="false">DATE(YEAR(B597),MONTH(B597),1)</f>
        <v>45931</v>
      </c>
      <c r="D597" s="5" t="str">
        <f aca="false">YEAR(B597)&amp;"Q"&amp;ROUNDUP(MONTH(B597)/3,0)</f>
        <v>2025Q4</v>
      </c>
      <c r="E597" s="47" t="s">
        <v>307</v>
      </c>
      <c r="F597" s="54" t="s">
        <v>139</v>
      </c>
      <c r="G597" s="47" t="s">
        <v>308</v>
      </c>
      <c r="H597" s="47" t="s">
        <v>1050</v>
      </c>
      <c r="I597" s="55" t="n">
        <v>2000</v>
      </c>
      <c r="J597" s="56" t="n">
        <v>3</v>
      </c>
      <c r="K597" s="54" t="s">
        <v>142</v>
      </c>
      <c r="L597" s="57" t="n">
        <v>0.061</v>
      </c>
      <c r="N597" s="47" t="s">
        <v>148</v>
      </c>
      <c r="O597" s="47" t="s">
        <v>467</v>
      </c>
      <c r="P597" s="47"/>
      <c r="Q597" s="48" t="n">
        <f aca="false">IF($J597="","",IFERROR(IF($J597&lt;=1,INDEX(VN_국채일별!$B$4:$B$1436,MATCH($B597,VN_국채일별!$A$4:$A$1436,1)),IF($J597&lt;=2,INDEX(VN_국채일별!$B$4:$B$1436,MATCH($B597,VN_국채일별!$A$4:$A$1436,1))+(INDEX(VN_국채일별!$C$4:$C$1436,MATCH($B597,VN_국채일별!$A$4:$A$1436,1))-INDEX(VN_국채일별!$B$4:$B$1436,MATCH($B597,VN_국채일별!$A$4:$A$1436,1)))*($J597-1),IF($J597&lt;=3,INDEX(VN_국채일별!$C$4:$C$1436,MATCH($B597,VN_국채일별!$A$4:$A$1436,1))+(INDEX(VN_국채일별!$D$4:$D$1436,MATCH($B597,VN_국채일별!$A$4:$A$1436,1))-INDEX(VN_국채일별!$C$4:$C$1436,MATCH($B597,VN_국채일별!$A$4:$A$1436,1)))*($J597-2),IF($J597&lt;=5,INDEX(VN_국채일별!$D$4:$D$1436,MATCH($B597,VN_국채일별!$A$4:$A$1436,1))+(INDEX(VN_국채일별!$E$4:$E$1436,MATCH($B597,VN_국채일별!$A$4:$A$1436,1))-INDEX(VN_국채일별!$D$4:$D$1436,MATCH($B597,VN_국채일별!$A$4:$A$1436,1)))*($J597-3)/2,IF($J597&lt;=7,INDEX(VN_국채일별!$E$4:$E$1436,MATCH($B597,VN_국채일별!$A$4:$A$1436,1))+(INDEX(VN_국채일별!$F$4:$F$1436,MATCH($B597,VN_국채일별!$A$4:$A$1436,1))-INDEX(VN_국채일별!$E$4:$E$1436,MATCH($B597,VN_국채일별!$A$4:$A$1436,1)))*($J597-5)/2,IF($J597&lt;=10,INDEX(VN_국채일별!$F$4:$F$1436,MATCH($B597,VN_국채일별!$A$4:$A$1436,1))+(INDEX(VN_국채일별!$G$4:$G$1436,MATCH($B597,VN_국채일별!$A$4:$A$1436,1))-INDEX(VN_국채일별!$F$4:$F$1436,MATCH($B597,VN_국채일별!$A$4:$A$1436,1)))*($J597-7)/3,INDEX(VN_국채일별!$G$4:$G$1436,MATCH($B597,VN_국채일별!$A$4:$A$1436,1)))))))),""))</f>
        <v>0.03015</v>
      </c>
      <c r="R597" s="58" t="n">
        <f aca="false">IF(OR(L597="",Q597=""),"",(L597-Q597)*10000)</f>
        <v>308.5</v>
      </c>
      <c r="S597" s="30" t="n">
        <f aca="false">IF(AND(K597="고정",N597="N",J597&gt;=2,J597&lt;=4,I597&lt;&gt;""),1,0)</f>
        <v>1</v>
      </c>
      <c r="T597" s="59" t="n">
        <f aca="false">IF(S597=1,I597*L597,0)</f>
        <v>122</v>
      </c>
      <c r="U597" s="60" t="n">
        <f aca="false">IF(AND(S597=1,ISNUMBER(R597)),I597*R597,0)</f>
        <v>617000</v>
      </c>
      <c r="V597" s="30" t="n">
        <f aca="false">IF(AND(F597="Big4(국영)",K597="고정",N597="N",I597&lt;&gt;""),1,0)</f>
        <v>0</v>
      </c>
      <c r="W597" s="59" t="n">
        <f aca="false">IF(V597=1,I597*L597,0)</f>
        <v>0</v>
      </c>
      <c r="X597" s="60" t="n">
        <f aca="false">IF(AND(V597=1,ISNUMBER(R597)),I597*R597,0)</f>
        <v>0</v>
      </c>
      <c r="Y597" s="61" t="n">
        <f aca="false">IF(AND(S597=1,ISNUMBER(R597)),I597,0)</f>
        <v>2000</v>
      </c>
      <c r="Z597" s="61" t="n">
        <f aca="false">IF(AND(V597=1,ISNUMBER(R597)),I597,0)</f>
        <v>0</v>
      </c>
    </row>
    <row r="598" customFormat="false" ht="15" hidden="false" customHeight="false" outlineLevel="0" collapsed="false">
      <c r="A598" s="47" t="s">
        <v>1022</v>
      </c>
      <c r="B598" s="52" t="n">
        <v>45950</v>
      </c>
      <c r="C598" s="53" t="n">
        <f aca="false">DATE(YEAR(B598),MONTH(B598),1)</f>
        <v>45931</v>
      </c>
      <c r="D598" s="5" t="str">
        <f aca="false">YEAR(B598)&amp;"Q"&amp;ROUNDUP(MONTH(B598)/3,0)</f>
        <v>2025Q4</v>
      </c>
      <c r="E598" s="47" t="s">
        <v>242</v>
      </c>
      <c r="F598" s="54" t="s">
        <v>139</v>
      </c>
      <c r="G598" s="47" t="s">
        <v>724</v>
      </c>
      <c r="H598" s="47" t="s">
        <v>1051</v>
      </c>
      <c r="I598" s="55" t="n">
        <v>300</v>
      </c>
      <c r="J598" s="56" t="n">
        <v>7</v>
      </c>
      <c r="K598" s="54" t="s">
        <v>153</v>
      </c>
      <c r="N598" s="47" t="s">
        <v>143</v>
      </c>
      <c r="O598" s="47" t="s">
        <v>1044</v>
      </c>
      <c r="P598" s="47"/>
      <c r="Q598" s="48" t="n">
        <f aca="false">IF($J598="","",IFERROR(IF($J598&lt;=1,INDEX(VN_국채일별!$B$4:$B$1436,MATCH($B598,VN_국채일별!$A$4:$A$1436,1)),IF($J598&lt;=2,INDEX(VN_국채일별!$B$4:$B$1436,MATCH($B598,VN_국채일별!$A$4:$A$1436,1))+(INDEX(VN_국채일별!$C$4:$C$1436,MATCH($B598,VN_국채일별!$A$4:$A$1436,1))-INDEX(VN_국채일별!$B$4:$B$1436,MATCH($B598,VN_국채일별!$A$4:$A$1436,1)))*($J598-1),IF($J598&lt;=3,INDEX(VN_국채일별!$C$4:$C$1436,MATCH($B598,VN_국채일별!$A$4:$A$1436,1))+(INDEX(VN_국채일별!$D$4:$D$1436,MATCH($B598,VN_국채일별!$A$4:$A$1436,1))-INDEX(VN_국채일별!$C$4:$C$1436,MATCH($B598,VN_국채일별!$A$4:$A$1436,1)))*($J598-2),IF($J598&lt;=5,INDEX(VN_국채일별!$D$4:$D$1436,MATCH($B598,VN_국채일별!$A$4:$A$1436,1))+(INDEX(VN_국채일별!$E$4:$E$1436,MATCH($B598,VN_국채일별!$A$4:$A$1436,1))-INDEX(VN_국채일별!$D$4:$D$1436,MATCH($B598,VN_국채일별!$A$4:$A$1436,1)))*($J598-3)/2,IF($J598&lt;=7,INDEX(VN_국채일별!$E$4:$E$1436,MATCH($B598,VN_국채일별!$A$4:$A$1436,1))+(INDEX(VN_국채일별!$F$4:$F$1436,MATCH($B598,VN_국채일별!$A$4:$A$1436,1))-INDEX(VN_국채일별!$E$4:$E$1436,MATCH($B598,VN_국채일별!$A$4:$A$1436,1)))*($J598-5)/2,IF($J598&lt;=10,INDEX(VN_국채일별!$F$4:$F$1436,MATCH($B598,VN_국채일별!$A$4:$A$1436,1))+(INDEX(VN_국채일별!$G$4:$G$1436,MATCH($B598,VN_국채일별!$A$4:$A$1436,1))-INDEX(VN_국채일별!$F$4:$F$1436,MATCH($B598,VN_국채일별!$A$4:$A$1436,1)))*($J598-7)/3,INDEX(VN_국채일별!$G$4:$G$1436,MATCH($B598,VN_국채일별!$A$4:$A$1436,1)))))))),""))</f>
        <v>0.03567</v>
      </c>
      <c r="R598" s="58" t="str">
        <f aca="false">IF(OR(L598="",Q598=""),"",(L598-Q598)*10000)</f>
        <v/>
      </c>
      <c r="S598" s="30" t="n">
        <f aca="false">IF(AND(K598="고정",N598="N",J598&gt;=2,J598&lt;=4,I598&lt;&gt;""),1,0)</f>
        <v>0</v>
      </c>
      <c r="T598" s="59" t="n">
        <f aca="false">IF(S598=1,I598*L598,0)</f>
        <v>0</v>
      </c>
      <c r="U598" s="60" t="n">
        <f aca="false">IF(AND(S598=1,ISNUMBER(R598)),I598*R598,0)</f>
        <v>0</v>
      </c>
      <c r="V598" s="30" t="n">
        <f aca="false">IF(AND(F598="Big4(국영)",K598="고정",N598="N",I598&lt;&gt;""),1,0)</f>
        <v>0</v>
      </c>
      <c r="W598" s="59" t="n">
        <f aca="false">IF(V598=1,I598*L598,0)</f>
        <v>0</v>
      </c>
      <c r="X598" s="60" t="n">
        <f aca="false">IF(AND(V598=1,ISNUMBER(R598)),I598*R598,0)</f>
        <v>0</v>
      </c>
      <c r="Y598" s="61" t="n">
        <f aca="false">IF(AND(S598=1,ISNUMBER(R598)),I598,0)</f>
        <v>0</v>
      </c>
      <c r="Z598" s="61" t="n">
        <f aca="false">IF(AND(V598=1,ISNUMBER(R598)),I598,0)</f>
        <v>0</v>
      </c>
    </row>
    <row r="599" customFormat="false" ht="15" hidden="false" customHeight="false" outlineLevel="0" collapsed="false">
      <c r="A599" s="47" t="s">
        <v>1022</v>
      </c>
      <c r="B599" s="52" t="n">
        <v>45951</v>
      </c>
      <c r="C599" s="53" t="n">
        <f aca="false">DATE(YEAR(B599),MONTH(B599),1)</f>
        <v>45931</v>
      </c>
      <c r="D599" s="5" t="str">
        <f aca="false">YEAR(B599)&amp;"Q"&amp;ROUNDUP(MONTH(B599)/3,0)</f>
        <v>2025Q4</v>
      </c>
      <c r="E599" s="62" t="s">
        <v>155</v>
      </c>
      <c r="F599" s="62" t="s">
        <v>156</v>
      </c>
      <c r="G599" s="47" t="s">
        <v>157</v>
      </c>
      <c r="H599" s="47" t="s">
        <v>1052</v>
      </c>
      <c r="I599" s="55" t="n">
        <v>347</v>
      </c>
      <c r="J599" s="56" t="n">
        <v>7</v>
      </c>
      <c r="K599" s="54" t="s">
        <v>153</v>
      </c>
      <c r="N599" s="47" t="s">
        <v>143</v>
      </c>
      <c r="O599" s="47" t="s">
        <v>872</v>
      </c>
      <c r="P599" s="47"/>
      <c r="Q599" s="48" t="n">
        <f aca="false">IF($J599="","",IFERROR(IF($J599&lt;=1,INDEX(VN_국채일별!$B$4:$B$1436,MATCH($B599,VN_국채일별!$A$4:$A$1436,1)),IF($J599&lt;=2,INDEX(VN_국채일별!$B$4:$B$1436,MATCH($B599,VN_국채일별!$A$4:$A$1436,1))+(INDEX(VN_국채일별!$C$4:$C$1436,MATCH($B599,VN_국채일별!$A$4:$A$1436,1))-INDEX(VN_국채일별!$B$4:$B$1436,MATCH($B599,VN_국채일별!$A$4:$A$1436,1)))*($J599-1),IF($J599&lt;=3,INDEX(VN_국채일별!$C$4:$C$1436,MATCH($B599,VN_국채일별!$A$4:$A$1436,1))+(INDEX(VN_국채일별!$D$4:$D$1436,MATCH($B599,VN_국채일별!$A$4:$A$1436,1))-INDEX(VN_국채일별!$C$4:$C$1436,MATCH($B599,VN_국채일별!$A$4:$A$1436,1)))*($J599-2),IF($J599&lt;=5,INDEX(VN_국채일별!$D$4:$D$1436,MATCH($B599,VN_국채일별!$A$4:$A$1436,1))+(INDEX(VN_국채일별!$E$4:$E$1436,MATCH($B599,VN_국채일별!$A$4:$A$1436,1))-INDEX(VN_국채일별!$D$4:$D$1436,MATCH($B599,VN_국채일별!$A$4:$A$1436,1)))*($J599-3)/2,IF($J599&lt;=7,INDEX(VN_국채일별!$E$4:$E$1436,MATCH($B599,VN_국채일별!$A$4:$A$1436,1))+(INDEX(VN_국채일별!$F$4:$F$1436,MATCH($B599,VN_국채일별!$A$4:$A$1436,1))-INDEX(VN_국채일별!$E$4:$E$1436,MATCH($B599,VN_국채일별!$A$4:$A$1436,1)))*($J599-5)/2,IF($J599&lt;=10,INDEX(VN_국채일별!$F$4:$F$1436,MATCH($B599,VN_국채일별!$A$4:$A$1436,1))+(INDEX(VN_국채일별!$G$4:$G$1436,MATCH($B599,VN_국채일별!$A$4:$A$1436,1))-INDEX(VN_국채일별!$F$4:$F$1436,MATCH($B599,VN_국채일별!$A$4:$A$1436,1)))*($J599-7)/3,INDEX(VN_국채일별!$G$4:$G$1436,MATCH($B599,VN_국채일별!$A$4:$A$1436,1)))))))),""))</f>
        <v>0.0356</v>
      </c>
      <c r="R599" s="58" t="str">
        <f aca="false">IF(OR(L599="",Q599=""),"",(L599-Q599)*10000)</f>
        <v/>
      </c>
      <c r="S599" s="30" t="n">
        <f aca="false">IF(AND(K599="고정",N599="N",J599&gt;=2,J599&lt;=4,I599&lt;&gt;""),1,0)</f>
        <v>0</v>
      </c>
      <c r="T599" s="59" t="n">
        <f aca="false">IF(S599=1,I599*L599,0)</f>
        <v>0</v>
      </c>
      <c r="U599" s="60" t="n">
        <f aca="false">IF(AND(S599=1,ISNUMBER(R599)),I599*R599,0)</f>
        <v>0</v>
      </c>
      <c r="V599" s="30" t="n">
        <f aca="false">IF(AND(F599="Big4(국영)",K599="고정",N599="N",I599&lt;&gt;""),1,0)</f>
        <v>0</v>
      </c>
      <c r="W599" s="59" t="n">
        <f aca="false">IF(V599=1,I599*L599,0)</f>
        <v>0</v>
      </c>
      <c r="X599" s="60" t="n">
        <f aca="false">IF(AND(V599=1,ISNUMBER(R599)),I599*R599,0)</f>
        <v>0</v>
      </c>
      <c r="Y599" s="61" t="n">
        <f aca="false">IF(AND(S599=1,ISNUMBER(R599)),I599,0)</f>
        <v>0</v>
      </c>
      <c r="Z599" s="61" t="n">
        <f aca="false">IF(AND(V599=1,ISNUMBER(R599)),I599,0)</f>
        <v>0</v>
      </c>
    </row>
    <row r="600" customFormat="false" ht="15" hidden="false" customHeight="false" outlineLevel="0" collapsed="false">
      <c r="A600" s="47" t="s">
        <v>1022</v>
      </c>
      <c r="B600" s="52" t="n">
        <v>45951</v>
      </c>
      <c r="C600" s="53" t="n">
        <f aca="false">DATE(YEAR(B600),MONTH(B600),1)</f>
        <v>45931</v>
      </c>
      <c r="D600" s="5" t="str">
        <f aca="false">YEAR(B600)&amp;"Q"&amp;ROUNDUP(MONTH(B600)/3,0)</f>
        <v>2025Q4</v>
      </c>
      <c r="E600" s="62" t="s">
        <v>155</v>
      </c>
      <c r="F600" s="62" t="s">
        <v>156</v>
      </c>
      <c r="G600" s="47" t="s">
        <v>157</v>
      </c>
      <c r="H600" s="47" t="s">
        <v>1053</v>
      </c>
      <c r="I600" s="55" t="n">
        <v>75</v>
      </c>
      <c r="J600" s="56" t="n">
        <v>10</v>
      </c>
      <c r="K600" s="54" t="s">
        <v>142</v>
      </c>
      <c r="L600" s="57" t="n">
        <v>0.06</v>
      </c>
      <c r="N600" s="47" t="s">
        <v>143</v>
      </c>
      <c r="O600" s="47" t="s">
        <v>449</v>
      </c>
      <c r="P600" s="47"/>
      <c r="Q600" s="48" t="n">
        <f aca="false">IF($J600="","",IFERROR(IF($J600&lt;=1,INDEX(VN_국채일별!$B$4:$B$1436,MATCH($B600,VN_국채일별!$A$4:$A$1436,1)),IF($J600&lt;=2,INDEX(VN_국채일별!$B$4:$B$1436,MATCH($B600,VN_국채일별!$A$4:$A$1436,1))+(INDEX(VN_국채일별!$C$4:$C$1436,MATCH($B600,VN_국채일별!$A$4:$A$1436,1))-INDEX(VN_국채일별!$B$4:$B$1436,MATCH($B600,VN_국채일별!$A$4:$A$1436,1)))*($J600-1),IF($J600&lt;=3,INDEX(VN_국채일별!$C$4:$C$1436,MATCH($B600,VN_국채일별!$A$4:$A$1436,1))+(INDEX(VN_국채일별!$D$4:$D$1436,MATCH($B600,VN_국채일별!$A$4:$A$1436,1))-INDEX(VN_국채일별!$C$4:$C$1436,MATCH($B600,VN_국채일별!$A$4:$A$1436,1)))*($J600-2),IF($J600&lt;=5,INDEX(VN_국채일별!$D$4:$D$1436,MATCH($B600,VN_국채일별!$A$4:$A$1436,1))+(INDEX(VN_국채일별!$E$4:$E$1436,MATCH($B600,VN_국채일별!$A$4:$A$1436,1))-INDEX(VN_국채일별!$D$4:$D$1436,MATCH($B600,VN_국채일별!$A$4:$A$1436,1)))*($J600-3)/2,IF($J600&lt;=7,INDEX(VN_국채일별!$E$4:$E$1436,MATCH($B600,VN_국채일별!$A$4:$A$1436,1))+(INDEX(VN_국채일별!$F$4:$F$1436,MATCH($B600,VN_국채일별!$A$4:$A$1436,1))-INDEX(VN_국채일별!$E$4:$E$1436,MATCH($B600,VN_국채일별!$A$4:$A$1436,1)))*($J600-5)/2,IF($J600&lt;=10,INDEX(VN_국채일별!$F$4:$F$1436,MATCH($B600,VN_국채일별!$A$4:$A$1436,1))+(INDEX(VN_국채일별!$G$4:$G$1436,MATCH($B600,VN_국채일별!$A$4:$A$1436,1))-INDEX(VN_국채일별!$F$4:$F$1436,MATCH($B600,VN_국채일별!$A$4:$A$1436,1)))*($J600-7)/3,INDEX(VN_국채일별!$G$4:$G$1436,MATCH($B600,VN_국채일별!$A$4:$A$1436,1)))))))),""))</f>
        <v>0.03897</v>
      </c>
      <c r="R600" s="58" t="n">
        <f aca="false">IF(OR(L600="",Q600=""),"",(L600-Q600)*10000)</f>
        <v>210.3</v>
      </c>
      <c r="S600" s="30" t="n">
        <f aca="false">IF(AND(K600="고정",N600="N",J600&gt;=2,J600&lt;=4,I600&lt;&gt;""),1,0)</f>
        <v>0</v>
      </c>
      <c r="T600" s="59" t="n">
        <f aca="false">IF(S600=1,I600*L600,0)</f>
        <v>0</v>
      </c>
      <c r="U600" s="60" t="n">
        <f aca="false">IF(AND(S600=1,ISNUMBER(R600)),I600*R600,0)</f>
        <v>0</v>
      </c>
      <c r="V600" s="30" t="n">
        <f aca="false">IF(AND(F600="Big4(국영)",K600="고정",N600="N",I600&lt;&gt;""),1,0)</f>
        <v>0</v>
      </c>
      <c r="W600" s="59" t="n">
        <f aca="false">IF(V600=1,I600*L600,0)</f>
        <v>0</v>
      </c>
      <c r="X600" s="60" t="n">
        <f aca="false">IF(AND(V600=1,ISNUMBER(R600)),I600*R600,0)</f>
        <v>0</v>
      </c>
      <c r="Y600" s="61" t="n">
        <f aca="false">IF(AND(S600=1,ISNUMBER(R600)),I600,0)</f>
        <v>0</v>
      </c>
      <c r="Z600" s="61" t="n">
        <f aca="false">IF(AND(V600=1,ISNUMBER(R600)),I600,0)</f>
        <v>0</v>
      </c>
    </row>
    <row r="601" customFormat="false" ht="15" hidden="false" customHeight="false" outlineLevel="0" collapsed="false">
      <c r="A601" s="47" t="s">
        <v>1022</v>
      </c>
      <c r="B601" s="52" t="n">
        <v>45951</v>
      </c>
      <c r="C601" s="53" t="n">
        <f aca="false">DATE(YEAR(B601),MONTH(B601),1)</f>
        <v>45931</v>
      </c>
      <c r="D601" s="5" t="str">
        <f aca="false">YEAR(B601)&amp;"Q"&amp;ROUNDUP(MONTH(B601)/3,0)</f>
        <v>2025Q4</v>
      </c>
      <c r="E601" s="62" t="s">
        <v>155</v>
      </c>
      <c r="F601" s="62" t="s">
        <v>156</v>
      </c>
      <c r="G601" s="47" t="s">
        <v>157</v>
      </c>
      <c r="H601" s="47" t="s">
        <v>1054</v>
      </c>
      <c r="I601" s="55" t="n">
        <v>100</v>
      </c>
      <c r="J601" s="56" t="n">
        <v>15</v>
      </c>
      <c r="K601" s="54" t="s">
        <v>142</v>
      </c>
      <c r="L601" s="57" t="n">
        <v>0.063</v>
      </c>
      <c r="N601" s="47" t="s">
        <v>143</v>
      </c>
      <c r="O601" s="47" t="s">
        <v>439</v>
      </c>
      <c r="P601" s="47"/>
      <c r="Q601" s="48" t="n">
        <f aca="false">IF($J601="","",IFERROR(IF($J601&lt;=1,INDEX(VN_국채일별!$B$4:$B$1436,MATCH($B601,VN_국채일별!$A$4:$A$1436,1)),IF($J601&lt;=2,INDEX(VN_국채일별!$B$4:$B$1436,MATCH($B601,VN_국채일별!$A$4:$A$1436,1))+(INDEX(VN_국채일별!$C$4:$C$1436,MATCH($B601,VN_국채일별!$A$4:$A$1436,1))-INDEX(VN_국채일별!$B$4:$B$1436,MATCH($B601,VN_국채일별!$A$4:$A$1436,1)))*($J601-1),IF($J601&lt;=3,INDEX(VN_국채일별!$C$4:$C$1436,MATCH($B601,VN_국채일별!$A$4:$A$1436,1))+(INDEX(VN_국채일별!$D$4:$D$1436,MATCH($B601,VN_국채일별!$A$4:$A$1436,1))-INDEX(VN_국채일별!$C$4:$C$1436,MATCH($B601,VN_국채일별!$A$4:$A$1436,1)))*($J601-2),IF($J601&lt;=5,INDEX(VN_국채일별!$D$4:$D$1436,MATCH($B601,VN_국채일별!$A$4:$A$1436,1))+(INDEX(VN_국채일별!$E$4:$E$1436,MATCH($B601,VN_국채일별!$A$4:$A$1436,1))-INDEX(VN_국채일별!$D$4:$D$1436,MATCH($B601,VN_국채일별!$A$4:$A$1436,1)))*($J601-3)/2,IF($J601&lt;=7,INDEX(VN_국채일별!$E$4:$E$1436,MATCH($B601,VN_국채일별!$A$4:$A$1436,1))+(INDEX(VN_국채일별!$F$4:$F$1436,MATCH($B601,VN_국채일별!$A$4:$A$1436,1))-INDEX(VN_국채일별!$E$4:$E$1436,MATCH($B601,VN_국채일별!$A$4:$A$1436,1)))*($J601-5)/2,IF($J601&lt;=10,INDEX(VN_국채일별!$F$4:$F$1436,MATCH($B601,VN_국채일별!$A$4:$A$1436,1))+(INDEX(VN_국채일별!$G$4:$G$1436,MATCH($B601,VN_국채일별!$A$4:$A$1436,1))-INDEX(VN_국채일별!$F$4:$F$1436,MATCH($B601,VN_국채일별!$A$4:$A$1436,1)))*($J601-7)/3,INDEX(VN_국채일별!$G$4:$G$1436,MATCH($B601,VN_국채일별!$A$4:$A$1436,1)))))))),""))</f>
        <v>0.03897</v>
      </c>
      <c r="R601" s="58" t="n">
        <f aca="false">IF(OR(L601="",Q601=""),"",(L601-Q601)*10000)</f>
        <v>240.3</v>
      </c>
      <c r="S601" s="30" t="n">
        <f aca="false">IF(AND(K601="고정",N601="N",J601&gt;=2,J601&lt;=4,I601&lt;&gt;""),1,0)</f>
        <v>0</v>
      </c>
      <c r="T601" s="59" t="n">
        <f aca="false">IF(S601=1,I601*L601,0)</f>
        <v>0</v>
      </c>
      <c r="U601" s="60" t="n">
        <f aca="false">IF(AND(S601=1,ISNUMBER(R601)),I601*R601,0)</f>
        <v>0</v>
      </c>
      <c r="V601" s="30" t="n">
        <f aca="false">IF(AND(F601="Big4(국영)",K601="고정",N601="N",I601&lt;&gt;""),1,0)</f>
        <v>0</v>
      </c>
      <c r="W601" s="59" t="n">
        <f aca="false">IF(V601=1,I601*L601,0)</f>
        <v>0</v>
      </c>
      <c r="X601" s="60" t="n">
        <f aca="false">IF(AND(V601=1,ISNUMBER(R601)),I601*R601,0)</f>
        <v>0</v>
      </c>
      <c r="Y601" s="61" t="n">
        <f aca="false">IF(AND(S601=1,ISNUMBER(R601)),I601,0)</f>
        <v>0</v>
      </c>
      <c r="Z601" s="61" t="n">
        <f aca="false">IF(AND(V601=1,ISNUMBER(R601)),I601,0)</f>
        <v>0</v>
      </c>
    </row>
    <row r="602" customFormat="false" ht="15" hidden="false" customHeight="false" outlineLevel="0" collapsed="false">
      <c r="A602" s="47" t="s">
        <v>1022</v>
      </c>
      <c r="B602" s="52" t="n">
        <v>45952</v>
      </c>
      <c r="C602" s="53" t="n">
        <f aca="false">DATE(YEAR(B602),MONTH(B602),1)</f>
        <v>45931</v>
      </c>
      <c r="D602" s="5" t="str">
        <f aca="false">YEAR(B602)&amp;"Q"&amp;ROUNDUP(MONTH(B602)/3,0)</f>
        <v>2025Q4</v>
      </c>
      <c r="E602" s="47" t="s">
        <v>307</v>
      </c>
      <c r="F602" s="54" t="s">
        <v>139</v>
      </c>
      <c r="G602" s="47" t="s">
        <v>308</v>
      </c>
      <c r="H602" s="47" t="s">
        <v>1055</v>
      </c>
      <c r="I602" s="55" t="n">
        <v>2000</v>
      </c>
      <c r="J602" s="56" t="n">
        <v>2</v>
      </c>
      <c r="K602" s="54" t="s">
        <v>142</v>
      </c>
      <c r="L602" s="57" t="n">
        <v>0.061</v>
      </c>
      <c r="N602" s="47" t="s">
        <v>148</v>
      </c>
      <c r="O602" s="47" t="s">
        <v>467</v>
      </c>
      <c r="P602" s="47"/>
      <c r="Q602" s="48" t="n">
        <f aca="false">IF($J602="","",IFERROR(IF($J602&lt;=1,INDEX(VN_국채일별!$B$4:$B$1436,MATCH($B602,VN_국채일별!$A$4:$A$1436,1)),IF($J602&lt;=2,INDEX(VN_국채일별!$B$4:$B$1436,MATCH($B602,VN_국채일별!$A$4:$A$1436,1))+(INDEX(VN_국채일별!$C$4:$C$1436,MATCH($B602,VN_국채일별!$A$4:$A$1436,1))-INDEX(VN_국채일별!$B$4:$B$1436,MATCH($B602,VN_국채일별!$A$4:$A$1436,1)))*($J602-1),IF($J602&lt;=3,INDEX(VN_국채일별!$C$4:$C$1436,MATCH($B602,VN_국채일별!$A$4:$A$1436,1))+(INDEX(VN_국채일별!$D$4:$D$1436,MATCH($B602,VN_국채일별!$A$4:$A$1436,1))-INDEX(VN_국채일별!$C$4:$C$1436,MATCH($B602,VN_국채일별!$A$4:$A$1436,1)))*($J602-2),IF($J602&lt;=5,INDEX(VN_국채일별!$D$4:$D$1436,MATCH($B602,VN_국채일별!$A$4:$A$1436,1))+(INDEX(VN_국채일별!$E$4:$E$1436,MATCH($B602,VN_국채일별!$A$4:$A$1436,1))-INDEX(VN_국채일별!$D$4:$D$1436,MATCH($B602,VN_국채일별!$A$4:$A$1436,1)))*($J602-3)/2,IF($J602&lt;=7,INDEX(VN_국채일별!$E$4:$E$1436,MATCH($B602,VN_국채일별!$A$4:$A$1436,1))+(INDEX(VN_국채일별!$F$4:$F$1436,MATCH($B602,VN_국채일별!$A$4:$A$1436,1))-INDEX(VN_국채일별!$E$4:$E$1436,MATCH($B602,VN_국채일별!$A$4:$A$1436,1)))*($J602-5)/2,IF($J602&lt;=10,INDEX(VN_국채일별!$F$4:$F$1436,MATCH($B602,VN_국채일별!$A$4:$A$1436,1))+(INDEX(VN_국채일별!$G$4:$G$1436,MATCH($B602,VN_국채일별!$A$4:$A$1436,1))-INDEX(VN_국채일별!$F$4:$F$1436,MATCH($B602,VN_국채일별!$A$4:$A$1436,1)))*($J602-7)/3,INDEX(VN_국채일별!$G$4:$G$1436,MATCH($B602,VN_국채일별!$A$4:$A$1436,1)))))))),""))</f>
        <v>0.02973</v>
      </c>
      <c r="R602" s="58" t="n">
        <f aca="false">IF(OR(L602="",Q602=""),"",(L602-Q602)*10000)</f>
        <v>312.7</v>
      </c>
      <c r="S602" s="30" t="n">
        <f aca="false">IF(AND(K602="고정",N602="N",J602&gt;=2,J602&lt;=4,I602&lt;&gt;""),1,0)</f>
        <v>1</v>
      </c>
      <c r="T602" s="59" t="n">
        <f aca="false">IF(S602=1,I602*L602,0)</f>
        <v>122</v>
      </c>
      <c r="U602" s="60" t="n">
        <f aca="false">IF(AND(S602=1,ISNUMBER(R602)),I602*R602,0)</f>
        <v>625400</v>
      </c>
      <c r="V602" s="30" t="n">
        <f aca="false">IF(AND(F602="Big4(국영)",K602="고정",N602="N",I602&lt;&gt;""),1,0)</f>
        <v>0</v>
      </c>
      <c r="W602" s="59" t="n">
        <f aca="false">IF(V602=1,I602*L602,0)</f>
        <v>0</v>
      </c>
      <c r="X602" s="60" t="n">
        <f aca="false">IF(AND(V602=1,ISNUMBER(R602)),I602*R602,0)</f>
        <v>0</v>
      </c>
      <c r="Y602" s="61" t="n">
        <f aca="false">IF(AND(S602=1,ISNUMBER(R602)),I602,0)</f>
        <v>2000</v>
      </c>
      <c r="Z602" s="61" t="n">
        <f aca="false">IF(AND(V602=1,ISNUMBER(R602)),I602,0)</f>
        <v>0</v>
      </c>
    </row>
    <row r="603" customFormat="false" ht="15" hidden="false" customHeight="false" outlineLevel="0" collapsed="false">
      <c r="A603" s="47" t="s">
        <v>1022</v>
      </c>
      <c r="B603" s="52" t="n">
        <v>45957</v>
      </c>
      <c r="C603" s="53" t="n">
        <f aca="false">DATE(YEAR(B603),MONTH(B603),1)</f>
        <v>45931</v>
      </c>
      <c r="D603" s="5" t="str">
        <f aca="false">YEAR(B603)&amp;"Q"&amp;ROUNDUP(MONTH(B603)/3,0)</f>
        <v>2025Q4</v>
      </c>
      <c r="E603" s="47" t="s">
        <v>150</v>
      </c>
      <c r="F603" s="54" t="s">
        <v>139</v>
      </c>
      <c r="G603" s="47" t="s">
        <v>170</v>
      </c>
      <c r="H603" s="47" t="s">
        <v>1056</v>
      </c>
      <c r="I603" s="55" t="n">
        <v>3000</v>
      </c>
      <c r="J603" s="56" t="n">
        <v>3</v>
      </c>
      <c r="K603" s="54" t="s">
        <v>142</v>
      </c>
      <c r="L603" s="57" t="n">
        <v>0.06</v>
      </c>
      <c r="N603" s="47" t="s">
        <v>148</v>
      </c>
      <c r="O603" s="47" t="s">
        <v>449</v>
      </c>
      <c r="P603" s="47"/>
      <c r="Q603" s="48" t="n">
        <f aca="false">IF($J603="","",IFERROR(IF($J603&lt;=1,INDEX(VN_국채일별!$B$4:$B$1436,MATCH($B603,VN_국채일별!$A$4:$A$1436,1)),IF($J603&lt;=2,INDEX(VN_국채일별!$B$4:$B$1436,MATCH($B603,VN_국채일별!$A$4:$A$1436,1))+(INDEX(VN_국채일별!$C$4:$C$1436,MATCH($B603,VN_국채일별!$A$4:$A$1436,1))-INDEX(VN_국채일별!$B$4:$B$1436,MATCH($B603,VN_국채일별!$A$4:$A$1436,1)))*($J603-1),IF($J603&lt;=3,INDEX(VN_국채일별!$C$4:$C$1436,MATCH($B603,VN_국채일별!$A$4:$A$1436,1))+(INDEX(VN_국채일별!$D$4:$D$1436,MATCH($B603,VN_국채일별!$A$4:$A$1436,1))-INDEX(VN_국채일별!$C$4:$C$1436,MATCH($B603,VN_국채일별!$A$4:$A$1436,1)))*($J603-2),IF($J603&lt;=5,INDEX(VN_국채일별!$D$4:$D$1436,MATCH($B603,VN_국채일별!$A$4:$A$1436,1))+(INDEX(VN_국채일별!$E$4:$E$1436,MATCH($B603,VN_국채일별!$A$4:$A$1436,1))-INDEX(VN_국채일별!$D$4:$D$1436,MATCH($B603,VN_국채일별!$A$4:$A$1436,1)))*($J603-3)/2,IF($J603&lt;=7,INDEX(VN_국채일별!$E$4:$E$1436,MATCH($B603,VN_국채일별!$A$4:$A$1436,1))+(INDEX(VN_국채일별!$F$4:$F$1436,MATCH($B603,VN_국채일별!$A$4:$A$1436,1))-INDEX(VN_국채일별!$E$4:$E$1436,MATCH($B603,VN_국채일별!$A$4:$A$1436,1)))*($J603-5)/2,IF($J603&lt;=10,INDEX(VN_국채일별!$F$4:$F$1436,MATCH($B603,VN_국채일별!$A$4:$A$1436,1))+(INDEX(VN_국채일별!$G$4:$G$1436,MATCH($B603,VN_국채일별!$A$4:$A$1436,1))-INDEX(VN_국채일별!$F$4:$F$1436,MATCH($B603,VN_국채일별!$A$4:$A$1436,1)))*($J603-7)/3,INDEX(VN_국채일별!$G$4:$G$1436,MATCH($B603,VN_국채일별!$A$4:$A$1436,1)))))))),""))</f>
        <v>0.03056</v>
      </c>
      <c r="R603" s="58" t="n">
        <f aca="false">IF(OR(L603="",Q603=""),"",(L603-Q603)*10000)</f>
        <v>294.4</v>
      </c>
      <c r="S603" s="30" t="n">
        <f aca="false">IF(AND(K603="고정",N603="N",J603&gt;=2,J603&lt;=4,I603&lt;&gt;""),1,0)</f>
        <v>1</v>
      </c>
      <c r="T603" s="59" t="n">
        <f aca="false">IF(S603=1,I603*L603,0)</f>
        <v>180</v>
      </c>
      <c r="U603" s="60" t="n">
        <f aca="false">IF(AND(S603=1,ISNUMBER(R603)),I603*R603,0)</f>
        <v>883200</v>
      </c>
      <c r="V603" s="30" t="n">
        <f aca="false">IF(AND(F603="Big4(국영)",K603="고정",N603="N",I603&lt;&gt;""),1,0)</f>
        <v>0</v>
      </c>
      <c r="W603" s="59" t="n">
        <f aca="false">IF(V603=1,I603*L603,0)</f>
        <v>0</v>
      </c>
      <c r="X603" s="60" t="n">
        <f aca="false">IF(AND(V603=1,ISNUMBER(R603)),I603*R603,0)</f>
        <v>0</v>
      </c>
      <c r="Y603" s="61" t="n">
        <f aca="false">IF(AND(S603=1,ISNUMBER(R603)),I603,0)</f>
        <v>3000</v>
      </c>
      <c r="Z603" s="61" t="n">
        <f aca="false">IF(AND(V603=1,ISNUMBER(R603)),I603,0)</f>
        <v>0</v>
      </c>
    </row>
    <row r="604" customFormat="false" ht="15" hidden="false" customHeight="false" outlineLevel="0" collapsed="false">
      <c r="A604" s="47" t="s">
        <v>1022</v>
      </c>
      <c r="B604" s="52" t="n">
        <v>45958</v>
      </c>
      <c r="C604" s="53" t="n">
        <f aca="false">DATE(YEAR(B604),MONTH(B604),1)</f>
        <v>45931</v>
      </c>
      <c r="D604" s="5" t="str">
        <f aca="false">YEAR(B604)&amp;"Q"&amp;ROUNDUP(MONTH(B604)/3,0)</f>
        <v>2025Q4</v>
      </c>
      <c r="E604" s="47" t="s">
        <v>191</v>
      </c>
      <c r="F604" s="54" t="s">
        <v>139</v>
      </c>
      <c r="G604" s="47" t="s">
        <v>917</v>
      </c>
      <c r="H604" s="47" t="s">
        <v>1057</v>
      </c>
      <c r="I604" s="55" t="n">
        <v>380</v>
      </c>
      <c r="J604" s="56" t="n">
        <v>7</v>
      </c>
      <c r="K604" s="54" t="s">
        <v>153</v>
      </c>
      <c r="M604" s="57" t="n">
        <v>0.0765</v>
      </c>
      <c r="N604" s="47" t="s">
        <v>143</v>
      </c>
      <c r="O604" s="47" t="s">
        <v>919</v>
      </c>
      <c r="P604" s="47"/>
      <c r="Q604" s="48" t="n">
        <f aca="false">IF($J604="","",IFERROR(IF($J604&lt;=1,INDEX(VN_국채일별!$B$4:$B$1436,MATCH($B604,VN_국채일별!$A$4:$A$1436,1)),IF($J604&lt;=2,INDEX(VN_국채일별!$B$4:$B$1436,MATCH($B604,VN_국채일별!$A$4:$A$1436,1))+(INDEX(VN_국채일별!$C$4:$C$1436,MATCH($B604,VN_국채일별!$A$4:$A$1436,1))-INDEX(VN_국채일별!$B$4:$B$1436,MATCH($B604,VN_국채일별!$A$4:$A$1436,1)))*($J604-1),IF($J604&lt;=3,INDEX(VN_국채일별!$C$4:$C$1436,MATCH($B604,VN_국채일별!$A$4:$A$1436,1))+(INDEX(VN_국채일별!$D$4:$D$1436,MATCH($B604,VN_국채일별!$A$4:$A$1436,1))-INDEX(VN_국채일별!$C$4:$C$1436,MATCH($B604,VN_국채일별!$A$4:$A$1436,1)))*($J604-2),IF($J604&lt;=5,INDEX(VN_국채일별!$D$4:$D$1436,MATCH($B604,VN_국채일별!$A$4:$A$1436,1))+(INDEX(VN_국채일별!$E$4:$E$1436,MATCH($B604,VN_국채일별!$A$4:$A$1436,1))-INDEX(VN_국채일별!$D$4:$D$1436,MATCH($B604,VN_국채일별!$A$4:$A$1436,1)))*($J604-3)/2,IF($J604&lt;=7,INDEX(VN_국채일별!$E$4:$E$1436,MATCH($B604,VN_국채일별!$A$4:$A$1436,1))+(INDEX(VN_국채일별!$F$4:$F$1436,MATCH($B604,VN_국채일별!$A$4:$A$1436,1))-INDEX(VN_국채일별!$E$4:$E$1436,MATCH($B604,VN_국채일별!$A$4:$A$1436,1)))*($J604-5)/2,IF($J604&lt;=10,INDEX(VN_국채일별!$F$4:$F$1436,MATCH($B604,VN_국채일별!$A$4:$A$1436,1))+(INDEX(VN_국채일별!$G$4:$G$1436,MATCH($B604,VN_국채일별!$A$4:$A$1436,1))-INDEX(VN_국채일별!$F$4:$F$1436,MATCH($B604,VN_국채일별!$A$4:$A$1436,1)))*($J604-7)/3,INDEX(VN_국채일별!$G$4:$G$1436,MATCH($B604,VN_국채일별!$A$4:$A$1436,1)))))))),""))</f>
        <v>0.03561</v>
      </c>
      <c r="R604" s="58" t="str">
        <f aca="false">IF(OR(L604="",Q604=""),"",(L604-Q604)*10000)</f>
        <v/>
      </c>
      <c r="S604" s="30" t="n">
        <f aca="false">IF(AND(K604="고정",N604="N",J604&gt;=2,J604&lt;=4,I604&lt;&gt;""),1,0)</f>
        <v>0</v>
      </c>
      <c r="T604" s="59" t="n">
        <f aca="false">IF(S604=1,I604*L604,0)</f>
        <v>0</v>
      </c>
      <c r="U604" s="60" t="n">
        <f aca="false">IF(AND(S604=1,ISNUMBER(R604)),I604*R604,0)</f>
        <v>0</v>
      </c>
      <c r="V604" s="30" t="n">
        <f aca="false">IF(AND(F604="Big4(국영)",K604="고정",N604="N",I604&lt;&gt;""),1,0)</f>
        <v>0</v>
      </c>
      <c r="W604" s="59" t="n">
        <f aca="false">IF(V604=1,I604*L604,0)</f>
        <v>0</v>
      </c>
      <c r="X604" s="60" t="n">
        <f aca="false">IF(AND(V604=1,ISNUMBER(R604)),I604*R604,0)</f>
        <v>0</v>
      </c>
      <c r="Y604" s="61" t="n">
        <f aca="false">IF(AND(S604=1,ISNUMBER(R604)),I604,0)</f>
        <v>0</v>
      </c>
      <c r="Z604" s="61" t="n">
        <f aca="false">IF(AND(V604=1,ISNUMBER(R604)),I604,0)</f>
        <v>0</v>
      </c>
    </row>
    <row r="605" customFormat="false" ht="15" hidden="false" customHeight="false" outlineLevel="0" collapsed="false">
      <c r="A605" s="47" t="s">
        <v>1058</v>
      </c>
      <c r="B605" s="52" t="n">
        <v>45964</v>
      </c>
      <c r="C605" s="53" t="n">
        <f aca="false">DATE(YEAR(B605),MONTH(B605),1)</f>
        <v>45962</v>
      </c>
      <c r="D605" s="5" t="str">
        <f aca="false">YEAR(B605)&amp;"Q"&amp;ROUNDUP(MONTH(B605)/3,0)</f>
        <v>2025Q4</v>
      </c>
      <c r="E605" s="47" t="s">
        <v>365</v>
      </c>
      <c r="F605" s="54" t="s">
        <v>139</v>
      </c>
      <c r="G605" s="47" t="s">
        <v>366</v>
      </c>
      <c r="H605" s="47" t="s">
        <v>1059</v>
      </c>
      <c r="I605" s="55" t="n">
        <v>408.3</v>
      </c>
      <c r="J605" s="56" t="n">
        <v>10</v>
      </c>
      <c r="K605" s="54" t="s">
        <v>153</v>
      </c>
      <c r="N605" s="47" t="s">
        <v>143</v>
      </c>
      <c r="O605" s="47" t="s">
        <v>890</v>
      </c>
      <c r="P605" s="47"/>
      <c r="Q605" s="48" t="n">
        <f aca="false">IF($J605="","",IFERROR(IF($J605&lt;=1,INDEX(VN_국채일별!$B$4:$B$1436,MATCH($B605,VN_국채일별!$A$4:$A$1436,1)),IF($J605&lt;=2,INDEX(VN_국채일별!$B$4:$B$1436,MATCH($B605,VN_국채일별!$A$4:$A$1436,1))+(INDEX(VN_국채일별!$C$4:$C$1436,MATCH($B605,VN_국채일별!$A$4:$A$1436,1))-INDEX(VN_국채일별!$B$4:$B$1436,MATCH($B605,VN_국채일별!$A$4:$A$1436,1)))*($J605-1),IF($J605&lt;=3,INDEX(VN_국채일별!$C$4:$C$1436,MATCH($B605,VN_국채일별!$A$4:$A$1436,1))+(INDEX(VN_국채일별!$D$4:$D$1436,MATCH($B605,VN_국채일별!$A$4:$A$1436,1))-INDEX(VN_국채일별!$C$4:$C$1436,MATCH($B605,VN_국채일별!$A$4:$A$1436,1)))*($J605-2),IF($J605&lt;=5,INDEX(VN_국채일별!$D$4:$D$1436,MATCH($B605,VN_국채일별!$A$4:$A$1436,1))+(INDEX(VN_국채일별!$E$4:$E$1436,MATCH($B605,VN_국채일별!$A$4:$A$1436,1))-INDEX(VN_국채일별!$D$4:$D$1436,MATCH($B605,VN_국채일별!$A$4:$A$1436,1)))*($J605-3)/2,IF($J605&lt;=7,INDEX(VN_국채일별!$E$4:$E$1436,MATCH($B605,VN_국채일별!$A$4:$A$1436,1))+(INDEX(VN_국채일별!$F$4:$F$1436,MATCH($B605,VN_국채일별!$A$4:$A$1436,1))-INDEX(VN_국채일별!$E$4:$E$1436,MATCH($B605,VN_국채일별!$A$4:$A$1436,1)))*($J605-5)/2,IF($J605&lt;=10,INDEX(VN_국채일별!$F$4:$F$1436,MATCH($B605,VN_국채일별!$A$4:$A$1436,1))+(INDEX(VN_국채일별!$G$4:$G$1436,MATCH($B605,VN_국채일별!$A$4:$A$1436,1))-INDEX(VN_국채일별!$F$4:$F$1436,MATCH($B605,VN_국채일별!$A$4:$A$1436,1)))*($J605-7)/3,INDEX(VN_국채일별!$G$4:$G$1436,MATCH($B605,VN_국채일별!$A$4:$A$1436,1)))))))),""))</f>
        <v>0.03964</v>
      </c>
      <c r="R605" s="58" t="str">
        <f aca="false">IF(OR(L605="",Q605=""),"",(L605-Q605)*10000)</f>
        <v/>
      </c>
      <c r="S605" s="30" t="n">
        <f aca="false">IF(AND(K605="고정",N605="N",J605&gt;=2,J605&lt;=4,I605&lt;&gt;""),1,0)</f>
        <v>0</v>
      </c>
      <c r="T605" s="59" t="n">
        <f aca="false">IF(S605=1,I605*L605,0)</f>
        <v>0</v>
      </c>
      <c r="U605" s="60" t="n">
        <f aca="false">IF(AND(S605=1,ISNUMBER(R605)),I605*R605,0)</f>
        <v>0</v>
      </c>
      <c r="V605" s="30" t="n">
        <f aca="false">IF(AND(F605="Big4(국영)",K605="고정",N605="N",I605&lt;&gt;""),1,0)</f>
        <v>0</v>
      </c>
      <c r="W605" s="59" t="n">
        <f aca="false">IF(V605=1,I605*L605,0)</f>
        <v>0</v>
      </c>
      <c r="X605" s="60" t="n">
        <f aca="false">IF(AND(V605=1,ISNUMBER(R605)),I605*R605,0)</f>
        <v>0</v>
      </c>
      <c r="Y605" s="61" t="n">
        <f aca="false">IF(AND(S605=1,ISNUMBER(R605)),I605,0)</f>
        <v>0</v>
      </c>
      <c r="Z605" s="61" t="n">
        <f aca="false">IF(AND(V605=1,ISNUMBER(R605)),I605,0)</f>
        <v>0</v>
      </c>
    </row>
    <row r="606" customFormat="false" ht="15" hidden="false" customHeight="false" outlineLevel="0" collapsed="false">
      <c r="A606" s="47" t="s">
        <v>1058</v>
      </c>
      <c r="B606" s="52" t="n">
        <v>45966</v>
      </c>
      <c r="C606" s="53" t="n">
        <f aca="false">DATE(YEAR(B606),MONTH(B606),1)</f>
        <v>45962</v>
      </c>
      <c r="D606" s="5" t="str">
        <f aca="false">YEAR(B606)&amp;"Q"&amp;ROUNDUP(MONTH(B606)/3,0)</f>
        <v>2025Q4</v>
      </c>
      <c r="E606" s="47" t="s">
        <v>307</v>
      </c>
      <c r="F606" s="54" t="s">
        <v>139</v>
      </c>
      <c r="G606" s="47" t="s">
        <v>308</v>
      </c>
      <c r="H606" s="47" t="s">
        <v>1060</v>
      </c>
      <c r="I606" s="55" t="n">
        <v>250</v>
      </c>
      <c r="J606" s="56" t="n">
        <v>3</v>
      </c>
      <c r="K606" s="54" t="s">
        <v>142</v>
      </c>
      <c r="L606" s="57" t="n">
        <v>0.059</v>
      </c>
      <c r="N606" s="47" t="s">
        <v>148</v>
      </c>
      <c r="O606" s="47" t="s">
        <v>857</v>
      </c>
      <c r="P606" s="47"/>
      <c r="Q606" s="48" t="n">
        <f aca="false">IF($J606="","",IFERROR(IF($J606&lt;=1,INDEX(VN_국채일별!$B$4:$B$1436,MATCH($B606,VN_국채일별!$A$4:$A$1436,1)),IF($J606&lt;=2,INDEX(VN_국채일별!$B$4:$B$1436,MATCH($B606,VN_국채일별!$A$4:$A$1436,1))+(INDEX(VN_국채일별!$C$4:$C$1436,MATCH($B606,VN_국채일별!$A$4:$A$1436,1))-INDEX(VN_국채일별!$B$4:$B$1436,MATCH($B606,VN_국채일별!$A$4:$A$1436,1)))*($J606-1),IF($J606&lt;=3,INDEX(VN_국채일별!$C$4:$C$1436,MATCH($B606,VN_국채일별!$A$4:$A$1436,1))+(INDEX(VN_국채일별!$D$4:$D$1436,MATCH($B606,VN_국채일별!$A$4:$A$1436,1))-INDEX(VN_국채일별!$C$4:$C$1436,MATCH($B606,VN_국채일별!$A$4:$A$1436,1)))*($J606-2),IF($J606&lt;=5,INDEX(VN_국채일별!$D$4:$D$1436,MATCH($B606,VN_국채일별!$A$4:$A$1436,1))+(INDEX(VN_국채일별!$E$4:$E$1436,MATCH($B606,VN_국채일별!$A$4:$A$1436,1))-INDEX(VN_국채일별!$D$4:$D$1436,MATCH($B606,VN_국채일별!$A$4:$A$1436,1)))*($J606-3)/2,IF($J606&lt;=7,INDEX(VN_국채일별!$E$4:$E$1436,MATCH($B606,VN_국채일별!$A$4:$A$1436,1))+(INDEX(VN_국채일별!$F$4:$F$1436,MATCH($B606,VN_국채일별!$A$4:$A$1436,1))-INDEX(VN_국채일별!$E$4:$E$1436,MATCH($B606,VN_국채일별!$A$4:$A$1436,1)))*($J606-5)/2,IF($J606&lt;=10,INDEX(VN_국채일별!$F$4:$F$1436,MATCH($B606,VN_국채일별!$A$4:$A$1436,1))+(INDEX(VN_국채일별!$G$4:$G$1436,MATCH($B606,VN_국채일별!$A$4:$A$1436,1))-INDEX(VN_국채일별!$F$4:$F$1436,MATCH($B606,VN_국채일별!$A$4:$A$1436,1)))*($J606-7)/3,INDEX(VN_국채일별!$G$4:$G$1436,MATCH($B606,VN_국채일별!$A$4:$A$1436,1)))))))),""))</f>
        <v>0.03073</v>
      </c>
      <c r="R606" s="58" t="n">
        <f aca="false">IF(OR(L606="",Q606=""),"",(L606-Q606)*10000)</f>
        <v>282.7</v>
      </c>
      <c r="S606" s="30" t="n">
        <f aca="false">IF(AND(K606="고정",N606="N",J606&gt;=2,J606&lt;=4,I606&lt;&gt;""),1,0)</f>
        <v>1</v>
      </c>
      <c r="T606" s="59" t="n">
        <f aca="false">IF(S606=1,I606*L606,0)</f>
        <v>14.75</v>
      </c>
      <c r="U606" s="60" t="n">
        <f aca="false">IF(AND(S606=1,ISNUMBER(R606)),I606*R606,0)</f>
        <v>70675</v>
      </c>
      <c r="V606" s="30" t="n">
        <f aca="false">IF(AND(F606="Big4(국영)",K606="고정",N606="N",I606&lt;&gt;""),1,0)</f>
        <v>0</v>
      </c>
      <c r="W606" s="59" t="n">
        <f aca="false">IF(V606=1,I606*L606,0)</f>
        <v>0</v>
      </c>
      <c r="X606" s="60" t="n">
        <f aca="false">IF(AND(V606=1,ISNUMBER(R606)),I606*R606,0)</f>
        <v>0</v>
      </c>
      <c r="Y606" s="61" t="n">
        <f aca="false">IF(AND(S606=1,ISNUMBER(R606)),I606,0)</f>
        <v>250</v>
      </c>
      <c r="Z606" s="61" t="n">
        <f aca="false">IF(AND(V606=1,ISNUMBER(R606)),I606,0)</f>
        <v>0</v>
      </c>
    </row>
    <row r="607" customFormat="false" ht="15" hidden="false" customHeight="false" outlineLevel="0" collapsed="false">
      <c r="A607" s="47" t="s">
        <v>1058</v>
      </c>
      <c r="B607" s="52" t="n">
        <v>45966</v>
      </c>
      <c r="C607" s="53" t="n">
        <f aca="false">DATE(YEAR(B607),MONTH(B607),1)</f>
        <v>45962</v>
      </c>
      <c r="D607" s="5" t="str">
        <f aca="false">YEAR(B607)&amp;"Q"&amp;ROUNDUP(MONTH(B607)/3,0)</f>
        <v>2025Q4</v>
      </c>
      <c r="E607" s="47" t="s">
        <v>181</v>
      </c>
      <c r="F607" s="54" t="s">
        <v>139</v>
      </c>
      <c r="G607" s="47" t="s">
        <v>182</v>
      </c>
      <c r="H607" s="47" t="s">
        <v>1061</v>
      </c>
      <c r="I607" s="55" t="n">
        <v>1000</v>
      </c>
      <c r="J607" s="56" t="n">
        <v>2</v>
      </c>
      <c r="K607" s="54" t="s">
        <v>142</v>
      </c>
      <c r="L607" s="57" t="n">
        <v>0.065</v>
      </c>
      <c r="N607" s="47" t="s">
        <v>148</v>
      </c>
      <c r="O607" s="47" t="s">
        <v>417</v>
      </c>
      <c r="P607" s="47"/>
      <c r="Q607" s="48" t="n">
        <f aca="false">IF($J607="","",IFERROR(IF($J607&lt;=1,INDEX(VN_국채일별!$B$4:$B$1436,MATCH($B607,VN_국채일별!$A$4:$A$1436,1)),IF($J607&lt;=2,INDEX(VN_국채일별!$B$4:$B$1436,MATCH($B607,VN_국채일별!$A$4:$A$1436,1))+(INDEX(VN_국채일별!$C$4:$C$1436,MATCH($B607,VN_국채일별!$A$4:$A$1436,1))-INDEX(VN_국채일별!$B$4:$B$1436,MATCH($B607,VN_국채일별!$A$4:$A$1436,1)))*($J607-1),IF($J607&lt;=3,INDEX(VN_국채일별!$C$4:$C$1436,MATCH($B607,VN_국채일별!$A$4:$A$1436,1))+(INDEX(VN_국채일별!$D$4:$D$1436,MATCH($B607,VN_국채일별!$A$4:$A$1436,1))-INDEX(VN_국채일별!$C$4:$C$1436,MATCH($B607,VN_국채일별!$A$4:$A$1436,1)))*($J607-2),IF($J607&lt;=5,INDEX(VN_국채일별!$D$4:$D$1436,MATCH($B607,VN_국채일별!$A$4:$A$1436,1))+(INDEX(VN_국채일별!$E$4:$E$1436,MATCH($B607,VN_국채일별!$A$4:$A$1436,1))-INDEX(VN_국채일별!$D$4:$D$1436,MATCH($B607,VN_국채일별!$A$4:$A$1436,1)))*($J607-3)/2,IF($J607&lt;=7,INDEX(VN_국채일별!$E$4:$E$1436,MATCH($B607,VN_국채일별!$A$4:$A$1436,1))+(INDEX(VN_국채일별!$F$4:$F$1436,MATCH($B607,VN_국채일별!$A$4:$A$1436,1))-INDEX(VN_국채일별!$E$4:$E$1436,MATCH($B607,VN_국채일별!$A$4:$A$1436,1)))*($J607-5)/2,IF($J607&lt;=10,INDEX(VN_국채일별!$F$4:$F$1436,MATCH($B607,VN_국채일별!$A$4:$A$1436,1))+(INDEX(VN_국채일별!$G$4:$G$1436,MATCH($B607,VN_국채일별!$A$4:$A$1436,1))-INDEX(VN_국채일별!$F$4:$F$1436,MATCH($B607,VN_국채일별!$A$4:$A$1436,1)))*($J607-7)/3,INDEX(VN_국채일별!$G$4:$G$1436,MATCH($B607,VN_국채일별!$A$4:$A$1436,1)))))))),""))</f>
        <v>0.0299</v>
      </c>
      <c r="R607" s="58" t="n">
        <f aca="false">IF(OR(L607="",Q607=""),"",(L607-Q607)*10000)</f>
        <v>351</v>
      </c>
      <c r="S607" s="30" t="n">
        <f aca="false">IF(AND(K607="고정",N607="N",J607&gt;=2,J607&lt;=4,I607&lt;&gt;""),1,0)</f>
        <v>1</v>
      </c>
      <c r="T607" s="59" t="n">
        <f aca="false">IF(S607=1,I607*L607,0)</f>
        <v>65</v>
      </c>
      <c r="U607" s="60" t="n">
        <f aca="false">IF(AND(S607=1,ISNUMBER(R607)),I607*R607,0)</f>
        <v>351000</v>
      </c>
      <c r="V607" s="30" t="n">
        <f aca="false">IF(AND(F607="Big4(국영)",K607="고정",N607="N",I607&lt;&gt;""),1,0)</f>
        <v>0</v>
      </c>
      <c r="W607" s="59" t="n">
        <f aca="false">IF(V607=1,I607*L607,0)</f>
        <v>0</v>
      </c>
      <c r="X607" s="60" t="n">
        <f aca="false">IF(AND(V607=1,ISNUMBER(R607)),I607*R607,0)</f>
        <v>0</v>
      </c>
      <c r="Y607" s="61" t="n">
        <f aca="false">IF(AND(S607=1,ISNUMBER(R607)),I607,0)</f>
        <v>1000</v>
      </c>
      <c r="Z607" s="61" t="n">
        <f aca="false">IF(AND(V607=1,ISNUMBER(R607)),I607,0)</f>
        <v>0</v>
      </c>
    </row>
    <row r="608" customFormat="false" ht="15" hidden="false" customHeight="false" outlineLevel="0" collapsed="false">
      <c r="A608" s="47" t="s">
        <v>1058</v>
      </c>
      <c r="B608" s="52" t="n">
        <v>45972</v>
      </c>
      <c r="C608" s="53" t="n">
        <f aca="false">DATE(YEAR(B608),MONTH(B608),1)</f>
        <v>45962</v>
      </c>
      <c r="D608" s="5" t="str">
        <f aca="false">YEAR(B608)&amp;"Q"&amp;ROUNDUP(MONTH(B608)/3,0)</f>
        <v>2025Q4</v>
      </c>
      <c r="E608" s="47" t="s">
        <v>365</v>
      </c>
      <c r="F608" s="54" t="s">
        <v>139</v>
      </c>
      <c r="G608" s="47" t="s">
        <v>366</v>
      </c>
      <c r="H608" s="47" t="s">
        <v>1062</v>
      </c>
      <c r="I608" s="55" t="n">
        <v>59.1</v>
      </c>
      <c r="J608" s="56" t="n">
        <v>10</v>
      </c>
      <c r="K608" s="54" t="s">
        <v>153</v>
      </c>
      <c r="N608" s="47" t="s">
        <v>143</v>
      </c>
      <c r="O608" s="47" t="s">
        <v>1063</v>
      </c>
      <c r="P608" s="47"/>
      <c r="Q608" s="48" t="n">
        <f aca="false">IF($J608="","",IFERROR(IF($J608&lt;=1,INDEX(VN_국채일별!$B$4:$B$1436,MATCH($B608,VN_국채일별!$A$4:$A$1436,1)),IF($J608&lt;=2,INDEX(VN_국채일별!$B$4:$B$1436,MATCH($B608,VN_국채일별!$A$4:$A$1436,1))+(INDEX(VN_국채일별!$C$4:$C$1436,MATCH($B608,VN_국채일별!$A$4:$A$1436,1))-INDEX(VN_국채일별!$B$4:$B$1436,MATCH($B608,VN_국채일별!$A$4:$A$1436,1)))*($J608-1),IF($J608&lt;=3,INDEX(VN_국채일별!$C$4:$C$1436,MATCH($B608,VN_국채일별!$A$4:$A$1436,1))+(INDEX(VN_국채일별!$D$4:$D$1436,MATCH($B608,VN_국채일별!$A$4:$A$1436,1))-INDEX(VN_국채일별!$C$4:$C$1436,MATCH($B608,VN_국채일별!$A$4:$A$1436,1)))*($J608-2),IF($J608&lt;=5,INDEX(VN_국채일별!$D$4:$D$1436,MATCH($B608,VN_국채일별!$A$4:$A$1436,1))+(INDEX(VN_국채일별!$E$4:$E$1436,MATCH($B608,VN_국채일별!$A$4:$A$1436,1))-INDEX(VN_국채일별!$D$4:$D$1436,MATCH($B608,VN_국채일별!$A$4:$A$1436,1)))*($J608-3)/2,IF($J608&lt;=7,INDEX(VN_국채일별!$E$4:$E$1436,MATCH($B608,VN_국채일별!$A$4:$A$1436,1))+(INDEX(VN_국채일별!$F$4:$F$1436,MATCH($B608,VN_국채일별!$A$4:$A$1436,1))-INDEX(VN_국채일별!$E$4:$E$1436,MATCH($B608,VN_국채일별!$A$4:$A$1436,1)))*($J608-5)/2,IF($J608&lt;=10,INDEX(VN_국채일별!$F$4:$F$1436,MATCH($B608,VN_국채일별!$A$4:$A$1436,1))+(INDEX(VN_국채일별!$G$4:$G$1436,MATCH($B608,VN_국채일별!$A$4:$A$1436,1))-INDEX(VN_국채일별!$F$4:$F$1436,MATCH($B608,VN_국채일별!$A$4:$A$1436,1)))*($J608-7)/3,INDEX(VN_국채일별!$G$4:$G$1436,MATCH($B608,VN_국채일별!$A$4:$A$1436,1)))))))),""))</f>
        <v>0.03976</v>
      </c>
      <c r="R608" s="58" t="str">
        <f aca="false">IF(OR(L608="",Q608=""),"",(L608-Q608)*10000)</f>
        <v/>
      </c>
      <c r="S608" s="30" t="n">
        <f aca="false">IF(AND(K608="고정",N608="N",J608&gt;=2,J608&lt;=4,I608&lt;&gt;""),1,0)</f>
        <v>0</v>
      </c>
      <c r="T608" s="59" t="n">
        <f aca="false">IF(S608=1,I608*L608,0)</f>
        <v>0</v>
      </c>
      <c r="U608" s="60" t="n">
        <f aca="false">IF(AND(S608=1,ISNUMBER(R608)),I608*R608,0)</f>
        <v>0</v>
      </c>
      <c r="V608" s="30" t="n">
        <f aca="false">IF(AND(F608="Big4(국영)",K608="고정",N608="N",I608&lt;&gt;""),1,0)</f>
        <v>0</v>
      </c>
      <c r="W608" s="59" t="n">
        <f aca="false">IF(V608=1,I608*L608,0)</f>
        <v>0</v>
      </c>
      <c r="X608" s="60" t="n">
        <f aca="false">IF(AND(V608=1,ISNUMBER(R608)),I608*R608,0)</f>
        <v>0</v>
      </c>
      <c r="Y608" s="61" t="n">
        <f aca="false">IF(AND(S608=1,ISNUMBER(R608)),I608,0)</f>
        <v>0</v>
      </c>
      <c r="Z608" s="61" t="n">
        <f aca="false">IF(AND(V608=1,ISNUMBER(R608)),I608,0)</f>
        <v>0</v>
      </c>
    </row>
    <row r="609" customFormat="false" ht="15" hidden="false" customHeight="false" outlineLevel="0" collapsed="false">
      <c r="A609" s="47" t="s">
        <v>1058</v>
      </c>
      <c r="B609" s="52" t="n">
        <v>45973</v>
      </c>
      <c r="C609" s="53" t="n">
        <f aca="false">DATE(YEAR(B609),MONTH(B609),1)</f>
        <v>45962</v>
      </c>
      <c r="D609" s="5" t="str">
        <f aca="false">YEAR(B609)&amp;"Q"&amp;ROUNDUP(MONTH(B609)/3,0)</f>
        <v>2025Q4</v>
      </c>
      <c r="E609" s="47" t="s">
        <v>196</v>
      </c>
      <c r="F609" s="54" t="s">
        <v>139</v>
      </c>
      <c r="G609" s="47" t="s">
        <v>673</v>
      </c>
      <c r="H609" s="47" t="s">
        <v>1064</v>
      </c>
      <c r="I609" s="55" t="n">
        <v>1000</v>
      </c>
      <c r="J609" s="56" t="n">
        <v>3</v>
      </c>
      <c r="K609" s="54" t="s">
        <v>142</v>
      </c>
      <c r="L609" s="57" t="n">
        <v>0.062</v>
      </c>
      <c r="N609" s="47" t="s">
        <v>148</v>
      </c>
      <c r="O609" s="47" t="s">
        <v>485</v>
      </c>
      <c r="P609" s="47"/>
      <c r="Q609" s="48" t="n">
        <f aca="false">IF($J609="","",IFERROR(IF($J609&lt;=1,INDEX(VN_국채일별!$B$4:$B$1436,MATCH($B609,VN_국채일별!$A$4:$A$1436,1)),IF($J609&lt;=2,INDEX(VN_국채일별!$B$4:$B$1436,MATCH($B609,VN_국채일별!$A$4:$A$1436,1))+(INDEX(VN_국채일별!$C$4:$C$1436,MATCH($B609,VN_국채일별!$A$4:$A$1436,1))-INDEX(VN_국채일별!$B$4:$B$1436,MATCH($B609,VN_국채일별!$A$4:$A$1436,1)))*($J609-1),IF($J609&lt;=3,INDEX(VN_국채일별!$C$4:$C$1436,MATCH($B609,VN_국채일별!$A$4:$A$1436,1))+(INDEX(VN_국채일별!$D$4:$D$1436,MATCH($B609,VN_국채일별!$A$4:$A$1436,1))-INDEX(VN_국채일별!$C$4:$C$1436,MATCH($B609,VN_국채일별!$A$4:$A$1436,1)))*($J609-2),IF($J609&lt;=5,INDEX(VN_국채일별!$D$4:$D$1436,MATCH($B609,VN_국채일별!$A$4:$A$1436,1))+(INDEX(VN_국채일별!$E$4:$E$1436,MATCH($B609,VN_국채일별!$A$4:$A$1436,1))-INDEX(VN_국채일별!$D$4:$D$1436,MATCH($B609,VN_국채일별!$A$4:$A$1436,1)))*($J609-3)/2,IF($J609&lt;=7,INDEX(VN_국채일별!$E$4:$E$1436,MATCH($B609,VN_국채일별!$A$4:$A$1436,1))+(INDEX(VN_국채일별!$F$4:$F$1436,MATCH($B609,VN_국채일별!$A$4:$A$1436,1))-INDEX(VN_국채일별!$E$4:$E$1436,MATCH($B609,VN_국채일별!$A$4:$A$1436,1)))*($J609-5)/2,IF($J609&lt;=10,INDEX(VN_국채일별!$F$4:$F$1436,MATCH($B609,VN_국채일별!$A$4:$A$1436,1))+(INDEX(VN_국채일별!$G$4:$G$1436,MATCH($B609,VN_국채일별!$A$4:$A$1436,1))-INDEX(VN_국채일별!$F$4:$F$1436,MATCH($B609,VN_국채일별!$A$4:$A$1436,1)))*($J609-7)/3,INDEX(VN_국채일별!$G$4:$G$1436,MATCH($B609,VN_국채일별!$A$4:$A$1436,1)))))))),""))</f>
        <v>0.03094</v>
      </c>
      <c r="R609" s="58" t="n">
        <f aca="false">IF(OR(L609="",Q609=""),"",(L609-Q609)*10000)</f>
        <v>310.6</v>
      </c>
      <c r="S609" s="30" t="n">
        <f aca="false">IF(AND(K609="고정",N609="N",J609&gt;=2,J609&lt;=4,I609&lt;&gt;""),1,0)</f>
        <v>1</v>
      </c>
      <c r="T609" s="59" t="n">
        <f aca="false">IF(S609=1,I609*L609,0)</f>
        <v>62</v>
      </c>
      <c r="U609" s="60" t="n">
        <f aca="false">IF(AND(S609=1,ISNUMBER(R609)),I609*R609,0)</f>
        <v>310600</v>
      </c>
      <c r="V609" s="30" t="n">
        <f aca="false">IF(AND(F609="Big4(국영)",K609="고정",N609="N",I609&lt;&gt;""),1,0)</f>
        <v>0</v>
      </c>
      <c r="W609" s="59" t="n">
        <f aca="false">IF(V609=1,I609*L609,0)</f>
        <v>0</v>
      </c>
      <c r="X609" s="60" t="n">
        <f aca="false">IF(AND(V609=1,ISNUMBER(R609)),I609*R609,0)</f>
        <v>0</v>
      </c>
      <c r="Y609" s="61" t="n">
        <f aca="false">IF(AND(S609=1,ISNUMBER(R609)),I609,0)</f>
        <v>1000</v>
      </c>
      <c r="Z609" s="61" t="n">
        <f aca="false">IF(AND(V609=1,ISNUMBER(R609)),I609,0)</f>
        <v>0</v>
      </c>
    </row>
    <row r="610" customFormat="false" ht="15" hidden="false" customHeight="false" outlineLevel="0" collapsed="false">
      <c r="A610" s="47" t="s">
        <v>1058</v>
      </c>
      <c r="B610" s="52" t="n">
        <v>45974</v>
      </c>
      <c r="C610" s="53" t="n">
        <f aca="false">DATE(YEAR(B610),MONTH(B610),1)</f>
        <v>45962</v>
      </c>
      <c r="D610" s="5" t="str">
        <f aca="false">YEAR(B610)&amp;"Q"&amp;ROUNDUP(MONTH(B610)/3,0)</f>
        <v>2025Q4</v>
      </c>
      <c r="E610" s="47" t="s">
        <v>323</v>
      </c>
      <c r="F610" s="54" t="s">
        <v>139</v>
      </c>
      <c r="G610" s="47" t="s">
        <v>324</v>
      </c>
      <c r="H610" s="47" t="s">
        <v>1065</v>
      </c>
      <c r="I610" s="55" t="n">
        <v>800</v>
      </c>
      <c r="J610" s="56" t="n">
        <v>3</v>
      </c>
      <c r="K610" s="54" t="s">
        <v>142</v>
      </c>
      <c r="L610" s="57" t="n">
        <v>0.067</v>
      </c>
      <c r="N610" s="47" t="s">
        <v>148</v>
      </c>
      <c r="O610" s="47" t="s">
        <v>1066</v>
      </c>
      <c r="P610" s="47"/>
      <c r="Q610" s="48" t="n">
        <f aca="false">IF($J610="","",IFERROR(IF($J610&lt;=1,INDEX(VN_국채일별!$B$4:$B$1436,MATCH($B610,VN_국채일별!$A$4:$A$1436,1)),IF($J610&lt;=2,INDEX(VN_국채일별!$B$4:$B$1436,MATCH($B610,VN_국채일별!$A$4:$A$1436,1))+(INDEX(VN_국채일별!$C$4:$C$1436,MATCH($B610,VN_국채일별!$A$4:$A$1436,1))-INDEX(VN_국채일별!$B$4:$B$1436,MATCH($B610,VN_국채일별!$A$4:$A$1436,1)))*($J610-1),IF($J610&lt;=3,INDEX(VN_국채일별!$C$4:$C$1436,MATCH($B610,VN_국채일별!$A$4:$A$1436,1))+(INDEX(VN_국채일별!$D$4:$D$1436,MATCH($B610,VN_국채일별!$A$4:$A$1436,1))-INDEX(VN_국채일별!$C$4:$C$1436,MATCH($B610,VN_국채일별!$A$4:$A$1436,1)))*($J610-2),IF($J610&lt;=5,INDEX(VN_국채일별!$D$4:$D$1436,MATCH($B610,VN_국채일별!$A$4:$A$1436,1))+(INDEX(VN_국채일별!$E$4:$E$1436,MATCH($B610,VN_국채일별!$A$4:$A$1436,1))-INDEX(VN_국채일별!$D$4:$D$1436,MATCH($B610,VN_국채일별!$A$4:$A$1436,1)))*($J610-3)/2,IF($J610&lt;=7,INDEX(VN_국채일별!$E$4:$E$1436,MATCH($B610,VN_국채일별!$A$4:$A$1436,1))+(INDEX(VN_국채일별!$F$4:$F$1436,MATCH($B610,VN_국채일별!$A$4:$A$1436,1))-INDEX(VN_국채일별!$E$4:$E$1436,MATCH($B610,VN_국채일별!$A$4:$A$1436,1)))*($J610-5)/2,IF($J610&lt;=10,INDEX(VN_국채일별!$F$4:$F$1436,MATCH($B610,VN_국채일별!$A$4:$A$1436,1))+(INDEX(VN_국채일별!$G$4:$G$1436,MATCH($B610,VN_국채일별!$A$4:$A$1436,1))-INDEX(VN_국채일별!$F$4:$F$1436,MATCH($B610,VN_국채일별!$A$4:$A$1436,1)))*($J610-7)/3,INDEX(VN_국채일별!$G$4:$G$1436,MATCH($B610,VN_국채일별!$A$4:$A$1436,1)))))))),""))</f>
        <v>0.03094</v>
      </c>
      <c r="R610" s="58" t="n">
        <f aca="false">IF(OR(L610="",Q610=""),"",(L610-Q610)*10000)</f>
        <v>360.6</v>
      </c>
      <c r="S610" s="30" t="n">
        <f aca="false">IF(AND(K610="고정",N610="N",J610&gt;=2,J610&lt;=4,I610&lt;&gt;""),1,0)</f>
        <v>1</v>
      </c>
      <c r="T610" s="59" t="n">
        <f aca="false">IF(S610=1,I610*L610,0)</f>
        <v>53.6</v>
      </c>
      <c r="U610" s="60" t="n">
        <f aca="false">IF(AND(S610=1,ISNUMBER(R610)),I610*R610,0)</f>
        <v>288480</v>
      </c>
      <c r="V610" s="30" t="n">
        <f aca="false">IF(AND(F610="Big4(국영)",K610="고정",N610="N",I610&lt;&gt;""),1,0)</f>
        <v>0</v>
      </c>
      <c r="W610" s="59" t="n">
        <f aca="false">IF(V610=1,I610*L610,0)</f>
        <v>0</v>
      </c>
      <c r="X610" s="60" t="n">
        <f aca="false">IF(AND(V610=1,ISNUMBER(R610)),I610*R610,0)</f>
        <v>0</v>
      </c>
      <c r="Y610" s="61" t="n">
        <f aca="false">IF(AND(S610=1,ISNUMBER(R610)),I610,0)</f>
        <v>800</v>
      </c>
      <c r="Z610" s="61" t="n">
        <f aca="false">IF(AND(V610=1,ISNUMBER(R610)),I610,0)</f>
        <v>0</v>
      </c>
    </row>
    <row r="611" customFormat="false" ht="15" hidden="false" customHeight="false" outlineLevel="0" collapsed="false">
      <c r="A611" s="47" t="s">
        <v>1058</v>
      </c>
      <c r="B611" s="52" t="n">
        <v>45974</v>
      </c>
      <c r="C611" s="53" t="n">
        <f aca="false">DATE(YEAR(B611),MONTH(B611),1)</f>
        <v>45962</v>
      </c>
      <c r="D611" s="5" t="str">
        <f aca="false">YEAR(B611)&amp;"Q"&amp;ROUNDUP(MONTH(B611)/3,0)</f>
        <v>2025Q4</v>
      </c>
      <c r="E611" s="47" t="s">
        <v>145</v>
      </c>
      <c r="F611" s="54" t="s">
        <v>139</v>
      </c>
      <c r="G611" s="47" t="s">
        <v>146</v>
      </c>
      <c r="H611" s="47" t="s">
        <v>1067</v>
      </c>
      <c r="I611" s="55" t="n">
        <v>1000</v>
      </c>
      <c r="J611" s="56" t="n">
        <v>3</v>
      </c>
      <c r="K611" s="54" t="s">
        <v>142</v>
      </c>
      <c r="L611" s="57" t="n">
        <v>0.052</v>
      </c>
      <c r="N611" s="47" t="s">
        <v>148</v>
      </c>
      <c r="O611" s="47" t="s">
        <v>538</v>
      </c>
      <c r="P611" s="47"/>
      <c r="Q611" s="48" t="n">
        <f aca="false">IF($J611="","",IFERROR(IF($J611&lt;=1,INDEX(VN_국채일별!$B$4:$B$1436,MATCH($B611,VN_국채일별!$A$4:$A$1436,1)),IF($J611&lt;=2,INDEX(VN_국채일별!$B$4:$B$1436,MATCH($B611,VN_국채일별!$A$4:$A$1436,1))+(INDEX(VN_국채일별!$C$4:$C$1436,MATCH($B611,VN_국채일별!$A$4:$A$1436,1))-INDEX(VN_국채일별!$B$4:$B$1436,MATCH($B611,VN_국채일별!$A$4:$A$1436,1)))*($J611-1),IF($J611&lt;=3,INDEX(VN_국채일별!$C$4:$C$1436,MATCH($B611,VN_국채일별!$A$4:$A$1436,1))+(INDEX(VN_국채일별!$D$4:$D$1436,MATCH($B611,VN_국채일별!$A$4:$A$1436,1))-INDEX(VN_국채일별!$C$4:$C$1436,MATCH($B611,VN_국채일별!$A$4:$A$1436,1)))*($J611-2),IF($J611&lt;=5,INDEX(VN_국채일별!$D$4:$D$1436,MATCH($B611,VN_국채일별!$A$4:$A$1436,1))+(INDEX(VN_국채일별!$E$4:$E$1436,MATCH($B611,VN_국채일별!$A$4:$A$1436,1))-INDEX(VN_국채일별!$D$4:$D$1436,MATCH($B611,VN_국채일별!$A$4:$A$1436,1)))*($J611-3)/2,IF($J611&lt;=7,INDEX(VN_국채일별!$E$4:$E$1436,MATCH($B611,VN_국채일별!$A$4:$A$1436,1))+(INDEX(VN_국채일별!$F$4:$F$1436,MATCH($B611,VN_국채일별!$A$4:$A$1436,1))-INDEX(VN_국채일별!$E$4:$E$1436,MATCH($B611,VN_국채일별!$A$4:$A$1436,1)))*($J611-5)/2,IF($J611&lt;=10,INDEX(VN_국채일별!$F$4:$F$1436,MATCH($B611,VN_국채일별!$A$4:$A$1436,1))+(INDEX(VN_국채일별!$G$4:$G$1436,MATCH($B611,VN_국채일별!$A$4:$A$1436,1))-INDEX(VN_국채일별!$F$4:$F$1436,MATCH($B611,VN_국채일별!$A$4:$A$1436,1)))*($J611-7)/3,INDEX(VN_국채일별!$G$4:$G$1436,MATCH($B611,VN_국채일별!$A$4:$A$1436,1)))))))),""))</f>
        <v>0.03094</v>
      </c>
      <c r="R611" s="58" t="n">
        <f aca="false">IF(OR(L611="",Q611=""),"",(L611-Q611)*10000)</f>
        <v>210.6</v>
      </c>
      <c r="S611" s="30" t="n">
        <f aca="false">IF(AND(K611="고정",N611="N",J611&gt;=2,J611&lt;=4,I611&lt;&gt;""),1,0)</f>
        <v>1</v>
      </c>
      <c r="T611" s="59" t="n">
        <f aca="false">IF(S611=1,I611*L611,0)</f>
        <v>52</v>
      </c>
      <c r="U611" s="60" t="n">
        <f aca="false">IF(AND(S611=1,ISNUMBER(R611)),I611*R611,0)</f>
        <v>210600</v>
      </c>
      <c r="V611" s="30" t="n">
        <f aca="false">IF(AND(F611="Big4(국영)",K611="고정",N611="N",I611&lt;&gt;""),1,0)</f>
        <v>0</v>
      </c>
      <c r="W611" s="59" t="n">
        <f aca="false">IF(V611=1,I611*L611,0)</f>
        <v>0</v>
      </c>
      <c r="X611" s="60" t="n">
        <f aca="false">IF(AND(V611=1,ISNUMBER(R611)),I611*R611,0)</f>
        <v>0</v>
      </c>
      <c r="Y611" s="61" t="n">
        <f aca="false">IF(AND(S611=1,ISNUMBER(R611)),I611,0)</f>
        <v>1000</v>
      </c>
      <c r="Z611" s="61" t="n">
        <f aca="false">IF(AND(V611=1,ISNUMBER(R611)),I611,0)</f>
        <v>0</v>
      </c>
    </row>
    <row r="612" customFormat="false" ht="15" hidden="false" customHeight="false" outlineLevel="0" collapsed="false">
      <c r="A612" s="47" t="s">
        <v>1058</v>
      </c>
      <c r="B612" s="52" t="n">
        <v>45975</v>
      </c>
      <c r="C612" s="53" t="n">
        <f aca="false">DATE(YEAR(B612),MONTH(B612),1)</f>
        <v>45962</v>
      </c>
      <c r="D612" s="5" t="str">
        <f aca="false">YEAR(B612)&amp;"Q"&amp;ROUNDUP(MONTH(B612)/3,0)</f>
        <v>2025Q4</v>
      </c>
      <c r="E612" s="47" t="s">
        <v>365</v>
      </c>
      <c r="F612" s="54" t="s">
        <v>139</v>
      </c>
      <c r="G612" s="47" t="s">
        <v>366</v>
      </c>
      <c r="H612" s="47" t="s">
        <v>1068</v>
      </c>
      <c r="I612" s="55" t="n">
        <v>500</v>
      </c>
      <c r="J612" s="56" t="n">
        <v>7</v>
      </c>
      <c r="K612" s="54" t="s">
        <v>153</v>
      </c>
      <c r="N612" s="47" t="s">
        <v>143</v>
      </c>
      <c r="O612" s="47" t="s">
        <v>1049</v>
      </c>
      <c r="P612" s="47"/>
      <c r="Q612" s="48" t="n">
        <f aca="false">IF($J612="","",IFERROR(IF($J612&lt;=1,INDEX(VN_국채일별!$B$4:$B$1436,MATCH($B612,VN_국채일별!$A$4:$A$1436,1)),IF($J612&lt;=2,INDEX(VN_국채일별!$B$4:$B$1436,MATCH($B612,VN_국채일별!$A$4:$A$1436,1))+(INDEX(VN_국채일별!$C$4:$C$1436,MATCH($B612,VN_국채일별!$A$4:$A$1436,1))-INDEX(VN_국채일별!$B$4:$B$1436,MATCH($B612,VN_국채일별!$A$4:$A$1436,1)))*($J612-1),IF($J612&lt;=3,INDEX(VN_국채일별!$C$4:$C$1436,MATCH($B612,VN_국채일별!$A$4:$A$1436,1))+(INDEX(VN_국채일별!$D$4:$D$1436,MATCH($B612,VN_국채일별!$A$4:$A$1436,1))-INDEX(VN_국채일별!$C$4:$C$1436,MATCH($B612,VN_국채일별!$A$4:$A$1436,1)))*($J612-2),IF($J612&lt;=5,INDEX(VN_국채일별!$D$4:$D$1436,MATCH($B612,VN_국채일별!$A$4:$A$1436,1))+(INDEX(VN_국채일별!$E$4:$E$1436,MATCH($B612,VN_국채일별!$A$4:$A$1436,1))-INDEX(VN_국채일별!$D$4:$D$1436,MATCH($B612,VN_국채일별!$A$4:$A$1436,1)))*($J612-3)/2,IF($J612&lt;=7,INDEX(VN_국채일별!$E$4:$E$1436,MATCH($B612,VN_국채일별!$A$4:$A$1436,1))+(INDEX(VN_국채일별!$F$4:$F$1436,MATCH($B612,VN_국채일별!$A$4:$A$1436,1))-INDEX(VN_국채일별!$E$4:$E$1436,MATCH($B612,VN_국채일별!$A$4:$A$1436,1)))*($J612-5)/2,IF($J612&lt;=10,INDEX(VN_국채일별!$F$4:$F$1436,MATCH($B612,VN_국채일별!$A$4:$A$1436,1))+(INDEX(VN_국채일별!$G$4:$G$1436,MATCH($B612,VN_국채일별!$A$4:$A$1436,1))-INDEX(VN_국채일별!$F$4:$F$1436,MATCH($B612,VN_국채일별!$A$4:$A$1436,1)))*($J612-7)/3,INDEX(VN_국채일별!$G$4:$G$1436,MATCH($B612,VN_국채일별!$A$4:$A$1436,1)))))))),""))</f>
        <v>0.03589</v>
      </c>
      <c r="R612" s="58" t="str">
        <f aca="false">IF(OR(L612="",Q612=""),"",(L612-Q612)*10000)</f>
        <v/>
      </c>
      <c r="S612" s="30" t="n">
        <f aca="false">IF(AND(K612="고정",N612="N",J612&gt;=2,J612&lt;=4,I612&lt;&gt;""),1,0)</f>
        <v>0</v>
      </c>
      <c r="T612" s="59" t="n">
        <f aca="false">IF(S612=1,I612*L612,0)</f>
        <v>0</v>
      </c>
      <c r="U612" s="60" t="n">
        <f aca="false">IF(AND(S612=1,ISNUMBER(R612)),I612*R612,0)</f>
        <v>0</v>
      </c>
      <c r="V612" s="30" t="n">
        <f aca="false">IF(AND(F612="Big4(국영)",K612="고정",N612="N",I612&lt;&gt;""),1,0)</f>
        <v>0</v>
      </c>
      <c r="W612" s="59" t="n">
        <f aca="false">IF(V612=1,I612*L612,0)</f>
        <v>0</v>
      </c>
      <c r="X612" s="60" t="n">
        <f aca="false">IF(AND(V612=1,ISNUMBER(R612)),I612*R612,0)</f>
        <v>0</v>
      </c>
      <c r="Y612" s="61" t="n">
        <f aca="false">IF(AND(S612=1,ISNUMBER(R612)),I612,0)</f>
        <v>0</v>
      </c>
      <c r="Z612" s="61" t="n">
        <f aca="false">IF(AND(V612=1,ISNUMBER(R612)),I612,0)</f>
        <v>0</v>
      </c>
    </row>
    <row r="613" customFormat="false" ht="15" hidden="false" customHeight="false" outlineLevel="0" collapsed="false">
      <c r="A613" s="47" t="s">
        <v>1058</v>
      </c>
      <c r="B613" s="52" t="n">
        <v>45978</v>
      </c>
      <c r="C613" s="53" t="n">
        <f aca="false">DATE(YEAR(B613),MONTH(B613),1)</f>
        <v>45962</v>
      </c>
      <c r="D613" s="5" t="str">
        <f aca="false">YEAR(B613)&amp;"Q"&amp;ROUNDUP(MONTH(B613)/3,0)</f>
        <v>2025Q4</v>
      </c>
      <c r="E613" s="47" t="s">
        <v>150</v>
      </c>
      <c r="F613" s="54" t="s">
        <v>139</v>
      </c>
      <c r="G613" s="47" t="s">
        <v>170</v>
      </c>
      <c r="H613" s="47" t="s">
        <v>1069</v>
      </c>
      <c r="I613" s="55" t="n">
        <v>3000</v>
      </c>
      <c r="J613" s="56" t="n">
        <v>3</v>
      </c>
      <c r="K613" s="54" t="s">
        <v>142</v>
      </c>
      <c r="L613" s="57" t="n">
        <v>0.064</v>
      </c>
      <c r="N613" s="47" t="s">
        <v>148</v>
      </c>
      <c r="O613" s="47" t="s">
        <v>424</v>
      </c>
      <c r="P613" s="47"/>
      <c r="Q613" s="48" t="n">
        <f aca="false">IF($J613="","",IFERROR(IF($J613&lt;=1,INDEX(VN_국채일별!$B$4:$B$1436,MATCH($B613,VN_국채일별!$A$4:$A$1436,1)),IF($J613&lt;=2,INDEX(VN_국채일별!$B$4:$B$1436,MATCH($B613,VN_국채일별!$A$4:$A$1436,1))+(INDEX(VN_국채일별!$C$4:$C$1436,MATCH($B613,VN_국채일별!$A$4:$A$1436,1))-INDEX(VN_국채일별!$B$4:$B$1436,MATCH($B613,VN_국채일별!$A$4:$A$1436,1)))*($J613-1),IF($J613&lt;=3,INDEX(VN_국채일별!$C$4:$C$1436,MATCH($B613,VN_국채일별!$A$4:$A$1436,1))+(INDEX(VN_국채일별!$D$4:$D$1436,MATCH($B613,VN_국채일별!$A$4:$A$1436,1))-INDEX(VN_국채일별!$C$4:$C$1436,MATCH($B613,VN_국채일별!$A$4:$A$1436,1)))*($J613-2),IF($J613&lt;=5,INDEX(VN_국채일별!$D$4:$D$1436,MATCH($B613,VN_국채일별!$A$4:$A$1436,1))+(INDEX(VN_국채일별!$E$4:$E$1436,MATCH($B613,VN_국채일별!$A$4:$A$1436,1))-INDEX(VN_국채일별!$D$4:$D$1436,MATCH($B613,VN_국채일별!$A$4:$A$1436,1)))*($J613-3)/2,IF($J613&lt;=7,INDEX(VN_국채일별!$E$4:$E$1436,MATCH($B613,VN_국채일별!$A$4:$A$1436,1))+(INDEX(VN_국채일별!$F$4:$F$1436,MATCH($B613,VN_국채일별!$A$4:$A$1436,1))-INDEX(VN_국채일별!$E$4:$E$1436,MATCH($B613,VN_국채일별!$A$4:$A$1436,1)))*($J613-5)/2,IF($J613&lt;=10,INDEX(VN_국채일별!$F$4:$F$1436,MATCH($B613,VN_국채일별!$A$4:$A$1436,1))+(INDEX(VN_국채일별!$G$4:$G$1436,MATCH($B613,VN_국채일별!$A$4:$A$1436,1))-INDEX(VN_국채일별!$F$4:$F$1436,MATCH($B613,VN_국채일별!$A$4:$A$1436,1)))*($J613-7)/3,INDEX(VN_국채일별!$G$4:$G$1436,MATCH($B613,VN_국채일별!$A$4:$A$1436,1)))))))),""))</f>
        <v>0.03093</v>
      </c>
      <c r="R613" s="58" t="n">
        <f aca="false">IF(OR(L613="",Q613=""),"",(L613-Q613)*10000)</f>
        <v>330.7</v>
      </c>
      <c r="S613" s="30" t="n">
        <f aca="false">IF(AND(K613="고정",N613="N",J613&gt;=2,J613&lt;=4,I613&lt;&gt;""),1,0)</f>
        <v>1</v>
      </c>
      <c r="T613" s="59" t="n">
        <f aca="false">IF(S613=1,I613*L613,0)</f>
        <v>192</v>
      </c>
      <c r="U613" s="60" t="n">
        <f aca="false">IF(AND(S613=1,ISNUMBER(R613)),I613*R613,0)</f>
        <v>992100</v>
      </c>
      <c r="V613" s="30" t="n">
        <f aca="false">IF(AND(F613="Big4(국영)",K613="고정",N613="N",I613&lt;&gt;""),1,0)</f>
        <v>0</v>
      </c>
      <c r="W613" s="59" t="n">
        <f aca="false">IF(V613=1,I613*L613,0)</f>
        <v>0</v>
      </c>
      <c r="X613" s="60" t="n">
        <f aca="false">IF(AND(V613=1,ISNUMBER(R613)),I613*R613,0)</f>
        <v>0</v>
      </c>
      <c r="Y613" s="61" t="n">
        <f aca="false">IF(AND(S613=1,ISNUMBER(R613)),I613,0)</f>
        <v>3000</v>
      </c>
      <c r="Z613" s="61" t="n">
        <f aca="false">IF(AND(V613=1,ISNUMBER(R613)),I613,0)</f>
        <v>0</v>
      </c>
    </row>
    <row r="614" customFormat="false" ht="15" hidden="false" customHeight="false" outlineLevel="0" collapsed="false">
      <c r="A614" s="47" t="s">
        <v>1058</v>
      </c>
      <c r="B614" s="52" t="n">
        <v>45979</v>
      </c>
      <c r="C614" s="53" t="n">
        <f aca="false">DATE(YEAR(B614),MONTH(B614),1)</f>
        <v>45962</v>
      </c>
      <c r="D614" s="5" t="str">
        <f aca="false">YEAR(B614)&amp;"Q"&amp;ROUNDUP(MONTH(B614)/3,0)</f>
        <v>2025Q4</v>
      </c>
      <c r="E614" s="47" t="s">
        <v>248</v>
      </c>
      <c r="F614" s="54" t="s">
        <v>139</v>
      </c>
      <c r="G614" s="47" t="s">
        <v>361</v>
      </c>
      <c r="H614" s="47" t="s">
        <v>1070</v>
      </c>
      <c r="I614" s="55" t="n">
        <v>800</v>
      </c>
      <c r="J614" s="56" t="n">
        <v>3</v>
      </c>
      <c r="K614" s="54" t="s">
        <v>142</v>
      </c>
      <c r="L614" s="57" t="n">
        <v>0.067</v>
      </c>
      <c r="N614" s="47" t="s">
        <v>148</v>
      </c>
      <c r="O614" s="47" t="s">
        <v>1066</v>
      </c>
      <c r="P614" s="47"/>
      <c r="Q614" s="48" t="n">
        <f aca="false">IF($J614="","",IFERROR(IF($J614&lt;=1,INDEX(VN_국채일별!$B$4:$B$1436,MATCH($B614,VN_국채일별!$A$4:$A$1436,1)),IF($J614&lt;=2,INDEX(VN_국채일별!$B$4:$B$1436,MATCH($B614,VN_국채일별!$A$4:$A$1436,1))+(INDEX(VN_국채일별!$C$4:$C$1436,MATCH($B614,VN_국채일별!$A$4:$A$1436,1))-INDEX(VN_국채일별!$B$4:$B$1436,MATCH($B614,VN_국채일별!$A$4:$A$1436,1)))*($J614-1),IF($J614&lt;=3,INDEX(VN_국채일별!$C$4:$C$1436,MATCH($B614,VN_국채일별!$A$4:$A$1436,1))+(INDEX(VN_국채일별!$D$4:$D$1436,MATCH($B614,VN_국채일별!$A$4:$A$1436,1))-INDEX(VN_국채일별!$C$4:$C$1436,MATCH($B614,VN_국채일별!$A$4:$A$1436,1)))*($J614-2),IF($J614&lt;=5,INDEX(VN_국채일별!$D$4:$D$1436,MATCH($B614,VN_국채일별!$A$4:$A$1436,1))+(INDEX(VN_국채일별!$E$4:$E$1436,MATCH($B614,VN_국채일별!$A$4:$A$1436,1))-INDEX(VN_국채일별!$D$4:$D$1436,MATCH($B614,VN_국채일별!$A$4:$A$1436,1)))*($J614-3)/2,IF($J614&lt;=7,INDEX(VN_국채일별!$E$4:$E$1436,MATCH($B614,VN_국채일별!$A$4:$A$1436,1))+(INDEX(VN_국채일별!$F$4:$F$1436,MATCH($B614,VN_국채일별!$A$4:$A$1436,1))-INDEX(VN_국채일별!$E$4:$E$1436,MATCH($B614,VN_국채일별!$A$4:$A$1436,1)))*($J614-5)/2,IF($J614&lt;=10,INDEX(VN_국채일별!$F$4:$F$1436,MATCH($B614,VN_국채일별!$A$4:$A$1436,1))+(INDEX(VN_국채일별!$G$4:$G$1436,MATCH($B614,VN_국채일별!$A$4:$A$1436,1))-INDEX(VN_국채일별!$F$4:$F$1436,MATCH($B614,VN_국채일별!$A$4:$A$1436,1)))*($J614-7)/3,INDEX(VN_국채일별!$G$4:$G$1436,MATCH($B614,VN_국채일별!$A$4:$A$1436,1)))))))),""))</f>
        <v>0.03093</v>
      </c>
      <c r="R614" s="58" t="n">
        <f aca="false">IF(OR(L614="",Q614=""),"",(L614-Q614)*10000)</f>
        <v>360.7</v>
      </c>
      <c r="S614" s="30" t="n">
        <f aca="false">IF(AND(K614="고정",N614="N",J614&gt;=2,J614&lt;=4,I614&lt;&gt;""),1,0)</f>
        <v>1</v>
      </c>
      <c r="T614" s="59" t="n">
        <f aca="false">IF(S614=1,I614*L614,0)</f>
        <v>53.6</v>
      </c>
      <c r="U614" s="60" t="n">
        <f aca="false">IF(AND(S614=1,ISNUMBER(R614)),I614*R614,0)</f>
        <v>288560</v>
      </c>
      <c r="V614" s="30" t="n">
        <f aca="false">IF(AND(F614="Big4(국영)",K614="고정",N614="N",I614&lt;&gt;""),1,0)</f>
        <v>0</v>
      </c>
      <c r="W614" s="59" t="n">
        <f aca="false">IF(V614=1,I614*L614,0)</f>
        <v>0</v>
      </c>
      <c r="X614" s="60" t="n">
        <f aca="false">IF(AND(V614=1,ISNUMBER(R614)),I614*R614,0)</f>
        <v>0</v>
      </c>
      <c r="Y614" s="61" t="n">
        <f aca="false">IF(AND(S614=1,ISNUMBER(R614)),I614,0)</f>
        <v>800</v>
      </c>
      <c r="Z614" s="61" t="n">
        <f aca="false">IF(AND(V614=1,ISNUMBER(R614)),I614,0)</f>
        <v>0</v>
      </c>
    </row>
    <row r="615" customFormat="false" ht="15" hidden="false" customHeight="false" outlineLevel="0" collapsed="false">
      <c r="A615" s="47" t="s">
        <v>1058</v>
      </c>
      <c r="B615" s="52" t="n">
        <v>45981</v>
      </c>
      <c r="C615" s="53" t="n">
        <f aca="false">DATE(YEAR(B615),MONTH(B615),1)</f>
        <v>45962</v>
      </c>
      <c r="D615" s="5" t="str">
        <f aca="false">YEAR(B615)&amp;"Q"&amp;ROUNDUP(MONTH(B615)/3,0)</f>
        <v>2025Q4</v>
      </c>
      <c r="E615" s="47" t="s">
        <v>181</v>
      </c>
      <c r="F615" s="54" t="s">
        <v>139</v>
      </c>
      <c r="G615" s="47" t="s">
        <v>182</v>
      </c>
      <c r="H615" s="47" t="s">
        <v>1071</v>
      </c>
      <c r="I615" s="55" t="n">
        <v>1500</v>
      </c>
      <c r="J615" s="56" t="n">
        <v>3</v>
      </c>
      <c r="K615" s="54" t="s">
        <v>142</v>
      </c>
      <c r="L615" s="57" t="n">
        <v>0.066</v>
      </c>
      <c r="N615" s="47" t="s">
        <v>148</v>
      </c>
      <c r="O615" s="47" t="s">
        <v>422</v>
      </c>
      <c r="P615" s="47"/>
      <c r="Q615" s="48" t="n">
        <f aca="false">IF($J615="","",IFERROR(IF($J615&lt;=1,INDEX(VN_국채일별!$B$4:$B$1436,MATCH($B615,VN_국채일별!$A$4:$A$1436,1)),IF($J615&lt;=2,INDEX(VN_국채일별!$B$4:$B$1436,MATCH($B615,VN_국채일별!$A$4:$A$1436,1))+(INDEX(VN_국채일별!$C$4:$C$1436,MATCH($B615,VN_국채일별!$A$4:$A$1436,1))-INDEX(VN_국채일별!$B$4:$B$1436,MATCH($B615,VN_국채일별!$A$4:$A$1436,1)))*($J615-1),IF($J615&lt;=3,INDEX(VN_국채일별!$C$4:$C$1436,MATCH($B615,VN_국채일별!$A$4:$A$1436,1))+(INDEX(VN_국채일별!$D$4:$D$1436,MATCH($B615,VN_국채일별!$A$4:$A$1436,1))-INDEX(VN_국채일별!$C$4:$C$1436,MATCH($B615,VN_국채일별!$A$4:$A$1436,1)))*($J615-2),IF($J615&lt;=5,INDEX(VN_국채일별!$D$4:$D$1436,MATCH($B615,VN_국채일별!$A$4:$A$1436,1))+(INDEX(VN_국채일별!$E$4:$E$1436,MATCH($B615,VN_국채일별!$A$4:$A$1436,1))-INDEX(VN_국채일별!$D$4:$D$1436,MATCH($B615,VN_국채일별!$A$4:$A$1436,1)))*($J615-3)/2,IF($J615&lt;=7,INDEX(VN_국채일별!$E$4:$E$1436,MATCH($B615,VN_국채일별!$A$4:$A$1436,1))+(INDEX(VN_국채일별!$F$4:$F$1436,MATCH($B615,VN_국채일별!$A$4:$A$1436,1))-INDEX(VN_국채일별!$E$4:$E$1436,MATCH($B615,VN_국채일별!$A$4:$A$1436,1)))*($J615-5)/2,IF($J615&lt;=10,INDEX(VN_국채일별!$F$4:$F$1436,MATCH($B615,VN_국채일별!$A$4:$A$1436,1))+(INDEX(VN_국채일별!$G$4:$G$1436,MATCH($B615,VN_국채일별!$A$4:$A$1436,1))-INDEX(VN_국채일별!$F$4:$F$1436,MATCH($B615,VN_국채일별!$A$4:$A$1436,1)))*($J615-7)/3,INDEX(VN_국채일별!$G$4:$G$1436,MATCH($B615,VN_국채일별!$A$4:$A$1436,1)))))))),""))</f>
        <v>0.03123</v>
      </c>
      <c r="R615" s="58" t="n">
        <f aca="false">IF(OR(L615="",Q615=""),"",(L615-Q615)*10000)</f>
        <v>347.7</v>
      </c>
      <c r="S615" s="30" t="n">
        <f aca="false">IF(AND(K615="고정",N615="N",J615&gt;=2,J615&lt;=4,I615&lt;&gt;""),1,0)</f>
        <v>1</v>
      </c>
      <c r="T615" s="59" t="n">
        <f aca="false">IF(S615=1,I615*L615,0)</f>
        <v>99</v>
      </c>
      <c r="U615" s="60" t="n">
        <f aca="false">IF(AND(S615=1,ISNUMBER(R615)),I615*R615,0)</f>
        <v>521550</v>
      </c>
      <c r="V615" s="30" t="n">
        <f aca="false">IF(AND(F615="Big4(국영)",K615="고정",N615="N",I615&lt;&gt;""),1,0)</f>
        <v>0</v>
      </c>
      <c r="W615" s="59" t="n">
        <f aca="false">IF(V615=1,I615*L615,0)</f>
        <v>0</v>
      </c>
      <c r="X615" s="60" t="n">
        <f aca="false">IF(AND(V615=1,ISNUMBER(R615)),I615*R615,0)</f>
        <v>0</v>
      </c>
      <c r="Y615" s="61" t="n">
        <f aca="false">IF(AND(S615=1,ISNUMBER(R615)),I615,0)</f>
        <v>1500</v>
      </c>
      <c r="Z615" s="61" t="n">
        <f aca="false">IF(AND(V615=1,ISNUMBER(R615)),I615,0)</f>
        <v>0</v>
      </c>
    </row>
    <row r="616" customFormat="false" ht="15" hidden="false" customHeight="false" outlineLevel="0" collapsed="false">
      <c r="A616" s="47" t="s">
        <v>1058</v>
      </c>
      <c r="B616" s="52" t="n">
        <v>45987</v>
      </c>
      <c r="C616" s="53" t="n">
        <f aca="false">DATE(YEAR(B616),MONTH(B616),1)</f>
        <v>45962</v>
      </c>
      <c r="D616" s="5" t="str">
        <f aca="false">YEAR(B616)&amp;"Q"&amp;ROUNDUP(MONTH(B616)/3,0)</f>
        <v>2025Q4</v>
      </c>
      <c r="E616" s="47" t="s">
        <v>248</v>
      </c>
      <c r="F616" s="54" t="s">
        <v>139</v>
      </c>
      <c r="G616" s="47" t="s">
        <v>361</v>
      </c>
      <c r="H616" s="47" t="s">
        <v>1072</v>
      </c>
      <c r="I616" s="55" t="n">
        <v>1000</v>
      </c>
      <c r="J616" s="56" t="n">
        <v>3</v>
      </c>
      <c r="K616" s="54" t="s">
        <v>142</v>
      </c>
      <c r="L616" s="57" t="n">
        <v>0.067</v>
      </c>
      <c r="N616" s="47" t="s">
        <v>148</v>
      </c>
      <c r="O616" s="47" t="s">
        <v>1066</v>
      </c>
      <c r="P616" s="47"/>
      <c r="Q616" s="48" t="n">
        <f aca="false">IF($J616="","",IFERROR(IF($J616&lt;=1,INDEX(VN_국채일별!$B$4:$B$1436,MATCH($B616,VN_국채일별!$A$4:$A$1436,1)),IF($J616&lt;=2,INDEX(VN_국채일별!$B$4:$B$1436,MATCH($B616,VN_국채일별!$A$4:$A$1436,1))+(INDEX(VN_국채일별!$C$4:$C$1436,MATCH($B616,VN_국채일별!$A$4:$A$1436,1))-INDEX(VN_국채일별!$B$4:$B$1436,MATCH($B616,VN_국채일별!$A$4:$A$1436,1)))*($J616-1),IF($J616&lt;=3,INDEX(VN_국채일별!$C$4:$C$1436,MATCH($B616,VN_국채일별!$A$4:$A$1436,1))+(INDEX(VN_국채일별!$D$4:$D$1436,MATCH($B616,VN_국채일별!$A$4:$A$1436,1))-INDEX(VN_국채일별!$C$4:$C$1436,MATCH($B616,VN_국채일별!$A$4:$A$1436,1)))*($J616-2),IF($J616&lt;=5,INDEX(VN_국채일별!$D$4:$D$1436,MATCH($B616,VN_국채일별!$A$4:$A$1436,1))+(INDEX(VN_국채일별!$E$4:$E$1436,MATCH($B616,VN_국채일별!$A$4:$A$1436,1))-INDEX(VN_국채일별!$D$4:$D$1436,MATCH($B616,VN_국채일별!$A$4:$A$1436,1)))*($J616-3)/2,IF($J616&lt;=7,INDEX(VN_국채일별!$E$4:$E$1436,MATCH($B616,VN_국채일별!$A$4:$A$1436,1))+(INDEX(VN_국채일별!$F$4:$F$1436,MATCH($B616,VN_국채일별!$A$4:$A$1436,1))-INDEX(VN_국채일별!$E$4:$E$1436,MATCH($B616,VN_국채일별!$A$4:$A$1436,1)))*($J616-5)/2,IF($J616&lt;=10,INDEX(VN_국채일별!$F$4:$F$1436,MATCH($B616,VN_국채일별!$A$4:$A$1436,1))+(INDEX(VN_국채일별!$G$4:$G$1436,MATCH($B616,VN_국채일별!$A$4:$A$1436,1))-INDEX(VN_국채일별!$F$4:$F$1436,MATCH($B616,VN_국채일별!$A$4:$A$1436,1)))*($J616-7)/3,INDEX(VN_국채일별!$G$4:$G$1436,MATCH($B616,VN_국채일별!$A$4:$A$1436,1)))))))),""))</f>
        <v>0.03126</v>
      </c>
      <c r="R616" s="58" t="n">
        <f aca="false">IF(OR(L616="",Q616=""),"",(L616-Q616)*10000)</f>
        <v>357.4</v>
      </c>
      <c r="S616" s="30" t="n">
        <f aca="false">IF(AND(K616="고정",N616="N",J616&gt;=2,J616&lt;=4,I616&lt;&gt;""),1,0)</f>
        <v>1</v>
      </c>
      <c r="T616" s="59" t="n">
        <f aca="false">IF(S616=1,I616*L616,0)</f>
        <v>67</v>
      </c>
      <c r="U616" s="60" t="n">
        <f aca="false">IF(AND(S616=1,ISNUMBER(R616)),I616*R616,0)</f>
        <v>357400</v>
      </c>
      <c r="V616" s="30" t="n">
        <f aca="false">IF(AND(F616="Big4(국영)",K616="고정",N616="N",I616&lt;&gt;""),1,0)</f>
        <v>0</v>
      </c>
      <c r="W616" s="59" t="n">
        <f aca="false">IF(V616=1,I616*L616,0)</f>
        <v>0</v>
      </c>
      <c r="X616" s="60" t="n">
        <f aca="false">IF(AND(V616=1,ISNUMBER(R616)),I616*R616,0)</f>
        <v>0</v>
      </c>
      <c r="Y616" s="61" t="n">
        <f aca="false">IF(AND(S616=1,ISNUMBER(R616)),I616,0)</f>
        <v>1000</v>
      </c>
      <c r="Z616" s="61" t="n">
        <f aca="false">IF(AND(V616=1,ISNUMBER(R616)),I616,0)</f>
        <v>0</v>
      </c>
    </row>
    <row r="617" customFormat="false" ht="15" hidden="false" customHeight="false" outlineLevel="0" collapsed="false">
      <c r="A617" s="47" t="s">
        <v>1073</v>
      </c>
      <c r="B617" s="52" t="n">
        <v>45992</v>
      </c>
      <c r="C617" s="53" t="n">
        <f aca="false">DATE(YEAR(B617),MONTH(B617),1)</f>
        <v>45992</v>
      </c>
      <c r="D617" s="5" t="str">
        <f aca="false">YEAR(B617)&amp;"Q"&amp;ROUNDUP(MONTH(B617)/3,0)</f>
        <v>2025Q4</v>
      </c>
      <c r="E617" s="47" t="s">
        <v>972</v>
      </c>
      <c r="F617" s="54" t="s">
        <v>139</v>
      </c>
      <c r="G617" s="47" t="s">
        <v>973</v>
      </c>
      <c r="H617" s="47" t="s">
        <v>1074</v>
      </c>
      <c r="I617" s="55" t="n">
        <v>300</v>
      </c>
      <c r="J617" s="56" t="n">
        <v>7</v>
      </c>
      <c r="K617" s="54" t="s">
        <v>153</v>
      </c>
      <c r="M617" s="57" t="n">
        <v>0.076</v>
      </c>
      <c r="N617" s="47" t="s">
        <v>143</v>
      </c>
      <c r="O617" s="47" t="s">
        <v>1075</v>
      </c>
      <c r="P617" s="47"/>
      <c r="Q617" s="48" t="n">
        <f aca="false">IF($J617="","",IFERROR(IF($J617&lt;=1,INDEX(VN_국채일별!$B$4:$B$1436,MATCH($B617,VN_국채일별!$A$4:$A$1436,1)),IF($J617&lt;=2,INDEX(VN_국채일별!$B$4:$B$1436,MATCH($B617,VN_국채일별!$A$4:$A$1436,1))+(INDEX(VN_국채일별!$C$4:$C$1436,MATCH($B617,VN_국채일별!$A$4:$A$1436,1))-INDEX(VN_국채일별!$B$4:$B$1436,MATCH($B617,VN_국채일별!$A$4:$A$1436,1)))*($J617-1),IF($J617&lt;=3,INDEX(VN_국채일별!$C$4:$C$1436,MATCH($B617,VN_국채일별!$A$4:$A$1436,1))+(INDEX(VN_국채일별!$D$4:$D$1436,MATCH($B617,VN_국채일별!$A$4:$A$1436,1))-INDEX(VN_국채일별!$C$4:$C$1436,MATCH($B617,VN_국채일별!$A$4:$A$1436,1)))*($J617-2),IF($J617&lt;=5,INDEX(VN_국채일별!$D$4:$D$1436,MATCH($B617,VN_국채일별!$A$4:$A$1436,1))+(INDEX(VN_국채일별!$E$4:$E$1436,MATCH($B617,VN_국채일별!$A$4:$A$1436,1))-INDEX(VN_국채일별!$D$4:$D$1436,MATCH($B617,VN_국채일별!$A$4:$A$1436,1)))*($J617-3)/2,IF($J617&lt;=7,INDEX(VN_국채일별!$E$4:$E$1436,MATCH($B617,VN_국채일별!$A$4:$A$1436,1))+(INDEX(VN_국채일별!$F$4:$F$1436,MATCH($B617,VN_국채일별!$A$4:$A$1436,1))-INDEX(VN_국채일별!$E$4:$E$1436,MATCH($B617,VN_국채일별!$A$4:$A$1436,1)))*($J617-5)/2,IF($J617&lt;=10,INDEX(VN_국채일별!$F$4:$F$1436,MATCH($B617,VN_국채일별!$A$4:$A$1436,1))+(INDEX(VN_국채일별!$G$4:$G$1436,MATCH($B617,VN_국채일별!$A$4:$A$1436,1))-INDEX(VN_국채일별!$F$4:$F$1436,MATCH($B617,VN_국채일별!$A$4:$A$1436,1)))*($J617-7)/3,INDEX(VN_국채일별!$G$4:$G$1436,MATCH($B617,VN_국채일별!$A$4:$A$1436,1)))))))),""))</f>
        <v>0.03581</v>
      </c>
      <c r="R617" s="58" t="str">
        <f aca="false">IF(OR(L617="",Q617=""),"",(L617-Q617)*10000)</f>
        <v/>
      </c>
      <c r="S617" s="30" t="n">
        <f aca="false">IF(AND(K617="고정",N617="N",J617&gt;=2,J617&lt;=4,I617&lt;&gt;""),1,0)</f>
        <v>0</v>
      </c>
      <c r="T617" s="59" t="n">
        <f aca="false">IF(S617=1,I617*L617,0)</f>
        <v>0</v>
      </c>
      <c r="U617" s="60" t="n">
        <f aca="false">IF(AND(S617=1,ISNUMBER(R617)),I617*R617,0)</f>
        <v>0</v>
      </c>
      <c r="V617" s="30" t="n">
        <f aca="false">IF(AND(F617="Big4(국영)",K617="고정",N617="N",I617&lt;&gt;""),1,0)</f>
        <v>0</v>
      </c>
      <c r="W617" s="59" t="n">
        <f aca="false">IF(V617=1,I617*L617,0)</f>
        <v>0</v>
      </c>
      <c r="X617" s="60" t="n">
        <f aca="false">IF(AND(V617=1,ISNUMBER(R617)),I617*R617,0)</f>
        <v>0</v>
      </c>
      <c r="Y617" s="61" t="n">
        <f aca="false">IF(AND(S617=1,ISNUMBER(R617)),I617,0)</f>
        <v>0</v>
      </c>
      <c r="Z617" s="61" t="n">
        <f aca="false">IF(AND(V617=1,ISNUMBER(R617)),I617,0)</f>
        <v>0</v>
      </c>
    </row>
    <row r="618" customFormat="false" ht="15" hidden="false" customHeight="false" outlineLevel="0" collapsed="false">
      <c r="A618" s="47" t="s">
        <v>1073</v>
      </c>
      <c r="B618" s="52" t="n">
        <v>45993</v>
      </c>
      <c r="C618" s="53" t="n">
        <f aca="false">DATE(YEAR(B618),MONTH(B618),1)</f>
        <v>45992</v>
      </c>
      <c r="D618" s="5" t="str">
        <f aca="false">YEAR(B618)&amp;"Q"&amp;ROUNDUP(MONTH(B618)/3,0)</f>
        <v>2025Q4</v>
      </c>
      <c r="E618" s="47" t="s">
        <v>323</v>
      </c>
      <c r="F618" s="54" t="s">
        <v>139</v>
      </c>
      <c r="G618" s="47" t="s">
        <v>324</v>
      </c>
      <c r="H618" s="47" t="s">
        <v>1076</v>
      </c>
      <c r="I618" s="55" t="n">
        <v>1000</v>
      </c>
      <c r="J618" s="56" t="n">
        <v>3</v>
      </c>
      <c r="K618" s="54" t="s">
        <v>142</v>
      </c>
      <c r="L618" s="57" t="n">
        <v>0.065</v>
      </c>
      <c r="N618" s="47" t="s">
        <v>148</v>
      </c>
      <c r="O618" s="47" t="s">
        <v>417</v>
      </c>
      <c r="P618" s="47"/>
      <c r="Q618" s="48" t="n">
        <f aca="false">IF($J618="","",IFERROR(IF($J618&lt;=1,INDEX(VN_국채일별!$B$4:$B$1436,MATCH($B618,VN_국채일별!$A$4:$A$1436,1)),IF($J618&lt;=2,INDEX(VN_국채일별!$B$4:$B$1436,MATCH($B618,VN_국채일별!$A$4:$A$1436,1))+(INDEX(VN_국채일별!$C$4:$C$1436,MATCH($B618,VN_국채일별!$A$4:$A$1436,1))-INDEX(VN_국채일별!$B$4:$B$1436,MATCH($B618,VN_국채일별!$A$4:$A$1436,1)))*($J618-1),IF($J618&lt;=3,INDEX(VN_국채일별!$C$4:$C$1436,MATCH($B618,VN_국채일별!$A$4:$A$1436,1))+(INDEX(VN_국채일별!$D$4:$D$1436,MATCH($B618,VN_국채일별!$A$4:$A$1436,1))-INDEX(VN_국채일별!$C$4:$C$1436,MATCH($B618,VN_국채일별!$A$4:$A$1436,1)))*($J618-2),IF($J618&lt;=5,INDEX(VN_국채일별!$D$4:$D$1436,MATCH($B618,VN_국채일별!$A$4:$A$1436,1))+(INDEX(VN_국채일별!$E$4:$E$1436,MATCH($B618,VN_국채일별!$A$4:$A$1436,1))-INDEX(VN_국채일별!$D$4:$D$1436,MATCH($B618,VN_국채일별!$A$4:$A$1436,1)))*($J618-3)/2,IF($J618&lt;=7,INDEX(VN_국채일별!$E$4:$E$1436,MATCH($B618,VN_국채일별!$A$4:$A$1436,1))+(INDEX(VN_국채일별!$F$4:$F$1436,MATCH($B618,VN_국채일별!$A$4:$A$1436,1))-INDEX(VN_국채일별!$E$4:$E$1436,MATCH($B618,VN_국채일별!$A$4:$A$1436,1)))*($J618-5)/2,IF($J618&lt;=10,INDEX(VN_국채일별!$F$4:$F$1436,MATCH($B618,VN_국채일별!$A$4:$A$1436,1))+(INDEX(VN_국채일별!$G$4:$G$1436,MATCH($B618,VN_국채일별!$A$4:$A$1436,1))-INDEX(VN_국채일별!$F$4:$F$1436,MATCH($B618,VN_국채일별!$A$4:$A$1436,1)))*($J618-7)/3,INDEX(VN_국채일별!$G$4:$G$1436,MATCH($B618,VN_국채일별!$A$4:$A$1436,1)))))))),""))</f>
        <v>0.03136</v>
      </c>
      <c r="R618" s="58" t="n">
        <f aca="false">IF(OR(L618="",Q618=""),"",(L618-Q618)*10000)</f>
        <v>336.4</v>
      </c>
      <c r="S618" s="30" t="n">
        <f aca="false">IF(AND(K618="고정",N618="N",J618&gt;=2,J618&lt;=4,I618&lt;&gt;""),1,0)</f>
        <v>1</v>
      </c>
      <c r="T618" s="59" t="n">
        <f aca="false">IF(S618=1,I618*L618,0)</f>
        <v>65</v>
      </c>
      <c r="U618" s="60" t="n">
        <f aca="false">IF(AND(S618=1,ISNUMBER(R618)),I618*R618,0)</f>
        <v>336400</v>
      </c>
      <c r="V618" s="30" t="n">
        <f aca="false">IF(AND(F618="Big4(국영)",K618="고정",N618="N",I618&lt;&gt;""),1,0)</f>
        <v>0</v>
      </c>
      <c r="W618" s="59" t="n">
        <f aca="false">IF(V618=1,I618*L618,0)</f>
        <v>0</v>
      </c>
      <c r="X618" s="60" t="n">
        <f aca="false">IF(AND(V618=1,ISNUMBER(R618)),I618*R618,0)</f>
        <v>0</v>
      </c>
      <c r="Y618" s="61" t="n">
        <f aca="false">IF(AND(S618=1,ISNUMBER(R618)),I618,0)</f>
        <v>1000</v>
      </c>
      <c r="Z618" s="61" t="n">
        <f aca="false">IF(AND(V618=1,ISNUMBER(R618)),I618,0)</f>
        <v>0</v>
      </c>
    </row>
    <row r="619" customFormat="false" ht="15" hidden="false" customHeight="false" outlineLevel="0" collapsed="false">
      <c r="A619" s="47" t="s">
        <v>1073</v>
      </c>
      <c r="B619" s="52" t="n">
        <v>45993</v>
      </c>
      <c r="C619" s="53" t="n">
        <f aca="false">DATE(YEAR(B619),MONTH(B619),1)</f>
        <v>45992</v>
      </c>
      <c r="D619" s="5" t="str">
        <f aca="false">YEAR(B619)&amp;"Q"&amp;ROUNDUP(MONTH(B619)/3,0)</f>
        <v>2025Q4</v>
      </c>
      <c r="E619" s="47" t="s">
        <v>365</v>
      </c>
      <c r="F619" s="54" t="s">
        <v>139</v>
      </c>
      <c r="G619" s="47" t="s">
        <v>366</v>
      </c>
      <c r="H619" s="47" t="s">
        <v>1077</v>
      </c>
      <c r="I619" s="55" t="n">
        <v>46.5</v>
      </c>
      <c r="J619" s="56" t="n">
        <v>10</v>
      </c>
      <c r="K619" s="54" t="s">
        <v>153</v>
      </c>
      <c r="N619" s="47" t="s">
        <v>143</v>
      </c>
      <c r="O619" s="47" t="s">
        <v>1078</v>
      </c>
      <c r="P619" s="47"/>
      <c r="Q619" s="48" t="n">
        <f aca="false">IF($J619="","",IFERROR(IF($J619&lt;=1,INDEX(VN_국채일별!$B$4:$B$1436,MATCH($B619,VN_국채일별!$A$4:$A$1436,1)),IF($J619&lt;=2,INDEX(VN_국채일별!$B$4:$B$1436,MATCH($B619,VN_국채일별!$A$4:$A$1436,1))+(INDEX(VN_국채일별!$C$4:$C$1436,MATCH($B619,VN_국채일별!$A$4:$A$1436,1))-INDEX(VN_국채일별!$B$4:$B$1436,MATCH($B619,VN_국채일별!$A$4:$A$1436,1)))*($J619-1),IF($J619&lt;=3,INDEX(VN_국채일별!$C$4:$C$1436,MATCH($B619,VN_국채일별!$A$4:$A$1436,1))+(INDEX(VN_국채일별!$D$4:$D$1436,MATCH($B619,VN_국채일별!$A$4:$A$1436,1))-INDEX(VN_국채일별!$C$4:$C$1436,MATCH($B619,VN_국채일별!$A$4:$A$1436,1)))*($J619-2),IF($J619&lt;=5,INDEX(VN_국채일별!$D$4:$D$1436,MATCH($B619,VN_국채일별!$A$4:$A$1436,1))+(INDEX(VN_국채일별!$E$4:$E$1436,MATCH($B619,VN_국채일별!$A$4:$A$1436,1))-INDEX(VN_국채일별!$D$4:$D$1436,MATCH($B619,VN_국채일별!$A$4:$A$1436,1)))*($J619-3)/2,IF($J619&lt;=7,INDEX(VN_국채일별!$E$4:$E$1436,MATCH($B619,VN_국채일별!$A$4:$A$1436,1))+(INDEX(VN_국채일별!$F$4:$F$1436,MATCH($B619,VN_국채일별!$A$4:$A$1436,1))-INDEX(VN_국채일별!$E$4:$E$1436,MATCH($B619,VN_국채일별!$A$4:$A$1436,1)))*($J619-5)/2,IF($J619&lt;=10,INDEX(VN_국채일별!$F$4:$F$1436,MATCH($B619,VN_국채일별!$A$4:$A$1436,1))+(INDEX(VN_국채일별!$G$4:$G$1436,MATCH($B619,VN_국채일별!$A$4:$A$1436,1))-INDEX(VN_국채일별!$F$4:$F$1436,MATCH($B619,VN_국채일별!$A$4:$A$1436,1)))*($J619-7)/3,INDEX(VN_국채일별!$G$4:$G$1436,MATCH($B619,VN_국채일별!$A$4:$A$1436,1)))))))),""))</f>
        <v>0.04064</v>
      </c>
      <c r="R619" s="58" t="str">
        <f aca="false">IF(OR(L619="",Q619=""),"",(L619-Q619)*10000)</f>
        <v/>
      </c>
      <c r="S619" s="30" t="n">
        <f aca="false">IF(AND(K619="고정",N619="N",J619&gt;=2,J619&lt;=4,I619&lt;&gt;""),1,0)</f>
        <v>0</v>
      </c>
      <c r="T619" s="59" t="n">
        <f aca="false">IF(S619=1,I619*L619,0)</f>
        <v>0</v>
      </c>
      <c r="U619" s="60" t="n">
        <f aca="false">IF(AND(S619=1,ISNUMBER(R619)),I619*R619,0)</f>
        <v>0</v>
      </c>
      <c r="V619" s="30" t="n">
        <f aca="false">IF(AND(F619="Big4(국영)",K619="고정",N619="N",I619&lt;&gt;""),1,0)</f>
        <v>0</v>
      </c>
      <c r="W619" s="59" t="n">
        <f aca="false">IF(V619=1,I619*L619,0)</f>
        <v>0</v>
      </c>
      <c r="X619" s="60" t="n">
        <f aca="false">IF(AND(V619=1,ISNUMBER(R619)),I619*R619,0)</f>
        <v>0</v>
      </c>
      <c r="Y619" s="61" t="n">
        <f aca="false">IF(AND(S619=1,ISNUMBER(R619)),I619,0)</f>
        <v>0</v>
      </c>
      <c r="Z619" s="61" t="n">
        <f aca="false">IF(AND(V619=1,ISNUMBER(R619)),I619,0)</f>
        <v>0</v>
      </c>
    </row>
    <row r="620" customFormat="false" ht="15" hidden="false" customHeight="false" outlineLevel="0" collapsed="false">
      <c r="A620" s="47" t="s">
        <v>1073</v>
      </c>
      <c r="B620" s="52" t="n">
        <v>45994</v>
      </c>
      <c r="C620" s="53" t="n">
        <f aca="false">DATE(YEAR(B620),MONTH(B620),1)</f>
        <v>45992</v>
      </c>
      <c r="D620" s="5" t="str">
        <f aca="false">YEAR(B620)&amp;"Q"&amp;ROUNDUP(MONTH(B620)/3,0)</f>
        <v>2025Q4</v>
      </c>
      <c r="E620" s="47" t="s">
        <v>196</v>
      </c>
      <c r="F620" s="54" t="s">
        <v>139</v>
      </c>
      <c r="G620" s="47" t="s">
        <v>673</v>
      </c>
      <c r="H620" s="47" t="s">
        <v>1079</v>
      </c>
      <c r="I620" s="55" t="n">
        <v>500</v>
      </c>
      <c r="J620" s="56" t="n">
        <v>5</v>
      </c>
      <c r="K620" s="54" t="s">
        <v>142</v>
      </c>
      <c r="L620" s="57" t="n">
        <v>0.064</v>
      </c>
      <c r="N620" s="47" t="s">
        <v>148</v>
      </c>
      <c r="O620" s="47" t="s">
        <v>424</v>
      </c>
      <c r="P620" s="47"/>
      <c r="Q620" s="48" t="n">
        <f aca="false">IF($J620="","",IFERROR(IF($J620&lt;=1,INDEX(VN_국채일별!$B$4:$B$1436,MATCH($B620,VN_국채일별!$A$4:$A$1436,1)),IF($J620&lt;=2,INDEX(VN_국채일별!$B$4:$B$1436,MATCH($B620,VN_국채일별!$A$4:$A$1436,1))+(INDEX(VN_국채일별!$C$4:$C$1436,MATCH($B620,VN_국채일별!$A$4:$A$1436,1))-INDEX(VN_국채일별!$B$4:$B$1436,MATCH($B620,VN_국채일별!$A$4:$A$1436,1)))*($J620-1),IF($J620&lt;=3,INDEX(VN_국채일별!$C$4:$C$1436,MATCH($B620,VN_국채일별!$A$4:$A$1436,1))+(INDEX(VN_국채일별!$D$4:$D$1436,MATCH($B620,VN_국채일별!$A$4:$A$1436,1))-INDEX(VN_국채일별!$C$4:$C$1436,MATCH($B620,VN_국채일별!$A$4:$A$1436,1)))*($J620-2),IF($J620&lt;=5,INDEX(VN_국채일별!$D$4:$D$1436,MATCH($B620,VN_국채일별!$A$4:$A$1436,1))+(INDEX(VN_국채일별!$E$4:$E$1436,MATCH($B620,VN_국채일별!$A$4:$A$1436,1))-INDEX(VN_국채일별!$D$4:$D$1436,MATCH($B620,VN_국채일별!$A$4:$A$1436,1)))*($J620-3)/2,IF($J620&lt;=7,INDEX(VN_국채일별!$E$4:$E$1436,MATCH($B620,VN_국채일별!$A$4:$A$1436,1))+(INDEX(VN_국채일별!$F$4:$F$1436,MATCH($B620,VN_국채일별!$A$4:$A$1436,1))-INDEX(VN_국채일별!$E$4:$E$1436,MATCH($B620,VN_국채일별!$A$4:$A$1436,1)))*($J620-5)/2,IF($J620&lt;=10,INDEX(VN_국채일별!$F$4:$F$1436,MATCH($B620,VN_국채일별!$A$4:$A$1436,1))+(INDEX(VN_국채일별!$G$4:$G$1436,MATCH($B620,VN_국채일별!$A$4:$A$1436,1))-INDEX(VN_국채일별!$F$4:$F$1436,MATCH($B620,VN_국채일별!$A$4:$A$1436,1)))*($J620-7)/3,INDEX(VN_국채일별!$G$4:$G$1436,MATCH($B620,VN_국채일별!$A$4:$A$1436,1)))))))),""))</f>
        <v>0.03343</v>
      </c>
      <c r="R620" s="58" t="n">
        <f aca="false">IF(OR(L620="",Q620=""),"",(L620-Q620)*10000)</f>
        <v>305.7</v>
      </c>
      <c r="S620" s="30" t="n">
        <f aca="false">IF(AND(K620="고정",N620="N",J620&gt;=2,J620&lt;=4,I620&lt;&gt;""),1,0)</f>
        <v>0</v>
      </c>
      <c r="T620" s="59" t="n">
        <f aca="false">IF(S620=1,I620*L620,0)</f>
        <v>0</v>
      </c>
      <c r="U620" s="60" t="n">
        <f aca="false">IF(AND(S620=1,ISNUMBER(R620)),I620*R620,0)</f>
        <v>0</v>
      </c>
      <c r="V620" s="30" t="n">
        <f aca="false">IF(AND(F620="Big4(국영)",K620="고정",N620="N",I620&lt;&gt;""),1,0)</f>
        <v>0</v>
      </c>
      <c r="W620" s="59" t="n">
        <f aca="false">IF(V620=1,I620*L620,0)</f>
        <v>0</v>
      </c>
      <c r="X620" s="60" t="n">
        <f aca="false">IF(AND(V620=1,ISNUMBER(R620)),I620*R620,0)</f>
        <v>0</v>
      </c>
      <c r="Y620" s="61" t="n">
        <f aca="false">IF(AND(S620=1,ISNUMBER(R620)),I620,0)</f>
        <v>0</v>
      </c>
      <c r="Z620" s="61" t="n">
        <f aca="false">IF(AND(V620=1,ISNUMBER(R620)),I620,0)</f>
        <v>0</v>
      </c>
    </row>
    <row r="621" customFormat="false" ht="15" hidden="false" customHeight="false" outlineLevel="0" collapsed="false">
      <c r="A621" s="47" t="s">
        <v>1073</v>
      </c>
      <c r="B621" s="52" t="n">
        <v>45994</v>
      </c>
      <c r="C621" s="53" t="n">
        <f aca="false">DATE(YEAR(B621),MONTH(B621),1)</f>
        <v>45992</v>
      </c>
      <c r="D621" s="5" t="str">
        <f aca="false">YEAR(B621)&amp;"Q"&amp;ROUNDUP(MONTH(B621)/3,0)</f>
        <v>2025Q4</v>
      </c>
      <c r="E621" s="47" t="s">
        <v>248</v>
      </c>
      <c r="F621" s="54" t="s">
        <v>139</v>
      </c>
      <c r="G621" s="47" t="s">
        <v>361</v>
      </c>
      <c r="H621" s="47" t="s">
        <v>1080</v>
      </c>
      <c r="I621" s="55" t="n">
        <v>120</v>
      </c>
      <c r="J621" s="56" t="n">
        <v>5</v>
      </c>
      <c r="K621" s="54" t="s">
        <v>142</v>
      </c>
      <c r="L621" s="57" t="n">
        <v>0.068</v>
      </c>
      <c r="N621" s="47" t="s">
        <v>148</v>
      </c>
      <c r="O621" s="47" t="s">
        <v>337</v>
      </c>
      <c r="P621" s="47"/>
      <c r="Q621" s="48" t="n">
        <f aca="false">IF($J621="","",IFERROR(IF($J621&lt;=1,INDEX(VN_국채일별!$B$4:$B$1436,MATCH($B621,VN_국채일별!$A$4:$A$1436,1)),IF($J621&lt;=2,INDEX(VN_국채일별!$B$4:$B$1436,MATCH($B621,VN_국채일별!$A$4:$A$1436,1))+(INDEX(VN_국채일별!$C$4:$C$1436,MATCH($B621,VN_국채일별!$A$4:$A$1436,1))-INDEX(VN_국채일별!$B$4:$B$1436,MATCH($B621,VN_국채일별!$A$4:$A$1436,1)))*($J621-1),IF($J621&lt;=3,INDEX(VN_국채일별!$C$4:$C$1436,MATCH($B621,VN_국채일별!$A$4:$A$1436,1))+(INDEX(VN_국채일별!$D$4:$D$1436,MATCH($B621,VN_국채일별!$A$4:$A$1436,1))-INDEX(VN_국채일별!$C$4:$C$1436,MATCH($B621,VN_국채일별!$A$4:$A$1436,1)))*($J621-2),IF($J621&lt;=5,INDEX(VN_국채일별!$D$4:$D$1436,MATCH($B621,VN_국채일별!$A$4:$A$1436,1))+(INDEX(VN_국채일별!$E$4:$E$1436,MATCH($B621,VN_국채일별!$A$4:$A$1436,1))-INDEX(VN_국채일별!$D$4:$D$1436,MATCH($B621,VN_국채일별!$A$4:$A$1436,1)))*($J621-3)/2,IF($J621&lt;=7,INDEX(VN_국채일별!$E$4:$E$1436,MATCH($B621,VN_국채일별!$A$4:$A$1436,1))+(INDEX(VN_국채일별!$F$4:$F$1436,MATCH($B621,VN_국채일별!$A$4:$A$1436,1))-INDEX(VN_국채일별!$E$4:$E$1436,MATCH($B621,VN_국채일별!$A$4:$A$1436,1)))*($J621-5)/2,IF($J621&lt;=10,INDEX(VN_국채일별!$F$4:$F$1436,MATCH($B621,VN_국채일별!$A$4:$A$1436,1))+(INDEX(VN_국채일별!$G$4:$G$1436,MATCH($B621,VN_국채일별!$A$4:$A$1436,1))-INDEX(VN_국채일별!$F$4:$F$1436,MATCH($B621,VN_국채일별!$A$4:$A$1436,1)))*($J621-7)/3,INDEX(VN_국채일별!$G$4:$G$1436,MATCH($B621,VN_국채일별!$A$4:$A$1436,1)))))))),""))</f>
        <v>0.03343</v>
      </c>
      <c r="R621" s="58" t="n">
        <f aca="false">IF(OR(L621="",Q621=""),"",(L621-Q621)*10000)</f>
        <v>345.7</v>
      </c>
      <c r="S621" s="30" t="n">
        <f aca="false">IF(AND(K621="고정",N621="N",J621&gt;=2,J621&lt;=4,I621&lt;&gt;""),1,0)</f>
        <v>0</v>
      </c>
      <c r="T621" s="59" t="n">
        <f aca="false">IF(S621=1,I621*L621,0)</f>
        <v>0</v>
      </c>
      <c r="U621" s="60" t="n">
        <f aca="false">IF(AND(S621=1,ISNUMBER(R621)),I621*R621,0)</f>
        <v>0</v>
      </c>
      <c r="V621" s="30" t="n">
        <f aca="false">IF(AND(F621="Big4(국영)",K621="고정",N621="N",I621&lt;&gt;""),1,0)</f>
        <v>0</v>
      </c>
      <c r="W621" s="59" t="n">
        <f aca="false">IF(V621=1,I621*L621,0)</f>
        <v>0</v>
      </c>
      <c r="X621" s="60" t="n">
        <f aca="false">IF(AND(V621=1,ISNUMBER(R621)),I621*R621,0)</f>
        <v>0</v>
      </c>
      <c r="Y621" s="61" t="n">
        <f aca="false">IF(AND(S621=1,ISNUMBER(R621)),I621,0)</f>
        <v>0</v>
      </c>
      <c r="Z621" s="61" t="n">
        <f aca="false">IF(AND(V621=1,ISNUMBER(R621)),I621,0)</f>
        <v>0</v>
      </c>
    </row>
    <row r="622" customFormat="false" ht="15" hidden="false" customHeight="false" outlineLevel="0" collapsed="false">
      <c r="A622" s="47" t="s">
        <v>1073</v>
      </c>
      <c r="B622" s="52" t="n">
        <v>45994</v>
      </c>
      <c r="C622" s="53" t="n">
        <f aca="false">DATE(YEAR(B622),MONTH(B622),1)</f>
        <v>45992</v>
      </c>
      <c r="D622" s="5" t="str">
        <f aca="false">YEAR(B622)&amp;"Q"&amp;ROUNDUP(MONTH(B622)/3,0)</f>
        <v>2025Q4</v>
      </c>
      <c r="E622" s="47" t="s">
        <v>307</v>
      </c>
      <c r="F622" s="54" t="s">
        <v>139</v>
      </c>
      <c r="G622" s="47" t="s">
        <v>308</v>
      </c>
      <c r="H622" s="47" t="s">
        <v>1081</v>
      </c>
      <c r="I622" s="55" t="n">
        <v>2000</v>
      </c>
      <c r="J622" s="56" t="n">
        <v>3</v>
      </c>
      <c r="K622" s="54" t="s">
        <v>142</v>
      </c>
      <c r="L622" s="57" t="n">
        <v>0.065</v>
      </c>
      <c r="N622" s="47" t="s">
        <v>148</v>
      </c>
      <c r="O622" s="47" t="s">
        <v>417</v>
      </c>
      <c r="P622" s="47"/>
      <c r="Q622" s="48" t="n">
        <f aca="false">IF($J622="","",IFERROR(IF($J622&lt;=1,INDEX(VN_국채일별!$B$4:$B$1436,MATCH($B622,VN_국채일별!$A$4:$A$1436,1)),IF($J622&lt;=2,INDEX(VN_국채일별!$B$4:$B$1436,MATCH($B622,VN_국채일별!$A$4:$A$1436,1))+(INDEX(VN_국채일별!$C$4:$C$1436,MATCH($B622,VN_국채일별!$A$4:$A$1436,1))-INDEX(VN_국채일별!$B$4:$B$1436,MATCH($B622,VN_국채일별!$A$4:$A$1436,1)))*($J622-1),IF($J622&lt;=3,INDEX(VN_국채일별!$C$4:$C$1436,MATCH($B622,VN_국채일별!$A$4:$A$1436,1))+(INDEX(VN_국채일별!$D$4:$D$1436,MATCH($B622,VN_국채일별!$A$4:$A$1436,1))-INDEX(VN_국채일별!$C$4:$C$1436,MATCH($B622,VN_국채일별!$A$4:$A$1436,1)))*($J622-2),IF($J622&lt;=5,INDEX(VN_국채일별!$D$4:$D$1436,MATCH($B622,VN_국채일별!$A$4:$A$1436,1))+(INDEX(VN_국채일별!$E$4:$E$1436,MATCH($B622,VN_국채일별!$A$4:$A$1436,1))-INDEX(VN_국채일별!$D$4:$D$1436,MATCH($B622,VN_국채일별!$A$4:$A$1436,1)))*($J622-3)/2,IF($J622&lt;=7,INDEX(VN_국채일별!$E$4:$E$1436,MATCH($B622,VN_국채일별!$A$4:$A$1436,1))+(INDEX(VN_국채일별!$F$4:$F$1436,MATCH($B622,VN_국채일별!$A$4:$A$1436,1))-INDEX(VN_국채일별!$E$4:$E$1436,MATCH($B622,VN_국채일별!$A$4:$A$1436,1)))*($J622-5)/2,IF($J622&lt;=10,INDEX(VN_국채일별!$F$4:$F$1436,MATCH($B622,VN_국채일별!$A$4:$A$1436,1))+(INDEX(VN_국채일별!$G$4:$G$1436,MATCH($B622,VN_국채일별!$A$4:$A$1436,1))-INDEX(VN_국채일별!$F$4:$F$1436,MATCH($B622,VN_국채일별!$A$4:$A$1436,1)))*($J622-7)/3,INDEX(VN_국채일별!$G$4:$G$1436,MATCH($B622,VN_국채일별!$A$4:$A$1436,1)))))))),""))</f>
        <v>0.03139</v>
      </c>
      <c r="R622" s="58" t="n">
        <f aca="false">IF(OR(L622="",Q622=""),"",(L622-Q622)*10000)</f>
        <v>336.1</v>
      </c>
      <c r="S622" s="30" t="n">
        <f aca="false">IF(AND(K622="고정",N622="N",J622&gt;=2,J622&lt;=4,I622&lt;&gt;""),1,0)</f>
        <v>1</v>
      </c>
      <c r="T622" s="59" t="n">
        <f aca="false">IF(S622=1,I622*L622,0)</f>
        <v>130</v>
      </c>
      <c r="U622" s="60" t="n">
        <f aca="false">IF(AND(S622=1,ISNUMBER(R622)),I622*R622,0)</f>
        <v>672200</v>
      </c>
      <c r="V622" s="30" t="n">
        <f aca="false">IF(AND(F622="Big4(국영)",K622="고정",N622="N",I622&lt;&gt;""),1,0)</f>
        <v>0</v>
      </c>
      <c r="W622" s="59" t="n">
        <f aca="false">IF(V622=1,I622*L622,0)</f>
        <v>0</v>
      </c>
      <c r="X622" s="60" t="n">
        <f aca="false">IF(AND(V622=1,ISNUMBER(R622)),I622*R622,0)</f>
        <v>0</v>
      </c>
      <c r="Y622" s="61" t="n">
        <f aca="false">IF(AND(S622=1,ISNUMBER(R622)),I622,0)</f>
        <v>2000</v>
      </c>
      <c r="Z622" s="61" t="n">
        <f aca="false">IF(AND(V622=1,ISNUMBER(R622)),I622,0)</f>
        <v>0</v>
      </c>
    </row>
    <row r="623" customFormat="false" ht="15" hidden="false" customHeight="false" outlineLevel="0" collapsed="false">
      <c r="A623" s="47" t="s">
        <v>1073</v>
      </c>
      <c r="B623" s="52" t="n">
        <v>45996</v>
      </c>
      <c r="C623" s="53" t="n">
        <f aca="false">DATE(YEAR(B623),MONTH(B623),1)</f>
        <v>45992</v>
      </c>
      <c r="D623" s="5" t="str">
        <f aca="false">YEAR(B623)&amp;"Q"&amp;ROUNDUP(MONTH(B623)/3,0)</f>
        <v>2025Q4</v>
      </c>
      <c r="E623" s="47" t="s">
        <v>150</v>
      </c>
      <c r="F623" s="54" t="s">
        <v>139</v>
      </c>
      <c r="G623" s="47" t="s">
        <v>170</v>
      </c>
      <c r="H623" s="47" t="s">
        <v>1082</v>
      </c>
      <c r="I623" s="55" t="n">
        <v>3000</v>
      </c>
      <c r="J623" s="56" t="n">
        <v>3</v>
      </c>
      <c r="K623" s="54" t="s">
        <v>142</v>
      </c>
      <c r="L623" s="57" t="n">
        <v>0.069</v>
      </c>
      <c r="N623" s="47" t="s">
        <v>148</v>
      </c>
      <c r="O623" s="47" t="s">
        <v>1083</v>
      </c>
      <c r="P623" s="47"/>
      <c r="Q623" s="48" t="n">
        <f aca="false">IF($J623="","",IFERROR(IF($J623&lt;=1,INDEX(VN_국채일별!$B$4:$B$1436,MATCH($B623,VN_국채일별!$A$4:$A$1436,1)),IF($J623&lt;=2,INDEX(VN_국채일별!$B$4:$B$1436,MATCH($B623,VN_국채일별!$A$4:$A$1436,1))+(INDEX(VN_국채일별!$C$4:$C$1436,MATCH($B623,VN_국채일별!$A$4:$A$1436,1))-INDEX(VN_국채일별!$B$4:$B$1436,MATCH($B623,VN_국채일별!$A$4:$A$1436,1)))*($J623-1),IF($J623&lt;=3,INDEX(VN_국채일별!$C$4:$C$1436,MATCH($B623,VN_국채일별!$A$4:$A$1436,1))+(INDEX(VN_국채일별!$D$4:$D$1436,MATCH($B623,VN_국채일별!$A$4:$A$1436,1))-INDEX(VN_국채일별!$C$4:$C$1436,MATCH($B623,VN_국채일별!$A$4:$A$1436,1)))*($J623-2),IF($J623&lt;=5,INDEX(VN_국채일별!$D$4:$D$1436,MATCH($B623,VN_국채일별!$A$4:$A$1436,1))+(INDEX(VN_국채일별!$E$4:$E$1436,MATCH($B623,VN_국채일별!$A$4:$A$1436,1))-INDEX(VN_국채일별!$D$4:$D$1436,MATCH($B623,VN_국채일별!$A$4:$A$1436,1)))*($J623-3)/2,IF($J623&lt;=7,INDEX(VN_국채일별!$E$4:$E$1436,MATCH($B623,VN_국채일별!$A$4:$A$1436,1))+(INDEX(VN_국채일별!$F$4:$F$1436,MATCH($B623,VN_국채일별!$A$4:$A$1436,1))-INDEX(VN_국채일별!$E$4:$E$1436,MATCH($B623,VN_국채일별!$A$4:$A$1436,1)))*($J623-5)/2,IF($J623&lt;=10,INDEX(VN_국채일별!$F$4:$F$1436,MATCH($B623,VN_국채일별!$A$4:$A$1436,1))+(INDEX(VN_국채일별!$G$4:$G$1436,MATCH($B623,VN_국채일별!$A$4:$A$1436,1))-INDEX(VN_국채일별!$F$4:$F$1436,MATCH($B623,VN_국채일별!$A$4:$A$1436,1)))*($J623-7)/3,INDEX(VN_국채일별!$G$4:$G$1436,MATCH($B623,VN_국채일별!$A$4:$A$1436,1)))))))),""))</f>
        <v>0.03162</v>
      </c>
      <c r="R623" s="58" t="n">
        <f aca="false">IF(OR(L623="",Q623=""),"",(L623-Q623)*10000)</f>
        <v>373.8</v>
      </c>
      <c r="S623" s="30" t="n">
        <f aca="false">IF(AND(K623="고정",N623="N",J623&gt;=2,J623&lt;=4,I623&lt;&gt;""),1,0)</f>
        <v>1</v>
      </c>
      <c r="T623" s="59" t="n">
        <f aca="false">IF(S623=1,I623*L623,0)</f>
        <v>207</v>
      </c>
      <c r="U623" s="60" t="n">
        <f aca="false">IF(AND(S623=1,ISNUMBER(R623)),I623*R623,0)</f>
        <v>1121400</v>
      </c>
      <c r="V623" s="30" t="n">
        <f aca="false">IF(AND(F623="Big4(국영)",K623="고정",N623="N",I623&lt;&gt;""),1,0)</f>
        <v>0</v>
      </c>
      <c r="W623" s="59" t="n">
        <f aca="false">IF(V623=1,I623*L623,0)</f>
        <v>0</v>
      </c>
      <c r="X623" s="60" t="n">
        <f aca="false">IF(AND(V623=1,ISNUMBER(R623)),I623*R623,0)</f>
        <v>0</v>
      </c>
      <c r="Y623" s="61" t="n">
        <f aca="false">IF(AND(S623=1,ISNUMBER(R623)),I623,0)</f>
        <v>3000</v>
      </c>
      <c r="Z623" s="61" t="n">
        <f aca="false">IF(AND(V623=1,ISNUMBER(R623)),I623,0)</f>
        <v>0</v>
      </c>
    </row>
    <row r="624" customFormat="false" ht="15" hidden="false" customHeight="false" outlineLevel="0" collapsed="false">
      <c r="A624" s="47" t="s">
        <v>1073</v>
      </c>
      <c r="B624" s="52" t="n">
        <v>46001</v>
      </c>
      <c r="C624" s="53" t="n">
        <f aca="false">DATE(YEAR(B624),MONTH(B624),1)</f>
        <v>45992</v>
      </c>
      <c r="D624" s="5" t="str">
        <f aca="false">YEAR(B624)&amp;"Q"&amp;ROUNDUP(MONTH(B624)/3,0)</f>
        <v>2025Q4</v>
      </c>
      <c r="E624" s="47" t="s">
        <v>365</v>
      </c>
      <c r="F624" s="54" t="s">
        <v>139</v>
      </c>
      <c r="G624" s="47" t="s">
        <v>366</v>
      </c>
      <c r="H624" s="47" t="s">
        <v>1084</v>
      </c>
      <c r="I624" s="55" t="n">
        <v>15.7</v>
      </c>
      <c r="J624" s="56" t="n">
        <v>10</v>
      </c>
      <c r="K624" s="54" t="s">
        <v>153</v>
      </c>
      <c r="N624" s="47" t="s">
        <v>143</v>
      </c>
      <c r="O624" s="47" t="s">
        <v>1085</v>
      </c>
      <c r="P624" s="47"/>
      <c r="Q624" s="48" t="n">
        <f aca="false">IF($J624="","",IFERROR(IF($J624&lt;=1,INDEX(VN_국채일별!$B$4:$B$1436,MATCH($B624,VN_국채일별!$A$4:$A$1436,1)),IF($J624&lt;=2,INDEX(VN_국채일별!$B$4:$B$1436,MATCH($B624,VN_국채일별!$A$4:$A$1436,1))+(INDEX(VN_국채일별!$C$4:$C$1436,MATCH($B624,VN_국채일별!$A$4:$A$1436,1))-INDEX(VN_국채일별!$B$4:$B$1436,MATCH($B624,VN_국채일별!$A$4:$A$1436,1)))*($J624-1),IF($J624&lt;=3,INDEX(VN_국채일별!$C$4:$C$1436,MATCH($B624,VN_국채일별!$A$4:$A$1436,1))+(INDEX(VN_국채일별!$D$4:$D$1436,MATCH($B624,VN_국채일별!$A$4:$A$1436,1))-INDEX(VN_국채일별!$C$4:$C$1436,MATCH($B624,VN_국채일별!$A$4:$A$1436,1)))*($J624-2),IF($J624&lt;=5,INDEX(VN_국채일별!$D$4:$D$1436,MATCH($B624,VN_국채일별!$A$4:$A$1436,1))+(INDEX(VN_국채일별!$E$4:$E$1436,MATCH($B624,VN_국채일별!$A$4:$A$1436,1))-INDEX(VN_국채일별!$D$4:$D$1436,MATCH($B624,VN_국채일별!$A$4:$A$1436,1)))*($J624-3)/2,IF($J624&lt;=7,INDEX(VN_국채일별!$E$4:$E$1436,MATCH($B624,VN_국채일별!$A$4:$A$1436,1))+(INDEX(VN_국채일별!$F$4:$F$1436,MATCH($B624,VN_국채일별!$A$4:$A$1436,1))-INDEX(VN_국채일별!$E$4:$E$1436,MATCH($B624,VN_국채일별!$A$4:$A$1436,1)))*($J624-5)/2,IF($J624&lt;=10,INDEX(VN_국채일별!$F$4:$F$1436,MATCH($B624,VN_국채일별!$A$4:$A$1436,1))+(INDEX(VN_국채일별!$G$4:$G$1436,MATCH($B624,VN_국채일별!$A$4:$A$1436,1))-INDEX(VN_국채일별!$F$4:$F$1436,MATCH($B624,VN_국채일별!$A$4:$A$1436,1)))*($J624-7)/3,INDEX(VN_국채일별!$G$4:$G$1436,MATCH($B624,VN_국채일별!$A$4:$A$1436,1)))))))),""))</f>
        <v>0.04097</v>
      </c>
      <c r="R624" s="58" t="str">
        <f aca="false">IF(OR(L624="",Q624=""),"",(L624-Q624)*10000)</f>
        <v/>
      </c>
      <c r="S624" s="30" t="n">
        <f aca="false">IF(AND(K624="고정",N624="N",J624&gt;=2,J624&lt;=4,I624&lt;&gt;""),1,0)</f>
        <v>0</v>
      </c>
      <c r="T624" s="59" t="n">
        <f aca="false">IF(S624=1,I624*L624,0)</f>
        <v>0</v>
      </c>
      <c r="U624" s="60" t="n">
        <f aca="false">IF(AND(S624=1,ISNUMBER(R624)),I624*R624,0)</f>
        <v>0</v>
      </c>
      <c r="V624" s="30" t="n">
        <f aca="false">IF(AND(F624="Big4(국영)",K624="고정",N624="N",I624&lt;&gt;""),1,0)</f>
        <v>0</v>
      </c>
      <c r="W624" s="59" t="n">
        <f aca="false">IF(V624=1,I624*L624,0)</f>
        <v>0</v>
      </c>
      <c r="X624" s="60" t="n">
        <f aca="false">IF(AND(V624=1,ISNUMBER(R624)),I624*R624,0)</f>
        <v>0</v>
      </c>
      <c r="Y624" s="61" t="n">
        <f aca="false">IF(AND(S624=1,ISNUMBER(R624)),I624,0)</f>
        <v>0</v>
      </c>
      <c r="Z624" s="61" t="n">
        <f aca="false">IF(AND(V624=1,ISNUMBER(R624)),I624,0)</f>
        <v>0</v>
      </c>
    </row>
    <row r="625" customFormat="false" ht="15" hidden="false" customHeight="false" outlineLevel="0" collapsed="false">
      <c r="A625" s="47" t="s">
        <v>1073</v>
      </c>
      <c r="B625" s="52" t="n">
        <v>46001</v>
      </c>
      <c r="C625" s="53" t="n">
        <f aca="false">DATE(YEAR(B625),MONTH(B625),1)</f>
        <v>45992</v>
      </c>
      <c r="D625" s="5" t="str">
        <f aca="false">YEAR(B625)&amp;"Q"&amp;ROUNDUP(MONTH(B625)/3,0)</f>
        <v>2025Q4</v>
      </c>
      <c r="E625" s="47" t="s">
        <v>307</v>
      </c>
      <c r="F625" s="54" t="s">
        <v>139</v>
      </c>
      <c r="G625" s="47" t="s">
        <v>308</v>
      </c>
      <c r="H625" s="47" t="s">
        <v>1086</v>
      </c>
      <c r="I625" s="55" t="n">
        <v>2000</v>
      </c>
      <c r="J625" s="56" t="n">
        <v>3</v>
      </c>
      <c r="K625" s="54" t="s">
        <v>142</v>
      </c>
      <c r="L625" s="57" t="n">
        <v>0.065</v>
      </c>
      <c r="N625" s="47" t="s">
        <v>148</v>
      </c>
      <c r="O625" s="47" t="s">
        <v>417</v>
      </c>
      <c r="P625" s="47"/>
      <c r="Q625" s="48" t="n">
        <f aca="false">IF($J625="","",IFERROR(IF($J625&lt;=1,INDEX(VN_국채일별!$B$4:$B$1436,MATCH($B625,VN_국채일별!$A$4:$A$1436,1)),IF($J625&lt;=2,INDEX(VN_국채일별!$B$4:$B$1436,MATCH($B625,VN_국채일별!$A$4:$A$1436,1))+(INDEX(VN_국채일별!$C$4:$C$1436,MATCH($B625,VN_국채일별!$A$4:$A$1436,1))-INDEX(VN_국채일별!$B$4:$B$1436,MATCH($B625,VN_국채일별!$A$4:$A$1436,1)))*($J625-1),IF($J625&lt;=3,INDEX(VN_국채일별!$C$4:$C$1436,MATCH($B625,VN_국채일별!$A$4:$A$1436,1))+(INDEX(VN_국채일별!$D$4:$D$1436,MATCH($B625,VN_국채일별!$A$4:$A$1436,1))-INDEX(VN_국채일별!$C$4:$C$1436,MATCH($B625,VN_국채일별!$A$4:$A$1436,1)))*($J625-2),IF($J625&lt;=5,INDEX(VN_국채일별!$D$4:$D$1436,MATCH($B625,VN_국채일별!$A$4:$A$1436,1))+(INDEX(VN_국채일별!$E$4:$E$1436,MATCH($B625,VN_국채일별!$A$4:$A$1436,1))-INDEX(VN_국채일별!$D$4:$D$1436,MATCH($B625,VN_국채일별!$A$4:$A$1436,1)))*($J625-3)/2,IF($J625&lt;=7,INDEX(VN_국채일별!$E$4:$E$1436,MATCH($B625,VN_국채일별!$A$4:$A$1436,1))+(INDEX(VN_국채일별!$F$4:$F$1436,MATCH($B625,VN_국채일별!$A$4:$A$1436,1))-INDEX(VN_국채일별!$E$4:$E$1436,MATCH($B625,VN_국채일별!$A$4:$A$1436,1)))*($J625-5)/2,IF($J625&lt;=10,INDEX(VN_국채일별!$F$4:$F$1436,MATCH($B625,VN_국채일별!$A$4:$A$1436,1))+(INDEX(VN_국채일별!$G$4:$G$1436,MATCH($B625,VN_국채일별!$A$4:$A$1436,1))-INDEX(VN_국채일별!$F$4:$F$1436,MATCH($B625,VN_국채일별!$A$4:$A$1436,1)))*($J625-7)/3,INDEX(VN_국채일별!$G$4:$G$1436,MATCH($B625,VN_국채일별!$A$4:$A$1436,1)))))))),""))</f>
        <v>0.03175</v>
      </c>
      <c r="R625" s="58" t="n">
        <f aca="false">IF(OR(L625="",Q625=""),"",(L625-Q625)*10000)</f>
        <v>332.5</v>
      </c>
      <c r="S625" s="30" t="n">
        <f aca="false">IF(AND(K625="고정",N625="N",J625&gt;=2,J625&lt;=4,I625&lt;&gt;""),1,0)</f>
        <v>1</v>
      </c>
      <c r="T625" s="59" t="n">
        <f aca="false">IF(S625=1,I625*L625,0)</f>
        <v>130</v>
      </c>
      <c r="U625" s="60" t="n">
        <f aca="false">IF(AND(S625=1,ISNUMBER(R625)),I625*R625,0)</f>
        <v>665000</v>
      </c>
      <c r="V625" s="30" t="n">
        <f aca="false">IF(AND(F625="Big4(국영)",K625="고정",N625="N",I625&lt;&gt;""),1,0)</f>
        <v>0</v>
      </c>
      <c r="W625" s="59" t="n">
        <f aca="false">IF(V625=1,I625*L625,0)</f>
        <v>0</v>
      </c>
      <c r="X625" s="60" t="n">
        <f aca="false">IF(AND(V625=1,ISNUMBER(R625)),I625*R625,0)</f>
        <v>0</v>
      </c>
      <c r="Y625" s="61" t="n">
        <f aca="false">IF(AND(S625=1,ISNUMBER(R625)),I625,0)</f>
        <v>2000</v>
      </c>
      <c r="Z625" s="61" t="n">
        <f aca="false">IF(AND(V625=1,ISNUMBER(R625)),I625,0)</f>
        <v>0</v>
      </c>
    </row>
    <row r="626" customFormat="false" ht="15" hidden="false" customHeight="false" outlineLevel="0" collapsed="false">
      <c r="A626" s="47" t="s">
        <v>1073</v>
      </c>
      <c r="B626" s="52" t="n">
        <v>46001</v>
      </c>
      <c r="C626" s="53" t="n">
        <f aca="false">DATE(YEAR(B626),MONTH(B626),1)</f>
        <v>45992</v>
      </c>
      <c r="D626" s="5" t="str">
        <f aca="false">YEAR(B626)&amp;"Q"&amp;ROUNDUP(MONTH(B626)/3,0)</f>
        <v>2025Q4</v>
      </c>
      <c r="E626" s="47" t="s">
        <v>181</v>
      </c>
      <c r="F626" s="54" t="s">
        <v>139</v>
      </c>
      <c r="G626" s="47" t="s">
        <v>182</v>
      </c>
      <c r="H626" s="47" t="s">
        <v>1087</v>
      </c>
      <c r="I626" s="55" t="n">
        <v>1000</v>
      </c>
      <c r="J626" s="56" t="n">
        <v>3</v>
      </c>
      <c r="K626" s="54" t="s">
        <v>142</v>
      </c>
      <c r="L626" s="57" t="n">
        <v>0.064</v>
      </c>
      <c r="N626" s="47" t="s">
        <v>148</v>
      </c>
      <c r="O626" s="47" t="s">
        <v>424</v>
      </c>
      <c r="P626" s="47"/>
      <c r="Q626" s="48" t="n">
        <f aca="false">IF($J626="","",IFERROR(IF($J626&lt;=1,INDEX(VN_국채일별!$B$4:$B$1436,MATCH($B626,VN_국채일별!$A$4:$A$1436,1)),IF($J626&lt;=2,INDEX(VN_국채일별!$B$4:$B$1436,MATCH($B626,VN_국채일별!$A$4:$A$1436,1))+(INDEX(VN_국채일별!$C$4:$C$1436,MATCH($B626,VN_국채일별!$A$4:$A$1436,1))-INDEX(VN_국채일별!$B$4:$B$1436,MATCH($B626,VN_국채일별!$A$4:$A$1436,1)))*($J626-1),IF($J626&lt;=3,INDEX(VN_국채일별!$C$4:$C$1436,MATCH($B626,VN_국채일별!$A$4:$A$1436,1))+(INDEX(VN_국채일별!$D$4:$D$1436,MATCH($B626,VN_국채일별!$A$4:$A$1436,1))-INDEX(VN_국채일별!$C$4:$C$1436,MATCH($B626,VN_국채일별!$A$4:$A$1436,1)))*($J626-2),IF($J626&lt;=5,INDEX(VN_국채일별!$D$4:$D$1436,MATCH($B626,VN_국채일별!$A$4:$A$1436,1))+(INDEX(VN_국채일별!$E$4:$E$1436,MATCH($B626,VN_국채일별!$A$4:$A$1436,1))-INDEX(VN_국채일별!$D$4:$D$1436,MATCH($B626,VN_국채일별!$A$4:$A$1436,1)))*($J626-3)/2,IF($J626&lt;=7,INDEX(VN_국채일별!$E$4:$E$1436,MATCH($B626,VN_국채일별!$A$4:$A$1436,1))+(INDEX(VN_국채일별!$F$4:$F$1436,MATCH($B626,VN_국채일별!$A$4:$A$1436,1))-INDEX(VN_국채일별!$E$4:$E$1436,MATCH($B626,VN_국채일별!$A$4:$A$1436,1)))*($J626-5)/2,IF($J626&lt;=10,INDEX(VN_국채일별!$F$4:$F$1436,MATCH($B626,VN_국채일별!$A$4:$A$1436,1))+(INDEX(VN_국채일별!$G$4:$G$1436,MATCH($B626,VN_국채일별!$A$4:$A$1436,1))-INDEX(VN_국채일별!$F$4:$F$1436,MATCH($B626,VN_국채일별!$A$4:$A$1436,1)))*($J626-7)/3,INDEX(VN_국채일별!$G$4:$G$1436,MATCH($B626,VN_국채일별!$A$4:$A$1436,1)))))))),""))</f>
        <v>0.03175</v>
      </c>
      <c r="R626" s="58" t="n">
        <f aca="false">IF(OR(L626="",Q626=""),"",(L626-Q626)*10000)</f>
        <v>322.5</v>
      </c>
      <c r="S626" s="30" t="n">
        <f aca="false">IF(AND(K626="고정",N626="N",J626&gt;=2,J626&lt;=4,I626&lt;&gt;""),1,0)</f>
        <v>1</v>
      </c>
      <c r="T626" s="59" t="n">
        <f aca="false">IF(S626=1,I626*L626,0)</f>
        <v>64</v>
      </c>
      <c r="U626" s="60" t="n">
        <f aca="false">IF(AND(S626=1,ISNUMBER(R626)),I626*R626,0)</f>
        <v>322500</v>
      </c>
      <c r="V626" s="30" t="n">
        <f aca="false">IF(AND(F626="Big4(국영)",K626="고정",N626="N",I626&lt;&gt;""),1,0)</f>
        <v>0</v>
      </c>
      <c r="W626" s="59" t="n">
        <f aca="false">IF(V626=1,I626*L626,0)</f>
        <v>0</v>
      </c>
      <c r="X626" s="60" t="n">
        <f aca="false">IF(AND(V626=1,ISNUMBER(R626)),I626*R626,0)</f>
        <v>0</v>
      </c>
      <c r="Y626" s="61" t="n">
        <f aca="false">IF(AND(S626=1,ISNUMBER(R626)),I626,0)</f>
        <v>1000</v>
      </c>
      <c r="Z626" s="61" t="n">
        <f aca="false">IF(AND(V626=1,ISNUMBER(R626)),I626,0)</f>
        <v>0</v>
      </c>
    </row>
    <row r="627" customFormat="false" ht="15" hidden="false" customHeight="false" outlineLevel="0" collapsed="false">
      <c r="A627" s="47" t="s">
        <v>1073</v>
      </c>
      <c r="B627" s="52" t="n">
        <v>46003</v>
      </c>
      <c r="C627" s="53" t="n">
        <f aca="false">DATE(YEAR(B627),MONTH(B627),1)</f>
        <v>45992</v>
      </c>
      <c r="D627" s="5" t="str">
        <f aca="false">YEAR(B627)&amp;"Q"&amp;ROUNDUP(MONTH(B627)/3,0)</f>
        <v>2025Q4</v>
      </c>
      <c r="E627" s="47" t="s">
        <v>196</v>
      </c>
      <c r="F627" s="54" t="s">
        <v>139</v>
      </c>
      <c r="G627" s="47" t="s">
        <v>673</v>
      </c>
      <c r="H627" s="47" t="s">
        <v>1088</v>
      </c>
      <c r="I627" s="55" t="n">
        <v>3000</v>
      </c>
      <c r="J627" s="56" t="n">
        <v>3</v>
      </c>
      <c r="K627" s="54" t="s">
        <v>142</v>
      </c>
      <c r="L627" s="57" t="n">
        <v>0.065</v>
      </c>
      <c r="N627" s="47" t="s">
        <v>148</v>
      </c>
      <c r="O627" s="47" t="s">
        <v>417</v>
      </c>
      <c r="P627" s="47"/>
      <c r="Q627" s="48" t="n">
        <f aca="false">IF($J627="","",IFERROR(IF($J627&lt;=1,INDEX(VN_국채일별!$B$4:$B$1436,MATCH($B627,VN_국채일별!$A$4:$A$1436,1)),IF($J627&lt;=2,INDEX(VN_국채일별!$B$4:$B$1436,MATCH($B627,VN_국채일별!$A$4:$A$1436,1))+(INDEX(VN_국채일별!$C$4:$C$1436,MATCH($B627,VN_국채일별!$A$4:$A$1436,1))-INDEX(VN_국채일별!$B$4:$B$1436,MATCH($B627,VN_국채일별!$A$4:$A$1436,1)))*($J627-1),IF($J627&lt;=3,INDEX(VN_국채일별!$C$4:$C$1436,MATCH($B627,VN_국채일별!$A$4:$A$1436,1))+(INDEX(VN_국채일별!$D$4:$D$1436,MATCH($B627,VN_국채일별!$A$4:$A$1436,1))-INDEX(VN_국채일별!$C$4:$C$1436,MATCH($B627,VN_국채일별!$A$4:$A$1436,1)))*($J627-2),IF($J627&lt;=5,INDEX(VN_국채일별!$D$4:$D$1436,MATCH($B627,VN_국채일별!$A$4:$A$1436,1))+(INDEX(VN_국채일별!$E$4:$E$1436,MATCH($B627,VN_국채일별!$A$4:$A$1436,1))-INDEX(VN_국채일별!$D$4:$D$1436,MATCH($B627,VN_국채일별!$A$4:$A$1436,1)))*($J627-3)/2,IF($J627&lt;=7,INDEX(VN_국채일별!$E$4:$E$1436,MATCH($B627,VN_국채일별!$A$4:$A$1436,1))+(INDEX(VN_국채일별!$F$4:$F$1436,MATCH($B627,VN_국채일별!$A$4:$A$1436,1))-INDEX(VN_국채일별!$E$4:$E$1436,MATCH($B627,VN_국채일별!$A$4:$A$1436,1)))*($J627-5)/2,IF($J627&lt;=10,INDEX(VN_국채일별!$F$4:$F$1436,MATCH($B627,VN_국채일별!$A$4:$A$1436,1))+(INDEX(VN_국채일별!$G$4:$G$1436,MATCH($B627,VN_국채일별!$A$4:$A$1436,1))-INDEX(VN_국채일별!$F$4:$F$1436,MATCH($B627,VN_국채일별!$A$4:$A$1436,1)))*($J627-7)/3,INDEX(VN_국채일별!$G$4:$G$1436,MATCH($B627,VN_국채일별!$A$4:$A$1436,1)))))))),""))</f>
        <v>0.03174</v>
      </c>
      <c r="R627" s="58" t="n">
        <f aca="false">IF(OR(L627="",Q627=""),"",(L627-Q627)*10000)</f>
        <v>332.6</v>
      </c>
      <c r="S627" s="30" t="n">
        <f aca="false">IF(AND(K627="고정",N627="N",J627&gt;=2,J627&lt;=4,I627&lt;&gt;""),1,0)</f>
        <v>1</v>
      </c>
      <c r="T627" s="59" t="n">
        <f aca="false">IF(S627=1,I627*L627,0)</f>
        <v>195</v>
      </c>
      <c r="U627" s="60" t="n">
        <f aca="false">IF(AND(S627=1,ISNUMBER(R627)),I627*R627,0)</f>
        <v>997800</v>
      </c>
      <c r="V627" s="30" t="n">
        <f aca="false">IF(AND(F627="Big4(국영)",K627="고정",N627="N",I627&lt;&gt;""),1,0)</f>
        <v>0</v>
      </c>
      <c r="W627" s="59" t="n">
        <f aca="false">IF(V627=1,I627*L627,0)</f>
        <v>0</v>
      </c>
      <c r="X627" s="60" t="n">
        <f aca="false">IF(AND(V627=1,ISNUMBER(R627)),I627*R627,0)</f>
        <v>0</v>
      </c>
      <c r="Y627" s="61" t="n">
        <f aca="false">IF(AND(S627=1,ISNUMBER(R627)),I627,0)</f>
        <v>3000</v>
      </c>
      <c r="Z627" s="61" t="n">
        <f aca="false">IF(AND(V627=1,ISNUMBER(R627)),I627,0)</f>
        <v>0</v>
      </c>
    </row>
    <row r="628" customFormat="false" ht="15" hidden="false" customHeight="false" outlineLevel="0" collapsed="false">
      <c r="A628" s="47" t="s">
        <v>1073</v>
      </c>
      <c r="B628" s="52" t="n">
        <v>46003</v>
      </c>
      <c r="C628" s="53" t="n">
        <f aca="false">DATE(YEAR(B628),MONTH(B628),1)</f>
        <v>45992</v>
      </c>
      <c r="D628" s="5" t="str">
        <f aca="false">YEAR(B628)&amp;"Q"&amp;ROUNDUP(MONTH(B628)/3,0)</f>
        <v>2025Q4</v>
      </c>
      <c r="E628" s="47" t="s">
        <v>166</v>
      </c>
      <c r="F628" s="54" t="s">
        <v>139</v>
      </c>
      <c r="G628" s="47" t="s">
        <v>167</v>
      </c>
      <c r="H628" s="47" t="s">
        <v>1089</v>
      </c>
      <c r="I628" s="55" t="n">
        <v>2600</v>
      </c>
      <c r="J628" s="56" t="n">
        <v>6</v>
      </c>
      <c r="K628" s="54" t="s">
        <v>142</v>
      </c>
      <c r="L628" s="57" t="n">
        <v>0.076</v>
      </c>
      <c r="N628" s="47" t="s">
        <v>148</v>
      </c>
      <c r="O628" s="47" t="s">
        <v>144</v>
      </c>
      <c r="P628" s="47"/>
      <c r="Q628" s="48" t="n">
        <f aca="false">IF($J628="","",IFERROR(IF($J628&lt;=1,INDEX(VN_국채일별!$B$4:$B$1436,MATCH($B628,VN_국채일별!$A$4:$A$1436,1)),IF($J628&lt;=2,INDEX(VN_국채일별!$B$4:$B$1436,MATCH($B628,VN_국채일별!$A$4:$A$1436,1))+(INDEX(VN_국채일별!$C$4:$C$1436,MATCH($B628,VN_국채일별!$A$4:$A$1436,1))-INDEX(VN_국채일별!$B$4:$B$1436,MATCH($B628,VN_국채일별!$A$4:$A$1436,1)))*($J628-1),IF($J628&lt;=3,INDEX(VN_국채일별!$C$4:$C$1436,MATCH($B628,VN_국채일별!$A$4:$A$1436,1))+(INDEX(VN_국채일별!$D$4:$D$1436,MATCH($B628,VN_국채일별!$A$4:$A$1436,1))-INDEX(VN_국채일별!$C$4:$C$1436,MATCH($B628,VN_국채일별!$A$4:$A$1436,1)))*($J628-2),IF($J628&lt;=5,INDEX(VN_국채일별!$D$4:$D$1436,MATCH($B628,VN_국채일별!$A$4:$A$1436,1))+(INDEX(VN_국채일별!$E$4:$E$1436,MATCH($B628,VN_국채일별!$A$4:$A$1436,1))-INDEX(VN_국채일별!$D$4:$D$1436,MATCH($B628,VN_국채일별!$A$4:$A$1436,1)))*($J628-3)/2,IF($J628&lt;=7,INDEX(VN_국채일별!$E$4:$E$1436,MATCH($B628,VN_국채일별!$A$4:$A$1436,1))+(INDEX(VN_국채일별!$F$4:$F$1436,MATCH($B628,VN_국채일별!$A$4:$A$1436,1))-INDEX(VN_국채일별!$E$4:$E$1436,MATCH($B628,VN_국채일별!$A$4:$A$1436,1)))*($J628-5)/2,IF($J628&lt;=10,INDEX(VN_국채일별!$F$4:$F$1436,MATCH($B628,VN_국채일별!$A$4:$A$1436,1))+(INDEX(VN_국채일별!$G$4:$G$1436,MATCH($B628,VN_국채일별!$A$4:$A$1436,1))-INDEX(VN_국채일별!$F$4:$F$1436,MATCH($B628,VN_국채일별!$A$4:$A$1436,1)))*($J628-7)/3,INDEX(VN_국채일별!$G$4:$G$1436,MATCH($B628,VN_국채일별!$A$4:$A$1436,1)))))))),""))</f>
        <v>0.03488</v>
      </c>
      <c r="R628" s="58" t="n">
        <f aca="false">IF(OR(L628="",Q628=""),"",(L628-Q628)*10000)</f>
        <v>411.2</v>
      </c>
      <c r="S628" s="30" t="n">
        <f aca="false">IF(AND(K628="고정",N628="N",J628&gt;=2,J628&lt;=4,I628&lt;&gt;""),1,0)</f>
        <v>0</v>
      </c>
      <c r="T628" s="59" t="n">
        <f aca="false">IF(S628=1,I628*L628,0)</f>
        <v>0</v>
      </c>
      <c r="U628" s="60" t="n">
        <f aca="false">IF(AND(S628=1,ISNUMBER(R628)),I628*R628,0)</f>
        <v>0</v>
      </c>
      <c r="V628" s="30" t="n">
        <f aca="false">IF(AND(F628="Big4(국영)",K628="고정",N628="N",I628&lt;&gt;""),1,0)</f>
        <v>0</v>
      </c>
      <c r="W628" s="59" t="n">
        <f aca="false">IF(V628=1,I628*L628,0)</f>
        <v>0</v>
      </c>
      <c r="X628" s="60" t="n">
        <f aca="false">IF(AND(V628=1,ISNUMBER(R628)),I628*R628,0)</f>
        <v>0</v>
      </c>
      <c r="Y628" s="61" t="n">
        <f aca="false">IF(AND(S628=1,ISNUMBER(R628)),I628,0)</f>
        <v>0</v>
      </c>
      <c r="Z628" s="61" t="n">
        <f aca="false">IF(AND(V628=1,ISNUMBER(R628)),I628,0)</f>
        <v>0</v>
      </c>
    </row>
    <row r="629" customFormat="false" ht="15" hidden="false" customHeight="false" outlineLevel="0" collapsed="false">
      <c r="A629" s="47" t="s">
        <v>1073</v>
      </c>
      <c r="B629" s="52" t="n">
        <v>46003</v>
      </c>
      <c r="C629" s="53" t="n">
        <f aca="false">DATE(YEAR(B629),MONTH(B629),1)</f>
        <v>45992</v>
      </c>
      <c r="D629" s="5" t="str">
        <f aca="false">YEAR(B629)&amp;"Q"&amp;ROUNDUP(MONTH(B629)/3,0)</f>
        <v>2025Q4</v>
      </c>
      <c r="E629" s="47" t="s">
        <v>166</v>
      </c>
      <c r="F629" s="54" t="s">
        <v>139</v>
      </c>
      <c r="G629" s="47" t="s">
        <v>167</v>
      </c>
      <c r="H629" s="47" t="s">
        <v>1090</v>
      </c>
      <c r="I629" s="55" t="n">
        <v>600</v>
      </c>
      <c r="J629" s="56" t="n">
        <v>6</v>
      </c>
      <c r="K629" s="54" t="s">
        <v>142</v>
      </c>
      <c r="L629" s="57" t="n">
        <v>0.076</v>
      </c>
      <c r="N629" s="47" t="s">
        <v>148</v>
      </c>
      <c r="O629" s="47" t="s">
        <v>144</v>
      </c>
      <c r="P629" s="47"/>
      <c r="Q629" s="48" t="n">
        <f aca="false">IF($J629="","",IFERROR(IF($J629&lt;=1,INDEX(VN_국채일별!$B$4:$B$1436,MATCH($B629,VN_국채일별!$A$4:$A$1436,1)),IF($J629&lt;=2,INDEX(VN_국채일별!$B$4:$B$1436,MATCH($B629,VN_국채일별!$A$4:$A$1436,1))+(INDEX(VN_국채일별!$C$4:$C$1436,MATCH($B629,VN_국채일별!$A$4:$A$1436,1))-INDEX(VN_국채일별!$B$4:$B$1436,MATCH($B629,VN_국채일별!$A$4:$A$1436,1)))*($J629-1),IF($J629&lt;=3,INDEX(VN_국채일별!$C$4:$C$1436,MATCH($B629,VN_국채일별!$A$4:$A$1436,1))+(INDEX(VN_국채일별!$D$4:$D$1436,MATCH($B629,VN_국채일별!$A$4:$A$1436,1))-INDEX(VN_국채일별!$C$4:$C$1436,MATCH($B629,VN_국채일별!$A$4:$A$1436,1)))*($J629-2),IF($J629&lt;=5,INDEX(VN_국채일별!$D$4:$D$1436,MATCH($B629,VN_국채일별!$A$4:$A$1436,1))+(INDEX(VN_국채일별!$E$4:$E$1436,MATCH($B629,VN_국채일별!$A$4:$A$1436,1))-INDEX(VN_국채일별!$D$4:$D$1436,MATCH($B629,VN_국채일별!$A$4:$A$1436,1)))*($J629-3)/2,IF($J629&lt;=7,INDEX(VN_국채일별!$E$4:$E$1436,MATCH($B629,VN_국채일별!$A$4:$A$1436,1))+(INDEX(VN_국채일별!$F$4:$F$1436,MATCH($B629,VN_국채일별!$A$4:$A$1436,1))-INDEX(VN_국채일별!$E$4:$E$1436,MATCH($B629,VN_국채일별!$A$4:$A$1436,1)))*($J629-5)/2,IF($J629&lt;=10,INDEX(VN_국채일별!$F$4:$F$1436,MATCH($B629,VN_국채일별!$A$4:$A$1436,1))+(INDEX(VN_국채일별!$G$4:$G$1436,MATCH($B629,VN_국채일별!$A$4:$A$1436,1))-INDEX(VN_국채일별!$F$4:$F$1436,MATCH($B629,VN_국채일별!$A$4:$A$1436,1)))*($J629-7)/3,INDEX(VN_국채일별!$G$4:$G$1436,MATCH($B629,VN_국채일별!$A$4:$A$1436,1)))))))),""))</f>
        <v>0.03488</v>
      </c>
      <c r="R629" s="58" t="n">
        <f aca="false">IF(OR(L629="",Q629=""),"",(L629-Q629)*10000)</f>
        <v>411.2</v>
      </c>
      <c r="S629" s="30" t="n">
        <f aca="false">IF(AND(K629="고정",N629="N",J629&gt;=2,J629&lt;=4,I629&lt;&gt;""),1,0)</f>
        <v>0</v>
      </c>
      <c r="T629" s="59" t="n">
        <f aca="false">IF(S629=1,I629*L629,0)</f>
        <v>0</v>
      </c>
      <c r="U629" s="60" t="n">
        <f aca="false">IF(AND(S629=1,ISNUMBER(R629)),I629*R629,0)</f>
        <v>0</v>
      </c>
      <c r="V629" s="30" t="n">
        <f aca="false">IF(AND(F629="Big4(국영)",K629="고정",N629="N",I629&lt;&gt;""),1,0)</f>
        <v>0</v>
      </c>
      <c r="W629" s="59" t="n">
        <f aca="false">IF(V629=1,I629*L629,0)</f>
        <v>0</v>
      </c>
      <c r="X629" s="60" t="n">
        <f aca="false">IF(AND(V629=1,ISNUMBER(R629)),I629*R629,0)</f>
        <v>0</v>
      </c>
      <c r="Y629" s="61" t="n">
        <f aca="false">IF(AND(S629=1,ISNUMBER(R629)),I629,0)</f>
        <v>0</v>
      </c>
      <c r="Z629" s="61" t="n">
        <f aca="false">IF(AND(V629=1,ISNUMBER(R629)),I629,0)</f>
        <v>0</v>
      </c>
    </row>
    <row r="630" customFormat="false" ht="15" hidden="false" customHeight="false" outlineLevel="0" collapsed="false">
      <c r="A630" s="47" t="s">
        <v>1073</v>
      </c>
      <c r="B630" s="52" t="n">
        <v>46003</v>
      </c>
      <c r="C630" s="53" t="n">
        <f aca="false">DATE(YEAR(B630),MONTH(B630),1)</f>
        <v>45992</v>
      </c>
      <c r="D630" s="5" t="str">
        <f aca="false">YEAR(B630)&amp;"Q"&amp;ROUNDUP(MONTH(B630)/3,0)</f>
        <v>2025Q4</v>
      </c>
      <c r="E630" s="62" t="s">
        <v>155</v>
      </c>
      <c r="F630" s="62" t="s">
        <v>156</v>
      </c>
      <c r="G630" s="47" t="s">
        <v>157</v>
      </c>
      <c r="H630" s="47" t="s">
        <v>1091</v>
      </c>
      <c r="I630" s="55" t="n">
        <v>142</v>
      </c>
      <c r="J630" s="56" t="n">
        <v>7</v>
      </c>
      <c r="K630" s="54" t="s">
        <v>153</v>
      </c>
      <c r="N630" s="47" t="s">
        <v>143</v>
      </c>
      <c r="O630" s="47" t="s">
        <v>1092</v>
      </c>
      <c r="P630" s="47"/>
      <c r="Q630" s="48" t="n">
        <f aca="false">IF($J630="","",IFERROR(IF($J630&lt;=1,INDEX(VN_국채일별!$B$4:$B$1436,MATCH($B630,VN_국채일별!$A$4:$A$1436,1)),IF($J630&lt;=2,INDEX(VN_국채일별!$B$4:$B$1436,MATCH($B630,VN_국채일별!$A$4:$A$1436,1))+(INDEX(VN_국채일별!$C$4:$C$1436,MATCH($B630,VN_국채일별!$A$4:$A$1436,1))-INDEX(VN_국채일별!$B$4:$B$1436,MATCH($B630,VN_국채일별!$A$4:$A$1436,1)))*($J630-1),IF($J630&lt;=3,INDEX(VN_국채일별!$C$4:$C$1436,MATCH($B630,VN_국채일별!$A$4:$A$1436,1))+(INDEX(VN_국채일별!$D$4:$D$1436,MATCH($B630,VN_국채일별!$A$4:$A$1436,1))-INDEX(VN_국채일별!$C$4:$C$1436,MATCH($B630,VN_국채일별!$A$4:$A$1436,1)))*($J630-2),IF($J630&lt;=5,INDEX(VN_국채일별!$D$4:$D$1436,MATCH($B630,VN_국채일별!$A$4:$A$1436,1))+(INDEX(VN_국채일별!$E$4:$E$1436,MATCH($B630,VN_국채일별!$A$4:$A$1436,1))-INDEX(VN_국채일별!$D$4:$D$1436,MATCH($B630,VN_국채일별!$A$4:$A$1436,1)))*($J630-3)/2,IF($J630&lt;=7,INDEX(VN_국채일별!$E$4:$E$1436,MATCH($B630,VN_국채일별!$A$4:$A$1436,1))+(INDEX(VN_국채일별!$F$4:$F$1436,MATCH($B630,VN_국채일별!$A$4:$A$1436,1))-INDEX(VN_국채일별!$E$4:$E$1436,MATCH($B630,VN_국채일별!$A$4:$A$1436,1)))*($J630-5)/2,IF($J630&lt;=10,INDEX(VN_국채일별!$F$4:$F$1436,MATCH($B630,VN_국채일별!$A$4:$A$1436,1))+(INDEX(VN_국채일별!$G$4:$G$1436,MATCH($B630,VN_국채일별!$A$4:$A$1436,1))-INDEX(VN_국채일별!$F$4:$F$1436,MATCH($B630,VN_국채일별!$A$4:$A$1436,1)))*($J630-7)/3,INDEX(VN_국채일별!$G$4:$G$1436,MATCH($B630,VN_국채일별!$A$4:$A$1436,1)))))))),""))</f>
        <v>0.03612</v>
      </c>
      <c r="R630" s="58" t="str">
        <f aca="false">IF(OR(L630="",Q630=""),"",(L630-Q630)*10000)</f>
        <v/>
      </c>
      <c r="S630" s="30" t="n">
        <f aca="false">IF(AND(K630="고정",N630="N",J630&gt;=2,J630&lt;=4,I630&lt;&gt;""),1,0)</f>
        <v>0</v>
      </c>
      <c r="T630" s="59" t="n">
        <f aca="false">IF(S630=1,I630*L630,0)</f>
        <v>0</v>
      </c>
      <c r="U630" s="60" t="n">
        <f aca="false">IF(AND(S630=1,ISNUMBER(R630)),I630*R630,0)</f>
        <v>0</v>
      </c>
      <c r="V630" s="30" t="n">
        <f aca="false">IF(AND(F630="Big4(국영)",K630="고정",N630="N",I630&lt;&gt;""),1,0)</f>
        <v>0</v>
      </c>
      <c r="W630" s="59" t="n">
        <f aca="false">IF(V630=1,I630*L630,0)</f>
        <v>0</v>
      </c>
      <c r="X630" s="60" t="n">
        <f aca="false">IF(AND(V630=1,ISNUMBER(R630)),I630*R630,0)</f>
        <v>0</v>
      </c>
      <c r="Y630" s="61" t="n">
        <f aca="false">IF(AND(S630=1,ISNUMBER(R630)),I630,0)</f>
        <v>0</v>
      </c>
      <c r="Z630" s="61" t="n">
        <f aca="false">IF(AND(V630=1,ISNUMBER(R630)),I630,0)</f>
        <v>0</v>
      </c>
    </row>
    <row r="631" customFormat="false" ht="15" hidden="false" customHeight="false" outlineLevel="0" collapsed="false">
      <c r="A631" s="47" t="s">
        <v>1073</v>
      </c>
      <c r="B631" s="52" t="n">
        <v>46006</v>
      </c>
      <c r="C631" s="53" t="n">
        <f aca="false">DATE(YEAR(B631),MONTH(B631),1)</f>
        <v>45992</v>
      </c>
      <c r="D631" s="5" t="str">
        <f aca="false">YEAR(B631)&amp;"Q"&amp;ROUNDUP(MONTH(B631)/3,0)</f>
        <v>2025Q4</v>
      </c>
      <c r="E631" s="47" t="s">
        <v>248</v>
      </c>
      <c r="F631" s="54" t="s">
        <v>139</v>
      </c>
      <c r="G631" s="47" t="s">
        <v>361</v>
      </c>
      <c r="H631" s="47" t="s">
        <v>1093</v>
      </c>
      <c r="I631" s="55" t="n">
        <v>300</v>
      </c>
      <c r="J631" s="56" t="n">
        <v>8</v>
      </c>
      <c r="K631" s="54" t="s">
        <v>153</v>
      </c>
      <c r="N631" s="47" t="s">
        <v>143</v>
      </c>
      <c r="O631" s="47" t="s">
        <v>494</v>
      </c>
      <c r="P631" s="47"/>
      <c r="Q631" s="48" t="n">
        <f aca="false">IF($J631="","",IFERROR(IF($J631&lt;=1,INDEX(VN_국채일별!$B$4:$B$1436,MATCH($B631,VN_국채일별!$A$4:$A$1436,1)),IF($J631&lt;=2,INDEX(VN_국채일별!$B$4:$B$1436,MATCH($B631,VN_국채일별!$A$4:$A$1436,1))+(INDEX(VN_국채일별!$C$4:$C$1436,MATCH($B631,VN_국채일별!$A$4:$A$1436,1))-INDEX(VN_국채일별!$B$4:$B$1436,MATCH($B631,VN_국채일별!$A$4:$A$1436,1)))*($J631-1),IF($J631&lt;=3,INDEX(VN_국채일별!$C$4:$C$1436,MATCH($B631,VN_국채일별!$A$4:$A$1436,1))+(INDEX(VN_국채일별!$D$4:$D$1436,MATCH($B631,VN_국채일별!$A$4:$A$1436,1))-INDEX(VN_국채일별!$C$4:$C$1436,MATCH($B631,VN_국채일별!$A$4:$A$1436,1)))*($J631-2),IF($J631&lt;=5,INDEX(VN_국채일별!$D$4:$D$1436,MATCH($B631,VN_국채일별!$A$4:$A$1436,1))+(INDEX(VN_국채일별!$E$4:$E$1436,MATCH($B631,VN_국채일별!$A$4:$A$1436,1))-INDEX(VN_국채일별!$D$4:$D$1436,MATCH($B631,VN_국채일별!$A$4:$A$1436,1)))*($J631-3)/2,IF($J631&lt;=7,INDEX(VN_국채일별!$E$4:$E$1436,MATCH($B631,VN_국채일별!$A$4:$A$1436,1))+(INDEX(VN_국채일별!$F$4:$F$1436,MATCH($B631,VN_국채일별!$A$4:$A$1436,1))-INDEX(VN_국채일별!$E$4:$E$1436,MATCH($B631,VN_국채일별!$A$4:$A$1436,1)))*($J631-5)/2,IF($J631&lt;=10,INDEX(VN_국채일별!$F$4:$F$1436,MATCH($B631,VN_국채일별!$A$4:$A$1436,1))+(INDEX(VN_국채일별!$G$4:$G$1436,MATCH($B631,VN_국채일별!$A$4:$A$1436,1))-INDEX(VN_국채일별!$F$4:$F$1436,MATCH($B631,VN_국채일별!$A$4:$A$1436,1)))*($J631-7)/3,INDEX(VN_국채일별!$G$4:$G$1436,MATCH($B631,VN_국채일별!$A$4:$A$1436,1)))))))),""))</f>
        <v>0.0378666666666667</v>
      </c>
      <c r="R631" s="58" t="str">
        <f aca="false">IF(OR(L631="",Q631=""),"",(L631-Q631)*10000)</f>
        <v/>
      </c>
      <c r="S631" s="30" t="n">
        <f aca="false">IF(AND(K631="고정",N631="N",J631&gt;=2,J631&lt;=4,I631&lt;&gt;""),1,0)</f>
        <v>0</v>
      </c>
      <c r="T631" s="59" t="n">
        <f aca="false">IF(S631=1,I631*L631,0)</f>
        <v>0</v>
      </c>
      <c r="U631" s="60" t="n">
        <f aca="false">IF(AND(S631=1,ISNUMBER(R631)),I631*R631,0)</f>
        <v>0</v>
      </c>
      <c r="V631" s="30" t="n">
        <f aca="false">IF(AND(F631="Big4(국영)",K631="고정",N631="N",I631&lt;&gt;""),1,0)</f>
        <v>0</v>
      </c>
      <c r="W631" s="59" t="n">
        <f aca="false">IF(V631=1,I631*L631,0)</f>
        <v>0</v>
      </c>
      <c r="X631" s="60" t="n">
        <f aca="false">IF(AND(V631=1,ISNUMBER(R631)),I631*R631,0)</f>
        <v>0</v>
      </c>
      <c r="Y631" s="61" t="n">
        <f aca="false">IF(AND(S631=1,ISNUMBER(R631)),I631,0)</f>
        <v>0</v>
      </c>
      <c r="Z631" s="61" t="n">
        <f aca="false">IF(AND(V631=1,ISNUMBER(R631)),I631,0)</f>
        <v>0</v>
      </c>
    </row>
    <row r="632" customFormat="false" ht="15" hidden="false" customHeight="false" outlineLevel="0" collapsed="false">
      <c r="A632" s="47" t="s">
        <v>1073</v>
      </c>
      <c r="B632" s="52" t="n">
        <v>46006</v>
      </c>
      <c r="C632" s="53" t="n">
        <f aca="false">DATE(YEAR(B632),MONTH(B632),1)</f>
        <v>45992</v>
      </c>
      <c r="D632" s="5" t="str">
        <f aca="false">YEAR(B632)&amp;"Q"&amp;ROUNDUP(MONTH(B632)/3,0)</f>
        <v>2025Q4</v>
      </c>
      <c r="E632" s="47" t="s">
        <v>248</v>
      </c>
      <c r="F632" s="54" t="s">
        <v>139</v>
      </c>
      <c r="G632" s="47" t="s">
        <v>361</v>
      </c>
      <c r="H632" s="47" t="s">
        <v>1094</v>
      </c>
      <c r="I632" s="55" t="n">
        <v>500</v>
      </c>
      <c r="J632" s="56" t="n">
        <v>7</v>
      </c>
      <c r="K632" s="54" t="s">
        <v>153</v>
      </c>
      <c r="N632" s="47" t="s">
        <v>143</v>
      </c>
      <c r="O632" s="47" t="s">
        <v>1063</v>
      </c>
      <c r="P632" s="47"/>
      <c r="Q632" s="48" t="n">
        <f aca="false">IF($J632="","",IFERROR(IF($J632&lt;=1,INDEX(VN_국채일별!$B$4:$B$1436,MATCH($B632,VN_국채일별!$A$4:$A$1436,1)),IF($J632&lt;=2,INDEX(VN_국채일별!$B$4:$B$1436,MATCH($B632,VN_국채일별!$A$4:$A$1436,1))+(INDEX(VN_국채일별!$C$4:$C$1436,MATCH($B632,VN_국채일별!$A$4:$A$1436,1))-INDEX(VN_국채일별!$B$4:$B$1436,MATCH($B632,VN_국채일별!$A$4:$A$1436,1)))*($J632-1),IF($J632&lt;=3,INDEX(VN_국채일별!$C$4:$C$1436,MATCH($B632,VN_국채일별!$A$4:$A$1436,1))+(INDEX(VN_국채일별!$D$4:$D$1436,MATCH($B632,VN_국채일별!$A$4:$A$1436,1))-INDEX(VN_국채일별!$C$4:$C$1436,MATCH($B632,VN_국채일별!$A$4:$A$1436,1)))*($J632-2),IF($J632&lt;=5,INDEX(VN_국채일별!$D$4:$D$1436,MATCH($B632,VN_국채일별!$A$4:$A$1436,1))+(INDEX(VN_국채일별!$E$4:$E$1436,MATCH($B632,VN_국채일별!$A$4:$A$1436,1))-INDEX(VN_국채일별!$D$4:$D$1436,MATCH($B632,VN_국채일별!$A$4:$A$1436,1)))*($J632-3)/2,IF($J632&lt;=7,INDEX(VN_국채일별!$E$4:$E$1436,MATCH($B632,VN_국채일별!$A$4:$A$1436,1))+(INDEX(VN_국채일별!$F$4:$F$1436,MATCH($B632,VN_국채일별!$A$4:$A$1436,1))-INDEX(VN_국채일별!$E$4:$E$1436,MATCH($B632,VN_국채일별!$A$4:$A$1436,1)))*($J632-5)/2,IF($J632&lt;=10,INDEX(VN_국채일별!$F$4:$F$1436,MATCH($B632,VN_국채일별!$A$4:$A$1436,1))+(INDEX(VN_국채일별!$G$4:$G$1436,MATCH($B632,VN_국채일별!$A$4:$A$1436,1))-INDEX(VN_국채일별!$F$4:$F$1436,MATCH($B632,VN_국채일별!$A$4:$A$1436,1)))*($J632-7)/3,INDEX(VN_국채일별!$G$4:$G$1436,MATCH($B632,VN_국채일별!$A$4:$A$1436,1)))))))),""))</f>
        <v>0.03617</v>
      </c>
      <c r="R632" s="58" t="str">
        <f aca="false">IF(OR(L632="",Q632=""),"",(L632-Q632)*10000)</f>
        <v/>
      </c>
      <c r="S632" s="30" t="n">
        <f aca="false">IF(AND(K632="고정",N632="N",J632&gt;=2,J632&lt;=4,I632&lt;&gt;""),1,0)</f>
        <v>0</v>
      </c>
      <c r="T632" s="59" t="n">
        <f aca="false">IF(S632=1,I632*L632,0)</f>
        <v>0</v>
      </c>
      <c r="U632" s="60" t="n">
        <f aca="false">IF(AND(S632=1,ISNUMBER(R632)),I632*R632,0)</f>
        <v>0</v>
      </c>
      <c r="V632" s="30" t="n">
        <f aca="false">IF(AND(F632="Big4(국영)",K632="고정",N632="N",I632&lt;&gt;""),1,0)</f>
        <v>0</v>
      </c>
      <c r="W632" s="59" t="n">
        <f aca="false">IF(V632=1,I632*L632,0)</f>
        <v>0</v>
      </c>
      <c r="X632" s="60" t="n">
        <f aca="false">IF(AND(V632=1,ISNUMBER(R632)),I632*R632,0)</f>
        <v>0</v>
      </c>
      <c r="Y632" s="61" t="n">
        <f aca="false">IF(AND(S632=1,ISNUMBER(R632)),I632,0)</f>
        <v>0</v>
      </c>
      <c r="Z632" s="61" t="n">
        <f aca="false">IF(AND(V632=1,ISNUMBER(R632)),I632,0)</f>
        <v>0</v>
      </c>
    </row>
    <row r="633" customFormat="false" ht="15" hidden="false" customHeight="false" outlineLevel="0" collapsed="false">
      <c r="A633" s="47" t="s">
        <v>1073</v>
      </c>
      <c r="B633" s="52" t="n">
        <v>46006</v>
      </c>
      <c r="C633" s="53" t="n">
        <f aca="false">DATE(YEAR(B633),MONTH(B633),1)</f>
        <v>45992</v>
      </c>
      <c r="D633" s="5" t="str">
        <f aca="false">YEAR(B633)&amp;"Q"&amp;ROUNDUP(MONTH(B633)/3,0)</f>
        <v>2025Q4</v>
      </c>
      <c r="E633" s="47" t="s">
        <v>160</v>
      </c>
      <c r="F633" s="54" t="s">
        <v>139</v>
      </c>
      <c r="G633" s="47" t="s">
        <v>161</v>
      </c>
      <c r="H633" s="47" t="s">
        <v>1095</v>
      </c>
      <c r="I633" s="55" t="n">
        <v>50</v>
      </c>
      <c r="J633" s="56" t="n">
        <v>7</v>
      </c>
      <c r="K633" s="54" t="s">
        <v>153</v>
      </c>
      <c r="N633" s="47" t="s">
        <v>143</v>
      </c>
      <c r="O633" s="47" t="s">
        <v>1096</v>
      </c>
      <c r="P633" s="47"/>
      <c r="Q633" s="48" t="n">
        <f aca="false">IF($J633="","",IFERROR(IF($J633&lt;=1,INDEX(VN_국채일별!$B$4:$B$1436,MATCH($B633,VN_국채일별!$A$4:$A$1436,1)),IF($J633&lt;=2,INDEX(VN_국채일별!$B$4:$B$1436,MATCH($B633,VN_국채일별!$A$4:$A$1436,1))+(INDEX(VN_국채일별!$C$4:$C$1436,MATCH($B633,VN_국채일별!$A$4:$A$1436,1))-INDEX(VN_국채일별!$B$4:$B$1436,MATCH($B633,VN_국채일별!$A$4:$A$1436,1)))*($J633-1),IF($J633&lt;=3,INDEX(VN_국채일별!$C$4:$C$1436,MATCH($B633,VN_국채일별!$A$4:$A$1436,1))+(INDEX(VN_국채일별!$D$4:$D$1436,MATCH($B633,VN_국채일별!$A$4:$A$1436,1))-INDEX(VN_국채일별!$C$4:$C$1436,MATCH($B633,VN_국채일별!$A$4:$A$1436,1)))*($J633-2),IF($J633&lt;=5,INDEX(VN_국채일별!$D$4:$D$1436,MATCH($B633,VN_국채일별!$A$4:$A$1436,1))+(INDEX(VN_국채일별!$E$4:$E$1436,MATCH($B633,VN_국채일별!$A$4:$A$1436,1))-INDEX(VN_국채일별!$D$4:$D$1436,MATCH($B633,VN_국채일별!$A$4:$A$1436,1)))*($J633-3)/2,IF($J633&lt;=7,INDEX(VN_국채일별!$E$4:$E$1436,MATCH($B633,VN_국채일별!$A$4:$A$1436,1))+(INDEX(VN_국채일별!$F$4:$F$1436,MATCH($B633,VN_국채일별!$A$4:$A$1436,1))-INDEX(VN_국채일별!$E$4:$E$1436,MATCH($B633,VN_국채일별!$A$4:$A$1436,1)))*($J633-5)/2,IF($J633&lt;=10,INDEX(VN_국채일별!$F$4:$F$1436,MATCH($B633,VN_국채일별!$A$4:$A$1436,1))+(INDEX(VN_국채일별!$G$4:$G$1436,MATCH($B633,VN_국채일별!$A$4:$A$1436,1))-INDEX(VN_국채일별!$F$4:$F$1436,MATCH($B633,VN_국채일별!$A$4:$A$1436,1)))*($J633-7)/3,INDEX(VN_국채일별!$G$4:$G$1436,MATCH($B633,VN_국채일별!$A$4:$A$1436,1)))))))),""))</f>
        <v>0.03617</v>
      </c>
      <c r="R633" s="58" t="str">
        <f aca="false">IF(OR(L633="",Q633=""),"",(L633-Q633)*10000)</f>
        <v/>
      </c>
      <c r="S633" s="30" t="n">
        <f aca="false">IF(AND(K633="고정",N633="N",J633&gt;=2,J633&lt;=4,I633&lt;&gt;""),1,0)</f>
        <v>0</v>
      </c>
      <c r="T633" s="59" t="n">
        <f aca="false">IF(S633=1,I633*L633,0)</f>
        <v>0</v>
      </c>
      <c r="U633" s="60" t="n">
        <f aca="false">IF(AND(S633=1,ISNUMBER(R633)),I633*R633,0)</f>
        <v>0</v>
      </c>
      <c r="V633" s="30" t="n">
        <f aca="false">IF(AND(F633="Big4(국영)",K633="고정",N633="N",I633&lt;&gt;""),1,0)</f>
        <v>0</v>
      </c>
      <c r="W633" s="59" t="n">
        <f aca="false">IF(V633=1,I633*L633,0)</f>
        <v>0</v>
      </c>
      <c r="X633" s="60" t="n">
        <f aca="false">IF(AND(V633=1,ISNUMBER(R633)),I633*R633,0)</f>
        <v>0</v>
      </c>
      <c r="Y633" s="61" t="n">
        <f aca="false">IF(AND(S633=1,ISNUMBER(R633)),I633,0)</f>
        <v>0</v>
      </c>
      <c r="Z633" s="61" t="n">
        <f aca="false">IF(AND(V633=1,ISNUMBER(R633)),I633,0)</f>
        <v>0</v>
      </c>
    </row>
    <row r="634" customFormat="false" ht="15" hidden="false" customHeight="false" outlineLevel="0" collapsed="false">
      <c r="A634" s="47" t="s">
        <v>1073</v>
      </c>
      <c r="B634" s="52" t="n">
        <v>46007</v>
      </c>
      <c r="C634" s="53" t="n">
        <f aca="false">DATE(YEAR(B634),MONTH(B634),1)</f>
        <v>45992</v>
      </c>
      <c r="D634" s="5" t="str">
        <f aca="false">YEAR(B634)&amp;"Q"&amp;ROUNDUP(MONTH(B634)/3,0)</f>
        <v>2025Q4</v>
      </c>
      <c r="E634" s="47" t="s">
        <v>181</v>
      </c>
      <c r="F634" s="54" t="s">
        <v>139</v>
      </c>
      <c r="G634" s="47" t="s">
        <v>182</v>
      </c>
      <c r="H634" s="47" t="s">
        <v>1097</v>
      </c>
      <c r="I634" s="55" t="n">
        <v>1000</v>
      </c>
      <c r="J634" s="56" t="n">
        <v>2</v>
      </c>
      <c r="K634" s="54" t="s">
        <v>142</v>
      </c>
      <c r="L634" s="57" t="n">
        <v>0.069</v>
      </c>
      <c r="N634" s="47" t="s">
        <v>148</v>
      </c>
      <c r="O634" s="47" t="s">
        <v>1083</v>
      </c>
      <c r="P634" s="47"/>
      <c r="Q634" s="48" t="n">
        <f aca="false">IF($J634="","",IFERROR(IF($J634&lt;=1,INDEX(VN_국채일별!$B$4:$B$1436,MATCH($B634,VN_국채일별!$A$4:$A$1436,1)),IF($J634&lt;=2,INDEX(VN_국채일별!$B$4:$B$1436,MATCH($B634,VN_국채일별!$A$4:$A$1436,1))+(INDEX(VN_국채일별!$C$4:$C$1436,MATCH($B634,VN_국채일별!$A$4:$A$1436,1))-INDEX(VN_국채일별!$B$4:$B$1436,MATCH($B634,VN_국채일별!$A$4:$A$1436,1)))*($J634-1),IF($J634&lt;=3,INDEX(VN_국채일별!$C$4:$C$1436,MATCH($B634,VN_국채일별!$A$4:$A$1436,1))+(INDEX(VN_국채일별!$D$4:$D$1436,MATCH($B634,VN_국채일별!$A$4:$A$1436,1))-INDEX(VN_국채일별!$C$4:$C$1436,MATCH($B634,VN_국채일별!$A$4:$A$1436,1)))*($J634-2),IF($J634&lt;=5,INDEX(VN_국채일별!$D$4:$D$1436,MATCH($B634,VN_국채일별!$A$4:$A$1436,1))+(INDEX(VN_국채일별!$E$4:$E$1436,MATCH($B634,VN_국채일별!$A$4:$A$1436,1))-INDEX(VN_국채일별!$D$4:$D$1436,MATCH($B634,VN_국채일별!$A$4:$A$1436,1)))*($J634-3)/2,IF($J634&lt;=7,INDEX(VN_국채일별!$E$4:$E$1436,MATCH($B634,VN_국채일별!$A$4:$A$1436,1))+(INDEX(VN_국채일별!$F$4:$F$1436,MATCH($B634,VN_국채일별!$A$4:$A$1436,1))-INDEX(VN_국채일별!$E$4:$E$1436,MATCH($B634,VN_국채일별!$A$4:$A$1436,1)))*($J634-5)/2,IF($J634&lt;=10,INDEX(VN_국채일별!$F$4:$F$1436,MATCH($B634,VN_국채일별!$A$4:$A$1436,1))+(INDEX(VN_국채일별!$G$4:$G$1436,MATCH($B634,VN_국채일별!$A$4:$A$1436,1))-INDEX(VN_국채일별!$F$4:$F$1436,MATCH($B634,VN_국채일별!$A$4:$A$1436,1)))*($J634-7)/3,INDEX(VN_국채일별!$G$4:$G$1436,MATCH($B634,VN_국채일별!$A$4:$A$1436,1)))))))),""))</f>
        <v>0.03111</v>
      </c>
      <c r="R634" s="58" t="n">
        <f aca="false">IF(OR(L634="",Q634=""),"",(L634-Q634)*10000)</f>
        <v>378.9</v>
      </c>
      <c r="S634" s="30" t="n">
        <f aca="false">IF(AND(K634="고정",N634="N",J634&gt;=2,J634&lt;=4,I634&lt;&gt;""),1,0)</f>
        <v>1</v>
      </c>
      <c r="T634" s="59" t="n">
        <f aca="false">IF(S634=1,I634*L634,0)</f>
        <v>69</v>
      </c>
      <c r="U634" s="60" t="n">
        <f aca="false">IF(AND(S634=1,ISNUMBER(R634)),I634*R634,0)</f>
        <v>378900</v>
      </c>
      <c r="V634" s="30" t="n">
        <f aca="false">IF(AND(F634="Big4(국영)",K634="고정",N634="N",I634&lt;&gt;""),1,0)</f>
        <v>0</v>
      </c>
      <c r="W634" s="59" t="n">
        <f aca="false">IF(V634=1,I634*L634,0)</f>
        <v>0</v>
      </c>
      <c r="X634" s="60" t="n">
        <f aca="false">IF(AND(V634=1,ISNUMBER(R634)),I634*R634,0)</f>
        <v>0</v>
      </c>
      <c r="Y634" s="61" t="n">
        <f aca="false">IF(AND(S634=1,ISNUMBER(R634)),I634,0)</f>
        <v>1000</v>
      </c>
      <c r="Z634" s="61" t="n">
        <f aca="false">IF(AND(V634=1,ISNUMBER(R634)),I634,0)</f>
        <v>0</v>
      </c>
    </row>
    <row r="635" customFormat="false" ht="15" hidden="false" customHeight="false" outlineLevel="0" collapsed="false">
      <c r="A635" s="47" t="s">
        <v>1073</v>
      </c>
      <c r="B635" s="52" t="n">
        <v>46007</v>
      </c>
      <c r="C635" s="53" t="n">
        <f aca="false">DATE(YEAR(B635),MONTH(B635),1)</f>
        <v>45992</v>
      </c>
      <c r="D635" s="5" t="str">
        <f aca="false">YEAR(B635)&amp;"Q"&amp;ROUNDUP(MONTH(B635)/3,0)</f>
        <v>2025Q4</v>
      </c>
      <c r="E635" s="47" t="s">
        <v>248</v>
      </c>
      <c r="F635" s="54" t="s">
        <v>139</v>
      </c>
      <c r="G635" s="47" t="s">
        <v>361</v>
      </c>
      <c r="H635" s="47" t="s">
        <v>1098</v>
      </c>
      <c r="I635" s="55" t="n">
        <v>600</v>
      </c>
      <c r="J635" s="56" t="n">
        <v>7</v>
      </c>
      <c r="K635" s="54" t="s">
        <v>153</v>
      </c>
      <c r="N635" s="47" t="s">
        <v>143</v>
      </c>
      <c r="O635" s="47" t="s">
        <v>494</v>
      </c>
      <c r="P635" s="47"/>
      <c r="Q635" s="48" t="n">
        <f aca="false">IF($J635="","",IFERROR(IF($J635&lt;=1,INDEX(VN_국채일별!$B$4:$B$1436,MATCH($B635,VN_국채일별!$A$4:$A$1436,1)),IF($J635&lt;=2,INDEX(VN_국채일별!$B$4:$B$1436,MATCH($B635,VN_국채일별!$A$4:$A$1436,1))+(INDEX(VN_국채일별!$C$4:$C$1436,MATCH($B635,VN_국채일별!$A$4:$A$1436,1))-INDEX(VN_국채일별!$B$4:$B$1436,MATCH($B635,VN_국채일별!$A$4:$A$1436,1)))*($J635-1),IF($J635&lt;=3,INDEX(VN_국채일별!$C$4:$C$1436,MATCH($B635,VN_국채일별!$A$4:$A$1436,1))+(INDEX(VN_국채일별!$D$4:$D$1436,MATCH($B635,VN_국채일별!$A$4:$A$1436,1))-INDEX(VN_국채일별!$C$4:$C$1436,MATCH($B635,VN_국채일별!$A$4:$A$1436,1)))*($J635-2),IF($J635&lt;=5,INDEX(VN_국채일별!$D$4:$D$1436,MATCH($B635,VN_국채일별!$A$4:$A$1436,1))+(INDEX(VN_국채일별!$E$4:$E$1436,MATCH($B635,VN_국채일별!$A$4:$A$1436,1))-INDEX(VN_국채일별!$D$4:$D$1436,MATCH($B635,VN_국채일별!$A$4:$A$1436,1)))*($J635-3)/2,IF($J635&lt;=7,INDEX(VN_국채일별!$E$4:$E$1436,MATCH($B635,VN_국채일별!$A$4:$A$1436,1))+(INDEX(VN_국채일별!$F$4:$F$1436,MATCH($B635,VN_국채일별!$A$4:$A$1436,1))-INDEX(VN_국채일별!$E$4:$E$1436,MATCH($B635,VN_국채일별!$A$4:$A$1436,1)))*($J635-5)/2,IF($J635&lt;=10,INDEX(VN_국채일별!$F$4:$F$1436,MATCH($B635,VN_국채일별!$A$4:$A$1436,1))+(INDEX(VN_국채일별!$G$4:$G$1436,MATCH($B635,VN_국채일별!$A$4:$A$1436,1))-INDEX(VN_국채일별!$F$4:$F$1436,MATCH($B635,VN_국채일별!$A$4:$A$1436,1)))*($J635-7)/3,INDEX(VN_국채일별!$G$4:$G$1436,MATCH($B635,VN_국채일별!$A$4:$A$1436,1)))))))),""))</f>
        <v>0.03623</v>
      </c>
      <c r="R635" s="58" t="str">
        <f aca="false">IF(OR(L635="",Q635=""),"",(L635-Q635)*10000)</f>
        <v/>
      </c>
      <c r="S635" s="30" t="n">
        <f aca="false">IF(AND(K635="고정",N635="N",J635&gt;=2,J635&lt;=4,I635&lt;&gt;""),1,0)</f>
        <v>0</v>
      </c>
      <c r="T635" s="59" t="n">
        <f aca="false">IF(S635=1,I635*L635,0)</f>
        <v>0</v>
      </c>
      <c r="U635" s="60" t="n">
        <f aca="false">IF(AND(S635=1,ISNUMBER(R635)),I635*R635,0)</f>
        <v>0</v>
      </c>
      <c r="V635" s="30" t="n">
        <f aca="false">IF(AND(F635="Big4(국영)",K635="고정",N635="N",I635&lt;&gt;""),1,0)</f>
        <v>0</v>
      </c>
      <c r="W635" s="59" t="n">
        <f aca="false">IF(V635=1,I635*L635,0)</f>
        <v>0</v>
      </c>
      <c r="X635" s="60" t="n">
        <f aca="false">IF(AND(V635=1,ISNUMBER(R635)),I635*R635,0)</f>
        <v>0</v>
      </c>
      <c r="Y635" s="61" t="n">
        <f aca="false">IF(AND(S635=1,ISNUMBER(R635)),I635,0)</f>
        <v>0</v>
      </c>
      <c r="Z635" s="61" t="n">
        <f aca="false">IF(AND(V635=1,ISNUMBER(R635)),I635,0)</f>
        <v>0</v>
      </c>
    </row>
    <row r="636" customFormat="false" ht="15" hidden="false" customHeight="false" outlineLevel="0" collapsed="false">
      <c r="A636" s="47" t="s">
        <v>1073</v>
      </c>
      <c r="B636" s="52" t="n">
        <v>46007</v>
      </c>
      <c r="C636" s="53" t="n">
        <f aca="false">DATE(YEAR(B636),MONTH(B636),1)</f>
        <v>45992</v>
      </c>
      <c r="D636" s="5" t="str">
        <f aca="false">YEAR(B636)&amp;"Q"&amp;ROUNDUP(MONTH(B636)/3,0)</f>
        <v>2025Q4</v>
      </c>
      <c r="E636" s="47" t="s">
        <v>150</v>
      </c>
      <c r="F636" s="54" t="s">
        <v>139</v>
      </c>
      <c r="G636" s="47" t="s">
        <v>170</v>
      </c>
      <c r="H636" s="47" t="s">
        <v>1099</v>
      </c>
      <c r="I636" s="55" t="n">
        <v>2000</v>
      </c>
      <c r="J636" s="56" t="n">
        <v>3</v>
      </c>
      <c r="K636" s="54" t="s">
        <v>142</v>
      </c>
      <c r="L636" s="57" t="n">
        <v>0.075</v>
      </c>
      <c r="N636" s="47" t="s">
        <v>148</v>
      </c>
      <c r="O636" s="47" t="s">
        <v>404</v>
      </c>
      <c r="P636" s="47"/>
      <c r="Q636" s="48" t="n">
        <f aca="false">IF($J636="","",IFERROR(IF($J636&lt;=1,INDEX(VN_국채일별!$B$4:$B$1436,MATCH($B636,VN_국채일별!$A$4:$A$1436,1)),IF($J636&lt;=2,INDEX(VN_국채일별!$B$4:$B$1436,MATCH($B636,VN_국채일별!$A$4:$A$1436,1))+(INDEX(VN_국채일별!$C$4:$C$1436,MATCH($B636,VN_국채일별!$A$4:$A$1436,1))-INDEX(VN_국채일별!$B$4:$B$1436,MATCH($B636,VN_국채일별!$A$4:$A$1436,1)))*($J636-1),IF($J636&lt;=3,INDEX(VN_국채일별!$C$4:$C$1436,MATCH($B636,VN_국채일별!$A$4:$A$1436,1))+(INDEX(VN_국채일별!$D$4:$D$1436,MATCH($B636,VN_국채일별!$A$4:$A$1436,1))-INDEX(VN_국채일별!$C$4:$C$1436,MATCH($B636,VN_국채일별!$A$4:$A$1436,1)))*($J636-2),IF($J636&lt;=5,INDEX(VN_국채일별!$D$4:$D$1436,MATCH($B636,VN_국채일별!$A$4:$A$1436,1))+(INDEX(VN_국채일별!$E$4:$E$1436,MATCH($B636,VN_국채일별!$A$4:$A$1436,1))-INDEX(VN_국채일별!$D$4:$D$1436,MATCH($B636,VN_국채일별!$A$4:$A$1436,1)))*($J636-3)/2,IF($J636&lt;=7,INDEX(VN_국채일별!$E$4:$E$1436,MATCH($B636,VN_국채일별!$A$4:$A$1436,1))+(INDEX(VN_국채일별!$F$4:$F$1436,MATCH($B636,VN_국채일별!$A$4:$A$1436,1))-INDEX(VN_국채일별!$E$4:$E$1436,MATCH($B636,VN_국채일별!$A$4:$A$1436,1)))*($J636-5)/2,IF($J636&lt;=10,INDEX(VN_국채일별!$F$4:$F$1436,MATCH($B636,VN_국채일별!$A$4:$A$1436,1))+(INDEX(VN_국채일별!$G$4:$G$1436,MATCH($B636,VN_국채일별!$A$4:$A$1436,1))-INDEX(VN_국채일별!$F$4:$F$1436,MATCH($B636,VN_국채일별!$A$4:$A$1436,1)))*($J636-7)/3,INDEX(VN_국채일별!$G$4:$G$1436,MATCH($B636,VN_국채일별!$A$4:$A$1436,1)))))))),""))</f>
        <v>0.0317</v>
      </c>
      <c r="R636" s="58" t="n">
        <f aca="false">IF(OR(L636="",Q636=""),"",(L636-Q636)*10000)</f>
        <v>433</v>
      </c>
      <c r="S636" s="30" t="n">
        <f aca="false">IF(AND(K636="고정",N636="N",J636&gt;=2,J636&lt;=4,I636&lt;&gt;""),1,0)</f>
        <v>1</v>
      </c>
      <c r="T636" s="59" t="n">
        <f aca="false">IF(S636=1,I636*L636,0)</f>
        <v>150</v>
      </c>
      <c r="U636" s="60" t="n">
        <f aca="false">IF(AND(S636=1,ISNUMBER(R636)),I636*R636,0)</f>
        <v>866000</v>
      </c>
      <c r="V636" s="30" t="n">
        <f aca="false">IF(AND(F636="Big4(국영)",K636="고정",N636="N",I636&lt;&gt;""),1,0)</f>
        <v>0</v>
      </c>
      <c r="W636" s="59" t="n">
        <f aca="false">IF(V636=1,I636*L636,0)</f>
        <v>0</v>
      </c>
      <c r="X636" s="60" t="n">
        <f aca="false">IF(AND(V636=1,ISNUMBER(R636)),I636*R636,0)</f>
        <v>0</v>
      </c>
      <c r="Y636" s="61" t="n">
        <f aca="false">IF(AND(S636=1,ISNUMBER(R636)),I636,0)</f>
        <v>2000</v>
      </c>
      <c r="Z636" s="61" t="n">
        <f aca="false">IF(AND(V636=1,ISNUMBER(R636)),I636,0)</f>
        <v>0</v>
      </c>
    </row>
    <row r="637" customFormat="false" ht="15" hidden="false" customHeight="false" outlineLevel="0" collapsed="false">
      <c r="A637" s="47" t="s">
        <v>1073</v>
      </c>
      <c r="B637" s="52" t="n">
        <v>46007</v>
      </c>
      <c r="C637" s="53" t="n">
        <f aca="false">DATE(YEAR(B637),MONTH(B637),1)</f>
        <v>45992</v>
      </c>
      <c r="D637" s="5" t="str">
        <f aca="false">YEAR(B637)&amp;"Q"&amp;ROUNDUP(MONTH(B637)/3,0)</f>
        <v>2025Q4</v>
      </c>
      <c r="E637" s="47" t="s">
        <v>160</v>
      </c>
      <c r="F637" s="54" t="s">
        <v>139</v>
      </c>
      <c r="G637" s="47" t="s">
        <v>161</v>
      </c>
      <c r="H637" s="47" t="s">
        <v>1100</v>
      </c>
      <c r="I637" s="55" t="n">
        <v>600</v>
      </c>
      <c r="J637" s="56" t="n">
        <v>7</v>
      </c>
      <c r="K637" s="54" t="s">
        <v>153</v>
      </c>
      <c r="N637" s="47" t="s">
        <v>143</v>
      </c>
      <c r="O637" s="47" t="s">
        <v>1101</v>
      </c>
      <c r="P637" s="47"/>
      <c r="Q637" s="48" t="n">
        <f aca="false">IF($J637="","",IFERROR(IF($J637&lt;=1,INDEX(VN_국채일별!$B$4:$B$1436,MATCH($B637,VN_국채일별!$A$4:$A$1436,1)),IF($J637&lt;=2,INDEX(VN_국채일별!$B$4:$B$1436,MATCH($B637,VN_국채일별!$A$4:$A$1436,1))+(INDEX(VN_국채일별!$C$4:$C$1436,MATCH($B637,VN_국채일별!$A$4:$A$1436,1))-INDEX(VN_국채일별!$B$4:$B$1436,MATCH($B637,VN_국채일별!$A$4:$A$1436,1)))*($J637-1),IF($J637&lt;=3,INDEX(VN_국채일별!$C$4:$C$1436,MATCH($B637,VN_국채일별!$A$4:$A$1436,1))+(INDEX(VN_국채일별!$D$4:$D$1436,MATCH($B637,VN_국채일별!$A$4:$A$1436,1))-INDEX(VN_국채일별!$C$4:$C$1436,MATCH($B637,VN_국채일별!$A$4:$A$1436,1)))*($J637-2),IF($J637&lt;=5,INDEX(VN_국채일별!$D$4:$D$1436,MATCH($B637,VN_국채일별!$A$4:$A$1436,1))+(INDEX(VN_국채일별!$E$4:$E$1436,MATCH($B637,VN_국채일별!$A$4:$A$1436,1))-INDEX(VN_국채일별!$D$4:$D$1436,MATCH($B637,VN_국채일별!$A$4:$A$1436,1)))*($J637-3)/2,IF($J637&lt;=7,INDEX(VN_국채일별!$E$4:$E$1436,MATCH($B637,VN_국채일별!$A$4:$A$1436,1))+(INDEX(VN_국채일별!$F$4:$F$1436,MATCH($B637,VN_국채일별!$A$4:$A$1436,1))-INDEX(VN_국채일별!$E$4:$E$1436,MATCH($B637,VN_국채일별!$A$4:$A$1436,1)))*($J637-5)/2,IF($J637&lt;=10,INDEX(VN_국채일별!$F$4:$F$1436,MATCH($B637,VN_국채일별!$A$4:$A$1436,1))+(INDEX(VN_국채일별!$G$4:$G$1436,MATCH($B637,VN_국채일별!$A$4:$A$1436,1))-INDEX(VN_국채일별!$F$4:$F$1436,MATCH($B637,VN_국채일별!$A$4:$A$1436,1)))*($J637-7)/3,INDEX(VN_국채일별!$G$4:$G$1436,MATCH($B637,VN_국채일별!$A$4:$A$1436,1)))))))),""))</f>
        <v>0.03623</v>
      </c>
      <c r="R637" s="58" t="str">
        <f aca="false">IF(OR(L637="",Q637=""),"",(L637-Q637)*10000)</f>
        <v/>
      </c>
      <c r="S637" s="30" t="n">
        <f aca="false">IF(AND(K637="고정",N637="N",J637&gt;=2,J637&lt;=4,I637&lt;&gt;""),1,0)</f>
        <v>0</v>
      </c>
      <c r="T637" s="59" t="n">
        <f aca="false">IF(S637=1,I637*L637,0)</f>
        <v>0</v>
      </c>
      <c r="U637" s="60" t="n">
        <f aca="false">IF(AND(S637=1,ISNUMBER(R637)),I637*R637,0)</f>
        <v>0</v>
      </c>
      <c r="V637" s="30" t="n">
        <f aca="false">IF(AND(F637="Big4(국영)",K637="고정",N637="N",I637&lt;&gt;""),1,0)</f>
        <v>0</v>
      </c>
      <c r="W637" s="59" t="n">
        <f aca="false">IF(V637=1,I637*L637,0)</f>
        <v>0</v>
      </c>
      <c r="X637" s="60" t="n">
        <f aca="false">IF(AND(V637=1,ISNUMBER(R637)),I637*R637,0)</f>
        <v>0</v>
      </c>
      <c r="Y637" s="61" t="n">
        <f aca="false">IF(AND(S637=1,ISNUMBER(R637)),I637,0)</f>
        <v>0</v>
      </c>
      <c r="Z637" s="61" t="n">
        <f aca="false">IF(AND(V637=1,ISNUMBER(R637)),I637,0)</f>
        <v>0</v>
      </c>
    </row>
    <row r="638" customFormat="false" ht="15" hidden="false" customHeight="false" outlineLevel="0" collapsed="false">
      <c r="A638" s="47" t="s">
        <v>1073</v>
      </c>
      <c r="B638" s="52" t="n">
        <v>46008</v>
      </c>
      <c r="C638" s="53" t="n">
        <f aca="false">DATE(YEAR(B638),MONTH(B638),1)</f>
        <v>45992</v>
      </c>
      <c r="D638" s="5" t="str">
        <f aca="false">YEAR(B638)&amp;"Q"&amp;ROUNDUP(MONTH(B638)/3,0)</f>
        <v>2025Q4</v>
      </c>
      <c r="E638" s="47" t="s">
        <v>160</v>
      </c>
      <c r="F638" s="54" t="s">
        <v>139</v>
      </c>
      <c r="G638" s="47" t="s">
        <v>161</v>
      </c>
      <c r="H638" s="47" t="s">
        <v>1102</v>
      </c>
      <c r="I638" s="55" t="n">
        <v>100</v>
      </c>
      <c r="J638" s="56" t="n">
        <v>7</v>
      </c>
      <c r="K638" s="54" t="s">
        <v>153</v>
      </c>
      <c r="N638" s="47" t="s">
        <v>143</v>
      </c>
      <c r="O638" s="47" t="s">
        <v>1096</v>
      </c>
      <c r="P638" s="47"/>
      <c r="Q638" s="48" t="n">
        <f aca="false">IF($J638="","",IFERROR(IF($J638&lt;=1,INDEX(VN_국채일별!$B$4:$B$1436,MATCH($B638,VN_국채일별!$A$4:$A$1436,1)),IF($J638&lt;=2,INDEX(VN_국채일별!$B$4:$B$1436,MATCH($B638,VN_국채일별!$A$4:$A$1436,1))+(INDEX(VN_국채일별!$C$4:$C$1436,MATCH($B638,VN_국채일별!$A$4:$A$1436,1))-INDEX(VN_국채일별!$B$4:$B$1436,MATCH($B638,VN_국채일별!$A$4:$A$1436,1)))*($J638-1),IF($J638&lt;=3,INDEX(VN_국채일별!$C$4:$C$1436,MATCH($B638,VN_국채일별!$A$4:$A$1436,1))+(INDEX(VN_국채일별!$D$4:$D$1436,MATCH($B638,VN_국채일별!$A$4:$A$1436,1))-INDEX(VN_국채일별!$C$4:$C$1436,MATCH($B638,VN_국채일별!$A$4:$A$1436,1)))*($J638-2),IF($J638&lt;=5,INDEX(VN_국채일별!$D$4:$D$1436,MATCH($B638,VN_국채일별!$A$4:$A$1436,1))+(INDEX(VN_국채일별!$E$4:$E$1436,MATCH($B638,VN_국채일별!$A$4:$A$1436,1))-INDEX(VN_국채일별!$D$4:$D$1436,MATCH($B638,VN_국채일별!$A$4:$A$1436,1)))*($J638-3)/2,IF($J638&lt;=7,INDEX(VN_국채일별!$E$4:$E$1436,MATCH($B638,VN_국채일별!$A$4:$A$1436,1))+(INDEX(VN_국채일별!$F$4:$F$1436,MATCH($B638,VN_국채일별!$A$4:$A$1436,1))-INDEX(VN_국채일별!$E$4:$E$1436,MATCH($B638,VN_국채일별!$A$4:$A$1436,1)))*($J638-5)/2,IF($J638&lt;=10,INDEX(VN_국채일별!$F$4:$F$1436,MATCH($B638,VN_국채일별!$A$4:$A$1436,1))+(INDEX(VN_국채일별!$G$4:$G$1436,MATCH($B638,VN_국채일별!$A$4:$A$1436,1))-INDEX(VN_국채일별!$F$4:$F$1436,MATCH($B638,VN_국채일별!$A$4:$A$1436,1)))*($J638-7)/3,INDEX(VN_국채일별!$G$4:$G$1436,MATCH($B638,VN_국채일별!$A$4:$A$1436,1)))))))),""))</f>
        <v>0.03618</v>
      </c>
      <c r="R638" s="58" t="str">
        <f aca="false">IF(OR(L638="",Q638=""),"",(L638-Q638)*10000)</f>
        <v/>
      </c>
      <c r="S638" s="30" t="n">
        <f aca="false">IF(AND(K638="고정",N638="N",J638&gt;=2,J638&lt;=4,I638&lt;&gt;""),1,0)</f>
        <v>0</v>
      </c>
      <c r="T638" s="59" t="n">
        <f aca="false">IF(S638=1,I638*L638,0)</f>
        <v>0</v>
      </c>
      <c r="U638" s="60" t="n">
        <f aca="false">IF(AND(S638=1,ISNUMBER(R638)),I638*R638,0)</f>
        <v>0</v>
      </c>
      <c r="V638" s="30" t="n">
        <f aca="false">IF(AND(F638="Big4(국영)",K638="고정",N638="N",I638&lt;&gt;""),1,0)</f>
        <v>0</v>
      </c>
      <c r="W638" s="59" t="n">
        <f aca="false">IF(V638=1,I638*L638,0)</f>
        <v>0</v>
      </c>
      <c r="X638" s="60" t="n">
        <f aca="false">IF(AND(V638=1,ISNUMBER(R638)),I638*R638,0)</f>
        <v>0</v>
      </c>
      <c r="Y638" s="61" t="n">
        <f aca="false">IF(AND(S638=1,ISNUMBER(R638)),I638,0)</f>
        <v>0</v>
      </c>
      <c r="Z638" s="61" t="n">
        <f aca="false">IF(AND(V638=1,ISNUMBER(R638)),I638,0)</f>
        <v>0</v>
      </c>
    </row>
    <row r="639" customFormat="false" ht="15" hidden="false" customHeight="false" outlineLevel="0" collapsed="false">
      <c r="A639" s="47" t="s">
        <v>1073</v>
      </c>
      <c r="B639" s="52" t="n">
        <v>46009</v>
      </c>
      <c r="C639" s="53" t="n">
        <f aca="false">DATE(YEAR(B639),MONTH(B639),1)</f>
        <v>45992</v>
      </c>
      <c r="D639" s="5" t="str">
        <f aca="false">YEAR(B639)&amp;"Q"&amp;ROUNDUP(MONTH(B639)/3,0)</f>
        <v>2025Q4</v>
      </c>
      <c r="E639" s="62" t="s">
        <v>230</v>
      </c>
      <c r="F639" s="62" t="s">
        <v>156</v>
      </c>
      <c r="G639" s="47" t="s">
        <v>345</v>
      </c>
      <c r="H639" s="47" t="s">
        <v>1103</v>
      </c>
      <c r="I639" s="55" t="n">
        <v>2000</v>
      </c>
      <c r="J639" s="56" t="n">
        <v>2</v>
      </c>
      <c r="K639" s="54" t="s">
        <v>142</v>
      </c>
      <c r="L639" s="57" t="n">
        <v>0.058</v>
      </c>
      <c r="N639" s="47" t="s">
        <v>148</v>
      </c>
      <c r="O639" s="47" t="s">
        <v>451</v>
      </c>
      <c r="P639" s="47"/>
      <c r="Q639" s="48" t="n">
        <f aca="false">IF($J639="","",IFERROR(IF($J639&lt;=1,INDEX(VN_국채일별!$B$4:$B$1436,MATCH($B639,VN_국채일별!$A$4:$A$1436,1)),IF($J639&lt;=2,INDEX(VN_국채일별!$B$4:$B$1436,MATCH($B639,VN_국채일별!$A$4:$A$1436,1))+(INDEX(VN_국채일별!$C$4:$C$1436,MATCH($B639,VN_국채일별!$A$4:$A$1436,1))-INDEX(VN_국채일별!$B$4:$B$1436,MATCH($B639,VN_국채일별!$A$4:$A$1436,1)))*($J639-1),IF($J639&lt;=3,INDEX(VN_국채일별!$C$4:$C$1436,MATCH($B639,VN_국채일별!$A$4:$A$1436,1))+(INDEX(VN_국채일별!$D$4:$D$1436,MATCH($B639,VN_국채일별!$A$4:$A$1436,1))-INDEX(VN_국채일별!$C$4:$C$1436,MATCH($B639,VN_국채일별!$A$4:$A$1436,1)))*($J639-2),IF($J639&lt;=5,INDEX(VN_국채일별!$D$4:$D$1436,MATCH($B639,VN_국채일별!$A$4:$A$1436,1))+(INDEX(VN_국채일별!$E$4:$E$1436,MATCH($B639,VN_국채일별!$A$4:$A$1436,1))-INDEX(VN_국채일별!$D$4:$D$1436,MATCH($B639,VN_국채일별!$A$4:$A$1436,1)))*($J639-3)/2,IF($J639&lt;=7,INDEX(VN_국채일별!$E$4:$E$1436,MATCH($B639,VN_국채일별!$A$4:$A$1436,1))+(INDEX(VN_국채일별!$F$4:$F$1436,MATCH($B639,VN_국채일별!$A$4:$A$1436,1))-INDEX(VN_국채일별!$E$4:$E$1436,MATCH($B639,VN_국채일별!$A$4:$A$1436,1)))*($J639-5)/2,IF($J639&lt;=10,INDEX(VN_국채일별!$F$4:$F$1436,MATCH($B639,VN_국채일별!$A$4:$A$1436,1))+(INDEX(VN_국채일별!$G$4:$G$1436,MATCH($B639,VN_국채일별!$A$4:$A$1436,1))-INDEX(VN_국채일별!$F$4:$F$1436,MATCH($B639,VN_국채일별!$A$4:$A$1436,1)))*($J639-7)/3,INDEX(VN_국채일별!$G$4:$G$1436,MATCH($B639,VN_국채일별!$A$4:$A$1436,1)))))))),""))</f>
        <v>0.0312</v>
      </c>
      <c r="R639" s="58" t="n">
        <f aca="false">IF(OR(L639="",Q639=""),"",(L639-Q639)*10000)</f>
        <v>268</v>
      </c>
      <c r="S639" s="30" t="n">
        <f aca="false">IF(AND(K639="고정",N639="N",J639&gt;=2,J639&lt;=4,I639&lt;&gt;""),1,0)</f>
        <v>1</v>
      </c>
      <c r="T639" s="59" t="n">
        <f aca="false">IF(S639=1,I639*L639,0)</f>
        <v>116</v>
      </c>
      <c r="U639" s="60" t="n">
        <f aca="false">IF(AND(S639=1,ISNUMBER(R639)),I639*R639,0)</f>
        <v>536000</v>
      </c>
      <c r="V639" s="30" t="n">
        <f aca="false">IF(AND(F639="Big4(국영)",K639="고정",N639="N",I639&lt;&gt;""),1,0)</f>
        <v>1</v>
      </c>
      <c r="W639" s="59" t="n">
        <f aca="false">IF(V639=1,I639*L639,0)</f>
        <v>116</v>
      </c>
      <c r="X639" s="60" t="n">
        <f aca="false">IF(AND(V639=1,ISNUMBER(R639)),I639*R639,0)</f>
        <v>536000</v>
      </c>
      <c r="Y639" s="61" t="n">
        <f aca="false">IF(AND(S639=1,ISNUMBER(R639)),I639,0)</f>
        <v>2000</v>
      </c>
      <c r="Z639" s="61" t="n">
        <f aca="false">IF(AND(V639=1,ISNUMBER(R639)),I639,0)</f>
        <v>2000</v>
      </c>
    </row>
    <row r="640" customFormat="false" ht="15" hidden="false" customHeight="false" outlineLevel="0" collapsed="false">
      <c r="A640" s="47" t="s">
        <v>1073</v>
      </c>
      <c r="B640" s="52" t="n">
        <v>46010</v>
      </c>
      <c r="C640" s="53" t="n">
        <f aca="false">DATE(YEAR(B640),MONTH(B640),1)</f>
        <v>45992</v>
      </c>
      <c r="D640" s="5" t="str">
        <f aca="false">YEAR(B640)&amp;"Q"&amp;ROUNDUP(MONTH(B640)/3,0)</f>
        <v>2025Q4</v>
      </c>
      <c r="E640" s="47" t="s">
        <v>365</v>
      </c>
      <c r="F640" s="54" t="s">
        <v>139</v>
      </c>
      <c r="G640" s="47" t="s">
        <v>366</v>
      </c>
      <c r="H640" s="47" t="s">
        <v>1104</v>
      </c>
      <c r="I640" s="55" t="n">
        <v>300</v>
      </c>
      <c r="J640" s="56" t="n">
        <v>10</v>
      </c>
      <c r="K640" s="54" t="s">
        <v>153</v>
      </c>
      <c r="N640" s="47" t="s">
        <v>143</v>
      </c>
      <c r="O640" s="47" t="s">
        <v>693</v>
      </c>
      <c r="P640" s="47"/>
      <c r="Q640" s="48" t="n">
        <f aca="false">IF($J640="","",IFERROR(IF($J640&lt;=1,INDEX(VN_국채일별!$B$4:$B$1436,MATCH($B640,VN_국채일별!$A$4:$A$1436,1)),IF($J640&lt;=2,INDEX(VN_국채일별!$B$4:$B$1436,MATCH($B640,VN_국채일별!$A$4:$A$1436,1))+(INDEX(VN_국채일별!$C$4:$C$1436,MATCH($B640,VN_국채일별!$A$4:$A$1436,1))-INDEX(VN_국채일별!$B$4:$B$1436,MATCH($B640,VN_국채일별!$A$4:$A$1436,1)))*($J640-1),IF($J640&lt;=3,INDEX(VN_국채일별!$C$4:$C$1436,MATCH($B640,VN_국채일별!$A$4:$A$1436,1))+(INDEX(VN_국채일별!$D$4:$D$1436,MATCH($B640,VN_국채일별!$A$4:$A$1436,1))-INDEX(VN_국채일별!$C$4:$C$1436,MATCH($B640,VN_국채일별!$A$4:$A$1436,1)))*($J640-2),IF($J640&lt;=5,INDEX(VN_국채일별!$D$4:$D$1436,MATCH($B640,VN_국채일별!$A$4:$A$1436,1))+(INDEX(VN_국채일별!$E$4:$E$1436,MATCH($B640,VN_국채일별!$A$4:$A$1436,1))-INDEX(VN_국채일별!$D$4:$D$1436,MATCH($B640,VN_국채일별!$A$4:$A$1436,1)))*($J640-3)/2,IF($J640&lt;=7,INDEX(VN_국채일별!$E$4:$E$1436,MATCH($B640,VN_국채일별!$A$4:$A$1436,1))+(INDEX(VN_국채일별!$F$4:$F$1436,MATCH($B640,VN_국채일별!$A$4:$A$1436,1))-INDEX(VN_국채일별!$E$4:$E$1436,MATCH($B640,VN_국채일별!$A$4:$A$1436,1)))*($J640-5)/2,IF($J640&lt;=10,INDEX(VN_국채일별!$F$4:$F$1436,MATCH($B640,VN_국채일별!$A$4:$A$1436,1))+(INDEX(VN_국채일별!$G$4:$G$1436,MATCH($B640,VN_국채일별!$A$4:$A$1436,1))-INDEX(VN_국채일별!$F$4:$F$1436,MATCH($B640,VN_국채일별!$A$4:$A$1436,1)))*($J640-7)/3,INDEX(VN_국채일별!$G$4:$G$1436,MATCH($B640,VN_국채일별!$A$4:$A$1436,1)))))))),""))</f>
        <v>0.04153</v>
      </c>
      <c r="R640" s="58" t="str">
        <f aca="false">IF(OR(L640="",Q640=""),"",(L640-Q640)*10000)</f>
        <v/>
      </c>
      <c r="S640" s="30" t="n">
        <f aca="false">IF(AND(K640="고정",N640="N",J640&gt;=2,J640&lt;=4,I640&lt;&gt;""),1,0)</f>
        <v>0</v>
      </c>
      <c r="T640" s="59" t="n">
        <f aca="false">IF(S640=1,I640*L640,0)</f>
        <v>0</v>
      </c>
      <c r="U640" s="60" t="n">
        <f aca="false">IF(AND(S640=1,ISNUMBER(R640)),I640*R640,0)</f>
        <v>0</v>
      </c>
      <c r="V640" s="30" t="n">
        <f aca="false">IF(AND(F640="Big4(국영)",K640="고정",N640="N",I640&lt;&gt;""),1,0)</f>
        <v>0</v>
      </c>
      <c r="W640" s="59" t="n">
        <f aca="false">IF(V640=1,I640*L640,0)</f>
        <v>0</v>
      </c>
      <c r="X640" s="60" t="n">
        <f aca="false">IF(AND(V640=1,ISNUMBER(R640)),I640*R640,0)</f>
        <v>0</v>
      </c>
      <c r="Y640" s="61" t="n">
        <f aca="false">IF(AND(S640=1,ISNUMBER(R640)),I640,0)</f>
        <v>0</v>
      </c>
      <c r="Z640" s="61" t="n">
        <f aca="false">IF(AND(V640=1,ISNUMBER(R640)),I640,0)</f>
        <v>0</v>
      </c>
    </row>
    <row r="641" customFormat="false" ht="15" hidden="false" customHeight="false" outlineLevel="0" collapsed="false">
      <c r="A641" s="47" t="s">
        <v>1073</v>
      </c>
      <c r="B641" s="52" t="n">
        <v>46010</v>
      </c>
      <c r="C641" s="53" t="n">
        <f aca="false">DATE(YEAR(B641),MONTH(B641),1)</f>
        <v>45992</v>
      </c>
      <c r="D641" s="5" t="str">
        <f aca="false">YEAR(B641)&amp;"Q"&amp;ROUNDUP(MONTH(B641)/3,0)</f>
        <v>2025Q4</v>
      </c>
      <c r="E641" s="47" t="s">
        <v>248</v>
      </c>
      <c r="F641" s="54" t="s">
        <v>139</v>
      </c>
      <c r="G641" s="47" t="s">
        <v>361</v>
      </c>
      <c r="H641" s="47" t="s">
        <v>1105</v>
      </c>
      <c r="I641" s="55" t="n">
        <v>80</v>
      </c>
      <c r="J641" s="56" t="n">
        <v>3</v>
      </c>
      <c r="K641" s="54" t="s">
        <v>142</v>
      </c>
      <c r="L641" s="57" t="n">
        <v>0.064</v>
      </c>
      <c r="N641" s="47" t="s">
        <v>148</v>
      </c>
      <c r="O641" s="47" t="s">
        <v>424</v>
      </c>
      <c r="P641" s="47"/>
      <c r="Q641" s="48" t="n">
        <f aca="false">IF($J641="","",IFERROR(IF($J641&lt;=1,INDEX(VN_국채일별!$B$4:$B$1436,MATCH($B641,VN_국채일별!$A$4:$A$1436,1)),IF($J641&lt;=2,INDEX(VN_국채일별!$B$4:$B$1436,MATCH($B641,VN_국채일별!$A$4:$A$1436,1))+(INDEX(VN_국채일별!$C$4:$C$1436,MATCH($B641,VN_국채일별!$A$4:$A$1436,1))-INDEX(VN_국채일별!$B$4:$B$1436,MATCH($B641,VN_국채일별!$A$4:$A$1436,1)))*($J641-1),IF($J641&lt;=3,INDEX(VN_국채일별!$C$4:$C$1436,MATCH($B641,VN_국채일별!$A$4:$A$1436,1))+(INDEX(VN_국채일별!$D$4:$D$1436,MATCH($B641,VN_국채일별!$A$4:$A$1436,1))-INDEX(VN_국채일별!$C$4:$C$1436,MATCH($B641,VN_국채일별!$A$4:$A$1436,1)))*($J641-2),IF($J641&lt;=5,INDEX(VN_국채일별!$D$4:$D$1436,MATCH($B641,VN_국채일별!$A$4:$A$1436,1))+(INDEX(VN_국채일별!$E$4:$E$1436,MATCH($B641,VN_국채일별!$A$4:$A$1436,1))-INDEX(VN_국채일별!$D$4:$D$1436,MATCH($B641,VN_국채일별!$A$4:$A$1436,1)))*($J641-3)/2,IF($J641&lt;=7,INDEX(VN_국채일별!$E$4:$E$1436,MATCH($B641,VN_국채일별!$A$4:$A$1436,1))+(INDEX(VN_국채일별!$F$4:$F$1436,MATCH($B641,VN_국채일별!$A$4:$A$1436,1))-INDEX(VN_국채일별!$E$4:$E$1436,MATCH($B641,VN_국채일별!$A$4:$A$1436,1)))*($J641-5)/2,IF($J641&lt;=10,INDEX(VN_국채일별!$F$4:$F$1436,MATCH($B641,VN_국채일별!$A$4:$A$1436,1))+(INDEX(VN_국채일별!$G$4:$G$1436,MATCH($B641,VN_국채일별!$A$4:$A$1436,1))-INDEX(VN_국채일별!$F$4:$F$1436,MATCH($B641,VN_국채일별!$A$4:$A$1436,1)))*($J641-7)/3,INDEX(VN_국채일별!$G$4:$G$1436,MATCH($B641,VN_국채일별!$A$4:$A$1436,1)))))))),""))</f>
        <v>0.0318</v>
      </c>
      <c r="R641" s="58" t="n">
        <f aca="false">IF(OR(L641="",Q641=""),"",(L641-Q641)*10000)</f>
        <v>322</v>
      </c>
      <c r="S641" s="30" t="n">
        <f aca="false">IF(AND(K641="고정",N641="N",J641&gt;=2,J641&lt;=4,I641&lt;&gt;""),1,0)</f>
        <v>1</v>
      </c>
      <c r="T641" s="59" t="n">
        <f aca="false">IF(S641=1,I641*L641,0)</f>
        <v>5.12</v>
      </c>
      <c r="U641" s="60" t="n">
        <f aca="false">IF(AND(S641=1,ISNUMBER(R641)),I641*R641,0)</f>
        <v>25760</v>
      </c>
      <c r="V641" s="30" t="n">
        <f aca="false">IF(AND(F641="Big4(국영)",K641="고정",N641="N",I641&lt;&gt;""),1,0)</f>
        <v>0</v>
      </c>
      <c r="W641" s="59" t="n">
        <f aca="false">IF(V641=1,I641*L641,0)</f>
        <v>0</v>
      </c>
      <c r="X641" s="60" t="n">
        <f aca="false">IF(AND(V641=1,ISNUMBER(R641)),I641*R641,0)</f>
        <v>0</v>
      </c>
      <c r="Y641" s="61" t="n">
        <f aca="false">IF(AND(S641=1,ISNUMBER(R641)),I641,0)</f>
        <v>80</v>
      </c>
      <c r="Z641" s="61" t="n">
        <f aca="false">IF(AND(V641=1,ISNUMBER(R641)),I641,0)</f>
        <v>0</v>
      </c>
    </row>
    <row r="642" customFormat="false" ht="15" hidden="false" customHeight="false" outlineLevel="0" collapsed="false">
      <c r="A642" s="47" t="s">
        <v>1073</v>
      </c>
      <c r="B642" s="52" t="n">
        <v>46010</v>
      </c>
      <c r="C642" s="53" t="n">
        <f aca="false">DATE(YEAR(B642),MONTH(B642),1)</f>
        <v>45992</v>
      </c>
      <c r="D642" s="5" t="str">
        <f aca="false">YEAR(B642)&amp;"Q"&amp;ROUNDUP(MONTH(B642)/3,0)</f>
        <v>2025Q4</v>
      </c>
      <c r="E642" s="47" t="s">
        <v>248</v>
      </c>
      <c r="F642" s="54" t="s">
        <v>139</v>
      </c>
      <c r="G642" s="47" t="s">
        <v>361</v>
      </c>
      <c r="H642" s="47" t="s">
        <v>1106</v>
      </c>
      <c r="I642" s="55" t="n">
        <v>1050</v>
      </c>
      <c r="J642" s="56" t="n">
        <v>5</v>
      </c>
      <c r="K642" s="54" t="s">
        <v>142</v>
      </c>
      <c r="L642" s="57" t="n">
        <v>0.07</v>
      </c>
      <c r="N642" s="47" t="s">
        <v>148</v>
      </c>
      <c r="O642" s="47" t="s">
        <v>455</v>
      </c>
      <c r="P642" s="47"/>
      <c r="Q642" s="48" t="n">
        <f aca="false">IF($J642="","",IFERROR(IF($J642&lt;=1,INDEX(VN_국채일별!$B$4:$B$1436,MATCH($B642,VN_국채일별!$A$4:$A$1436,1)),IF($J642&lt;=2,INDEX(VN_국채일별!$B$4:$B$1436,MATCH($B642,VN_국채일별!$A$4:$A$1436,1))+(INDEX(VN_국채일별!$C$4:$C$1436,MATCH($B642,VN_국채일별!$A$4:$A$1436,1))-INDEX(VN_국채일별!$B$4:$B$1436,MATCH($B642,VN_국채일별!$A$4:$A$1436,1)))*($J642-1),IF($J642&lt;=3,INDEX(VN_국채일별!$C$4:$C$1436,MATCH($B642,VN_국채일별!$A$4:$A$1436,1))+(INDEX(VN_국채일별!$D$4:$D$1436,MATCH($B642,VN_국채일별!$A$4:$A$1436,1))-INDEX(VN_국채일별!$C$4:$C$1436,MATCH($B642,VN_국채일별!$A$4:$A$1436,1)))*($J642-2),IF($J642&lt;=5,INDEX(VN_국채일별!$D$4:$D$1436,MATCH($B642,VN_국채일별!$A$4:$A$1436,1))+(INDEX(VN_국채일별!$E$4:$E$1436,MATCH($B642,VN_국채일별!$A$4:$A$1436,1))-INDEX(VN_국채일별!$D$4:$D$1436,MATCH($B642,VN_국채일별!$A$4:$A$1436,1)))*($J642-3)/2,IF($J642&lt;=7,INDEX(VN_국채일별!$E$4:$E$1436,MATCH($B642,VN_국채일별!$A$4:$A$1436,1))+(INDEX(VN_국채일별!$F$4:$F$1436,MATCH($B642,VN_국채일별!$A$4:$A$1436,1))-INDEX(VN_국채일별!$E$4:$E$1436,MATCH($B642,VN_국채일별!$A$4:$A$1436,1)))*($J642-5)/2,IF($J642&lt;=10,INDEX(VN_국채일별!$F$4:$F$1436,MATCH($B642,VN_국채일별!$A$4:$A$1436,1))+(INDEX(VN_국채일별!$G$4:$G$1436,MATCH($B642,VN_국채일별!$A$4:$A$1436,1))-INDEX(VN_국채일별!$F$4:$F$1436,MATCH($B642,VN_국채일별!$A$4:$A$1436,1)))*($J642-7)/3,INDEX(VN_국채일별!$G$4:$G$1436,MATCH($B642,VN_국채일별!$A$4:$A$1436,1)))))))),""))</f>
        <v>0.03375</v>
      </c>
      <c r="R642" s="58" t="n">
        <f aca="false">IF(OR(L642="",Q642=""),"",(L642-Q642)*10000)</f>
        <v>362.5</v>
      </c>
      <c r="S642" s="30" t="n">
        <f aca="false">IF(AND(K642="고정",N642="N",J642&gt;=2,J642&lt;=4,I642&lt;&gt;""),1,0)</f>
        <v>0</v>
      </c>
      <c r="T642" s="59" t="n">
        <f aca="false">IF(S642=1,I642*L642,0)</f>
        <v>0</v>
      </c>
      <c r="U642" s="60" t="n">
        <f aca="false">IF(AND(S642=1,ISNUMBER(R642)),I642*R642,0)</f>
        <v>0</v>
      </c>
      <c r="V642" s="30" t="n">
        <f aca="false">IF(AND(F642="Big4(국영)",K642="고정",N642="N",I642&lt;&gt;""),1,0)</f>
        <v>0</v>
      </c>
      <c r="W642" s="59" t="n">
        <f aca="false">IF(V642=1,I642*L642,0)</f>
        <v>0</v>
      </c>
      <c r="X642" s="60" t="n">
        <f aca="false">IF(AND(V642=1,ISNUMBER(R642)),I642*R642,0)</f>
        <v>0</v>
      </c>
      <c r="Y642" s="61" t="n">
        <f aca="false">IF(AND(S642=1,ISNUMBER(R642)),I642,0)</f>
        <v>0</v>
      </c>
      <c r="Z642" s="61" t="n">
        <f aca="false">IF(AND(V642=1,ISNUMBER(R642)),I642,0)</f>
        <v>0</v>
      </c>
    </row>
    <row r="643" customFormat="false" ht="15" hidden="false" customHeight="false" outlineLevel="0" collapsed="false">
      <c r="A643" s="47" t="s">
        <v>1073</v>
      </c>
      <c r="B643" s="52" t="n">
        <v>46013</v>
      </c>
      <c r="C643" s="53" t="n">
        <f aca="false">DATE(YEAR(B643),MONTH(B643),1)</f>
        <v>45992</v>
      </c>
      <c r="D643" s="5" t="str">
        <f aca="false">YEAR(B643)&amp;"Q"&amp;ROUNDUP(MONTH(B643)/3,0)</f>
        <v>2025Q4</v>
      </c>
      <c r="E643" s="47" t="s">
        <v>160</v>
      </c>
      <c r="F643" s="54" t="s">
        <v>139</v>
      </c>
      <c r="G643" s="47" t="s">
        <v>161</v>
      </c>
      <c r="H643" s="47" t="s">
        <v>1107</v>
      </c>
      <c r="I643" s="55" t="n">
        <v>500</v>
      </c>
      <c r="J643" s="56" t="n">
        <v>10</v>
      </c>
      <c r="K643" s="54" t="s">
        <v>142</v>
      </c>
      <c r="L643" s="57" t="n">
        <v>0.07</v>
      </c>
      <c r="N643" s="47" t="s">
        <v>143</v>
      </c>
      <c r="O643" s="47" t="s">
        <v>455</v>
      </c>
      <c r="P643" s="47"/>
      <c r="Q643" s="48" t="n">
        <f aca="false">IF($J643="","",IFERROR(IF($J643&lt;=1,INDEX(VN_국채일별!$B$4:$B$1436,MATCH($B643,VN_국채일별!$A$4:$A$1436,1)),IF($J643&lt;=2,INDEX(VN_국채일별!$B$4:$B$1436,MATCH($B643,VN_국채일별!$A$4:$A$1436,1))+(INDEX(VN_국채일별!$C$4:$C$1436,MATCH($B643,VN_국채일별!$A$4:$A$1436,1))-INDEX(VN_국채일별!$B$4:$B$1436,MATCH($B643,VN_국채일별!$A$4:$A$1436,1)))*($J643-1),IF($J643&lt;=3,INDEX(VN_국채일별!$C$4:$C$1436,MATCH($B643,VN_국채일별!$A$4:$A$1436,1))+(INDEX(VN_국채일별!$D$4:$D$1436,MATCH($B643,VN_국채일별!$A$4:$A$1436,1))-INDEX(VN_국채일별!$C$4:$C$1436,MATCH($B643,VN_국채일별!$A$4:$A$1436,1)))*($J643-2),IF($J643&lt;=5,INDEX(VN_국채일별!$D$4:$D$1436,MATCH($B643,VN_국채일별!$A$4:$A$1436,1))+(INDEX(VN_국채일별!$E$4:$E$1436,MATCH($B643,VN_국채일별!$A$4:$A$1436,1))-INDEX(VN_국채일별!$D$4:$D$1436,MATCH($B643,VN_국채일별!$A$4:$A$1436,1)))*($J643-3)/2,IF($J643&lt;=7,INDEX(VN_국채일별!$E$4:$E$1436,MATCH($B643,VN_국채일별!$A$4:$A$1436,1))+(INDEX(VN_국채일별!$F$4:$F$1436,MATCH($B643,VN_국채일별!$A$4:$A$1436,1))-INDEX(VN_국채일별!$E$4:$E$1436,MATCH($B643,VN_국채일별!$A$4:$A$1436,1)))*($J643-5)/2,IF($J643&lt;=10,INDEX(VN_국채일별!$F$4:$F$1436,MATCH($B643,VN_국채일별!$A$4:$A$1436,1))+(INDEX(VN_국채일별!$G$4:$G$1436,MATCH($B643,VN_국채일별!$A$4:$A$1436,1))-INDEX(VN_국채일별!$F$4:$F$1436,MATCH($B643,VN_국채일별!$A$4:$A$1436,1)))*($J643-7)/3,INDEX(VN_국채일별!$G$4:$G$1436,MATCH($B643,VN_국채일별!$A$4:$A$1436,1)))))))),""))</f>
        <v>0.04157</v>
      </c>
      <c r="R643" s="58" t="n">
        <f aca="false">IF(OR(L643="",Q643=""),"",(L643-Q643)*10000)</f>
        <v>284.3</v>
      </c>
      <c r="S643" s="30" t="n">
        <f aca="false">IF(AND(K643="고정",N643="N",J643&gt;=2,J643&lt;=4,I643&lt;&gt;""),1,0)</f>
        <v>0</v>
      </c>
      <c r="T643" s="59" t="n">
        <f aca="false">IF(S643=1,I643*L643,0)</f>
        <v>0</v>
      </c>
      <c r="U643" s="60" t="n">
        <f aca="false">IF(AND(S643=1,ISNUMBER(R643)),I643*R643,0)</f>
        <v>0</v>
      </c>
      <c r="V643" s="30" t="n">
        <f aca="false">IF(AND(F643="Big4(국영)",K643="고정",N643="N",I643&lt;&gt;""),1,0)</f>
        <v>0</v>
      </c>
      <c r="W643" s="59" t="n">
        <f aca="false">IF(V643=1,I643*L643,0)</f>
        <v>0</v>
      </c>
      <c r="X643" s="60" t="n">
        <f aca="false">IF(AND(V643=1,ISNUMBER(R643)),I643*R643,0)</f>
        <v>0</v>
      </c>
      <c r="Y643" s="61" t="n">
        <f aca="false">IF(AND(S643=1,ISNUMBER(R643)),I643,0)</f>
        <v>0</v>
      </c>
      <c r="Z643" s="61" t="n">
        <f aca="false">IF(AND(V643=1,ISNUMBER(R643)),I643,0)</f>
        <v>0</v>
      </c>
    </row>
    <row r="644" customFormat="false" ht="15" hidden="false" customHeight="false" outlineLevel="0" collapsed="false">
      <c r="A644" s="47" t="s">
        <v>1073</v>
      </c>
      <c r="B644" s="52" t="n">
        <v>46014</v>
      </c>
      <c r="C644" s="53" t="n">
        <f aca="false">DATE(YEAR(B644),MONTH(B644),1)</f>
        <v>45992</v>
      </c>
      <c r="D644" s="5" t="str">
        <f aca="false">YEAR(B644)&amp;"Q"&amp;ROUNDUP(MONTH(B644)/3,0)</f>
        <v>2025Q4</v>
      </c>
      <c r="E644" s="47" t="s">
        <v>365</v>
      </c>
      <c r="F644" s="54" t="s">
        <v>139</v>
      </c>
      <c r="G644" s="47" t="s">
        <v>366</v>
      </c>
      <c r="H644" s="47" t="s">
        <v>1108</v>
      </c>
      <c r="I644" s="55" t="n">
        <v>1500</v>
      </c>
      <c r="J644" s="56" t="n">
        <v>10</v>
      </c>
      <c r="K644" s="54" t="s">
        <v>153</v>
      </c>
      <c r="N644" s="47" t="s">
        <v>143</v>
      </c>
      <c r="O644" s="47" t="s">
        <v>1085</v>
      </c>
      <c r="P644" s="47"/>
      <c r="Q644" s="48" t="n">
        <f aca="false">IF($J644="","",IFERROR(IF($J644&lt;=1,INDEX(VN_국채일별!$B$4:$B$1436,MATCH($B644,VN_국채일별!$A$4:$A$1436,1)),IF($J644&lt;=2,INDEX(VN_국채일별!$B$4:$B$1436,MATCH($B644,VN_국채일별!$A$4:$A$1436,1))+(INDEX(VN_국채일별!$C$4:$C$1436,MATCH($B644,VN_국채일별!$A$4:$A$1436,1))-INDEX(VN_국채일별!$B$4:$B$1436,MATCH($B644,VN_국채일별!$A$4:$A$1436,1)))*($J644-1),IF($J644&lt;=3,INDEX(VN_국채일별!$C$4:$C$1436,MATCH($B644,VN_국채일별!$A$4:$A$1436,1))+(INDEX(VN_국채일별!$D$4:$D$1436,MATCH($B644,VN_국채일별!$A$4:$A$1436,1))-INDEX(VN_국채일별!$C$4:$C$1436,MATCH($B644,VN_국채일별!$A$4:$A$1436,1)))*($J644-2),IF($J644&lt;=5,INDEX(VN_국채일별!$D$4:$D$1436,MATCH($B644,VN_국채일별!$A$4:$A$1436,1))+(INDEX(VN_국채일별!$E$4:$E$1436,MATCH($B644,VN_국채일별!$A$4:$A$1436,1))-INDEX(VN_국채일별!$D$4:$D$1436,MATCH($B644,VN_국채일별!$A$4:$A$1436,1)))*($J644-3)/2,IF($J644&lt;=7,INDEX(VN_국채일별!$E$4:$E$1436,MATCH($B644,VN_국채일별!$A$4:$A$1436,1))+(INDEX(VN_국채일별!$F$4:$F$1436,MATCH($B644,VN_국채일별!$A$4:$A$1436,1))-INDEX(VN_국채일별!$E$4:$E$1436,MATCH($B644,VN_국채일별!$A$4:$A$1436,1)))*($J644-5)/2,IF($J644&lt;=10,INDEX(VN_국채일별!$F$4:$F$1436,MATCH($B644,VN_국채일별!$A$4:$A$1436,1))+(INDEX(VN_국채일별!$G$4:$G$1436,MATCH($B644,VN_국채일별!$A$4:$A$1436,1))-INDEX(VN_국채일별!$F$4:$F$1436,MATCH($B644,VN_국채일별!$A$4:$A$1436,1)))*($J644-7)/3,INDEX(VN_국채일별!$G$4:$G$1436,MATCH($B644,VN_국채일별!$A$4:$A$1436,1)))))))),""))</f>
        <v>0.04159</v>
      </c>
      <c r="R644" s="58" t="str">
        <f aca="false">IF(OR(L644="",Q644=""),"",(L644-Q644)*10000)</f>
        <v/>
      </c>
      <c r="S644" s="30" t="n">
        <f aca="false">IF(AND(K644="고정",N644="N",J644&gt;=2,J644&lt;=4,I644&lt;&gt;""),1,0)</f>
        <v>0</v>
      </c>
      <c r="T644" s="59" t="n">
        <f aca="false">IF(S644=1,I644*L644,0)</f>
        <v>0</v>
      </c>
      <c r="U644" s="60" t="n">
        <f aca="false">IF(AND(S644=1,ISNUMBER(R644)),I644*R644,0)</f>
        <v>0</v>
      </c>
      <c r="V644" s="30" t="n">
        <f aca="false">IF(AND(F644="Big4(국영)",K644="고정",N644="N",I644&lt;&gt;""),1,0)</f>
        <v>0</v>
      </c>
      <c r="W644" s="59" t="n">
        <f aca="false">IF(V644=1,I644*L644,0)</f>
        <v>0</v>
      </c>
      <c r="X644" s="60" t="n">
        <f aca="false">IF(AND(V644=1,ISNUMBER(R644)),I644*R644,0)</f>
        <v>0</v>
      </c>
      <c r="Y644" s="61" t="n">
        <f aca="false">IF(AND(S644=1,ISNUMBER(R644)),I644,0)</f>
        <v>0</v>
      </c>
      <c r="Z644" s="61" t="n">
        <f aca="false">IF(AND(V644=1,ISNUMBER(R644)),I644,0)</f>
        <v>0</v>
      </c>
    </row>
    <row r="645" customFormat="false" ht="15" hidden="false" customHeight="false" outlineLevel="0" collapsed="false">
      <c r="A645" s="47" t="s">
        <v>1073</v>
      </c>
      <c r="B645" s="52" t="n">
        <v>46015</v>
      </c>
      <c r="C645" s="53" t="n">
        <f aca="false">DATE(YEAR(B645),MONTH(B645),1)</f>
        <v>45992</v>
      </c>
      <c r="D645" s="5" t="str">
        <f aca="false">YEAR(B645)&amp;"Q"&amp;ROUNDUP(MONTH(B645)/3,0)</f>
        <v>2025Q4</v>
      </c>
      <c r="E645" s="47" t="s">
        <v>323</v>
      </c>
      <c r="F645" s="54" t="s">
        <v>139</v>
      </c>
      <c r="G645" s="47" t="s">
        <v>324</v>
      </c>
      <c r="H645" s="47" t="s">
        <v>1109</v>
      </c>
      <c r="I645" s="55" t="n">
        <v>1000</v>
      </c>
      <c r="J645" s="56" t="n">
        <v>3</v>
      </c>
      <c r="K645" s="54" t="s">
        <v>142</v>
      </c>
      <c r="L645" s="57" t="n">
        <v>0.075</v>
      </c>
      <c r="N645" s="47" t="s">
        <v>148</v>
      </c>
      <c r="O645" s="47" t="s">
        <v>404</v>
      </c>
      <c r="P645" s="47"/>
      <c r="Q645" s="48" t="n">
        <f aca="false">IF($J645="","",IFERROR(IF($J645&lt;=1,INDEX(VN_국채일별!$B$4:$B$1436,MATCH($B645,VN_국채일별!$A$4:$A$1436,1)),IF($J645&lt;=2,INDEX(VN_국채일별!$B$4:$B$1436,MATCH($B645,VN_국채일별!$A$4:$A$1436,1))+(INDEX(VN_국채일별!$C$4:$C$1436,MATCH($B645,VN_국채일별!$A$4:$A$1436,1))-INDEX(VN_국채일별!$B$4:$B$1436,MATCH($B645,VN_국채일별!$A$4:$A$1436,1)))*($J645-1),IF($J645&lt;=3,INDEX(VN_국채일별!$C$4:$C$1436,MATCH($B645,VN_국채일별!$A$4:$A$1436,1))+(INDEX(VN_국채일별!$D$4:$D$1436,MATCH($B645,VN_국채일별!$A$4:$A$1436,1))-INDEX(VN_국채일별!$C$4:$C$1436,MATCH($B645,VN_국채일별!$A$4:$A$1436,1)))*($J645-2),IF($J645&lt;=5,INDEX(VN_국채일별!$D$4:$D$1436,MATCH($B645,VN_국채일별!$A$4:$A$1436,1))+(INDEX(VN_국채일별!$E$4:$E$1436,MATCH($B645,VN_국채일별!$A$4:$A$1436,1))-INDEX(VN_국채일별!$D$4:$D$1436,MATCH($B645,VN_국채일별!$A$4:$A$1436,1)))*($J645-3)/2,IF($J645&lt;=7,INDEX(VN_국채일별!$E$4:$E$1436,MATCH($B645,VN_국채일별!$A$4:$A$1436,1))+(INDEX(VN_국채일별!$F$4:$F$1436,MATCH($B645,VN_국채일별!$A$4:$A$1436,1))-INDEX(VN_국채일별!$E$4:$E$1436,MATCH($B645,VN_국채일별!$A$4:$A$1436,1)))*($J645-5)/2,IF($J645&lt;=10,INDEX(VN_국채일별!$F$4:$F$1436,MATCH($B645,VN_국채일별!$A$4:$A$1436,1))+(INDEX(VN_국채일별!$G$4:$G$1436,MATCH($B645,VN_국채일별!$A$4:$A$1436,1))-INDEX(VN_국채일별!$F$4:$F$1436,MATCH($B645,VN_국채일별!$A$4:$A$1436,1)))*($J645-7)/3,INDEX(VN_국채일별!$G$4:$G$1436,MATCH($B645,VN_국채일별!$A$4:$A$1436,1)))))))),""))</f>
        <v>0.0318</v>
      </c>
      <c r="R645" s="58" t="n">
        <f aca="false">IF(OR(L645="",Q645=""),"",(L645-Q645)*10000)</f>
        <v>432</v>
      </c>
      <c r="S645" s="30" t="n">
        <f aca="false">IF(AND(K645="고정",N645="N",J645&gt;=2,J645&lt;=4,I645&lt;&gt;""),1,0)</f>
        <v>1</v>
      </c>
      <c r="T645" s="59" t="n">
        <f aca="false">IF(S645=1,I645*L645,0)</f>
        <v>75</v>
      </c>
      <c r="U645" s="60" t="n">
        <f aca="false">IF(AND(S645=1,ISNUMBER(R645)),I645*R645,0)</f>
        <v>432000</v>
      </c>
      <c r="V645" s="30" t="n">
        <f aca="false">IF(AND(F645="Big4(국영)",K645="고정",N645="N",I645&lt;&gt;""),1,0)</f>
        <v>0</v>
      </c>
      <c r="W645" s="59" t="n">
        <f aca="false">IF(V645=1,I645*L645,0)</f>
        <v>0</v>
      </c>
      <c r="X645" s="60" t="n">
        <f aca="false">IF(AND(V645=1,ISNUMBER(R645)),I645*R645,0)</f>
        <v>0</v>
      </c>
      <c r="Y645" s="61" t="n">
        <f aca="false">IF(AND(S645=1,ISNUMBER(R645)),I645,0)</f>
        <v>1000</v>
      </c>
      <c r="Z645" s="61" t="n">
        <f aca="false">IF(AND(V645=1,ISNUMBER(R645)),I645,0)</f>
        <v>0</v>
      </c>
    </row>
    <row r="646" customFormat="false" ht="15" hidden="false" customHeight="false" outlineLevel="0" collapsed="false">
      <c r="A646" s="47" t="s">
        <v>1073</v>
      </c>
      <c r="B646" s="52" t="n">
        <v>46015</v>
      </c>
      <c r="C646" s="53" t="n">
        <f aca="false">DATE(YEAR(B646),MONTH(B646),1)</f>
        <v>45992</v>
      </c>
      <c r="D646" s="5" t="str">
        <f aca="false">YEAR(B646)&amp;"Q"&amp;ROUNDUP(MONTH(B646)/3,0)</f>
        <v>2025Q4</v>
      </c>
      <c r="E646" s="47" t="s">
        <v>196</v>
      </c>
      <c r="F646" s="54" t="s">
        <v>139</v>
      </c>
      <c r="G646" s="47" t="s">
        <v>673</v>
      </c>
      <c r="H646" s="47" t="s">
        <v>1110</v>
      </c>
      <c r="I646" s="55" t="n">
        <v>2000</v>
      </c>
      <c r="J646" s="56" t="n">
        <v>2</v>
      </c>
      <c r="K646" s="54" t="s">
        <v>142</v>
      </c>
      <c r="L646" s="57" t="n">
        <v>0.076</v>
      </c>
      <c r="N646" s="47" t="s">
        <v>148</v>
      </c>
      <c r="O646" s="47" t="s">
        <v>144</v>
      </c>
      <c r="P646" s="47"/>
      <c r="Q646" s="48" t="n">
        <f aca="false">IF($J646="","",IFERROR(IF($J646&lt;=1,INDEX(VN_국채일별!$B$4:$B$1436,MATCH($B646,VN_국채일별!$A$4:$A$1436,1)),IF($J646&lt;=2,INDEX(VN_국채일별!$B$4:$B$1436,MATCH($B646,VN_국채일별!$A$4:$A$1436,1))+(INDEX(VN_국채일별!$C$4:$C$1436,MATCH($B646,VN_국채일별!$A$4:$A$1436,1))-INDEX(VN_국채일별!$B$4:$B$1436,MATCH($B646,VN_국채일별!$A$4:$A$1436,1)))*($J646-1),IF($J646&lt;=3,INDEX(VN_국채일별!$C$4:$C$1436,MATCH($B646,VN_국채일별!$A$4:$A$1436,1))+(INDEX(VN_국채일별!$D$4:$D$1436,MATCH($B646,VN_국채일별!$A$4:$A$1436,1))-INDEX(VN_국채일별!$C$4:$C$1436,MATCH($B646,VN_국채일별!$A$4:$A$1436,1)))*($J646-2),IF($J646&lt;=5,INDEX(VN_국채일별!$D$4:$D$1436,MATCH($B646,VN_국채일별!$A$4:$A$1436,1))+(INDEX(VN_국채일별!$E$4:$E$1436,MATCH($B646,VN_국채일별!$A$4:$A$1436,1))-INDEX(VN_국채일별!$D$4:$D$1436,MATCH($B646,VN_국채일별!$A$4:$A$1436,1)))*($J646-3)/2,IF($J646&lt;=7,INDEX(VN_국채일별!$E$4:$E$1436,MATCH($B646,VN_국채일별!$A$4:$A$1436,1))+(INDEX(VN_국채일별!$F$4:$F$1436,MATCH($B646,VN_국채일별!$A$4:$A$1436,1))-INDEX(VN_국채일별!$E$4:$E$1436,MATCH($B646,VN_국채일별!$A$4:$A$1436,1)))*($J646-5)/2,IF($J646&lt;=10,INDEX(VN_국채일별!$F$4:$F$1436,MATCH($B646,VN_국채일별!$A$4:$A$1436,1))+(INDEX(VN_국채일별!$G$4:$G$1436,MATCH($B646,VN_국채일별!$A$4:$A$1436,1))-INDEX(VN_국채일별!$F$4:$F$1436,MATCH($B646,VN_국채일별!$A$4:$A$1436,1)))*($J646-7)/3,INDEX(VN_국채일별!$G$4:$G$1436,MATCH($B646,VN_국채일별!$A$4:$A$1436,1)))))))),""))</f>
        <v>0.03123</v>
      </c>
      <c r="R646" s="58" t="n">
        <f aca="false">IF(OR(L646="",Q646=""),"",(L646-Q646)*10000)</f>
        <v>447.7</v>
      </c>
      <c r="S646" s="30" t="n">
        <f aca="false">IF(AND(K646="고정",N646="N",J646&gt;=2,J646&lt;=4,I646&lt;&gt;""),1,0)</f>
        <v>1</v>
      </c>
      <c r="T646" s="59" t="n">
        <f aca="false">IF(S646=1,I646*L646,0)</f>
        <v>152</v>
      </c>
      <c r="U646" s="60" t="n">
        <f aca="false">IF(AND(S646=1,ISNUMBER(R646)),I646*R646,0)</f>
        <v>895400</v>
      </c>
      <c r="V646" s="30" t="n">
        <f aca="false">IF(AND(F646="Big4(국영)",K646="고정",N646="N",I646&lt;&gt;""),1,0)</f>
        <v>0</v>
      </c>
      <c r="W646" s="59" t="n">
        <f aca="false">IF(V646=1,I646*L646,0)</f>
        <v>0</v>
      </c>
      <c r="X646" s="60" t="n">
        <f aca="false">IF(AND(V646=1,ISNUMBER(R646)),I646*R646,0)</f>
        <v>0</v>
      </c>
      <c r="Y646" s="61" t="n">
        <f aca="false">IF(AND(S646=1,ISNUMBER(R646)),I646,0)</f>
        <v>2000</v>
      </c>
      <c r="Z646" s="61" t="n">
        <f aca="false">IF(AND(V646=1,ISNUMBER(R646)),I646,0)</f>
        <v>0</v>
      </c>
    </row>
    <row r="647" customFormat="false" ht="15" hidden="false" customHeight="false" outlineLevel="0" collapsed="false">
      <c r="A647" s="47" t="s">
        <v>1073</v>
      </c>
      <c r="B647" s="52" t="n">
        <v>46015</v>
      </c>
      <c r="C647" s="53" t="n">
        <f aca="false">DATE(YEAR(B647),MONTH(B647),1)</f>
        <v>45992</v>
      </c>
      <c r="D647" s="5" t="str">
        <f aca="false">YEAR(B647)&amp;"Q"&amp;ROUNDUP(MONTH(B647)/3,0)</f>
        <v>2025Q4</v>
      </c>
      <c r="E647" s="47" t="s">
        <v>307</v>
      </c>
      <c r="F647" s="54" t="s">
        <v>139</v>
      </c>
      <c r="G647" s="47" t="s">
        <v>308</v>
      </c>
      <c r="H647" s="47" t="s">
        <v>1111</v>
      </c>
      <c r="I647" s="55" t="n">
        <v>500</v>
      </c>
      <c r="J647" s="56" t="n">
        <v>3</v>
      </c>
      <c r="K647" s="54" t="s">
        <v>142</v>
      </c>
      <c r="L647" s="57" t="n">
        <v>0.072</v>
      </c>
      <c r="N647" s="47" t="s">
        <v>148</v>
      </c>
      <c r="O647" s="47" t="s">
        <v>1112</v>
      </c>
      <c r="P647" s="47"/>
      <c r="Q647" s="48" t="n">
        <f aca="false">IF($J647="","",IFERROR(IF($J647&lt;=1,INDEX(VN_국채일별!$B$4:$B$1436,MATCH($B647,VN_국채일별!$A$4:$A$1436,1)),IF($J647&lt;=2,INDEX(VN_국채일별!$B$4:$B$1436,MATCH($B647,VN_국채일별!$A$4:$A$1436,1))+(INDEX(VN_국채일별!$C$4:$C$1436,MATCH($B647,VN_국채일별!$A$4:$A$1436,1))-INDEX(VN_국채일별!$B$4:$B$1436,MATCH($B647,VN_국채일별!$A$4:$A$1436,1)))*($J647-1),IF($J647&lt;=3,INDEX(VN_국채일별!$C$4:$C$1436,MATCH($B647,VN_국채일별!$A$4:$A$1436,1))+(INDEX(VN_국채일별!$D$4:$D$1436,MATCH($B647,VN_국채일별!$A$4:$A$1436,1))-INDEX(VN_국채일별!$C$4:$C$1436,MATCH($B647,VN_국채일별!$A$4:$A$1436,1)))*($J647-2),IF($J647&lt;=5,INDEX(VN_국채일별!$D$4:$D$1436,MATCH($B647,VN_국채일별!$A$4:$A$1436,1))+(INDEX(VN_국채일별!$E$4:$E$1436,MATCH($B647,VN_국채일별!$A$4:$A$1436,1))-INDEX(VN_국채일별!$D$4:$D$1436,MATCH($B647,VN_국채일별!$A$4:$A$1436,1)))*($J647-3)/2,IF($J647&lt;=7,INDEX(VN_국채일별!$E$4:$E$1436,MATCH($B647,VN_국채일별!$A$4:$A$1436,1))+(INDEX(VN_국채일별!$F$4:$F$1436,MATCH($B647,VN_국채일별!$A$4:$A$1436,1))-INDEX(VN_국채일별!$E$4:$E$1436,MATCH($B647,VN_국채일별!$A$4:$A$1436,1)))*($J647-5)/2,IF($J647&lt;=10,INDEX(VN_국채일별!$F$4:$F$1436,MATCH($B647,VN_국채일별!$A$4:$A$1436,1))+(INDEX(VN_국채일별!$G$4:$G$1436,MATCH($B647,VN_국채일별!$A$4:$A$1436,1))-INDEX(VN_국채일별!$F$4:$F$1436,MATCH($B647,VN_국채일별!$A$4:$A$1436,1)))*($J647-7)/3,INDEX(VN_국채일별!$G$4:$G$1436,MATCH($B647,VN_국채일별!$A$4:$A$1436,1)))))))),""))</f>
        <v>0.0318</v>
      </c>
      <c r="R647" s="58" t="n">
        <f aca="false">IF(OR(L647="",Q647=""),"",(L647-Q647)*10000)</f>
        <v>402</v>
      </c>
      <c r="S647" s="30" t="n">
        <f aca="false">IF(AND(K647="고정",N647="N",J647&gt;=2,J647&lt;=4,I647&lt;&gt;""),1,0)</f>
        <v>1</v>
      </c>
      <c r="T647" s="59" t="n">
        <f aca="false">IF(S647=1,I647*L647,0)</f>
        <v>36</v>
      </c>
      <c r="U647" s="60" t="n">
        <f aca="false">IF(AND(S647=1,ISNUMBER(R647)),I647*R647,0)</f>
        <v>201000</v>
      </c>
      <c r="V647" s="30" t="n">
        <f aca="false">IF(AND(F647="Big4(국영)",K647="고정",N647="N",I647&lt;&gt;""),1,0)</f>
        <v>0</v>
      </c>
      <c r="W647" s="59" t="n">
        <f aca="false">IF(V647=1,I647*L647,0)</f>
        <v>0</v>
      </c>
      <c r="X647" s="60" t="n">
        <f aca="false">IF(AND(V647=1,ISNUMBER(R647)),I647*R647,0)</f>
        <v>0</v>
      </c>
      <c r="Y647" s="61" t="n">
        <f aca="false">IF(AND(S647=1,ISNUMBER(R647)),I647,0)</f>
        <v>500</v>
      </c>
      <c r="Z647" s="61" t="n">
        <f aca="false">IF(AND(V647=1,ISNUMBER(R647)),I647,0)</f>
        <v>0</v>
      </c>
    </row>
    <row r="648" customFormat="false" ht="15" hidden="false" customHeight="false" outlineLevel="0" collapsed="false">
      <c r="A648" s="47" t="s">
        <v>1073</v>
      </c>
      <c r="B648" s="52" t="n">
        <v>46015</v>
      </c>
      <c r="C648" s="53" t="n">
        <f aca="false">DATE(YEAR(B648),MONTH(B648),1)</f>
        <v>45992</v>
      </c>
      <c r="D648" s="5" t="str">
        <f aca="false">YEAR(B648)&amp;"Q"&amp;ROUNDUP(MONTH(B648)/3,0)</f>
        <v>2025Q4</v>
      </c>
      <c r="E648" s="47" t="s">
        <v>150</v>
      </c>
      <c r="F648" s="54" t="s">
        <v>139</v>
      </c>
      <c r="G648" s="47" t="s">
        <v>170</v>
      </c>
      <c r="H648" s="47" t="s">
        <v>1113</v>
      </c>
      <c r="I648" s="55" t="n">
        <v>2000</v>
      </c>
      <c r="J648" s="56" t="n">
        <v>2</v>
      </c>
      <c r="K648" s="54" t="s">
        <v>142</v>
      </c>
      <c r="L648" s="57" t="n">
        <v>0.075</v>
      </c>
      <c r="N648" s="47" t="s">
        <v>148</v>
      </c>
      <c r="O648" s="47" t="s">
        <v>404</v>
      </c>
      <c r="P648" s="47"/>
      <c r="Q648" s="48" t="n">
        <f aca="false">IF($J648="","",IFERROR(IF($J648&lt;=1,INDEX(VN_국채일별!$B$4:$B$1436,MATCH($B648,VN_국채일별!$A$4:$A$1436,1)),IF($J648&lt;=2,INDEX(VN_국채일별!$B$4:$B$1436,MATCH($B648,VN_국채일별!$A$4:$A$1436,1))+(INDEX(VN_국채일별!$C$4:$C$1436,MATCH($B648,VN_국채일별!$A$4:$A$1436,1))-INDEX(VN_국채일별!$B$4:$B$1436,MATCH($B648,VN_국채일별!$A$4:$A$1436,1)))*($J648-1),IF($J648&lt;=3,INDEX(VN_국채일별!$C$4:$C$1436,MATCH($B648,VN_국채일별!$A$4:$A$1436,1))+(INDEX(VN_국채일별!$D$4:$D$1436,MATCH($B648,VN_국채일별!$A$4:$A$1436,1))-INDEX(VN_국채일별!$C$4:$C$1436,MATCH($B648,VN_국채일별!$A$4:$A$1436,1)))*($J648-2),IF($J648&lt;=5,INDEX(VN_국채일별!$D$4:$D$1436,MATCH($B648,VN_국채일별!$A$4:$A$1436,1))+(INDEX(VN_국채일별!$E$4:$E$1436,MATCH($B648,VN_국채일별!$A$4:$A$1436,1))-INDEX(VN_국채일별!$D$4:$D$1436,MATCH($B648,VN_국채일별!$A$4:$A$1436,1)))*($J648-3)/2,IF($J648&lt;=7,INDEX(VN_국채일별!$E$4:$E$1436,MATCH($B648,VN_국채일별!$A$4:$A$1436,1))+(INDEX(VN_국채일별!$F$4:$F$1436,MATCH($B648,VN_국채일별!$A$4:$A$1436,1))-INDEX(VN_국채일별!$E$4:$E$1436,MATCH($B648,VN_국채일별!$A$4:$A$1436,1)))*($J648-5)/2,IF($J648&lt;=10,INDEX(VN_국채일별!$F$4:$F$1436,MATCH($B648,VN_국채일별!$A$4:$A$1436,1))+(INDEX(VN_국채일별!$G$4:$G$1436,MATCH($B648,VN_국채일별!$A$4:$A$1436,1))-INDEX(VN_국채일별!$F$4:$F$1436,MATCH($B648,VN_국채일별!$A$4:$A$1436,1)))*($J648-7)/3,INDEX(VN_국채일별!$G$4:$G$1436,MATCH($B648,VN_국채일별!$A$4:$A$1436,1)))))))),""))</f>
        <v>0.03123</v>
      </c>
      <c r="R648" s="58" t="n">
        <f aca="false">IF(OR(L648="",Q648=""),"",(L648-Q648)*10000)</f>
        <v>437.7</v>
      </c>
      <c r="S648" s="30" t="n">
        <f aca="false">IF(AND(K648="고정",N648="N",J648&gt;=2,J648&lt;=4,I648&lt;&gt;""),1,0)</f>
        <v>1</v>
      </c>
      <c r="T648" s="59" t="n">
        <f aca="false">IF(S648=1,I648*L648,0)</f>
        <v>150</v>
      </c>
      <c r="U648" s="60" t="n">
        <f aca="false">IF(AND(S648=1,ISNUMBER(R648)),I648*R648,0)</f>
        <v>875400</v>
      </c>
      <c r="V648" s="30" t="n">
        <f aca="false">IF(AND(F648="Big4(국영)",K648="고정",N648="N",I648&lt;&gt;""),1,0)</f>
        <v>0</v>
      </c>
      <c r="W648" s="59" t="n">
        <f aca="false">IF(V648=1,I648*L648,0)</f>
        <v>0</v>
      </c>
      <c r="X648" s="60" t="n">
        <f aca="false">IF(AND(V648=1,ISNUMBER(R648)),I648*R648,0)</f>
        <v>0</v>
      </c>
      <c r="Y648" s="61" t="n">
        <f aca="false">IF(AND(S648=1,ISNUMBER(R648)),I648,0)</f>
        <v>2000</v>
      </c>
      <c r="Z648" s="61" t="n">
        <f aca="false">IF(AND(V648=1,ISNUMBER(R648)),I648,0)</f>
        <v>0</v>
      </c>
    </row>
    <row r="649" customFormat="false" ht="15" hidden="false" customHeight="false" outlineLevel="0" collapsed="false">
      <c r="A649" s="47" t="s">
        <v>1073</v>
      </c>
      <c r="B649" s="52" t="n">
        <v>46016</v>
      </c>
      <c r="C649" s="53" t="n">
        <f aca="false">DATE(YEAR(B649),MONTH(B649),1)</f>
        <v>45992</v>
      </c>
      <c r="D649" s="5" t="str">
        <f aca="false">YEAR(B649)&amp;"Q"&amp;ROUNDUP(MONTH(B649)/3,0)</f>
        <v>2025Q4</v>
      </c>
      <c r="E649" s="47" t="s">
        <v>248</v>
      </c>
      <c r="F649" s="54" t="s">
        <v>139</v>
      </c>
      <c r="G649" s="47" t="s">
        <v>361</v>
      </c>
      <c r="H649" s="47" t="s">
        <v>1114</v>
      </c>
      <c r="I649" s="55" t="n">
        <v>2000</v>
      </c>
      <c r="J649" s="56" t="n">
        <v>2</v>
      </c>
      <c r="K649" s="54" t="s">
        <v>142</v>
      </c>
      <c r="L649" s="57" t="n">
        <v>0.075</v>
      </c>
      <c r="N649" s="47" t="s">
        <v>148</v>
      </c>
      <c r="O649" s="47" t="s">
        <v>404</v>
      </c>
      <c r="P649" s="47"/>
      <c r="Q649" s="48" t="n">
        <f aca="false">IF($J649="","",IFERROR(IF($J649&lt;=1,INDEX(VN_국채일별!$B$4:$B$1436,MATCH($B649,VN_국채일별!$A$4:$A$1436,1)),IF($J649&lt;=2,INDEX(VN_국채일별!$B$4:$B$1436,MATCH($B649,VN_국채일별!$A$4:$A$1436,1))+(INDEX(VN_국채일별!$C$4:$C$1436,MATCH($B649,VN_국채일별!$A$4:$A$1436,1))-INDEX(VN_국채일별!$B$4:$B$1436,MATCH($B649,VN_국채일별!$A$4:$A$1436,1)))*($J649-1),IF($J649&lt;=3,INDEX(VN_국채일별!$C$4:$C$1436,MATCH($B649,VN_국채일별!$A$4:$A$1436,1))+(INDEX(VN_국채일별!$D$4:$D$1436,MATCH($B649,VN_국채일별!$A$4:$A$1436,1))-INDEX(VN_국채일별!$C$4:$C$1436,MATCH($B649,VN_국채일별!$A$4:$A$1436,1)))*($J649-2),IF($J649&lt;=5,INDEX(VN_국채일별!$D$4:$D$1436,MATCH($B649,VN_국채일별!$A$4:$A$1436,1))+(INDEX(VN_국채일별!$E$4:$E$1436,MATCH($B649,VN_국채일별!$A$4:$A$1436,1))-INDEX(VN_국채일별!$D$4:$D$1436,MATCH($B649,VN_국채일별!$A$4:$A$1436,1)))*($J649-3)/2,IF($J649&lt;=7,INDEX(VN_국채일별!$E$4:$E$1436,MATCH($B649,VN_국채일별!$A$4:$A$1436,1))+(INDEX(VN_국채일별!$F$4:$F$1436,MATCH($B649,VN_국채일별!$A$4:$A$1436,1))-INDEX(VN_국채일별!$E$4:$E$1436,MATCH($B649,VN_국채일별!$A$4:$A$1436,1)))*($J649-5)/2,IF($J649&lt;=10,INDEX(VN_국채일별!$F$4:$F$1436,MATCH($B649,VN_국채일별!$A$4:$A$1436,1))+(INDEX(VN_국채일별!$G$4:$G$1436,MATCH($B649,VN_국채일별!$A$4:$A$1436,1))-INDEX(VN_국채일별!$F$4:$F$1436,MATCH($B649,VN_국채일별!$A$4:$A$1436,1)))*($J649-7)/3,INDEX(VN_국채일별!$G$4:$G$1436,MATCH($B649,VN_국채일별!$A$4:$A$1436,1)))))))),""))</f>
        <v>0.03122</v>
      </c>
      <c r="R649" s="58" t="n">
        <f aca="false">IF(OR(L649="",Q649=""),"",(L649-Q649)*10000)</f>
        <v>437.8</v>
      </c>
      <c r="S649" s="30" t="n">
        <f aca="false">IF(AND(K649="고정",N649="N",J649&gt;=2,J649&lt;=4,I649&lt;&gt;""),1,0)</f>
        <v>1</v>
      </c>
      <c r="T649" s="59" t="n">
        <f aca="false">IF(S649=1,I649*L649,0)</f>
        <v>150</v>
      </c>
      <c r="U649" s="60" t="n">
        <f aca="false">IF(AND(S649=1,ISNUMBER(R649)),I649*R649,0)</f>
        <v>875600</v>
      </c>
      <c r="V649" s="30" t="n">
        <f aca="false">IF(AND(F649="Big4(국영)",K649="고정",N649="N",I649&lt;&gt;""),1,0)</f>
        <v>0</v>
      </c>
      <c r="W649" s="59" t="n">
        <f aca="false">IF(V649=1,I649*L649,0)</f>
        <v>0</v>
      </c>
      <c r="X649" s="60" t="n">
        <f aca="false">IF(AND(V649=1,ISNUMBER(R649)),I649*R649,0)</f>
        <v>0</v>
      </c>
      <c r="Y649" s="61" t="n">
        <f aca="false">IF(AND(S649=1,ISNUMBER(R649)),I649,0)</f>
        <v>2000</v>
      </c>
      <c r="Z649" s="61" t="n">
        <f aca="false">IF(AND(V649=1,ISNUMBER(R649)),I649,0)</f>
        <v>0</v>
      </c>
    </row>
    <row r="650" customFormat="false" ht="15" hidden="false" customHeight="false" outlineLevel="0" collapsed="false">
      <c r="A650" s="47" t="s">
        <v>1115</v>
      </c>
      <c r="B650" s="52" t="n">
        <v>46042</v>
      </c>
      <c r="C650" s="53" t="n">
        <f aca="false">DATE(YEAR(B650),MONTH(B650),1)</f>
        <v>46023</v>
      </c>
      <c r="D650" s="5" t="str">
        <f aca="false">YEAR(B650)&amp;"Q"&amp;ROUNDUP(MONTH(B650)/3,0)</f>
        <v>2026Q1</v>
      </c>
      <c r="E650" s="62" t="s">
        <v>173</v>
      </c>
      <c r="F650" s="62" t="s">
        <v>156</v>
      </c>
      <c r="G650" s="47" t="s">
        <v>174</v>
      </c>
      <c r="H650" s="47" t="s">
        <v>1116</v>
      </c>
      <c r="I650" s="55" t="n">
        <v>2221.5</v>
      </c>
      <c r="J650" s="56" t="n">
        <v>8</v>
      </c>
      <c r="K650" s="54" t="s">
        <v>153</v>
      </c>
      <c r="N650" s="47" t="s">
        <v>143</v>
      </c>
      <c r="O650" s="47" t="s">
        <v>1117</v>
      </c>
      <c r="P650" s="47"/>
      <c r="Q650" s="48" t="n">
        <f aca="false">IF($J650="","",IFERROR(IF($J650&lt;=1,INDEX(VN_국채일별!$B$4:$B$1436,MATCH($B650,VN_국채일별!$A$4:$A$1436,1)),IF($J650&lt;=2,INDEX(VN_국채일별!$B$4:$B$1436,MATCH($B650,VN_국채일별!$A$4:$A$1436,1))+(INDEX(VN_국채일별!$C$4:$C$1436,MATCH($B650,VN_국채일별!$A$4:$A$1436,1))-INDEX(VN_국채일별!$B$4:$B$1436,MATCH($B650,VN_국채일별!$A$4:$A$1436,1)))*($J650-1),IF($J650&lt;=3,INDEX(VN_국채일별!$C$4:$C$1436,MATCH($B650,VN_국채일별!$A$4:$A$1436,1))+(INDEX(VN_국채일별!$D$4:$D$1436,MATCH($B650,VN_국채일별!$A$4:$A$1436,1))-INDEX(VN_국채일별!$C$4:$C$1436,MATCH($B650,VN_국채일별!$A$4:$A$1436,1)))*($J650-2),IF($J650&lt;=5,INDEX(VN_국채일별!$D$4:$D$1436,MATCH($B650,VN_국채일별!$A$4:$A$1436,1))+(INDEX(VN_국채일별!$E$4:$E$1436,MATCH($B650,VN_국채일별!$A$4:$A$1436,1))-INDEX(VN_국채일별!$D$4:$D$1436,MATCH($B650,VN_국채일별!$A$4:$A$1436,1)))*($J650-3)/2,IF($J650&lt;=7,INDEX(VN_국채일별!$E$4:$E$1436,MATCH($B650,VN_국채일별!$A$4:$A$1436,1))+(INDEX(VN_국채일별!$F$4:$F$1436,MATCH($B650,VN_국채일별!$A$4:$A$1436,1))-INDEX(VN_국채일별!$E$4:$E$1436,MATCH($B650,VN_국채일별!$A$4:$A$1436,1)))*($J650-5)/2,IF($J650&lt;=10,INDEX(VN_국채일별!$F$4:$F$1436,MATCH($B650,VN_국채일별!$A$4:$A$1436,1))+(INDEX(VN_국채일별!$G$4:$G$1436,MATCH($B650,VN_국채일별!$A$4:$A$1436,1))-INDEX(VN_국채일별!$F$4:$F$1436,MATCH($B650,VN_국채일별!$A$4:$A$1436,1)))*($J650-7)/3,INDEX(VN_국채일별!$G$4:$G$1436,MATCH($B650,VN_국채일별!$A$4:$A$1436,1)))))))),""))</f>
        <v>0.0393633333333333</v>
      </c>
      <c r="R650" s="58" t="str">
        <f aca="false">IF(OR(L650="",Q650=""),"",(L650-Q650)*10000)</f>
        <v/>
      </c>
      <c r="S650" s="30" t="n">
        <f aca="false">IF(AND(K650="고정",N650="N",J650&gt;=2,J650&lt;=4,I650&lt;&gt;""),1,0)</f>
        <v>0</v>
      </c>
      <c r="T650" s="59" t="n">
        <f aca="false">IF(S650=1,I650*L650,0)</f>
        <v>0</v>
      </c>
      <c r="U650" s="60" t="n">
        <f aca="false">IF(AND(S650=1,ISNUMBER(R650)),I650*R650,0)</f>
        <v>0</v>
      </c>
      <c r="V650" s="30" t="n">
        <f aca="false">IF(AND(F650="Big4(국영)",K650="고정",N650="N",I650&lt;&gt;""),1,0)</f>
        <v>0</v>
      </c>
      <c r="W650" s="59" t="n">
        <f aca="false">IF(V650=1,I650*L650,0)</f>
        <v>0</v>
      </c>
      <c r="X650" s="60" t="n">
        <f aca="false">IF(AND(V650=1,ISNUMBER(R650)),I650*R650,0)</f>
        <v>0</v>
      </c>
      <c r="Y650" s="61" t="n">
        <f aca="false">IF(AND(S650=1,ISNUMBER(R650)),I650,0)</f>
        <v>0</v>
      </c>
      <c r="Z650" s="61" t="n">
        <f aca="false">IF(AND(V650=1,ISNUMBER(R650)),I650,0)</f>
        <v>0</v>
      </c>
    </row>
    <row r="651" customFormat="false" ht="15" hidden="false" customHeight="false" outlineLevel="0" collapsed="false">
      <c r="A651" s="47" t="s">
        <v>1118</v>
      </c>
      <c r="B651" s="52" t="n">
        <v>46056</v>
      </c>
      <c r="C651" s="53" t="n">
        <f aca="false">DATE(YEAR(B651),MONTH(B651),1)</f>
        <v>46054</v>
      </c>
      <c r="D651" s="5" t="str">
        <f aca="false">YEAR(B651)&amp;"Q"&amp;ROUNDUP(MONTH(B651)/3,0)</f>
        <v>2026Q1</v>
      </c>
      <c r="E651" s="62" t="s">
        <v>155</v>
      </c>
      <c r="F651" s="62" t="s">
        <v>156</v>
      </c>
      <c r="G651" s="47" t="s">
        <v>157</v>
      </c>
      <c r="H651" s="47" t="s">
        <v>1119</v>
      </c>
      <c r="I651" s="55" t="n">
        <v>1985.1508</v>
      </c>
      <c r="J651" s="56" t="n">
        <v>7</v>
      </c>
      <c r="K651" s="54" t="s">
        <v>153</v>
      </c>
      <c r="N651" s="47" t="s">
        <v>143</v>
      </c>
      <c r="O651" s="47" t="s">
        <v>1120</v>
      </c>
      <c r="P651" s="47"/>
      <c r="Q651" s="48" t="n">
        <f aca="false">IF($J651="","",IFERROR(IF($J651&lt;=1,INDEX(VN_국채일별!$B$4:$B$1436,MATCH($B651,VN_국채일별!$A$4:$A$1436,1)),IF($J651&lt;=2,INDEX(VN_국채일별!$B$4:$B$1436,MATCH($B651,VN_국채일별!$A$4:$A$1436,1))+(INDEX(VN_국채일별!$C$4:$C$1436,MATCH($B651,VN_국채일별!$A$4:$A$1436,1))-INDEX(VN_국채일별!$B$4:$B$1436,MATCH($B651,VN_국채일별!$A$4:$A$1436,1)))*($J651-1),IF($J651&lt;=3,INDEX(VN_국채일별!$C$4:$C$1436,MATCH($B651,VN_국채일별!$A$4:$A$1436,1))+(INDEX(VN_국채일별!$D$4:$D$1436,MATCH($B651,VN_국채일별!$A$4:$A$1436,1))-INDEX(VN_국채일별!$C$4:$C$1436,MATCH($B651,VN_국채일별!$A$4:$A$1436,1)))*($J651-2),IF($J651&lt;=5,INDEX(VN_국채일별!$D$4:$D$1436,MATCH($B651,VN_국채일별!$A$4:$A$1436,1))+(INDEX(VN_국채일별!$E$4:$E$1436,MATCH($B651,VN_국채일별!$A$4:$A$1436,1))-INDEX(VN_국채일별!$D$4:$D$1436,MATCH($B651,VN_국채일별!$A$4:$A$1436,1)))*($J651-3)/2,IF($J651&lt;=7,INDEX(VN_국채일별!$E$4:$E$1436,MATCH($B651,VN_국채일별!$A$4:$A$1436,1))+(INDEX(VN_국채일별!$F$4:$F$1436,MATCH($B651,VN_국채일별!$A$4:$A$1436,1))-INDEX(VN_국채일별!$E$4:$E$1436,MATCH($B651,VN_국채일별!$A$4:$A$1436,1)))*($J651-5)/2,IF($J651&lt;=10,INDEX(VN_국채일별!$F$4:$F$1436,MATCH($B651,VN_국채일별!$A$4:$A$1436,1))+(INDEX(VN_국채일별!$G$4:$G$1436,MATCH($B651,VN_국채일별!$A$4:$A$1436,1))-INDEX(VN_국채일별!$F$4:$F$1436,MATCH($B651,VN_국채일별!$A$4:$A$1436,1)))*($J651-7)/3,INDEX(VN_국채일별!$G$4:$G$1436,MATCH($B651,VN_국채일별!$A$4:$A$1436,1)))))))),""))</f>
        <v>0.03913</v>
      </c>
      <c r="R651" s="58" t="str">
        <f aca="false">IF(OR(L651="",Q651=""),"",(L651-Q651)*10000)</f>
        <v/>
      </c>
      <c r="S651" s="30" t="n">
        <f aca="false">IF(AND(K651="고정",N651="N",J651&gt;=2,J651&lt;=4,I651&lt;&gt;""),1,0)</f>
        <v>0</v>
      </c>
      <c r="T651" s="59" t="n">
        <f aca="false">IF(S651=1,I651*L651,0)</f>
        <v>0</v>
      </c>
      <c r="U651" s="60" t="n">
        <f aca="false">IF(AND(S651=1,ISNUMBER(R651)),I651*R651,0)</f>
        <v>0</v>
      </c>
      <c r="V651" s="30" t="n">
        <f aca="false">IF(AND(F651="Big4(국영)",K651="고정",N651="N",I651&lt;&gt;""),1,0)</f>
        <v>0</v>
      </c>
      <c r="W651" s="59" t="n">
        <f aca="false">IF(V651=1,I651*L651,0)</f>
        <v>0</v>
      </c>
      <c r="X651" s="60" t="n">
        <f aca="false">IF(AND(V651=1,ISNUMBER(R651)),I651*R651,0)</f>
        <v>0</v>
      </c>
      <c r="Y651" s="61" t="n">
        <f aca="false">IF(AND(S651=1,ISNUMBER(R651)),I651,0)</f>
        <v>0</v>
      </c>
      <c r="Z651" s="61" t="n">
        <f aca="false">IF(AND(V651=1,ISNUMBER(R651)),I651,0)</f>
        <v>0</v>
      </c>
    </row>
    <row r="652" customFormat="false" ht="15" hidden="false" customHeight="false" outlineLevel="0" collapsed="false">
      <c r="A652" s="47" t="s">
        <v>1118</v>
      </c>
      <c r="B652" s="52" t="n">
        <v>46056</v>
      </c>
      <c r="C652" s="53" t="n">
        <f aca="false">DATE(YEAR(B652),MONTH(B652),1)</f>
        <v>46054</v>
      </c>
      <c r="D652" s="5" t="str">
        <f aca="false">YEAR(B652)&amp;"Q"&amp;ROUNDUP(MONTH(B652)/3,0)</f>
        <v>2026Q1</v>
      </c>
      <c r="E652" s="62" t="s">
        <v>155</v>
      </c>
      <c r="F652" s="62" t="s">
        <v>156</v>
      </c>
      <c r="G652" s="47" t="s">
        <v>157</v>
      </c>
      <c r="H652" s="47" t="s">
        <v>1121</v>
      </c>
      <c r="I652" s="55" t="n">
        <v>1000</v>
      </c>
      <c r="J652" s="56" t="n">
        <v>8</v>
      </c>
      <c r="K652" s="54" t="s">
        <v>153</v>
      </c>
      <c r="N652" s="47" t="s">
        <v>143</v>
      </c>
      <c r="O652" s="47" t="s">
        <v>1122</v>
      </c>
      <c r="P652" s="47"/>
      <c r="Q652" s="48" t="n">
        <f aca="false">IF($J652="","",IFERROR(IF($J652&lt;=1,INDEX(VN_국채일별!$B$4:$B$1436,MATCH($B652,VN_국채일별!$A$4:$A$1436,1)),IF($J652&lt;=2,INDEX(VN_국채일별!$B$4:$B$1436,MATCH($B652,VN_국채일별!$A$4:$A$1436,1))+(INDEX(VN_국채일별!$C$4:$C$1436,MATCH($B652,VN_국채일별!$A$4:$A$1436,1))-INDEX(VN_국채일별!$B$4:$B$1436,MATCH($B652,VN_국채일별!$A$4:$A$1436,1)))*($J652-1),IF($J652&lt;=3,INDEX(VN_국채일별!$C$4:$C$1436,MATCH($B652,VN_국채일별!$A$4:$A$1436,1))+(INDEX(VN_국채일별!$D$4:$D$1436,MATCH($B652,VN_국채일별!$A$4:$A$1436,1))-INDEX(VN_국채일별!$C$4:$C$1436,MATCH($B652,VN_국채일별!$A$4:$A$1436,1)))*($J652-2),IF($J652&lt;=5,INDEX(VN_국채일별!$D$4:$D$1436,MATCH($B652,VN_국채일별!$A$4:$A$1436,1))+(INDEX(VN_국채일별!$E$4:$E$1436,MATCH($B652,VN_국채일별!$A$4:$A$1436,1))-INDEX(VN_국채일별!$D$4:$D$1436,MATCH($B652,VN_국채일별!$A$4:$A$1436,1)))*($J652-3)/2,IF($J652&lt;=7,INDEX(VN_국채일별!$E$4:$E$1436,MATCH($B652,VN_국채일별!$A$4:$A$1436,1))+(INDEX(VN_국채일별!$F$4:$F$1436,MATCH($B652,VN_국채일별!$A$4:$A$1436,1))-INDEX(VN_국채일별!$E$4:$E$1436,MATCH($B652,VN_국채일별!$A$4:$A$1436,1)))*($J652-5)/2,IF($J652&lt;=10,INDEX(VN_국채일별!$F$4:$F$1436,MATCH($B652,VN_국채일별!$A$4:$A$1436,1))+(INDEX(VN_국채일별!$G$4:$G$1436,MATCH($B652,VN_국채일별!$A$4:$A$1436,1))-INDEX(VN_국채일별!$F$4:$F$1436,MATCH($B652,VN_국채일별!$A$4:$A$1436,1)))*($J652-7)/3,INDEX(VN_국채일별!$G$4:$G$1436,MATCH($B652,VN_국채일별!$A$4:$A$1436,1)))))))),""))</f>
        <v>0.0400966666666667</v>
      </c>
      <c r="R652" s="58" t="str">
        <f aca="false">IF(OR(L652="",Q652=""),"",(L652-Q652)*10000)</f>
        <v/>
      </c>
      <c r="S652" s="30" t="n">
        <f aca="false">IF(AND(K652="고정",N652="N",J652&gt;=2,J652&lt;=4,I652&lt;&gt;""),1,0)</f>
        <v>0</v>
      </c>
      <c r="T652" s="59" t="n">
        <f aca="false">IF(S652=1,I652*L652,0)</f>
        <v>0</v>
      </c>
      <c r="U652" s="60" t="n">
        <f aca="false">IF(AND(S652=1,ISNUMBER(R652)),I652*R652,0)</f>
        <v>0</v>
      </c>
      <c r="V652" s="30" t="n">
        <f aca="false">IF(AND(F652="Big4(국영)",K652="고정",N652="N",I652&lt;&gt;""),1,0)</f>
        <v>0</v>
      </c>
      <c r="W652" s="59" t="n">
        <f aca="false">IF(V652=1,I652*L652,0)</f>
        <v>0</v>
      </c>
      <c r="X652" s="60" t="n">
        <f aca="false">IF(AND(V652=1,ISNUMBER(R652)),I652*R652,0)</f>
        <v>0</v>
      </c>
      <c r="Y652" s="61" t="n">
        <f aca="false">IF(AND(S652=1,ISNUMBER(R652)),I652,0)</f>
        <v>0</v>
      </c>
      <c r="Z652" s="61" t="n">
        <f aca="false">IF(AND(V652=1,ISNUMBER(R652)),I652,0)</f>
        <v>0</v>
      </c>
    </row>
    <row r="653" customFormat="false" ht="15" hidden="false" customHeight="false" outlineLevel="0" collapsed="false">
      <c r="A653" s="47" t="s">
        <v>1118</v>
      </c>
      <c r="B653" s="52" t="n">
        <v>46056</v>
      </c>
      <c r="C653" s="53" t="n">
        <f aca="false">DATE(YEAR(B653),MONTH(B653),1)</f>
        <v>46054</v>
      </c>
      <c r="D653" s="5" t="str">
        <f aca="false">YEAR(B653)&amp;"Q"&amp;ROUNDUP(MONTH(B653)/3,0)</f>
        <v>2026Q1</v>
      </c>
      <c r="E653" s="62" t="s">
        <v>155</v>
      </c>
      <c r="F653" s="62" t="s">
        <v>156</v>
      </c>
      <c r="G653" s="47" t="s">
        <v>157</v>
      </c>
      <c r="H653" s="47" t="s">
        <v>1123</v>
      </c>
      <c r="I653" s="55" t="n">
        <v>316.0253</v>
      </c>
      <c r="J653" s="56" t="n">
        <v>10</v>
      </c>
      <c r="K653" s="54" t="s">
        <v>153</v>
      </c>
      <c r="N653" s="47" t="s">
        <v>143</v>
      </c>
      <c r="O653" s="47" t="s">
        <v>1124</v>
      </c>
      <c r="P653" s="47"/>
      <c r="Q653" s="48" t="n">
        <f aca="false">IF($J653="","",IFERROR(IF($J653&lt;=1,INDEX(VN_국채일별!$B$4:$B$1436,MATCH($B653,VN_국채일별!$A$4:$A$1436,1)),IF($J653&lt;=2,INDEX(VN_국채일별!$B$4:$B$1436,MATCH($B653,VN_국채일별!$A$4:$A$1436,1))+(INDEX(VN_국채일별!$C$4:$C$1436,MATCH($B653,VN_국채일별!$A$4:$A$1436,1))-INDEX(VN_국채일별!$B$4:$B$1436,MATCH($B653,VN_국채일별!$A$4:$A$1436,1)))*($J653-1),IF($J653&lt;=3,INDEX(VN_국채일별!$C$4:$C$1436,MATCH($B653,VN_국채일별!$A$4:$A$1436,1))+(INDEX(VN_국채일별!$D$4:$D$1436,MATCH($B653,VN_국채일별!$A$4:$A$1436,1))-INDEX(VN_국채일별!$C$4:$C$1436,MATCH($B653,VN_국채일별!$A$4:$A$1436,1)))*($J653-2),IF($J653&lt;=5,INDEX(VN_국채일별!$D$4:$D$1436,MATCH($B653,VN_국채일별!$A$4:$A$1436,1))+(INDEX(VN_국채일별!$E$4:$E$1436,MATCH($B653,VN_국채일별!$A$4:$A$1436,1))-INDEX(VN_국채일별!$D$4:$D$1436,MATCH($B653,VN_국채일별!$A$4:$A$1436,1)))*($J653-3)/2,IF($J653&lt;=7,INDEX(VN_국채일별!$E$4:$E$1436,MATCH($B653,VN_국채일별!$A$4:$A$1436,1))+(INDEX(VN_국채일별!$F$4:$F$1436,MATCH($B653,VN_국채일별!$A$4:$A$1436,1))-INDEX(VN_국채일별!$E$4:$E$1436,MATCH($B653,VN_국채일별!$A$4:$A$1436,1)))*($J653-5)/2,IF($J653&lt;=10,INDEX(VN_국채일별!$F$4:$F$1436,MATCH($B653,VN_국채일별!$A$4:$A$1436,1))+(INDEX(VN_국채일별!$G$4:$G$1436,MATCH($B653,VN_국채일별!$A$4:$A$1436,1))-INDEX(VN_국채일별!$F$4:$F$1436,MATCH($B653,VN_국채일별!$A$4:$A$1436,1)))*($J653-7)/3,INDEX(VN_국채일별!$G$4:$G$1436,MATCH($B653,VN_국채일별!$A$4:$A$1436,1)))))))),""))</f>
        <v>0.04203</v>
      </c>
      <c r="R653" s="58" t="str">
        <f aca="false">IF(OR(L653="",Q653=""),"",(L653-Q653)*10000)</f>
        <v/>
      </c>
      <c r="S653" s="30" t="n">
        <f aca="false">IF(AND(K653="고정",N653="N",J653&gt;=2,J653&lt;=4,I653&lt;&gt;""),1,0)</f>
        <v>0</v>
      </c>
      <c r="T653" s="59" t="n">
        <f aca="false">IF(S653=1,I653*L653,0)</f>
        <v>0</v>
      </c>
      <c r="U653" s="60" t="n">
        <f aca="false">IF(AND(S653=1,ISNUMBER(R653)),I653*R653,0)</f>
        <v>0</v>
      </c>
      <c r="V653" s="30" t="n">
        <f aca="false">IF(AND(F653="Big4(국영)",K653="고정",N653="N",I653&lt;&gt;""),1,0)</f>
        <v>0</v>
      </c>
      <c r="W653" s="59" t="n">
        <f aca="false">IF(V653=1,I653*L653,0)</f>
        <v>0</v>
      </c>
      <c r="X653" s="60" t="n">
        <f aca="false">IF(AND(V653=1,ISNUMBER(R653)),I653*R653,0)</f>
        <v>0</v>
      </c>
      <c r="Y653" s="61" t="n">
        <f aca="false">IF(AND(S653=1,ISNUMBER(R653)),I653,0)</f>
        <v>0</v>
      </c>
      <c r="Z653" s="61" t="n">
        <f aca="false">IF(AND(V653=1,ISNUMBER(R653)),I653,0)</f>
        <v>0</v>
      </c>
    </row>
    <row r="654" customFormat="false" ht="15" hidden="false" customHeight="false" outlineLevel="0" collapsed="false">
      <c r="A654" s="47" t="s">
        <v>1125</v>
      </c>
      <c r="B654" s="52" t="n">
        <v>46101</v>
      </c>
      <c r="C654" s="53" t="n">
        <f aca="false">DATE(YEAR(B654),MONTH(B654),1)</f>
        <v>46082</v>
      </c>
      <c r="D654" s="5" t="str">
        <f aca="false">YEAR(B654)&amp;"Q"&amp;ROUNDUP(MONTH(B654)/3,0)</f>
        <v>2026Q1</v>
      </c>
      <c r="E654" s="47" t="s">
        <v>248</v>
      </c>
      <c r="F654" s="54" t="s">
        <v>139</v>
      </c>
      <c r="G654" s="47" t="s">
        <v>361</v>
      </c>
      <c r="H654" s="47" t="s">
        <v>1126</v>
      </c>
      <c r="I654" s="55" t="n">
        <v>2282.2</v>
      </c>
      <c r="J654" s="56" t="n">
        <v>7</v>
      </c>
      <c r="K654" s="54" t="s">
        <v>153</v>
      </c>
      <c r="N654" s="47" t="s">
        <v>143</v>
      </c>
      <c r="O654" s="47" t="s">
        <v>1041</v>
      </c>
      <c r="P654" s="47"/>
      <c r="Q654" s="48" t="n">
        <f aca="false">IF($J654="","",IFERROR(IF($J654&lt;=1,INDEX(VN_국채일별!$B$4:$B$1436,MATCH($B654,VN_국채일별!$A$4:$A$1436,1)),IF($J654&lt;=2,INDEX(VN_국채일별!$B$4:$B$1436,MATCH($B654,VN_국채일별!$A$4:$A$1436,1))+(INDEX(VN_국채일별!$C$4:$C$1436,MATCH($B654,VN_국채일별!$A$4:$A$1436,1))-INDEX(VN_국채일별!$B$4:$B$1436,MATCH($B654,VN_국채일별!$A$4:$A$1436,1)))*($J654-1),IF($J654&lt;=3,INDEX(VN_국채일별!$C$4:$C$1436,MATCH($B654,VN_국채일별!$A$4:$A$1436,1))+(INDEX(VN_국채일별!$D$4:$D$1436,MATCH($B654,VN_국채일별!$A$4:$A$1436,1))-INDEX(VN_국채일별!$C$4:$C$1436,MATCH($B654,VN_국채일별!$A$4:$A$1436,1)))*($J654-2),IF($J654&lt;=5,INDEX(VN_국채일별!$D$4:$D$1436,MATCH($B654,VN_국채일별!$A$4:$A$1436,1))+(INDEX(VN_국채일별!$E$4:$E$1436,MATCH($B654,VN_국채일별!$A$4:$A$1436,1))-INDEX(VN_국채일별!$D$4:$D$1436,MATCH($B654,VN_국채일별!$A$4:$A$1436,1)))*($J654-3)/2,IF($J654&lt;=7,INDEX(VN_국채일별!$E$4:$E$1436,MATCH($B654,VN_국채일별!$A$4:$A$1436,1))+(INDEX(VN_국채일별!$F$4:$F$1436,MATCH($B654,VN_국채일별!$A$4:$A$1436,1))-INDEX(VN_국채일별!$E$4:$E$1436,MATCH($B654,VN_국채일별!$A$4:$A$1436,1)))*($J654-5)/2,IF($J654&lt;=10,INDEX(VN_국채일별!$F$4:$F$1436,MATCH($B654,VN_국채일별!$A$4:$A$1436,1))+(INDEX(VN_국채일별!$G$4:$G$1436,MATCH($B654,VN_국채일별!$A$4:$A$1436,1))-INDEX(VN_국채일별!$F$4:$F$1436,MATCH($B654,VN_국채일별!$A$4:$A$1436,1)))*($J654-7)/3,INDEX(VN_국채일별!$G$4:$G$1436,MATCH($B654,VN_국채일별!$A$4:$A$1436,1)))))))),""))</f>
        <v>0.04228</v>
      </c>
      <c r="R654" s="58" t="str">
        <f aca="false">IF(OR(L654="",Q654=""),"",(L654-Q654)*10000)</f>
        <v/>
      </c>
      <c r="S654" s="30" t="n">
        <f aca="false">IF(AND(K654="고정",N654="N",J654&gt;=2,J654&lt;=4,I654&lt;&gt;""),1,0)</f>
        <v>0</v>
      </c>
      <c r="T654" s="59" t="n">
        <f aca="false">IF(S654=1,I654*L654,0)</f>
        <v>0</v>
      </c>
      <c r="U654" s="60" t="n">
        <f aca="false">IF(AND(S654=1,ISNUMBER(R654)),I654*R654,0)</f>
        <v>0</v>
      </c>
      <c r="V654" s="30" t="n">
        <f aca="false">IF(AND(F654="Big4(국영)",K654="고정",N654="N",I654&lt;&gt;""),1,0)</f>
        <v>0</v>
      </c>
      <c r="W654" s="59" t="n">
        <f aca="false">IF(V654=1,I654*L654,0)</f>
        <v>0</v>
      </c>
      <c r="X654" s="60" t="n">
        <f aca="false">IF(AND(V654=1,ISNUMBER(R654)),I654*R654,0)</f>
        <v>0</v>
      </c>
      <c r="Y654" s="61" t="n">
        <f aca="false">IF(AND(S654=1,ISNUMBER(R654)),I654,0)</f>
        <v>0</v>
      </c>
      <c r="Z654" s="61" t="n">
        <f aca="false">IF(AND(V654=1,ISNUMBER(R654)),I654,0)</f>
        <v>0</v>
      </c>
    </row>
    <row r="655" customFormat="false" ht="15" hidden="false" customHeight="false" outlineLevel="0" collapsed="false">
      <c r="A655" s="47" t="s">
        <v>1125</v>
      </c>
      <c r="B655" s="52" t="n">
        <v>46101</v>
      </c>
      <c r="C655" s="53" t="n">
        <f aca="false">DATE(YEAR(B655),MONTH(B655),1)</f>
        <v>46082</v>
      </c>
      <c r="D655" s="5" t="str">
        <f aca="false">YEAR(B655)&amp;"Q"&amp;ROUNDUP(MONTH(B655)/3,0)</f>
        <v>2026Q1</v>
      </c>
      <c r="E655" s="47" t="s">
        <v>248</v>
      </c>
      <c r="F655" s="54" t="s">
        <v>139</v>
      </c>
      <c r="G655" s="47" t="s">
        <v>361</v>
      </c>
      <c r="H655" s="47" t="s">
        <v>1127</v>
      </c>
      <c r="I655" s="55" t="n">
        <v>2412.4</v>
      </c>
      <c r="J655" s="56" t="n">
        <v>8</v>
      </c>
      <c r="K655" s="54" t="s">
        <v>153</v>
      </c>
      <c r="N655" s="47" t="s">
        <v>143</v>
      </c>
      <c r="O655" s="47" t="s">
        <v>1063</v>
      </c>
      <c r="P655" s="47"/>
      <c r="Q655" s="48" t="n">
        <f aca="false">IF($J655="","",IFERROR(IF($J655&lt;=1,INDEX(VN_국채일별!$B$4:$B$1436,MATCH($B655,VN_국채일별!$A$4:$A$1436,1)),IF($J655&lt;=2,INDEX(VN_국채일별!$B$4:$B$1436,MATCH($B655,VN_국채일별!$A$4:$A$1436,1))+(INDEX(VN_국채일별!$C$4:$C$1436,MATCH($B655,VN_국채일별!$A$4:$A$1436,1))-INDEX(VN_국채일별!$B$4:$B$1436,MATCH($B655,VN_국채일별!$A$4:$A$1436,1)))*($J655-1),IF($J655&lt;=3,INDEX(VN_국채일별!$C$4:$C$1436,MATCH($B655,VN_국채일별!$A$4:$A$1436,1))+(INDEX(VN_국채일별!$D$4:$D$1436,MATCH($B655,VN_국채일별!$A$4:$A$1436,1))-INDEX(VN_국채일별!$C$4:$C$1436,MATCH($B655,VN_국채일별!$A$4:$A$1436,1)))*($J655-2),IF($J655&lt;=5,INDEX(VN_국채일별!$D$4:$D$1436,MATCH($B655,VN_국채일별!$A$4:$A$1436,1))+(INDEX(VN_국채일별!$E$4:$E$1436,MATCH($B655,VN_국채일별!$A$4:$A$1436,1))-INDEX(VN_국채일별!$D$4:$D$1436,MATCH($B655,VN_국채일별!$A$4:$A$1436,1)))*($J655-3)/2,IF($J655&lt;=7,INDEX(VN_국채일별!$E$4:$E$1436,MATCH($B655,VN_국채일별!$A$4:$A$1436,1))+(INDEX(VN_국채일별!$F$4:$F$1436,MATCH($B655,VN_국채일별!$A$4:$A$1436,1))-INDEX(VN_국채일별!$E$4:$E$1436,MATCH($B655,VN_국채일별!$A$4:$A$1436,1)))*($J655-5)/2,IF($J655&lt;=10,INDEX(VN_국채일별!$F$4:$F$1436,MATCH($B655,VN_국채일별!$A$4:$A$1436,1))+(INDEX(VN_국채일별!$G$4:$G$1436,MATCH($B655,VN_국채일별!$A$4:$A$1436,1))-INDEX(VN_국채일별!$F$4:$F$1436,MATCH($B655,VN_국채일별!$A$4:$A$1436,1)))*($J655-7)/3,INDEX(VN_국채일별!$G$4:$G$1436,MATCH($B655,VN_국채일별!$A$4:$A$1436,1)))))))),""))</f>
        <v>0.04269</v>
      </c>
      <c r="R655" s="58" t="str">
        <f aca="false">IF(OR(L655="",Q655=""),"",(L655-Q655)*10000)</f>
        <v/>
      </c>
      <c r="S655" s="30" t="n">
        <f aca="false">IF(AND(K655="고정",N655="N",J655&gt;=2,J655&lt;=4,I655&lt;&gt;""),1,0)</f>
        <v>0</v>
      </c>
      <c r="T655" s="59" t="n">
        <f aca="false">IF(S655=1,I655*L655,0)</f>
        <v>0</v>
      </c>
      <c r="U655" s="60" t="n">
        <f aca="false">IF(AND(S655=1,ISNUMBER(R655)),I655*R655,0)</f>
        <v>0</v>
      </c>
      <c r="V655" s="30" t="n">
        <f aca="false">IF(AND(F655="Big4(국영)",K655="고정",N655="N",I655&lt;&gt;""),1,0)</f>
        <v>0</v>
      </c>
      <c r="W655" s="59" t="n">
        <f aca="false">IF(V655=1,I655*L655,0)</f>
        <v>0</v>
      </c>
      <c r="X655" s="60" t="n">
        <f aca="false">IF(AND(V655=1,ISNUMBER(R655)),I655*R655,0)</f>
        <v>0</v>
      </c>
      <c r="Y655" s="61" t="n">
        <f aca="false">IF(AND(S655=1,ISNUMBER(R655)),I655,0)</f>
        <v>0</v>
      </c>
      <c r="Z655" s="61" t="n">
        <f aca="false">IF(AND(V655=1,ISNUMBER(R655)),I655,0)</f>
        <v>0</v>
      </c>
    </row>
    <row r="656" customFormat="false" ht="15" hidden="false" customHeight="false" outlineLevel="0" collapsed="false">
      <c r="A656" s="47" t="s">
        <v>1128</v>
      </c>
      <c r="B656" s="52" t="n">
        <v>46118</v>
      </c>
      <c r="C656" s="53" t="n">
        <f aca="false">DATE(YEAR(B656),MONTH(B656),1)</f>
        <v>46113</v>
      </c>
      <c r="D656" s="5" t="str">
        <f aca="false">YEAR(B656)&amp;"Q"&amp;ROUNDUP(MONTH(B656)/3,0)</f>
        <v>2026Q2</v>
      </c>
      <c r="E656" s="47" t="s">
        <v>196</v>
      </c>
      <c r="F656" s="54" t="s">
        <v>139</v>
      </c>
      <c r="G656" s="47" t="s">
        <v>673</v>
      </c>
      <c r="H656" s="47" t="s">
        <v>1129</v>
      </c>
      <c r="I656" s="55" t="n">
        <v>1000</v>
      </c>
      <c r="J656" s="56" t="n">
        <v>3</v>
      </c>
      <c r="K656" s="54" t="s">
        <v>142</v>
      </c>
      <c r="L656" s="57" t="n">
        <v>0.08</v>
      </c>
      <c r="N656" s="47" t="s">
        <v>148</v>
      </c>
      <c r="O656" s="47" t="s">
        <v>1130</v>
      </c>
      <c r="P656" s="47"/>
      <c r="Q656" s="48" t="n">
        <f aca="false">IF($J656="","",IFERROR(IF($J656&lt;=1,INDEX(VN_국채일별!$B$4:$B$1436,MATCH($B656,VN_국채일별!$A$4:$A$1436,1)),IF($J656&lt;=2,INDEX(VN_국채일별!$B$4:$B$1436,MATCH($B656,VN_국채일별!$A$4:$A$1436,1))+(INDEX(VN_국채일별!$C$4:$C$1436,MATCH($B656,VN_국채일별!$A$4:$A$1436,1))-INDEX(VN_국채일별!$B$4:$B$1436,MATCH($B656,VN_국채일별!$A$4:$A$1436,1)))*($J656-1),IF($J656&lt;=3,INDEX(VN_국채일별!$C$4:$C$1436,MATCH($B656,VN_국채일별!$A$4:$A$1436,1))+(INDEX(VN_국채일별!$D$4:$D$1436,MATCH($B656,VN_국채일별!$A$4:$A$1436,1))-INDEX(VN_국채일별!$C$4:$C$1436,MATCH($B656,VN_국채일별!$A$4:$A$1436,1)))*($J656-2),IF($J656&lt;=5,INDEX(VN_국채일별!$D$4:$D$1436,MATCH($B656,VN_국채일별!$A$4:$A$1436,1))+(INDEX(VN_국채일별!$E$4:$E$1436,MATCH($B656,VN_국채일별!$A$4:$A$1436,1))-INDEX(VN_국채일별!$D$4:$D$1436,MATCH($B656,VN_국채일별!$A$4:$A$1436,1)))*($J656-3)/2,IF($J656&lt;=7,INDEX(VN_국채일별!$E$4:$E$1436,MATCH($B656,VN_국채일별!$A$4:$A$1436,1))+(INDEX(VN_국채일별!$F$4:$F$1436,MATCH($B656,VN_국채일별!$A$4:$A$1436,1))-INDEX(VN_국채일별!$E$4:$E$1436,MATCH($B656,VN_국채일별!$A$4:$A$1436,1)))*($J656-5)/2,IF($J656&lt;=10,INDEX(VN_국채일별!$F$4:$F$1436,MATCH($B656,VN_국채일별!$A$4:$A$1436,1))+(INDEX(VN_국채일별!$G$4:$G$1436,MATCH($B656,VN_국채일별!$A$4:$A$1436,1))-INDEX(VN_국채일별!$F$4:$F$1436,MATCH($B656,VN_국채일별!$A$4:$A$1436,1)))*($J656-7)/3,INDEX(VN_국채일별!$G$4:$G$1436,MATCH($B656,VN_국채일별!$A$4:$A$1436,1)))))))),""))</f>
        <v>0.03542</v>
      </c>
      <c r="R656" s="58" t="n">
        <f aca="false">IF(OR(L656="",Q656=""),"",(L656-Q656)*10000)</f>
        <v>445.8</v>
      </c>
      <c r="S656" s="30" t="n">
        <f aca="false">IF(AND(K656="고정",N656="N",J656&gt;=2,J656&lt;=4,I656&lt;&gt;""),1,0)</f>
        <v>1</v>
      </c>
      <c r="T656" s="59" t="n">
        <f aca="false">IF(S656=1,I656*L656,0)</f>
        <v>80</v>
      </c>
      <c r="U656" s="60" t="n">
        <f aca="false">IF(AND(S656=1,ISNUMBER(R656)),I656*R656,0)</f>
        <v>445800</v>
      </c>
      <c r="V656" s="30" t="n">
        <f aca="false">IF(AND(F656="Big4(국영)",K656="고정",N656="N",I656&lt;&gt;""),1,0)</f>
        <v>0</v>
      </c>
      <c r="W656" s="59" t="n">
        <f aca="false">IF(V656=1,I656*L656,0)</f>
        <v>0</v>
      </c>
      <c r="X656" s="60" t="n">
        <f aca="false">IF(AND(V656=1,ISNUMBER(R656)),I656*R656,0)</f>
        <v>0</v>
      </c>
      <c r="Y656" s="61" t="n">
        <f aca="false">IF(AND(S656=1,ISNUMBER(R656)),I656,0)</f>
        <v>1000</v>
      </c>
      <c r="Z656" s="61" t="n">
        <f aca="false">IF(AND(V656=1,ISNUMBER(R656)),I656,0)</f>
        <v>0</v>
      </c>
    </row>
    <row r="657" customFormat="false" ht="15" hidden="false" customHeight="false" outlineLevel="0" collapsed="false">
      <c r="A657" s="47" t="s">
        <v>1128</v>
      </c>
      <c r="B657" s="52" t="n">
        <v>46127</v>
      </c>
      <c r="C657" s="53" t="n">
        <f aca="false">DATE(YEAR(B657),MONTH(B657),1)</f>
        <v>46113</v>
      </c>
      <c r="D657" s="5" t="str">
        <f aca="false">YEAR(B657)&amp;"Q"&amp;ROUNDUP(MONTH(B657)/3,0)</f>
        <v>2026Q2</v>
      </c>
      <c r="E657" s="47" t="s">
        <v>215</v>
      </c>
      <c r="F657" s="54" t="s">
        <v>139</v>
      </c>
      <c r="G657" s="47" t="s">
        <v>1131</v>
      </c>
      <c r="H657" s="47" t="s">
        <v>1132</v>
      </c>
      <c r="I657" s="55" t="n">
        <v>400</v>
      </c>
      <c r="J657" s="56" t="n">
        <v>7</v>
      </c>
      <c r="K657" s="54" t="s">
        <v>153</v>
      </c>
      <c r="N657" s="47" t="s">
        <v>143</v>
      </c>
      <c r="O657" s="47" t="s">
        <v>1133</v>
      </c>
      <c r="P657" s="47"/>
      <c r="Q657" s="48" t="n">
        <f aca="false">IF($J657="","",IFERROR(IF($J657&lt;=1,INDEX(VN_국채일별!$B$4:$B$1436,MATCH($B657,VN_국채일별!$A$4:$A$1436,1)),IF($J657&lt;=2,INDEX(VN_국채일별!$B$4:$B$1436,MATCH($B657,VN_국채일별!$A$4:$A$1436,1))+(INDEX(VN_국채일별!$C$4:$C$1436,MATCH($B657,VN_국채일별!$A$4:$A$1436,1))-INDEX(VN_국채일별!$B$4:$B$1436,MATCH($B657,VN_국채일별!$A$4:$A$1436,1)))*($J657-1),IF($J657&lt;=3,INDEX(VN_국채일별!$C$4:$C$1436,MATCH($B657,VN_국채일별!$A$4:$A$1436,1))+(INDEX(VN_국채일별!$D$4:$D$1436,MATCH($B657,VN_국채일별!$A$4:$A$1436,1))-INDEX(VN_국채일별!$C$4:$C$1436,MATCH($B657,VN_국채일별!$A$4:$A$1436,1)))*($J657-2),IF($J657&lt;=5,INDEX(VN_국채일별!$D$4:$D$1436,MATCH($B657,VN_국채일별!$A$4:$A$1436,1))+(INDEX(VN_국채일별!$E$4:$E$1436,MATCH($B657,VN_국채일별!$A$4:$A$1436,1))-INDEX(VN_국채일별!$D$4:$D$1436,MATCH($B657,VN_국채일별!$A$4:$A$1436,1)))*($J657-3)/2,IF($J657&lt;=7,INDEX(VN_국채일별!$E$4:$E$1436,MATCH($B657,VN_국채일별!$A$4:$A$1436,1))+(INDEX(VN_국채일별!$F$4:$F$1436,MATCH($B657,VN_국채일별!$A$4:$A$1436,1))-INDEX(VN_국채일별!$E$4:$E$1436,MATCH($B657,VN_국채일별!$A$4:$A$1436,1)))*($J657-5)/2,IF($J657&lt;=10,INDEX(VN_국채일별!$F$4:$F$1436,MATCH($B657,VN_국채일별!$A$4:$A$1436,1))+(INDEX(VN_국채일별!$G$4:$G$1436,MATCH($B657,VN_국채일별!$A$4:$A$1436,1))-INDEX(VN_국채일별!$F$4:$F$1436,MATCH($B657,VN_국채일별!$A$4:$A$1436,1)))*($J657-7)/3,INDEX(VN_국채일별!$G$4:$G$1436,MATCH($B657,VN_국채일별!$A$4:$A$1436,1)))))))),""))</f>
        <v>0.04272</v>
      </c>
      <c r="R657" s="58" t="str">
        <f aca="false">IF(OR(L657="",Q657=""),"",(L657-Q657)*10000)</f>
        <v/>
      </c>
      <c r="S657" s="30" t="n">
        <f aca="false">IF(AND(K657="고정",N657="N",J657&gt;=2,J657&lt;=4,I657&lt;&gt;""),1,0)</f>
        <v>0</v>
      </c>
      <c r="T657" s="59" t="n">
        <f aca="false">IF(S657=1,I657*L657,0)</f>
        <v>0</v>
      </c>
      <c r="U657" s="60" t="n">
        <f aca="false">IF(AND(S657=1,ISNUMBER(R657)),I657*R657,0)</f>
        <v>0</v>
      </c>
      <c r="V657" s="30" t="n">
        <f aca="false">IF(AND(F657="Big4(국영)",K657="고정",N657="N",I657&lt;&gt;""),1,0)</f>
        <v>0</v>
      </c>
      <c r="W657" s="59" t="n">
        <f aca="false">IF(V657=1,I657*L657,0)</f>
        <v>0</v>
      </c>
      <c r="X657" s="60" t="n">
        <f aca="false">IF(AND(V657=1,ISNUMBER(R657)),I657*R657,0)</f>
        <v>0</v>
      </c>
      <c r="Y657" s="61" t="n">
        <f aca="false">IF(AND(S657=1,ISNUMBER(R657)),I657,0)</f>
        <v>0</v>
      </c>
      <c r="Z657" s="61" t="n">
        <f aca="false">IF(AND(V657=1,ISNUMBER(R657)),I657,0)</f>
        <v>0</v>
      </c>
    </row>
    <row r="658" customFormat="false" ht="15" hidden="false" customHeight="false" outlineLevel="0" collapsed="false">
      <c r="A658" s="47" t="s">
        <v>1128</v>
      </c>
      <c r="B658" s="52" t="n">
        <v>46133</v>
      </c>
      <c r="C658" s="53" t="n">
        <f aca="false">DATE(YEAR(B658),MONTH(B658),1)</f>
        <v>46113</v>
      </c>
      <c r="D658" s="5" t="str">
        <f aca="false">YEAR(B658)&amp;"Q"&amp;ROUNDUP(MONTH(B658)/3,0)</f>
        <v>2026Q2</v>
      </c>
      <c r="E658" s="47" t="s">
        <v>323</v>
      </c>
      <c r="F658" s="54" t="s">
        <v>139</v>
      </c>
      <c r="G658" s="47" t="s">
        <v>324</v>
      </c>
      <c r="H658" s="47" t="s">
        <v>1134</v>
      </c>
      <c r="I658" s="55" t="n">
        <v>2000</v>
      </c>
      <c r="J658" s="56" t="n">
        <v>2</v>
      </c>
      <c r="K658" s="54" t="s">
        <v>142</v>
      </c>
      <c r="L658" s="57" t="n">
        <v>0.084</v>
      </c>
      <c r="N658" s="47" t="s">
        <v>148</v>
      </c>
      <c r="O658" s="47" t="s">
        <v>1135</v>
      </c>
      <c r="P658" s="47"/>
      <c r="Q658" s="48" t="n">
        <f aca="false">IF($J658="","",IFERROR(IF($J658&lt;=1,INDEX(VN_국채일별!$B$4:$B$1436,MATCH($B658,VN_국채일별!$A$4:$A$1436,1)),IF($J658&lt;=2,INDEX(VN_국채일별!$B$4:$B$1436,MATCH($B658,VN_국채일별!$A$4:$A$1436,1))+(INDEX(VN_국채일별!$C$4:$C$1436,MATCH($B658,VN_국채일별!$A$4:$A$1436,1))-INDEX(VN_국채일별!$B$4:$B$1436,MATCH($B658,VN_국채일별!$A$4:$A$1436,1)))*($J658-1),IF($J658&lt;=3,INDEX(VN_국채일별!$C$4:$C$1436,MATCH($B658,VN_국채일별!$A$4:$A$1436,1))+(INDEX(VN_국채일별!$D$4:$D$1436,MATCH($B658,VN_국채일별!$A$4:$A$1436,1))-INDEX(VN_국채일별!$C$4:$C$1436,MATCH($B658,VN_국채일별!$A$4:$A$1436,1)))*($J658-2),IF($J658&lt;=5,INDEX(VN_국채일별!$D$4:$D$1436,MATCH($B658,VN_국채일별!$A$4:$A$1436,1))+(INDEX(VN_국채일별!$E$4:$E$1436,MATCH($B658,VN_국채일별!$A$4:$A$1436,1))-INDEX(VN_국채일별!$D$4:$D$1436,MATCH($B658,VN_국채일별!$A$4:$A$1436,1)))*($J658-3)/2,IF($J658&lt;=7,INDEX(VN_국채일별!$E$4:$E$1436,MATCH($B658,VN_국채일별!$A$4:$A$1436,1))+(INDEX(VN_국채일별!$F$4:$F$1436,MATCH($B658,VN_국채일별!$A$4:$A$1436,1))-INDEX(VN_국채일별!$E$4:$E$1436,MATCH($B658,VN_국채일별!$A$4:$A$1436,1)))*($J658-5)/2,IF($J658&lt;=10,INDEX(VN_국채일별!$F$4:$F$1436,MATCH($B658,VN_국채일별!$A$4:$A$1436,1))+(INDEX(VN_국채일별!$G$4:$G$1436,MATCH($B658,VN_국채일별!$A$4:$A$1436,1))-INDEX(VN_국채일별!$F$4:$F$1436,MATCH($B658,VN_국채일별!$A$4:$A$1436,1)))*($J658-7)/3,INDEX(VN_국채일별!$G$4:$G$1436,MATCH($B658,VN_국채일별!$A$4:$A$1436,1)))))))),""))</f>
        <v>0.03403</v>
      </c>
      <c r="R658" s="58" t="n">
        <f aca="false">IF(OR(L658="",Q658=""),"",(L658-Q658)*10000)</f>
        <v>499.7</v>
      </c>
      <c r="S658" s="30" t="n">
        <f aca="false">IF(AND(K658="고정",N658="N",J658&gt;=2,J658&lt;=4,I658&lt;&gt;""),1,0)</f>
        <v>1</v>
      </c>
      <c r="T658" s="59" t="n">
        <f aca="false">IF(S658=1,I658*L658,0)</f>
        <v>168</v>
      </c>
      <c r="U658" s="60" t="n">
        <f aca="false">IF(AND(S658=1,ISNUMBER(R658)),I658*R658,0)</f>
        <v>999400</v>
      </c>
      <c r="V658" s="30" t="n">
        <f aca="false">IF(AND(F658="Big4(국영)",K658="고정",N658="N",I658&lt;&gt;""),1,0)</f>
        <v>0</v>
      </c>
      <c r="W658" s="59" t="n">
        <f aca="false">IF(V658=1,I658*L658,0)</f>
        <v>0</v>
      </c>
      <c r="X658" s="60" t="n">
        <f aca="false">IF(AND(V658=1,ISNUMBER(R658)),I658*R658,0)</f>
        <v>0</v>
      </c>
      <c r="Y658" s="61" t="n">
        <f aca="false">IF(AND(S658=1,ISNUMBER(R658)),I658,0)</f>
        <v>2000</v>
      </c>
      <c r="Z658" s="61" t="n">
        <f aca="false">IF(AND(V658=1,ISNUMBER(R658)),I658,0)</f>
        <v>0</v>
      </c>
    </row>
    <row r="659" customFormat="false" ht="15" hidden="false" customHeight="false" outlineLevel="0" collapsed="false">
      <c r="A659" s="47" t="s">
        <v>1128</v>
      </c>
      <c r="B659" s="52" t="n">
        <v>46133</v>
      </c>
      <c r="C659" s="53" t="n">
        <f aca="false">DATE(YEAR(B659),MONTH(B659),1)</f>
        <v>46113</v>
      </c>
      <c r="D659" s="5" t="str">
        <f aca="false">YEAR(B659)&amp;"Q"&amp;ROUNDUP(MONTH(B659)/3,0)</f>
        <v>2026Q2</v>
      </c>
      <c r="E659" s="47" t="s">
        <v>160</v>
      </c>
      <c r="F659" s="54" t="s">
        <v>139</v>
      </c>
      <c r="G659" s="47" t="s">
        <v>161</v>
      </c>
      <c r="H659" s="47" t="s">
        <v>1136</v>
      </c>
      <c r="I659" s="55" t="n">
        <v>500</v>
      </c>
      <c r="J659" s="56" t="n">
        <v>7</v>
      </c>
      <c r="K659" s="54" t="s">
        <v>142</v>
      </c>
      <c r="L659" s="57" t="n">
        <v>0.08</v>
      </c>
      <c r="N659" s="47" t="s">
        <v>143</v>
      </c>
      <c r="O659" s="47" t="s">
        <v>1130</v>
      </c>
      <c r="P659" s="47"/>
      <c r="Q659" s="48" t="n">
        <f aca="false">IF($J659="","",IFERROR(IF($J659&lt;=1,INDEX(VN_국채일별!$B$4:$B$1436,MATCH($B659,VN_국채일별!$A$4:$A$1436,1)),IF($J659&lt;=2,INDEX(VN_국채일별!$B$4:$B$1436,MATCH($B659,VN_국채일별!$A$4:$A$1436,1))+(INDEX(VN_국채일별!$C$4:$C$1436,MATCH($B659,VN_국채일별!$A$4:$A$1436,1))-INDEX(VN_국채일별!$B$4:$B$1436,MATCH($B659,VN_국채일별!$A$4:$A$1436,1)))*($J659-1),IF($J659&lt;=3,INDEX(VN_국채일별!$C$4:$C$1436,MATCH($B659,VN_국채일별!$A$4:$A$1436,1))+(INDEX(VN_국채일별!$D$4:$D$1436,MATCH($B659,VN_국채일별!$A$4:$A$1436,1))-INDEX(VN_국채일별!$C$4:$C$1436,MATCH($B659,VN_국채일별!$A$4:$A$1436,1)))*($J659-2),IF($J659&lt;=5,INDEX(VN_국채일별!$D$4:$D$1436,MATCH($B659,VN_국채일별!$A$4:$A$1436,1))+(INDEX(VN_국채일별!$E$4:$E$1436,MATCH($B659,VN_국채일별!$A$4:$A$1436,1))-INDEX(VN_국채일별!$D$4:$D$1436,MATCH($B659,VN_국채일별!$A$4:$A$1436,1)))*($J659-3)/2,IF($J659&lt;=7,INDEX(VN_국채일별!$E$4:$E$1436,MATCH($B659,VN_국채일별!$A$4:$A$1436,1))+(INDEX(VN_국채일별!$F$4:$F$1436,MATCH($B659,VN_국채일별!$A$4:$A$1436,1))-INDEX(VN_국채일별!$E$4:$E$1436,MATCH($B659,VN_국채일별!$A$4:$A$1436,1)))*($J659-5)/2,IF($J659&lt;=10,INDEX(VN_국채일별!$F$4:$F$1436,MATCH($B659,VN_국채일별!$A$4:$A$1436,1))+(INDEX(VN_국채일별!$G$4:$G$1436,MATCH($B659,VN_국채일별!$A$4:$A$1436,1))-INDEX(VN_국채일별!$F$4:$F$1436,MATCH($B659,VN_국채일별!$A$4:$A$1436,1)))*($J659-7)/3,INDEX(VN_국채일별!$G$4:$G$1436,MATCH($B659,VN_국채일별!$A$4:$A$1436,1)))))))),""))</f>
        <v>0.04285</v>
      </c>
      <c r="R659" s="58" t="n">
        <f aca="false">IF(OR(L659="",Q659=""),"",(L659-Q659)*10000)</f>
        <v>371.5</v>
      </c>
      <c r="S659" s="30" t="n">
        <f aca="false">IF(AND(K659="고정",N659="N",J659&gt;=2,J659&lt;=4,I659&lt;&gt;""),1,0)</f>
        <v>0</v>
      </c>
      <c r="T659" s="59" t="n">
        <f aca="false">IF(S659=1,I659*L659,0)</f>
        <v>0</v>
      </c>
      <c r="U659" s="60" t="n">
        <f aca="false">IF(AND(S659=1,ISNUMBER(R659)),I659*R659,0)</f>
        <v>0</v>
      </c>
      <c r="V659" s="30" t="n">
        <f aca="false">IF(AND(F659="Big4(국영)",K659="고정",N659="N",I659&lt;&gt;""),1,0)</f>
        <v>0</v>
      </c>
      <c r="W659" s="59" t="n">
        <f aca="false">IF(V659=1,I659*L659,0)</f>
        <v>0</v>
      </c>
      <c r="X659" s="60" t="n">
        <f aca="false">IF(AND(V659=1,ISNUMBER(R659)),I659*R659,0)</f>
        <v>0</v>
      </c>
      <c r="Y659" s="61" t="n">
        <f aca="false">IF(AND(S659=1,ISNUMBER(R659)),I659,0)</f>
        <v>0</v>
      </c>
      <c r="Z659" s="61" t="n">
        <f aca="false">IF(AND(V659=1,ISNUMBER(R659)),I659,0)</f>
        <v>0</v>
      </c>
    </row>
    <row r="660" customFormat="false" ht="15" hidden="false" customHeight="false" outlineLevel="0" collapsed="false">
      <c r="A660" s="47" t="s">
        <v>1128</v>
      </c>
      <c r="B660" s="52" t="n">
        <v>46134</v>
      </c>
      <c r="C660" s="53" t="n">
        <f aca="false">DATE(YEAR(B660),MONTH(B660),1)</f>
        <v>46113</v>
      </c>
      <c r="D660" s="5" t="str">
        <f aca="false">YEAR(B660)&amp;"Q"&amp;ROUNDUP(MONTH(B660)/3,0)</f>
        <v>2026Q2</v>
      </c>
      <c r="E660" s="47" t="s">
        <v>160</v>
      </c>
      <c r="F660" s="54" t="s">
        <v>139</v>
      </c>
      <c r="G660" s="47" t="s">
        <v>220</v>
      </c>
      <c r="H660" s="47" t="s">
        <v>1137</v>
      </c>
      <c r="I660" s="55" t="n">
        <v>1200</v>
      </c>
      <c r="J660" s="56" t="n">
        <v>7</v>
      </c>
      <c r="K660" s="54" t="s">
        <v>142</v>
      </c>
      <c r="L660" s="57" t="n">
        <v>0.08</v>
      </c>
      <c r="N660" s="47" t="s">
        <v>143</v>
      </c>
      <c r="O660" s="47" t="s">
        <v>1130</v>
      </c>
      <c r="P660" s="47"/>
      <c r="Q660" s="48" t="n">
        <f aca="false">IF($J660="","",IFERROR(IF($J660&lt;=1,INDEX(VN_국채일별!$B$4:$B$1436,MATCH($B660,VN_국채일별!$A$4:$A$1436,1)),IF($J660&lt;=2,INDEX(VN_국채일별!$B$4:$B$1436,MATCH($B660,VN_국채일별!$A$4:$A$1436,1))+(INDEX(VN_국채일별!$C$4:$C$1436,MATCH($B660,VN_국채일별!$A$4:$A$1436,1))-INDEX(VN_국채일별!$B$4:$B$1436,MATCH($B660,VN_국채일별!$A$4:$A$1436,1)))*($J660-1),IF($J660&lt;=3,INDEX(VN_국채일별!$C$4:$C$1436,MATCH($B660,VN_국채일별!$A$4:$A$1436,1))+(INDEX(VN_국채일별!$D$4:$D$1436,MATCH($B660,VN_국채일별!$A$4:$A$1436,1))-INDEX(VN_국채일별!$C$4:$C$1436,MATCH($B660,VN_국채일별!$A$4:$A$1436,1)))*($J660-2),IF($J660&lt;=5,INDEX(VN_국채일별!$D$4:$D$1436,MATCH($B660,VN_국채일별!$A$4:$A$1436,1))+(INDEX(VN_국채일별!$E$4:$E$1436,MATCH($B660,VN_국채일별!$A$4:$A$1436,1))-INDEX(VN_국채일별!$D$4:$D$1436,MATCH($B660,VN_국채일별!$A$4:$A$1436,1)))*($J660-3)/2,IF($J660&lt;=7,INDEX(VN_국채일별!$E$4:$E$1436,MATCH($B660,VN_국채일별!$A$4:$A$1436,1))+(INDEX(VN_국채일별!$F$4:$F$1436,MATCH($B660,VN_국채일별!$A$4:$A$1436,1))-INDEX(VN_국채일별!$E$4:$E$1436,MATCH($B660,VN_국채일별!$A$4:$A$1436,1)))*($J660-5)/2,IF($J660&lt;=10,INDEX(VN_국채일별!$F$4:$F$1436,MATCH($B660,VN_국채일별!$A$4:$A$1436,1))+(INDEX(VN_국채일별!$G$4:$G$1436,MATCH($B660,VN_국채일별!$A$4:$A$1436,1))-INDEX(VN_국채일별!$F$4:$F$1436,MATCH($B660,VN_국채일별!$A$4:$A$1436,1)))*($J660-7)/3,INDEX(VN_국채일별!$G$4:$G$1436,MATCH($B660,VN_국채일별!$A$4:$A$1436,1)))))))),""))</f>
        <v>0.04285</v>
      </c>
      <c r="R660" s="58" t="n">
        <f aca="false">IF(OR(L660="",Q660=""),"",(L660-Q660)*10000)</f>
        <v>371.5</v>
      </c>
      <c r="S660" s="30" t="n">
        <f aca="false">IF(AND(K660="고정",N660="N",J660&gt;=2,J660&lt;=4,I660&lt;&gt;""),1,0)</f>
        <v>0</v>
      </c>
      <c r="T660" s="59" t="n">
        <f aca="false">IF(S660=1,I660*L660,0)</f>
        <v>0</v>
      </c>
      <c r="U660" s="60" t="n">
        <f aca="false">IF(AND(S660=1,ISNUMBER(R660)),I660*R660,0)</f>
        <v>0</v>
      </c>
      <c r="V660" s="30" t="n">
        <f aca="false">IF(AND(F660="Big4(국영)",K660="고정",N660="N",I660&lt;&gt;""),1,0)</f>
        <v>0</v>
      </c>
      <c r="W660" s="59" t="n">
        <f aca="false">IF(V660=1,I660*L660,0)</f>
        <v>0</v>
      </c>
      <c r="X660" s="60" t="n">
        <f aca="false">IF(AND(V660=1,ISNUMBER(R660)),I660*R660,0)</f>
        <v>0</v>
      </c>
      <c r="Y660" s="61" t="n">
        <f aca="false">IF(AND(S660=1,ISNUMBER(R660)),I660,0)</f>
        <v>0</v>
      </c>
      <c r="Z660" s="61" t="n">
        <f aca="false">IF(AND(V660=1,ISNUMBER(R660)),I660,0)</f>
        <v>0</v>
      </c>
    </row>
    <row r="661" customFormat="false" ht="15" hidden="false" customHeight="false" outlineLevel="0" collapsed="false">
      <c r="A661" s="47" t="s">
        <v>1128</v>
      </c>
      <c r="B661" s="52" t="n">
        <v>46134</v>
      </c>
      <c r="C661" s="53" t="n">
        <f aca="false">DATE(YEAR(B661),MONTH(B661),1)</f>
        <v>46113</v>
      </c>
      <c r="D661" s="5" t="str">
        <f aca="false">YEAR(B661)&amp;"Q"&amp;ROUNDUP(MONTH(B661)/3,0)</f>
        <v>2026Q2</v>
      </c>
      <c r="E661" s="47" t="s">
        <v>145</v>
      </c>
      <c r="F661" s="54" t="s">
        <v>139</v>
      </c>
      <c r="G661" s="47" t="s">
        <v>146</v>
      </c>
      <c r="H661" s="47" t="s">
        <v>1138</v>
      </c>
      <c r="I661" s="55" t="n">
        <v>2000</v>
      </c>
      <c r="J661" s="56" t="n">
        <v>3</v>
      </c>
      <c r="K661" s="54" t="s">
        <v>142</v>
      </c>
      <c r="L661" s="57" t="n">
        <v>0.084</v>
      </c>
      <c r="N661" s="47" t="s">
        <v>148</v>
      </c>
      <c r="O661" s="47" t="s">
        <v>1135</v>
      </c>
      <c r="P661" s="47"/>
      <c r="Q661" s="48" t="n">
        <f aca="false">IF($J661="","",IFERROR(IF($J661&lt;=1,INDEX(VN_국채일별!$B$4:$B$1436,MATCH($B661,VN_국채일별!$A$4:$A$1436,1)),IF($J661&lt;=2,INDEX(VN_국채일별!$B$4:$B$1436,MATCH($B661,VN_국채일별!$A$4:$A$1436,1))+(INDEX(VN_국채일별!$C$4:$C$1436,MATCH($B661,VN_국채일별!$A$4:$A$1436,1))-INDEX(VN_국채일별!$B$4:$B$1436,MATCH($B661,VN_국채일별!$A$4:$A$1436,1)))*($J661-1),IF($J661&lt;=3,INDEX(VN_국채일별!$C$4:$C$1436,MATCH($B661,VN_국채일별!$A$4:$A$1436,1))+(INDEX(VN_국채일별!$D$4:$D$1436,MATCH($B661,VN_국채일별!$A$4:$A$1436,1))-INDEX(VN_국채일별!$C$4:$C$1436,MATCH($B661,VN_국채일별!$A$4:$A$1436,1)))*($J661-2),IF($J661&lt;=5,INDEX(VN_국채일별!$D$4:$D$1436,MATCH($B661,VN_국채일별!$A$4:$A$1436,1))+(INDEX(VN_국채일별!$E$4:$E$1436,MATCH($B661,VN_국채일별!$A$4:$A$1436,1))-INDEX(VN_국채일별!$D$4:$D$1436,MATCH($B661,VN_국채일별!$A$4:$A$1436,1)))*($J661-3)/2,IF($J661&lt;=7,INDEX(VN_국채일별!$E$4:$E$1436,MATCH($B661,VN_국채일별!$A$4:$A$1436,1))+(INDEX(VN_국채일별!$F$4:$F$1436,MATCH($B661,VN_국채일별!$A$4:$A$1436,1))-INDEX(VN_국채일별!$E$4:$E$1436,MATCH($B661,VN_국채일별!$A$4:$A$1436,1)))*($J661-5)/2,IF($J661&lt;=10,INDEX(VN_국채일별!$F$4:$F$1436,MATCH($B661,VN_국채일별!$A$4:$A$1436,1))+(INDEX(VN_국채일별!$G$4:$G$1436,MATCH($B661,VN_국채일별!$A$4:$A$1436,1))-INDEX(VN_국채일별!$F$4:$F$1436,MATCH($B661,VN_국채일별!$A$4:$A$1436,1)))*($J661-7)/3,INDEX(VN_국채일별!$G$4:$G$1436,MATCH($B661,VN_국채일별!$A$4:$A$1436,1)))))))),""))</f>
        <v>0.03576</v>
      </c>
      <c r="R661" s="58" t="n">
        <f aca="false">IF(OR(L661="",Q661=""),"",(L661-Q661)*10000)</f>
        <v>482.4</v>
      </c>
      <c r="S661" s="30" t="n">
        <f aca="false">IF(AND(K661="고정",N661="N",J661&gt;=2,J661&lt;=4,I661&lt;&gt;""),1,0)</f>
        <v>1</v>
      </c>
      <c r="T661" s="59" t="n">
        <f aca="false">IF(S661=1,I661*L661,0)</f>
        <v>168</v>
      </c>
      <c r="U661" s="60" t="n">
        <f aca="false">IF(AND(S661=1,ISNUMBER(R661)),I661*R661,0)</f>
        <v>964800</v>
      </c>
      <c r="V661" s="30" t="n">
        <f aca="false">IF(AND(F661="Big4(국영)",K661="고정",N661="N",I661&lt;&gt;""),1,0)</f>
        <v>0</v>
      </c>
      <c r="W661" s="59" t="n">
        <f aca="false">IF(V661=1,I661*L661,0)</f>
        <v>0</v>
      </c>
      <c r="X661" s="60" t="n">
        <f aca="false">IF(AND(V661=1,ISNUMBER(R661)),I661*R661,0)</f>
        <v>0</v>
      </c>
      <c r="Y661" s="61" t="n">
        <f aca="false">IF(AND(S661=1,ISNUMBER(R661)),I661,0)</f>
        <v>2000</v>
      </c>
      <c r="Z661" s="61" t="n">
        <f aca="false">IF(AND(V661=1,ISNUMBER(R661)),I661,0)</f>
        <v>0</v>
      </c>
    </row>
    <row r="662" customFormat="false" ht="15" hidden="false" customHeight="false" outlineLevel="0" collapsed="false">
      <c r="A662" s="47" t="s">
        <v>1128</v>
      </c>
      <c r="B662" s="52" t="n">
        <v>46136</v>
      </c>
      <c r="C662" s="53" t="n">
        <f aca="false">DATE(YEAR(B662),MONTH(B662),1)</f>
        <v>46113</v>
      </c>
      <c r="D662" s="5" t="str">
        <f aca="false">YEAR(B662)&amp;"Q"&amp;ROUNDUP(MONTH(B662)/3,0)</f>
        <v>2026Q2</v>
      </c>
      <c r="E662" s="47" t="s">
        <v>307</v>
      </c>
      <c r="F662" s="54" t="s">
        <v>139</v>
      </c>
      <c r="G662" s="47" t="s">
        <v>308</v>
      </c>
      <c r="H662" s="47" t="s">
        <v>1139</v>
      </c>
      <c r="I662" s="55" t="n">
        <v>500</v>
      </c>
      <c r="J662" s="56" t="n">
        <v>3</v>
      </c>
      <c r="K662" s="54" t="s">
        <v>142</v>
      </c>
      <c r="L662" s="57" t="n">
        <v>0.085</v>
      </c>
      <c r="N662" s="47" t="s">
        <v>148</v>
      </c>
      <c r="O662" s="47" t="s">
        <v>384</v>
      </c>
      <c r="P662" s="47"/>
      <c r="Q662" s="48" t="n">
        <f aca="false">IF($J662="","",IFERROR(IF($J662&lt;=1,INDEX(VN_국채일별!$B$4:$B$1436,MATCH($B662,VN_국채일별!$A$4:$A$1436,1)),IF($J662&lt;=2,INDEX(VN_국채일별!$B$4:$B$1436,MATCH($B662,VN_국채일별!$A$4:$A$1436,1))+(INDEX(VN_국채일별!$C$4:$C$1436,MATCH($B662,VN_국채일별!$A$4:$A$1436,1))-INDEX(VN_국채일별!$B$4:$B$1436,MATCH($B662,VN_국채일별!$A$4:$A$1436,1)))*($J662-1),IF($J662&lt;=3,INDEX(VN_국채일별!$C$4:$C$1436,MATCH($B662,VN_국채일별!$A$4:$A$1436,1))+(INDEX(VN_국채일별!$D$4:$D$1436,MATCH($B662,VN_국채일별!$A$4:$A$1436,1))-INDEX(VN_국채일별!$C$4:$C$1436,MATCH($B662,VN_국채일별!$A$4:$A$1436,1)))*($J662-2),IF($J662&lt;=5,INDEX(VN_국채일별!$D$4:$D$1436,MATCH($B662,VN_국채일별!$A$4:$A$1436,1))+(INDEX(VN_국채일별!$E$4:$E$1436,MATCH($B662,VN_국채일별!$A$4:$A$1436,1))-INDEX(VN_국채일별!$D$4:$D$1436,MATCH($B662,VN_국채일별!$A$4:$A$1436,1)))*($J662-3)/2,IF($J662&lt;=7,INDEX(VN_국채일별!$E$4:$E$1436,MATCH($B662,VN_국채일별!$A$4:$A$1436,1))+(INDEX(VN_국채일별!$F$4:$F$1436,MATCH($B662,VN_국채일별!$A$4:$A$1436,1))-INDEX(VN_국채일별!$E$4:$E$1436,MATCH($B662,VN_국채일별!$A$4:$A$1436,1)))*($J662-5)/2,IF($J662&lt;=10,INDEX(VN_국채일별!$F$4:$F$1436,MATCH($B662,VN_국채일별!$A$4:$A$1436,1))+(INDEX(VN_국채일별!$G$4:$G$1436,MATCH($B662,VN_국채일별!$A$4:$A$1436,1))-INDEX(VN_국채일별!$F$4:$F$1436,MATCH($B662,VN_국채일별!$A$4:$A$1436,1)))*($J662-7)/3,INDEX(VN_국채일별!$G$4:$G$1436,MATCH($B662,VN_국채일별!$A$4:$A$1436,1)))))))),""))</f>
        <v>0.03584</v>
      </c>
      <c r="R662" s="58" t="n">
        <f aca="false">IF(OR(L662="",Q662=""),"",(L662-Q662)*10000)</f>
        <v>491.6</v>
      </c>
      <c r="S662" s="30" t="n">
        <f aca="false">IF(AND(K662="고정",N662="N",J662&gt;=2,J662&lt;=4,I662&lt;&gt;""),1,0)</f>
        <v>1</v>
      </c>
      <c r="T662" s="59" t="n">
        <f aca="false">IF(S662=1,I662*L662,0)</f>
        <v>42.5</v>
      </c>
      <c r="U662" s="60" t="n">
        <f aca="false">IF(AND(S662=1,ISNUMBER(R662)),I662*R662,0)</f>
        <v>245800</v>
      </c>
      <c r="V662" s="30" t="n">
        <f aca="false">IF(AND(F662="Big4(국영)",K662="고정",N662="N",I662&lt;&gt;""),1,0)</f>
        <v>0</v>
      </c>
      <c r="W662" s="59" t="n">
        <f aca="false">IF(V662=1,I662*L662,0)</f>
        <v>0</v>
      </c>
      <c r="X662" s="60" t="n">
        <f aca="false">IF(AND(V662=1,ISNUMBER(R662)),I662*R662,0)</f>
        <v>0</v>
      </c>
      <c r="Y662" s="61" t="n">
        <f aca="false">IF(AND(S662=1,ISNUMBER(R662)),I662,0)</f>
        <v>500</v>
      </c>
      <c r="Z662" s="61" t="n">
        <f aca="false">IF(AND(V662=1,ISNUMBER(R662)),I662,0)</f>
        <v>0</v>
      </c>
    </row>
    <row r="663" customFormat="false" ht="15" hidden="false" customHeight="false" outlineLevel="0" collapsed="false">
      <c r="A663" s="47" t="s">
        <v>1128</v>
      </c>
      <c r="B663" s="52" t="n">
        <v>46136</v>
      </c>
      <c r="C663" s="53" t="n">
        <f aca="false">DATE(YEAR(B663),MONTH(B663),1)</f>
        <v>46113</v>
      </c>
      <c r="D663" s="5" t="str">
        <f aca="false">YEAR(B663)&amp;"Q"&amp;ROUNDUP(MONTH(B663)/3,0)</f>
        <v>2026Q2</v>
      </c>
      <c r="E663" s="47" t="s">
        <v>307</v>
      </c>
      <c r="F663" s="54" t="s">
        <v>139</v>
      </c>
      <c r="G663" s="47" t="s">
        <v>308</v>
      </c>
      <c r="H663" s="47" t="s">
        <v>1140</v>
      </c>
      <c r="I663" s="55" t="n">
        <v>2000</v>
      </c>
      <c r="J663" s="56" t="n">
        <v>3</v>
      </c>
      <c r="K663" s="54" t="s">
        <v>142</v>
      </c>
      <c r="L663" s="57" t="n">
        <v>0.086</v>
      </c>
      <c r="N663" s="47" t="s">
        <v>148</v>
      </c>
      <c r="O663" s="47" t="s">
        <v>1141</v>
      </c>
      <c r="P663" s="47"/>
      <c r="Q663" s="48" t="n">
        <f aca="false">IF($J663="","",IFERROR(IF($J663&lt;=1,INDEX(VN_국채일별!$B$4:$B$1436,MATCH($B663,VN_국채일별!$A$4:$A$1436,1)),IF($J663&lt;=2,INDEX(VN_국채일별!$B$4:$B$1436,MATCH($B663,VN_국채일별!$A$4:$A$1436,1))+(INDEX(VN_국채일별!$C$4:$C$1436,MATCH($B663,VN_국채일별!$A$4:$A$1436,1))-INDEX(VN_국채일별!$B$4:$B$1436,MATCH($B663,VN_국채일별!$A$4:$A$1436,1)))*($J663-1),IF($J663&lt;=3,INDEX(VN_국채일별!$C$4:$C$1436,MATCH($B663,VN_국채일별!$A$4:$A$1436,1))+(INDEX(VN_국채일별!$D$4:$D$1436,MATCH($B663,VN_국채일별!$A$4:$A$1436,1))-INDEX(VN_국채일별!$C$4:$C$1436,MATCH($B663,VN_국채일별!$A$4:$A$1436,1)))*($J663-2),IF($J663&lt;=5,INDEX(VN_국채일별!$D$4:$D$1436,MATCH($B663,VN_국채일별!$A$4:$A$1436,1))+(INDEX(VN_국채일별!$E$4:$E$1436,MATCH($B663,VN_국채일별!$A$4:$A$1436,1))-INDEX(VN_국채일별!$D$4:$D$1436,MATCH($B663,VN_국채일별!$A$4:$A$1436,1)))*($J663-3)/2,IF($J663&lt;=7,INDEX(VN_국채일별!$E$4:$E$1436,MATCH($B663,VN_국채일별!$A$4:$A$1436,1))+(INDEX(VN_국채일별!$F$4:$F$1436,MATCH($B663,VN_국채일별!$A$4:$A$1436,1))-INDEX(VN_국채일별!$E$4:$E$1436,MATCH($B663,VN_국채일별!$A$4:$A$1436,1)))*($J663-5)/2,IF($J663&lt;=10,INDEX(VN_국채일별!$F$4:$F$1436,MATCH($B663,VN_국채일별!$A$4:$A$1436,1))+(INDEX(VN_국채일별!$G$4:$G$1436,MATCH($B663,VN_국채일별!$A$4:$A$1436,1))-INDEX(VN_국채일별!$F$4:$F$1436,MATCH($B663,VN_국채일별!$A$4:$A$1436,1)))*($J663-7)/3,INDEX(VN_국채일별!$G$4:$G$1436,MATCH($B663,VN_국채일별!$A$4:$A$1436,1)))))))),""))</f>
        <v>0.03584</v>
      </c>
      <c r="R663" s="58" t="n">
        <f aca="false">IF(OR(L663="",Q663=""),"",(L663-Q663)*10000)</f>
        <v>501.6</v>
      </c>
      <c r="S663" s="30" t="n">
        <f aca="false">IF(AND(K663="고정",N663="N",J663&gt;=2,J663&lt;=4,I663&lt;&gt;""),1,0)</f>
        <v>1</v>
      </c>
      <c r="T663" s="59" t="n">
        <f aca="false">IF(S663=1,I663*L663,0)</f>
        <v>172</v>
      </c>
      <c r="U663" s="60" t="n">
        <f aca="false">IF(AND(S663=1,ISNUMBER(R663)),I663*R663,0)</f>
        <v>1003200</v>
      </c>
      <c r="V663" s="30" t="n">
        <f aca="false">IF(AND(F663="Big4(국영)",K663="고정",N663="N",I663&lt;&gt;""),1,0)</f>
        <v>0</v>
      </c>
      <c r="W663" s="59" t="n">
        <f aca="false">IF(V663=1,I663*L663,0)</f>
        <v>0</v>
      </c>
      <c r="X663" s="60" t="n">
        <f aca="false">IF(AND(V663=1,ISNUMBER(R663)),I663*R663,0)</f>
        <v>0</v>
      </c>
      <c r="Y663" s="61" t="n">
        <f aca="false">IF(AND(S663=1,ISNUMBER(R663)),I663,0)</f>
        <v>2000</v>
      </c>
      <c r="Z663" s="61" t="n">
        <f aca="false">IF(AND(V663=1,ISNUMBER(R663)),I663,0)</f>
        <v>0</v>
      </c>
    </row>
    <row r="664" customFormat="false" ht="15" hidden="false" customHeight="false" outlineLevel="0" collapsed="false">
      <c r="A664" s="47" t="s">
        <v>1128</v>
      </c>
      <c r="B664" s="52" t="n">
        <v>46136</v>
      </c>
      <c r="C664" s="53" t="n">
        <f aca="false">DATE(YEAR(B664),MONTH(B664),1)</f>
        <v>46113</v>
      </c>
      <c r="D664" s="5" t="str">
        <f aca="false">YEAR(B664)&amp;"Q"&amp;ROUNDUP(MONTH(B664)/3,0)</f>
        <v>2026Q2</v>
      </c>
      <c r="E664" s="47" t="s">
        <v>307</v>
      </c>
      <c r="F664" s="54" t="s">
        <v>139</v>
      </c>
      <c r="G664" s="47" t="s">
        <v>308</v>
      </c>
      <c r="H664" s="47" t="s">
        <v>1142</v>
      </c>
      <c r="I664" s="55" t="n">
        <v>2500</v>
      </c>
      <c r="J664" s="56" t="n">
        <v>3</v>
      </c>
      <c r="K664" s="54" t="s">
        <v>142</v>
      </c>
      <c r="L664" s="57" t="n">
        <v>0.087</v>
      </c>
      <c r="N664" s="47" t="s">
        <v>148</v>
      </c>
      <c r="O664" s="47" t="s">
        <v>1143</v>
      </c>
      <c r="P664" s="47"/>
      <c r="Q664" s="48" t="n">
        <f aca="false">IF($J664="","",IFERROR(IF($J664&lt;=1,INDEX(VN_국채일별!$B$4:$B$1436,MATCH($B664,VN_국채일별!$A$4:$A$1436,1)),IF($J664&lt;=2,INDEX(VN_국채일별!$B$4:$B$1436,MATCH($B664,VN_국채일별!$A$4:$A$1436,1))+(INDEX(VN_국채일별!$C$4:$C$1436,MATCH($B664,VN_국채일별!$A$4:$A$1436,1))-INDEX(VN_국채일별!$B$4:$B$1436,MATCH($B664,VN_국채일별!$A$4:$A$1436,1)))*($J664-1),IF($J664&lt;=3,INDEX(VN_국채일별!$C$4:$C$1436,MATCH($B664,VN_국채일별!$A$4:$A$1436,1))+(INDEX(VN_국채일별!$D$4:$D$1436,MATCH($B664,VN_국채일별!$A$4:$A$1436,1))-INDEX(VN_국채일별!$C$4:$C$1436,MATCH($B664,VN_국채일별!$A$4:$A$1436,1)))*($J664-2),IF($J664&lt;=5,INDEX(VN_국채일별!$D$4:$D$1436,MATCH($B664,VN_국채일별!$A$4:$A$1436,1))+(INDEX(VN_국채일별!$E$4:$E$1436,MATCH($B664,VN_국채일별!$A$4:$A$1436,1))-INDEX(VN_국채일별!$D$4:$D$1436,MATCH($B664,VN_국채일별!$A$4:$A$1436,1)))*($J664-3)/2,IF($J664&lt;=7,INDEX(VN_국채일별!$E$4:$E$1436,MATCH($B664,VN_국채일별!$A$4:$A$1436,1))+(INDEX(VN_국채일별!$F$4:$F$1436,MATCH($B664,VN_국채일별!$A$4:$A$1436,1))-INDEX(VN_국채일별!$E$4:$E$1436,MATCH($B664,VN_국채일별!$A$4:$A$1436,1)))*($J664-5)/2,IF($J664&lt;=10,INDEX(VN_국채일별!$F$4:$F$1436,MATCH($B664,VN_국채일별!$A$4:$A$1436,1))+(INDEX(VN_국채일별!$G$4:$G$1436,MATCH($B664,VN_국채일별!$A$4:$A$1436,1))-INDEX(VN_국채일별!$F$4:$F$1436,MATCH($B664,VN_국채일별!$A$4:$A$1436,1)))*($J664-7)/3,INDEX(VN_국채일별!$G$4:$G$1436,MATCH($B664,VN_국채일별!$A$4:$A$1436,1)))))))),""))</f>
        <v>0.03584</v>
      </c>
      <c r="R664" s="58" t="n">
        <f aca="false">IF(OR(L664="",Q664=""),"",(L664-Q664)*10000)</f>
        <v>511.6</v>
      </c>
      <c r="S664" s="30" t="n">
        <f aca="false">IF(AND(K664="고정",N664="N",J664&gt;=2,J664&lt;=4,I664&lt;&gt;""),1,0)</f>
        <v>1</v>
      </c>
      <c r="T664" s="59" t="n">
        <f aca="false">IF(S664=1,I664*L664,0)</f>
        <v>217.5</v>
      </c>
      <c r="U664" s="60" t="n">
        <f aca="false">IF(AND(S664=1,ISNUMBER(R664)),I664*R664,0)</f>
        <v>1279000</v>
      </c>
      <c r="V664" s="30" t="n">
        <f aca="false">IF(AND(F664="Big4(국영)",K664="고정",N664="N",I664&lt;&gt;""),1,0)</f>
        <v>0</v>
      </c>
      <c r="W664" s="59" t="n">
        <f aca="false">IF(V664=1,I664*L664,0)</f>
        <v>0</v>
      </c>
      <c r="X664" s="60" t="n">
        <f aca="false">IF(AND(V664=1,ISNUMBER(R664)),I664*R664,0)</f>
        <v>0</v>
      </c>
      <c r="Y664" s="61" t="n">
        <f aca="false">IF(AND(S664=1,ISNUMBER(R664)),I664,0)</f>
        <v>2500</v>
      </c>
      <c r="Z664" s="61" t="n">
        <f aca="false">IF(AND(V664=1,ISNUMBER(R664)),I664,0)</f>
        <v>0</v>
      </c>
    </row>
    <row r="665" customFormat="false" ht="15" hidden="false" customHeight="false" outlineLevel="0" collapsed="false">
      <c r="A665" s="47" t="s">
        <v>1128</v>
      </c>
      <c r="B665" s="52" t="n">
        <v>46140</v>
      </c>
      <c r="C665" s="53" t="n">
        <f aca="false">DATE(YEAR(B665),MONTH(B665),1)</f>
        <v>46113</v>
      </c>
      <c r="D665" s="5" t="str">
        <f aca="false">YEAR(B665)&amp;"Q"&amp;ROUNDUP(MONTH(B665)/3,0)</f>
        <v>2026Q2</v>
      </c>
      <c r="E665" s="47" t="s">
        <v>307</v>
      </c>
      <c r="F665" s="54" t="s">
        <v>139</v>
      </c>
      <c r="G665" s="47" t="s">
        <v>308</v>
      </c>
      <c r="H665" s="47" t="s">
        <v>1144</v>
      </c>
      <c r="I665" s="55" t="n">
        <v>3000</v>
      </c>
      <c r="J665" s="56" t="n">
        <v>3</v>
      </c>
      <c r="K665" s="54" t="s">
        <v>142</v>
      </c>
      <c r="L665" s="57" t="n">
        <v>0.089</v>
      </c>
      <c r="N665" s="47" t="s">
        <v>148</v>
      </c>
      <c r="O665" s="47" t="s">
        <v>1145</v>
      </c>
      <c r="P665" s="47"/>
      <c r="Q665" s="48" t="n">
        <f aca="false">IF($J665="","",IFERROR(IF($J665&lt;=1,INDEX(VN_국채일별!$B$4:$B$1436,MATCH($B665,VN_국채일별!$A$4:$A$1436,1)),IF($J665&lt;=2,INDEX(VN_국채일별!$B$4:$B$1436,MATCH($B665,VN_국채일별!$A$4:$A$1436,1))+(INDEX(VN_국채일별!$C$4:$C$1436,MATCH($B665,VN_국채일별!$A$4:$A$1436,1))-INDEX(VN_국채일별!$B$4:$B$1436,MATCH($B665,VN_국채일별!$A$4:$A$1436,1)))*($J665-1),IF($J665&lt;=3,INDEX(VN_국채일별!$C$4:$C$1436,MATCH($B665,VN_국채일별!$A$4:$A$1436,1))+(INDEX(VN_국채일별!$D$4:$D$1436,MATCH($B665,VN_국채일별!$A$4:$A$1436,1))-INDEX(VN_국채일별!$C$4:$C$1436,MATCH($B665,VN_국채일별!$A$4:$A$1436,1)))*($J665-2),IF($J665&lt;=5,INDEX(VN_국채일별!$D$4:$D$1436,MATCH($B665,VN_국채일별!$A$4:$A$1436,1))+(INDEX(VN_국채일별!$E$4:$E$1436,MATCH($B665,VN_국채일별!$A$4:$A$1436,1))-INDEX(VN_국채일별!$D$4:$D$1436,MATCH($B665,VN_국채일별!$A$4:$A$1436,1)))*($J665-3)/2,IF($J665&lt;=7,INDEX(VN_국채일별!$E$4:$E$1436,MATCH($B665,VN_국채일별!$A$4:$A$1436,1))+(INDEX(VN_국채일별!$F$4:$F$1436,MATCH($B665,VN_국채일별!$A$4:$A$1436,1))-INDEX(VN_국채일별!$E$4:$E$1436,MATCH($B665,VN_국채일별!$A$4:$A$1436,1)))*($J665-5)/2,IF($J665&lt;=10,INDEX(VN_국채일별!$F$4:$F$1436,MATCH($B665,VN_국채일별!$A$4:$A$1436,1))+(INDEX(VN_국채일별!$G$4:$G$1436,MATCH($B665,VN_국채일별!$A$4:$A$1436,1))-INDEX(VN_국채일별!$F$4:$F$1436,MATCH($B665,VN_국채일별!$A$4:$A$1436,1)))*($J665-7)/3,INDEX(VN_국채일별!$G$4:$G$1436,MATCH($B665,VN_국채일별!$A$4:$A$1436,1)))))))),""))</f>
        <v>0.03584</v>
      </c>
      <c r="R665" s="58" t="n">
        <f aca="false">IF(OR(L665="",Q665=""),"",(L665-Q665)*10000)</f>
        <v>531.6</v>
      </c>
      <c r="S665" s="30" t="n">
        <f aca="false">IF(AND(K665="고정",N665="N",J665&gt;=2,J665&lt;=4,I665&lt;&gt;""),1,0)</f>
        <v>1</v>
      </c>
      <c r="T665" s="59" t="n">
        <f aca="false">IF(S665=1,I665*L665,0)</f>
        <v>267</v>
      </c>
      <c r="U665" s="60" t="n">
        <f aca="false">IF(AND(S665=1,ISNUMBER(R665)),I665*R665,0)</f>
        <v>1594800</v>
      </c>
      <c r="V665" s="30" t="n">
        <f aca="false">IF(AND(F665="Big4(국영)",K665="고정",N665="N",I665&lt;&gt;""),1,0)</f>
        <v>0</v>
      </c>
      <c r="W665" s="59" t="n">
        <f aca="false">IF(V665=1,I665*L665,0)</f>
        <v>0</v>
      </c>
      <c r="X665" s="60" t="n">
        <f aca="false">IF(AND(V665=1,ISNUMBER(R665)),I665*R665,0)</f>
        <v>0</v>
      </c>
      <c r="Y665" s="61" t="n">
        <f aca="false">IF(AND(S665=1,ISNUMBER(R665)),I665,0)</f>
        <v>3000</v>
      </c>
      <c r="Z665" s="61" t="n">
        <f aca="false">IF(AND(V665=1,ISNUMBER(R665)),I665,0)</f>
        <v>0</v>
      </c>
    </row>
    <row r="666" customFormat="false" ht="15" hidden="false" customHeight="false" outlineLevel="0" collapsed="false">
      <c r="A666" s="47" t="s">
        <v>1146</v>
      </c>
      <c r="B666" s="52" t="n">
        <v>46149</v>
      </c>
      <c r="C666" s="53" t="n">
        <f aca="false">DATE(YEAR(B666),MONTH(B666),1)</f>
        <v>46143</v>
      </c>
      <c r="D666" s="5" t="str">
        <f aca="false">YEAR(B666)&amp;"Q"&amp;ROUNDUP(MONTH(B666)/3,0)</f>
        <v>2026Q2</v>
      </c>
      <c r="E666" s="47" t="s">
        <v>323</v>
      </c>
      <c r="F666" s="54" t="s">
        <v>139</v>
      </c>
      <c r="G666" s="47" t="s">
        <v>324</v>
      </c>
      <c r="H666" s="47" t="s">
        <v>1147</v>
      </c>
      <c r="I666" s="55" t="n">
        <v>1000</v>
      </c>
      <c r="J666" s="56" t="n">
        <v>2</v>
      </c>
      <c r="K666" s="54" t="s">
        <v>153</v>
      </c>
      <c r="N666" s="47" t="s">
        <v>148</v>
      </c>
      <c r="O666" s="47" t="s">
        <v>1148</v>
      </c>
      <c r="P666" s="47"/>
      <c r="Q666" s="48" t="n">
        <f aca="false">IF($J666="","",IFERROR(IF($J666&lt;=1,INDEX(VN_국채일별!$B$4:$B$1436,MATCH($B666,VN_국채일별!$A$4:$A$1436,1)),IF($J666&lt;=2,INDEX(VN_국채일별!$B$4:$B$1436,MATCH($B666,VN_국채일별!$A$4:$A$1436,1))+(INDEX(VN_국채일별!$C$4:$C$1436,MATCH($B666,VN_국채일별!$A$4:$A$1436,1))-INDEX(VN_국채일별!$B$4:$B$1436,MATCH($B666,VN_국채일별!$A$4:$A$1436,1)))*($J666-1),IF($J666&lt;=3,INDEX(VN_국채일별!$C$4:$C$1436,MATCH($B666,VN_국채일별!$A$4:$A$1436,1))+(INDEX(VN_국채일별!$D$4:$D$1436,MATCH($B666,VN_국채일별!$A$4:$A$1436,1))-INDEX(VN_국채일별!$C$4:$C$1436,MATCH($B666,VN_국채일별!$A$4:$A$1436,1)))*($J666-2),IF($J666&lt;=5,INDEX(VN_국채일별!$D$4:$D$1436,MATCH($B666,VN_국채일별!$A$4:$A$1436,1))+(INDEX(VN_국채일별!$E$4:$E$1436,MATCH($B666,VN_국채일별!$A$4:$A$1436,1))-INDEX(VN_국채일별!$D$4:$D$1436,MATCH($B666,VN_국채일별!$A$4:$A$1436,1)))*($J666-3)/2,IF($J666&lt;=7,INDEX(VN_국채일별!$E$4:$E$1436,MATCH($B666,VN_국채일별!$A$4:$A$1436,1))+(INDEX(VN_국채일별!$F$4:$F$1436,MATCH($B666,VN_국채일별!$A$4:$A$1436,1))-INDEX(VN_국채일별!$E$4:$E$1436,MATCH($B666,VN_국채일별!$A$4:$A$1436,1)))*($J666-5)/2,IF($J666&lt;=10,INDEX(VN_국채일별!$F$4:$F$1436,MATCH($B666,VN_국채일별!$A$4:$A$1436,1))+(INDEX(VN_국채일별!$G$4:$G$1436,MATCH($B666,VN_국채일별!$A$4:$A$1436,1))-INDEX(VN_국채일별!$F$4:$F$1436,MATCH($B666,VN_국채일별!$A$4:$A$1436,1)))*($J666-7)/3,INDEX(VN_국채일별!$G$4:$G$1436,MATCH($B666,VN_국채일별!$A$4:$A$1436,1)))))))),""))</f>
        <v>0.03461</v>
      </c>
      <c r="R666" s="58" t="str">
        <f aca="false">IF(OR(L666="",Q666=""),"",(L666-Q666)*10000)</f>
        <v/>
      </c>
      <c r="S666" s="30" t="n">
        <f aca="false">IF(AND(K666="고정",N666="N",J666&gt;=2,J666&lt;=4,I666&lt;&gt;""),1,0)</f>
        <v>0</v>
      </c>
      <c r="T666" s="59" t="n">
        <f aca="false">IF(S666=1,I666*L666,0)</f>
        <v>0</v>
      </c>
      <c r="U666" s="60" t="n">
        <f aca="false">IF(AND(S666=1,ISNUMBER(R666)),I666*R666,0)</f>
        <v>0</v>
      </c>
      <c r="V666" s="30" t="n">
        <f aca="false">IF(AND(F666="Big4(국영)",K666="고정",N666="N",I666&lt;&gt;""),1,0)</f>
        <v>0</v>
      </c>
      <c r="W666" s="59" t="n">
        <f aca="false">IF(V666=1,I666*L666,0)</f>
        <v>0</v>
      </c>
      <c r="X666" s="60" t="n">
        <f aca="false">IF(AND(V666=1,ISNUMBER(R666)),I666*R666,0)</f>
        <v>0</v>
      </c>
      <c r="Y666" s="61" t="n">
        <f aca="false">IF(AND(S666=1,ISNUMBER(R666)),I666,0)</f>
        <v>0</v>
      </c>
      <c r="Z666" s="61" t="n">
        <f aca="false">IF(AND(V666=1,ISNUMBER(R666)),I666,0)</f>
        <v>0</v>
      </c>
    </row>
    <row r="667" customFormat="false" ht="15" hidden="false" customHeight="false" outlineLevel="0" collapsed="false">
      <c r="A667" s="47" t="s">
        <v>1146</v>
      </c>
      <c r="B667" s="52" t="n">
        <v>46154</v>
      </c>
      <c r="C667" s="53" t="n">
        <f aca="false">DATE(YEAR(B667),MONTH(B667),1)</f>
        <v>46143</v>
      </c>
      <c r="D667" s="5" t="str">
        <f aca="false">YEAR(B667)&amp;"Q"&amp;ROUNDUP(MONTH(B667)/3,0)</f>
        <v>2026Q2</v>
      </c>
      <c r="E667" s="47" t="s">
        <v>145</v>
      </c>
      <c r="F667" s="54" t="s">
        <v>139</v>
      </c>
      <c r="G667" s="47" t="s">
        <v>146</v>
      </c>
      <c r="H667" s="47" t="s">
        <v>1149</v>
      </c>
      <c r="I667" s="55" t="n">
        <v>1000</v>
      </c>
      <c r="J667" s="56" t="n">
        <v>3</v>
      </c>
      <c r="K667" s="54" t="s">
        <v>142</v>
      </c>
      <c r="L667" s="57" t="n">
        <v>0.084</v>
      </c>
      <c r="N667" s="47" t="s">
        <v>148</v>
      </c>
      <c r="O667" s="47" t="s">
        <v>1135</v>
      </c>
      <c r="P667" s="47"/>
      <c r="Q667" s="48" t="n">
        <f aca="false">IF($J667="","",IFERROR(IF($J667&lt;=1,INDEX(VN_국채일별!$B$4:$B$1436,MATCH($B667,VN_국채일별!$A$4:$A$1436,1)),IF($J667&lt;=2,INDEX(VN_국채일별!$B$4:$B$1436,MATCH($B667,VN_국채일별!$A$4:$A$1436,1))+(INDEX(VN_국채일별!$C$4:$C$1436,MATCH($B667,VN_국채일별!$A$4:$A$1436,1))-INDEX(VN_국채일별!$B$4:$B$1436,MATCH($B667,VN_국채일별!$A$4:$A$1436,1)))*($J667-1),IF($J667&lt;=3,INDEX(VN_국채일별!$C$4:$C$1436,MATCH($B667,VN_국채일별!$A$4:$A$1436,1))+(INDEX(VN_국채일별!$D$4:$D$1436,MATCH($B667,VN_국채일별!$A$4:$A$1436,1))-INDEX(VN_국채일별!$C$4:$C$1436,MATCH($B667,VN_국채일별!$A$4:$A$1436,1)))*($J667-2),IF($J667&lt;=5,INDEX(VN_국채일별!$D$4:$D$1436,MATCH($B667,VN_국채일별!$A$4:$A$1436,1))+(INDEX(VN_국채일별!$E$4:$E$1436,MATCH($B667,VN_국채일별!$A$4:$A$1436,1))-INDEX(VN_국채일별!$D$4:$D$1436,MATCH($B667,VN_국채일별!$A$4:$A$1436,1)))*($J667-3)/2,IF($J667&lt;=7,INDEX(VN_국채일별!$E$4:$E$1436,MATCH($B667,VN_국채일별!$A$4:$A$1436,1))+(INDEX(VN_국채일별!$F$4:$F$1436,MATCH($B667,VN_국채일별!$A$4:$A$1436,1))-INDEX(VN_국채일별!$E$4:$E$1436,MATCH($B667,VN_국채일별!$A$4:$A$1436,1)))*($J667-5)/2,IF($J667&lt;=10,INDEX(VN_국채일별!$F$4:$F$1436,MATCH($B667,VN_국채일별!$A$4:$A$1436,1))+(INDEX(VN_국채일별!$G$4:$G$1436,MATCH($B667,VN_국채일별!$A$4:$A$1436,1))-INDEX(VN_국채일별!$F$4:$F$1436,MATCH($B667,VN_국채일별!$A$4:$A$1436,1)))*($J667-7)/3,INDEX(VN_국채일별!$G$4:$G$1436,MATCH($B667,VN_국채일별!$A$4:$A$1436,1)))))))),""))</f>
        <v>0.03656</v>
      </c>
      <c r="R667" s="58" t="n">
        <f aca="false">IF(OR(L667="",Q667=""),"",(L667-Q667)*10000)</f>
        <v>474.4</v>
      </c>
      <c r="S667" s="30" t="n">
        <f aca="false">IF(AND(K667="고정",N667="N",J667&gt;=2,J667&lt;=4,I667&lt;&gt;""),1,0)</f>
        <v>1</v>
      </c>
      <c r="T667" s="59" t="n">
        <f aca="false">IF(S667=1,I667*L667,0)</f>
        <v>84</v>
      </c>
      <c r="U667" s="60" t="n">
        <f aca="false">IF(AND(S667=1,ISNUMBER(R667)),I667*R667,0)</f>
        <v>474400</v>
      </c>
      <c r="V667" s="30" t="n">
        <f aca="false">IF(AND(F667="Big4(국영)",K667="고정",N667="N",I667&lt;&gt;""),1,0)</f>
        <v>0</v>
      </c>
      <c r="W667" s="59" t="n">
        <f aca="false">IF(V667=1,I667*L667,0)</f>
        <v>0</v>
      </c>
      <c r="X667" s="60" t="n">
        <f aca="false">IF(AND(V667=1,ISNUMBER(R667)),I667*R667,0)</f>
        <v>0</v>
      </c>
      <c r="Y667" s="61" t="n">
        <f aca="false">IF(AND(S667=1,ISNUMBER(R667)),I667,0)</f>
        <v>1000</v>
      </c>
      <c r="Z667" s="61" t="n">
        <f aca="false">IF(AND(V667=1,ISNUMBER(R667)),I667,0)</f>
        <v>0</v>
      </c>
    </row>
    <row r="668" customFormat="false" ht="15" hidden="false" customHeight="false" outlineLevel="0" collapsed="false">
      <c r="A668" s="47" t="s">
        <v>1146</v>
      </c>
      <c r="B668" s="52" t="n">
        <v>46154</v>
      </c>
      <c r="C668" s="53" t="n">
        <f aca="false">DATE(YEAR(B668),MONTH(B668),1)</f>
        <v>46143</v>
      </c>
      <c r="D668" s="5" t="str">
        <f aca="false">YEAR(B668)&amp;"Q"&amp;ROUNDUP(MONTH(B668)/3,0)</f>
        <v>2026Q2</v>
      </c>
      <c r="E668" s="47" t="s">
        <v>160</v>
      </c>
      <c r="F668" s="54" t="s">
        <v>139</v>
      </c>
      <c r="G668" s="47" t="s">
        <v>161</v>
      </c>
      <c r="H668" s="47" t="s">
        <v>1150</v>
      </c>
      <c r="I668" s="55" t="n">
        <v>3500</v>
      </c>
      <c r="J668" s="56" t="n">
        <v>10</v>
      </c>
      <c r="K668" s="54" t="s">
        <v>153</v>
      </c>
      <c r="N668" s="47" t="s">
        <v>143</v>
      </c>
      <c r="O668" s="47" t="s">
        <v>1151</v>
      </c>
      <c r="P668" s="47"/>
      <c r="Q668" s="48" t="n">
        <f aca="false">IF($J668="","",IFERROR(IF($J668&lt;=1,INDEX(VN_국채일별!$B$4:$B$1436,MATCH($B668,VN_국채일별!$A$4:$A$1436,1)),IF($J668&lt;=2,INDEX(VN_국채일별!$B$4:$B$1436,MATCH($B668,VN_국채일별!$A$4:$A$1436,1))+(INDEX(VN_국채일별!$C$4:$C$1436,MATCH($B668,VN_국채일별!$A$4:$A$1436,1))-INDEX(VN_국채일별!$B$4:$B$1436,MATCH($B668,VN_국채일별!$A$4:$A$1436,1)))*($J668-1),IF($J668&lt;=3,INDEX(VN_국채일별!$C$4:$C$1436,MATCH($B668,VN_국채일별!$A$4:$A$1436,1))+(INDEX(VN_국채일별!$D$4:$D$1436,MATCH($B668,VN_국채일별!$A$4:$A$1436,1))-INDEX(VN_국채일별!$C$4:$C$1436,MATCH($B668,VN_국채일별!$A$4:$A$1436,1)))*($J668-2),IF($J668&lt;=5,INDEX(VN_국채일별!$D$4:$D$1436,MATCH($B668,VN_국채일별!$A$4:$A$1436,1))+(INDEX(VN_국채일별!$E$4:$E$1436,MATCH($B668,VN_국채일별!$A$4:$A$1436,1))-INDEX(VN_국채일별!$D$4:$D$1436,MATCH($B668,VN_국채일별!$A$4:$A$1436,1)))*($J668-3)/2,IF($J668&lt;=7,INDEX(VN_국채일별!$E$4:$E$1436,MATCH($B668,VN_국채일별!$A$4:$A$1436,1))+(INDEX(VN_국채일별!$F$4:$F$1436,MATCH($B668,VN_국채일별!$A$4:$A$1436,1))-INDEX(VN_국채일별!$E$4:$E$1436,MATCH($B668,VN_국채일별!$A$4:$A$1436,1)))*($J668-5)/2,IF($J668&lt;=10,INDEX(VN_국채일별!$F$4:$F$1436,MATCH($B668,VN_국채일별!$A$4:$A$1436,1))+(INDEX(VN_국채일별!$G$4:$G$1436,MATCH($B668,VN_국채일별!$A$4:$A$1436,1))-INDEX(VN_국채일별!$F$4:$F$1436,MATCH($B668,VN_국채일별!$A$4:$A$1436,1)))*($J668-7)/3,INDEX(VN_국채일별!$G$4:$G$1436,MATCH($B668,VN_국채일별!$A$4:$A$1436,1)))))))),""))</f>
        <v>0.04371</v>
      </c>
      <c r="R668" s="58" t="str">
        <f aca="false">IF(OR(L668="",Q668=""),"",(L668-Q668)*10000)</f>
        <v/>
      </c>
      <c r="S668" s="30" t="n">
        <f aca="false">IF(AND(K668="고정",N668="N",J668&gt;=2,J668&lt;=4,I668&lt;&gt;""),1,0)</f>
        <v>0</v>
      </c>
      <c r="T668" s="59" t="n">
        <f aca="false">IF(S668=1,I668*L668,0)</f>
        <v>0</v>
      </c>
      <c r="U668" s="60" t="n">
        <f aca="false">IF(AND(S668=1,ISNUMBER(R668)),I668*R668,0)</f>
        <v>0</v>
      </c>
      <c r="V668" s="30" t="n">
        <f aca="false">IF(AND(F668="Big4(국영)",K668="고정",N668="N",I668&lt;&gt;""),1,0)</f>
        <v>0</v>
      </c>
      <c r="W668" s="59" t="n">
        <f aca="false">IF(V668=1,I668*L668,0)</f>
        <v>0</v>
      </c>
      <c r="X668" s="60" t="n">
        <f aca="false">IF(AND(V668=1,ISNUMBER(R668)),I668*R668,0)</f>
        <v>0</v>
      </c>
      <c r="Y668" s="61" t="n">
        <f aca="false">IF(AND(S668=1,ISNUMBER(R668)),I668,0)</f>
        <v>0</v>
      </c>
      <c r="Z668" s="61" t="n">
        <f aca="false">IF(AND(V668=1,ISNUMBER(R668)),I668,0)</f>
        <v>0</v>
      </c>
    </row>
    <row r="669" customFormat="false" ht="15" hidden="false" customHeight="false" outlineLevel="0" collapsed="false">
      <c r="A669" s="47" t="s">
        <v>1146</v>
      </c>
      <c r="B669" s="52" t="n">
        <v>46155</v>
      </c>
      <c r="C669" s="53" t="n">
        <f aca="false">DATE(YEAR(B669),MONTH(B669),1)</f>
        <v>46143</v>
      </c>
      <c r="D669" s="5" t="str">
        <f aca="false">YEAR(B669)&amp;"Q"&amp;ROUNDUP(MONTH(B669)/3,0)</f>
        <v>2026Q2</v>
      </c>
      <c r="E669" s="47" t="s">
        <v>323</v>
      </c>
      <c r="F669" s="54" t="s">
        <v>139</v>
      </c>
      <c r="G669" s="47" t="s">
        <v>324</v>
      </c>
      <c r="H669" s="47" t="s">
        <v>1152</v>
      </c>
      <c r="I669" s="55" t="n">
        <v>1000</v>
      </c>
      <c r="J669" s="56" t="n">
        <v>2</v>
      </c>
      <c r="K669" s="54" t="s">
        <v>142</v>
      </c>
      <c r="L669" s="57" t="n">
        <v>0.084</v>
      </c>
      <c r="N669" s="47" t="s">
        <v>148</v>
      </c>
      <c r="O669" s="47" t="s">
        <v>1135</v>
      </c>
      <c r="P669" s="47"/>
      <c r="Q669" s="48" t="n">
        <f aca="false">IF($J669="","",IFERROR(IF($J669&lt;=1,INDEX(VN_국채일별!$B$4:$B$1436,MATCH($B669,VN_국채일별!$A$4:$A$1436,1)),IF($J669&lt;=2,INDEX(VN_국채일별!$B$4:$B$1436,MATCH($B669,VN_국채일별!$A$4:$A$1436,1))+(INDEX(VN_국채일별!$C$4:$C$1436,MATCH($B669,VN_국채일별!$A$4:$A$1436,1))-INDEX(VN_국채일별!$B$4:$B$1436,MATCH($B669,VN_국채일별!$A$4:$A$1436,1)))*($J669-1),IF($J669&lt;=3,INDEX(VN_국채일별!$C$4:$C$1436,MATCH($B669,VN_국채일별!$A$4:$A$1436,1))+(INDEX(VN_국채일별!$D$4:$D$1436,MATCH($B669,VN_국채일별!$A$4:$A$1436,1))-INDEX(VN_국채일별!$C$4:$C$1436,MATCH($B669,VN_국채일별!$A$4:$A$1436,1)))*($J669-2),IF($J669&lt;=5,INDEX(VN_국채일별!$D$4:$D$1436,MATCH($B669,VN_국채일별!$A$4:$A$1436,1))+(INDEX(VN_국채일별!$E$4:$E$1436,MATCH($B669,VN_국채일별!$A$4:$A$1436,1))-INDEX(VN_국채일별!$D$4:$D$1436,MATCH($B669,VN_국채일별!$A$4:$A$1436,1)))*($J669-3)/2,IF($J669&lt;=7,INDEX(VN_국채일별!$E$4:$E$1436,MATCH($B669,VN_국채일별!$A$4:$A$1436,1))+(INDEX(VN_국채일별!$F$4:$F$1436,MATCH($B669,VN_국채일별!$A$4:$A$1436,1))-INDEX(VN_국채일별!$E$4:$E$1436,MATCH($B669,VN_국채일별!$A$4:$A$1436,1)))*($J669-5)/2,IF($J669&lt;=10,INDEX(VN_국채일별!$F$4:$F$1436,MATCH($B669,VN_국채일별!$A$4:$A$1436,1))+(INDEX(VN_국채일별!$G$4:$G$1436,MATCH($B669,VN_국채일별!$A$4:$A$1436,1))-INDEX(VN_국채일별!$F$4:$F$1436,MATCH($B669,VN_국채일별!$A$4:$A$1436,1)))*($J669-7)/3,INDEX(VN_국채일별!$G$4:$G$1436,MATCH($B669,VN_국채일별!$A$4:$A$1436,1)))))))),""))</f>
        <v>0.03459</v>
      </c>
      <c r="R669" s="58" t="n">
        <f aca="false">IF(OR(L669="",Q669=""),"",(L669-Q669)*10000)</f>
        <v>494.1</v>
      </c>
      <c r="S669" s="30" t="n">
        <f aca="false">IF(AND(K669="고정",N669="N",J669&gt;=2,J669&lt;=4,I669&lt;&gt;""),1,0)</f>
        <v>1</v>
      </c>
      <c r="T669" s="59" t="n">
        <f aca="false">IF(S669=1,I669*L669,0)</f>
        <v>84</v>
      </c>
      <c r="U669" s="60" t="n">
        <f aca="false">IF(AND(S669=1,ISNUMBER(R669)),I669*R669,0)</f>
        <v>494100</v>
      </c>
      <c r="V669" s="30" t="n">
        <f aca="false">IF(AND(F669="Big4(국영)",K669="고정",N669="N",I669&lt;&gt;""),1,0)</f>
        <v>0</v>
      </c>
      <c r="W669" s="59" t="n">
        <f aca="false">IF(V669=1,I669*L669,0)</f>
        <v>0</v>
      </c>
      <c r="X669" s="60" t="n">
        <f aca="false">IF(AND(V669=1,ISNUMBER(R669)),I669*R669,0)</f>
        <v>0</v>
      </c>
      <c r="Y669" s="61" t="n">
        <f aca="false">IF(AND(S669=1,ISNUMBER(R669)),I669,0)</f>
        <v>1000</v>
      </c>
      <c r="Z669" s="61" t="n">
        <f aca="false">IF(AND(V669=1,ISNUMBER(R669)),I669,0)</f>
        <v>0</v>
      </c>
    </row>
    <row r="670" customFormat="false" ht="15" hidden="false" customHeight="false" outlineLevel="0" collapsed="false">
      <c r="A670" s="47" t="s">
        <v>1146</v>
      </c>
      <c r="B670" s="52" t="n">
        <v>46156</v>
      </c>
      <c r="C670" s="53" t="n">
        <f aca="false">DATE(YEAR(B670),MONTH(B670),1)</f>
        <v>46143</v>
      </c>
      <c r="D670" s="5" t="str">
        <f aca="false">YEAR(B670)&amp;"Q"&amp;ROUNDUP(MONTH(B670)/3,0)</f>
        <v>2026Q2</v>
      </c>
      <c r="E670" s="47" t="s">
        <v>323</v>
      </c>
      <c r="F670" s="54" t="s">
        <v>139</v>
      </c>
      <c r="G670" s="47" t="s">
        <v>324</v>
      </c>
      <c r="H670" s="47" t="s">
        <v>1153</v>
      </c>
      <c r="I670" s="55" t="n">
        <v>1000</v>
      </c>
      <c r="J670" s="56" t="n">
        <v>2</v>
      </c>
      <c r="K670" s="54" t="s">
        <v>153</v>
      </c>
      <c r="N670" s="47" t="s">
        <v>148</v>
      </c>
      <c r="O670" s="47" t="s">
        <v>1148</v>
      </c>
      <c r="P670" s="47"/>
      <c r="Q670" s="48" t="n">
        <f aca="false">IF($J670="","",IFERROR(IF($J670&lt;=1,INDEX(VN_국채일별!$B$4:$B$1436,MATCH($B670,VN_국채일별!$A$4:$A$1436,1)),IF($J670&lt;=2,INDEX(VN_국채일별!$B$4:$B$1436,MATCH($B670,VN_국채일별!$A$4:$A$1436,1))+(INDEX(VN_국채일별!$C$4:$C$1436,MATCH($B670,VN_국채일별!$A$4:$A$1436,1))-INDEX(VN_국채일별!$B$4:$B$1436,MATCH($B670,VN_국채일별!$A$4:$A$1436,1)))*($J670-1),IF($J670&lt;=3,INDEX(VN_국채일별!$C$4:$C$1436,MATCH($B670,VN_국채일별!$A$4:$A$1436,1))+(INDEX(VN_국채일별!$D$4:$D$1436,MATCH($B670,VN_국채일별!$A$4:$A$1436,1))-INDEX(VN_국채일별!$C$4:$C$1436,MATCH($B670,VN_국채일별!$A$4:$A$1436,1)))*($J670-2),IF($J670&lt;=5,INDEX(VN_국채일별!$D$4:$D$1436,MATCH($B670,VN_국채일별!$A$4:$A$1436,1))+(INDEX(VN_국채일별!$E$4:$E$1436,MATCH($B670,VN_국채일별!$A$4:$A$1436,1))-INDEX(VN_국채일별!$D$4:$D$1436,MATCH($B670,VN_국채일별!$A$4:$A$1436,1)))*($J670-3)/2,IF($J670&lt;=7,INDEX(VN_국채일별!$E$4:$E$1436,MATCH($B670,VN_국채일별!$A$4:$A$1436,1))+(INDEX(VN_국채일별!$F$4:$F$1436,MATCH($B670,VN_국채일별!$A$4:$A$1436,1))-INDEX(VN_국채일별!$E$4:$E$1436,MATCH($B670,VN_국채일별!$A$4:$A$1436,1)))*($J670-5)/2,IF($J670&lt;=10,INDEX(VN_국채일별!$F$4:$F$1436,MATCH($B670,VN_국채일별!$A$4:$A$1436,1))+(INDEX(VN_국채일별!$G$4:$G$1436,MATCH($B670,VN_국채일별!$A$4:$A$1436,1))-INDEX(VN_국채일별!$F$4:$F$1436,MATCH($B670,VN_국채일별!$A$4:$A$1436,1)))*($J670-7)/3,INDEX(VN_국채일별!$G$4:$G$1436,MATCH($B670,VN_국채일별!$A$4:$A$1436,1)))))))),""))</f>
        <v>0.03459</v>
      </c>
      <c r="R670" s="58" t="str">
        <f aca="false">IF(OR(L670="",Q670=""),"",(L670-Q670)*10000)</f>
        <v/>
      </c>
      <c r="S670" s="30" t="n">
        <f aca="false">IF(AND(K670="고정",N670="N",J670&gt;=2,J670&lt;=4,I670&lt;&gt;""),1,0)</f>
        <v>0</v>
      </c>
      <c r="T670" s="59" t="n">
        <f aca="false">IF(S670=1,I670*L670,0)</f>
        <v>0</v>
      </c>
      <c r="U670" s="60" t="n">
        <f aca="false">IF(AND(S670=1,ISNUMBER(R670)),I670*R670,0)</f>
        <v>0</v>
      </c>
      <c r="V670" s="30" t="n">
        <f aca="false">IF(AND(F670="Big4(국영)",K670="고정",N670="N",I670&lt;&gt;""),1,0)</f>
        <v>0</v>
      </c>
      <c r="W670" s="59" t="n">
        <f aca="false">IF(V670=1,I670*L670,0)</f>
        <v>0</v>
      </c>
      <c r="X670" s="60" t="n">
        <f aca="false">IF(AND(V670=1,ISNUMBER(R670)),I670*R670,0)</f>
        <v>0</v>
      </c>
      <c r="Y670" s="61" t="n">
        <f aca="false">IF(AND(S670=1,ISNUMBER(R670)),I670,0)</f>
        <v>0</v>
      </c>
      <c r="Z670" s="61" t="n">
        <f aca="false">IF(AND(V670=1,ISNUMBER(R670)),I670,0)</f>
        <v>0</v>
      </c>
    </row>
    <row r="671" customFormat="false" ht="15" hidden="false" customHeight="false" outlineLevel="0" collapsed="false">
      <c r="A671" s="47" t="s">
        <v>1146</v>
      </c>
      <c r="B671" s="52" t="n">
        <v>46157</v>
      </c>
      <c r="C671" s="53" t="n">
        <f aca="false">DATE(YEAR(B671),MONTH(B671),1)</f>
        <v>46143</v>
      </c>
      <c r="D671" s="5" t="str">
        <f aca="false">YEAR(B671)&amp;"Q"&amp;ROUNDUP(MONTH(B671)/3,0)</f>
        <v>2026Q2</v>
      </c>
      <c r="E671" s="47" t="s">
        <v>160</v>
      </c>
      <c r="F671" s="54" t="s">
        <v>139</v>
      </c>
      <c r="G671" s="47" t="s">
        <v>161</v>
      </c>
      <c r="H671" s="47" t="s">
        <v>1154</v>
      </c>
      <c r="I671" s="55" t="n">
        <v>50</v>
      </c>
      <c r="J671" s="56" t="n">
        <v>10</v>
      </c>
      <c r="K671" s="54" t="s">
        <v>142</v>
      </c>
      <c r="L671" s="57" t="n">
        <v>0.083</v>
      </c>
      <c r="N671" s="47" t="s">
        <v>143</v>
      </c>
      <c r="O671" s="47" t="s">
        <v>1155</v>
      </c>
      <c r="P671" s="47"/>
      <c r="Q671" s="48" t="n">
        <f aca="false">IF($J671="","",IFERROR(IF($J671&lt;=1,INDEX(VN_국채일별!$B$4:$B$1436,MATCH($B671,VN_국채일별!$A$4:$A$1436,1)),IF($J671&lt;=2,INDEX(VN_국채일별!$B$4:$B$1436,MATCH($B671,VN_국채일별!$A$4:$A$1436,1))+(INDEX(VN_국채일별!$C$4:$C$1436,MATCH($B671,VN_국채일별!$A$4:$A$1436,1))-INDEX(VN_국채일별!$B$4:$B$1436,MATCH($B671,VN_국채일별!$A$4:$A$1436,1)))*($J671-1),IF($J671&lt;=3,INDEX(VN_국채일별!$C$4:$C$1436,MATCH($B671,VN_국채일별!$A$4:$A$1436,1))+(INDEX(VN_국채일별!$D$4:$D$1436,MATCH($B671,VN_국채일별!$A$4:$A$1436,1))-INDEX(VN_국채일별!$C$4:$C$1436,MATCH($B671,VN_국채일별!$A$4:$A$1436,1)))*($J671-2),IF($J671&lt;=5,INDEX(VN_국채일별!$D$4:$D$1436,MATCH($B671,VN_국채일별!$A$4:$A$1436,1))+(INDEX(VN_국채일별!$E$4:$E$1436,MATCH($B671,VN_국채일별!$A$4:$A$1436,1))-INDEX(VN_국채일별!$D$4:$D$1436,MATCH($B671,VN_국채일별!$A$4:$A$1436,1)))*($J671-3)/2,IF($J671&lt;=7,INDEX(VN_국채일별!$E$4:$E$1436,MATCH($B671,VN_국채일별!$A$4:$A$1436,1))+(INDEX(VN_국채일별!$F$4:$F$1436,MATCH($B671,VN_국채일별!$A$4:$A$1436,1))-INDEX(VN_국채일별!$E$4:$E$1436,MATCH($B671,VN_국채일별!$A$4:$A$1436,1)))*($J671-5)/2,IF($J671&lt;=10,INDEX(VN_국채일별!$F$4:$F$1436,MATCH($B671,VN_국채일별!$A$4:$A$1436,1))+(INDEX(VN_국채일별!$G$4:$G$1436,MATCH($B671,VN_국채일별!$A$4:$A$1436,1))-INDEX(VN_국채일별!$F$4:$F$1436,MATCH($B671,VN_국채일별!$A$4:$A$1436,1)))*($J671-7)/3,INDEX(VN_국채일별!$G$4:$G$1436,MATCH($B671,VN_국채일별!$A$4:$A$1436,1)))))))),""))</f>
        <v>0.04375</v>
      </c>
      <c r="R671" s="58" t="n">
        <f aca="false">IF(OR(L671="",Q671=""),"",(L671-Q671)*10000)</f>
        <v>392.5</v>
      </c>
      <c r="S671" s="30" t="n">
        <f aca="false">IF(AND(K671="고정",N671="N",J671&gt;=2,J671&lt;=4,I671&lt;&gt;""),1,0)</f>
        <v>0</v>
      </c>
      <c r="T671" s="59" t="n">
        <f aca="false">IF(S671=1,I671*L671,0)</f>
        <v>0</v>
      </c>
      <c r="U671" s="60" t="n">
        <f aca="false">IF(AND(S671=1,ISNUMBER(R671)),I671*R671,0)</f>
        <v>0</v>
      </c>
      <c r="V671" s="30" t="n">
        <f aca="false">IF(AND(F671="Big4(국영)",K671="고정",N671="N",I671&lt;&gt;""),1,0)</f>
        <v>0</v>
      </c>
      <c r="W671" s="59" t="n">
        <f aca="false">IF(V671=1,I671*L671,0)</f>
        <v>0</v>
      </c>
      <c r="X671" s="60" t="n">
        <f aca="false">IF(AND(V671=1,ISNUMBER(R671)),I671*R671,0)</f>
        <v>0</v>
      </c>
      <c r="Y671" s="61" t="n">
        <f aca="false">IF(AND(S671=1,ISNUMBER(R671)),I671,0)</f>
        <v>0</v>
      </c>
      <c r="Z671" s="61" t="n">
        <f aca="false">IF(AND(V671=1,ISNUMBER(R671)),I671,0)</f>
        <v>0</v>
      </c>
    </row>
    <row r="672" customFormat="false" ht="15" hidden="false" customHeight="false" outlineLevel="0" collapsed="false">
      <c r="A672" s="47" t="s">
        <v>1146</v>
      </c>
      <c r="B672" s="52" t="n">
        <v>46157</v>
      </c>
      <c r="C672" s="53" t="n">
        <f aca="false">DATE(YEAR(B672),MONTH(B672),1)</f>
        <v>46143</v>
      </c>
      <c r="D672" s="5" t="str">
        <f aca="false">YEAR(B672)&amp;"Q"&amp;ROUNDUP(MONTH(B672)/3,0)</f>
        <v>2026Q2</v>
      </c>
      <c r="E672" s="47" t="s">
        <v>160</v>
      </c>
      <c r="F672" s="54" t="s">
        <v>139</v>
      </c>
      <c r="G672" s="47" t="s">
        <v>161</v>
      </c>
      <c r="H672" s="47" t="s">
        <v>1156</v>
      </c>
      <c r="I672" s="55" t="n">
        <v>300</v>
      </c>
      <c r="J672" s="56" t="n">
        <v>10</v>
      </c>
      <c r="K672" s="54" t="s">
        <v>142</v>
      </c>
      <c r="L672" s="57" t="n">
        <v>0.083</v>
      </c>
      <c r="N672" s="47" t="s">
        <v>143</v>
      </c>
      <c r="O672" s="47" t="s">
        <v>1155</v>
      </c>
      <c r="P672" s="47"/>
      <c r="Q672" s="48" t="n">
        <f aca="false">IF($J672="","",IFERROR(IF($J672&lt;=1,INDEX(VN_국채일별!$B$4:$B$1436,MATCH($B672,VN_국채일별!$A$4:$A$1436,1)),IF($J672&lt;=2,INDEX(VN_국채일별!$B$4:$B$1436,MATCH($B672,VN_국채일별!$A$4:$A$1436,1))+(INDEX(VN_국채일별!$C$4:$C$1436,MATCH($B672,VN_국채일별!$A$4:$A$1436,1))-INDEX(VN_국채일별!$B$4:$B$1436,MATCH($B672,VN_국채일별!$A$4:$A$1436,1)))*($J672-1),IF($J672&lt;=3,INDEX(VN_국채일별!$C$4:$C$1436,MATCH($B672,VN_국채일별!$A$4:$A$1436,1))+(INDEX(VN_국채일별!$D$4:$D$1436,MATCH($B672,VN_국채일별!$A$4:$A$1436,1))-INDEX(VN_국채일별!$C$4:$C$1436,MATCH($B672,VN_국채일별!$A$4:$A$1436,1)))*($J672-2),IF($J672&lt;=5,INDEX(VN_국채일별!$D$4:$D$1436,MATCH($B672,VN_국채일별!$A$4:$A$1436,1))+(INDEX(VN_국채일별!$E$4:$E$1436,MATCH($B672,VN_국채일별!$A$4:$A$1436,1))-INDEX(VN_국채일별!$D$4:$D$1436,MATCH($B672,VN_국채일별!$A$4:$A$1436,1)))*($J672-3)/2,IF($J672&lt;=7,INDEX(VN_국채일별!$E$4:$E$1436,MATCH($B672,VN_국채일별!$A$4:$A$1436,1))+(INDEX(VN_국채일별!$F$4:$F$1436,MATCH($B672,VN_국채일별!$A$4:$A$1436,1))-INDEX(VN_국채일별!$E$4:$E$1436,MATCH($B672,VN_국채일별!$A$4:$A$1436,1)))*($J672-5)/2,IF($J672&lt;=10,INDEX(VN_국채일별!$F$4:$F$1436,MATCH($B672,VN_국채일별!$A$4:$A$1436,1))+(INDEX(VN_국채일별!$G$4:$G$1436,MATCH($B672,VN_국채일별!$A$4:$A$1436,1))-INDEX(VN_국채일별!$F$4:$F$1436,MATCH($B672,VN_국채일별!$A$4:$A$1436,1)))*($J672-7)/3,INDEX(VN_국채일별!$G$4:$G$1436,MATCH($B672,VN_국채일별!$A$4:$A$1436,1)))))))),""))</f>
        <v>0.04375</v>
      </c>
      <c r="R672" s="58" t="n">
        <f aca="false">IF(OR(L672="",Q672=""),"",(L672-Q672)*10000)</f>
        <v>392.5</v>
      </c>
      <c r="S672" s="30" t="n">
        <f aca="false">IF(AND(K672="고정",N672="N",J672&gt;=2,J672&lt;=4,I672&lt;&gt;""),1,0)</f>
        <v>0</v>
      </c>
      <c r="T672" s="59" t="n">
        <f aca="false">IF(S672=1,I672*L672,0)</f>
        <v>0</v>
      </c>
      <c r="U672" s="60" t="n">
        <f aca="false">IF(AND(S672=1,ISNUMBER(R672)),I672*R672,0)</f>
        <v>0</v>
      </c>
      <c r="V672" s="30" t="n">
        <f aca="false">IF(AND(F672="Big4(국영)",K672="고정",N672="N",I672&lt;&gt;""),1,0)</f>
        <v>0</v>
      </c>
      <c r="W672" s="59" t="n">
        <f aca="false">IF(V672=1,I672*L672,0)</f>
        <v>0</v>
      </c>
      <c r="X672" s="60" t="n">
        <f aca="false">IF(AND(V672=1,ISNUMBER(R672)),I672*R672,0)</f>
        <v>0</v>
      </c>
      <c r="Y672" s="61" t="n">
        <f aca="false">IF(AND(S672=1,ISNUMBER(R672)),I672,0)</f>
        <v>0</v>
      </c>
      <c r="Z672" s="61" t="n">
        <f aca="false">IF(AND(V672=1,ISNUMBER(R672)),I672,0)</f>
        <v>0</v>
      </c>
    </row>
    <row r="673" customFormat="false" ht="15" hidden="false" customHeight="false" outlineLevel="0" collapsed="false">
      <c r="A673" s="47" t="s">
        <v>1146</v>
      </c>
      <c r="B673" s="52" t="n">
        <v>46160</v>
      </c>
      <c r="C673" s="53" t="n">
        <f aca="false">DATE(YEAR(B673),MONTH(B673),1)</f>
        <v>46143</v>
      </c>
      <c r="D673" s="5" t="str">
        <f aca="false">YEAR(B673)&amp;"Q"&amp;ROUNDUP(MONTH(B673)/3,0)</f>
        <v>2026Q2</v>
      </c>
      <c r="E673" s="47" t="s">
        <v>307</v>
      </c>
      <c r="F673" s="54" t="s">
        <v>139</v>
      </c>
      <c r="G673" s="47" t="s">
        <v>308</v>
      </c>
      <c r="H673" s="47" t="s">
        <v>1157</v>
      </c>
      <c r="I673" s="55" t="n">
        <v>2000</v>
      </c>
      <c r="J673" s="56" t="n">
        <v>3</v>
      </c>
      <c r="K673" s="54" t="s">
        <v>142</v>
      </c>
      <c r="L673" s="57" t="n">
        <v>0.084</v>
      </c>
      <c r="N673" s="47" t="s">
        <v>148</v>
      </c>
      <c r="O673" s="47" t="s">
        <v>1135</v>
      </c>
      <c r="P673" s="47"/>
      <c r="Q673" s="48" t="n">
        <f aca="false">IF($J673="","",IFERROR(IF($J673&lt;=1,INDEX(VN_국채일별!$B$4:$B$1436,MATCH($B673,VN_국채일별!$A$4:$A$1436,1)),IF($J673&lt;=2,INDEX(VN_국채일별!$B$4:$B$1436,MATCH($B673,VN_국채일별!$A$4:$A$1436,1))+(INDEX(VN_국채일별!$C$4:$C$1436,MATCH($B673,VN_국채일별!$A$4:$A$1436,1))-INDEX(VN_국채일별!$B$4:$B$1436,MATCH($B673,VN_국채일별!$A$4:$A$1436,1)))*($J673-1),IF($J673&lt;=3,INDEX(VN_국채일별!$C$4:$C$1436,MATCH($B673,VN_국채일별!$A$4:$A$1436,1))+(INDEX(VN_국채일별!$D$4:$D$1436,MATCH($B673,VN_국채일별!$A$4:$A$1436,1))-INDEX(VN_국채일별!$C$4:$C$1436,MATCH($B673,VN_국채일별!$A$4:$A$1436,1)))*($J673-2),IF($J673&lt;=5,INDEX(VN_국채일별!$D$4:$D$1436,MATCH($B673,VN_국채일별!$A$4:$A$1436,1))+(INDEX(VN_국채일별!$E$4:$E$1436,MATCH($B673,VN_국채일별!$A$4:$A$1436,1))-INDEX(VN_국채일별!$D$4:$D$1436,MATCH($B673,VN_국채일별!$A$4:$A$1436,1)))*($J673-3)/2,IF($J673&lt;=7,INDEX(VN_국채일별!$E$4:$E$1436,MATCH($B673,VN_국채일별!$A$4:$A$1436,1))+(INDEX(VN_국채일별!$F$4:$F$1436,MATCH($B673,VN_국채일별!$A$4:$A$1436,1))-INDEX(VN_국채일별!$E$4:$E$1436,MATCH($B673,VN_국채일별!$A$4:$A$1436,1)))*($J673-5)/2,IF($J673&lt;=10,INDEX(VN_국채일별!$F$4:$F$1436,MATCH($B673,VN_국채일별!$A$4:$A$1436,1))+(INDEX(VN_국채일별!$G$4:$G$1436,MATCH($B673,VN_국채일별!$A$4:$A$1436,1))-INDEX(VN_국채일별!$F$4:$F$1436,MATCH($B673,VN_국채일별!$A$4:$A$1436,1)))*($J673-7)/3,INDEX(VN_국채일별!$G$4:$G$1436,MATCH($B673,VN_국채일별!$A$4:$A$1436,1)))))))),""))</f>
        <v>0.0365</v>
      </c>
      <c r="R673" s="58" t="n">
        <f aca="false">IF(OR(L673="",Q673=""),"",(L673-Q673)*10000)</f>
        <v>475</v>
      </c>
      <c r="S673" s="30" t="n">
        <f aca="false">IF(AND(K673="고정",N673="N",J673&gt;=2,J673&lt;=4,I673&lt;&gt;""),1,0)</f>
        <v>1</v>
      </c>
      <c r="T673" s="59" t="n">
        <f aca="false">IF(S673=1,I673*L673,0)</f>
        <v>168</v>
      </c>
      <c r="U673" s="60" t="n">
        <f aca="false">IF(AND(S673=1,ISNUMBER(R673)),I673*R673,0)</f>
        <v>950000</v>
      </c>
      <c r="V673" s="30" t="n">
        <f aca="false">IF(AND(F673="Big4(국영)",K673="고정",N673="N",I673&lt;&gt;""),1,0)</f>
        <v>0</v>
      </c>
      <c r="W673" s="59" t="n">
        <f aca="false">IF(V673=1,I673*L673,0)</f>
        <v>0</v>
      </c>
      <c r="X673" s="60" t="n">
        <f aca="false">IF(AND(V673=1,ISNUMBER(R673)),I673*R673,0)</f>
        <v>0</v>
      </c>
      <c r="Y673" s="61" t="n">
        <f aca="false">IF(AND(S673=1,ISNUMBER(R673)),I673,0)</f>
        <v>2000</v>
      </c>
      <c r="Z673" s="61" t="n">
        <f aca="false">IF(AND(V673=1,ISNUMBER(R673)),I673,0)</f>
        <v>0</v>
      </c>
    </row>
    <row r="674" customFormat="false" ht="15" hidden="false" customHeight="false" outlineLevel="0" collapsed="false">
      <c r="A674" s="47" t="s">
        <v>1146</v>
      </c>
      <c r="B674" s="52" t="n">
        <v>46161</v>
      </c>
      <c r="C674" s="53" t="n">
        <f aca="false">DATE(YEAR(B674),MONTH(B674),1)</f>
        <v>46143</v>
      </c>
      <c r="D674" s="5" t="str">
        <f aca="false">YEAR(B674)&amp;"Q"&amp;ROUNDUP(MONTH(B674)/3,0)</f>
        <v>2026Q2</v>
      </c>
      <c r="E674" s="47" t="s">
        <v>160</v>
      </c>
      <c r="F674" s="54" t="s">
        <v>139</v>
      </c>
      <c r="G674" s="47" t="s">
        <v>161</v>
      </c>
      <c r="H674" s="47" t="s">
        <v>1158</v>
      </c>
      <c r="I674" s="55" t="n">
        <v>100</v>
      </c>
      <c r="J674" s="56" t="n">
        <v>10</v>
      </c>
      <c r="K674" s="54" t="s">
        <v>142</v>
      </c>
      <c r="L674" s="57" t="n">
        <v>0.083</v>
      </c>
      <c r="N674" s="47" t="s">
        <v>143</v>
      </c>
      <c r="O674" s="47" t="s">
        <v>1155</v>
      </c>
      <c r="P674" s="47"/>
      <c r="Q674" s="48" t="n">
        <f aca="false">IF($J674="","",IFERROR(IF($J674&lt;=1,INDEX(VN_국채일별!$B$4:$B$1436,MATCH($B674,VN_국채일별!$A$4:$A$1436,1)),IF($J674&lt;=2,INDEX(VN_국채일별!$B$4:$B$1436,MATCH($B674,VN_국채일별!$A$4:$A$1436,1))+(INDEX(VN_국채일별!$C$4:$C$1436,MATCH($B674,VN_국채일별!$A$4:$A$1436,1))-INDEX(VN_국채일별!$B$4:$B$1436,MATCH($B674,VN_국채일별!$A$4:$A$1436,1)))*($J674-1),IF($J674&lt;=3,INDEX(VN_국채일별!$C$4:$C$1436,MATCH($B674,VN_국채일별!$A$4:$A$1436,1))+(INDEX(VN_국채일별!$D$4:$D$1436,MATCH($B674,VN_국채일별!$A$4:$A$1436,1))-INDEX(VN_국채일별!$C$4:$C$1436,MATCH($B674,VN_국채일별!$A$4:$A$1436,1)))*($J674-2),IF($J674&lt;=5,INDEX(VN_국채일별!$D$4:$D$1436,MATCH($B674,VN_국채일별!$A$4:$A$1436,1))+(INDEX(VN_국채일별!$E$4:$E$1436,MATCH($B674,VN_국채일별!$A$4:$A$1436,1))-INDEX(VN_국채일별!$D$4:$D$1436,MATCH($B674,VN_국채일별!$A$4:$A$1436,1)))*($J674-3)/2,IF($J674&lt;=7,INDEX(VN_국채일별!$E$4:$E$1436,MATCH($B674,VN_국채일별!$A$4:$A$1436,1))+(INDEX(VN_국채일별!$F$4:$F$1436,MATCH($B674,VN_국채일별!$A$4:$A$1436,1))-INDEX(VN_국채일별!$E$4:$E$1436,MATCH($B674,VN_국채일별!$A$4:$A$1436,1)))*($J674-5)/2,IF($J674&lt;=10,INDEX(VN_국채일별!$F$4:$F$1436,MATCH($B674,VN_국채일별!$A$4:$A$1436,1))+(INDEX(VN_국채일별!$G$4:$G$1436,MATCH($B674,VN_국채일별!$A$4:$A$1436,1))-INDEX(VN_국채일별!$F$4:$F$1436,MATCH($B674,VN_국채일별!$A$4:$A$1436,1)))*($J674-7)/3,INDEX(VN_국채일별!$G$4:$G$1436,MATCH($B674,VN_국채일별!$A$4:$A$1436,1)))))))),""))</f>
        <v>0.04374</v>
      </c>
      <c r="R674" s="58" t="n">
        <f aca="false">IF(OR(L674="",Q674=""),"",(L674-Q674)*10000)</f>
        <v>392.6</v>
      </c>
      <c r="S674" s="30" t="n">
        <f aca="false">IF(AND(K674="고정",N674="N",J674&gt;=2,J674&lt;=4,I674&lt;&gt;""),1,0)</f>
        <v>0</v>
      </c>
      <c r="T674" s="59" t="n">
        <f aca="false">IF(S674=1,I674*L674,0)</f>
        <v>0</v>
      </c>
      <c r="U674" s="60" t="n">
        <f aca="false">IF(AND(S674=1,ISNUMBER(R674)),I674*R674,0)</f>
        <v>0</v>
      </c>
      <c r="V674" s="30" t="n">
        <f aca="false">IF(AND(F674="Big4(국영)",K674="고정",N674="N",I674&lt;&gt;""),1,0)</f>
        <v>0</v>
      </c>
      <c r="W674" s="59" t="n">
        <f aca="false">IF(V674=1,I674*L674,0)</f>
        <v>0</v>
      </c>
      <c r="X674" s="60" t="n">
        <f aca="false">IF(AND(V674=1,ISNUMBER(R674)),I674*R674,0)</f>
        <v>0</v>
      </c>
      <c r="Y674" s="61" t="n">
        <f aca="false">IF(AND(S674=1,ISNUMBER(R674)),I674,0)</f>
        <v>0</v>
      </c>
      <c r="Z674" s="61" t="n">
        <f aca="false">IF(AND(V674=1,ISNUMBER(R674)),I674,0)</f>
        <v>0</v>
      </c>
    </row>
    <row r="675" customFormat="false" ht="15" hidden="false" customHeight="false" outlineLevel="0" collapsed="false">
      <c r="A675" s="47" t="s">
        <v>1146</v>
      </c>
      <c r="B675" s="52" t="n">
        <v>46161</v>
      </c>
      <c r="C675" s="53" t="n">
        <f aca="false">DATE(YEAR(B675),MONTH(B675),1)</f>
        <v>46143</v>
      </c>
      <c r="D675" s="5" t="str">
        <f aca="false">YEAR(B675)&amp;"Q"&amp;ROUNDUP(MONTH(B675)/3,0)</f>
        <v>2026Q2</v>
      </c>
      <c r="E675" s="47" t="s">
        <v>248</v>
      </c>
      <c r="F675" s="54" t="s">
        <v>139</v>
      </c>
      <c r="G675" s="47" t="s">
        <v>361</v>
      </c>
      <c r="H675" s="47" t="s">
        <v>1159</v>
      </c>
      <c r="I675" s="55" t="n">
        <v>50</v>
      </c>
      <c r="J675" s="56" t="n">
        <v>8</v>
      </c>
      <c r="K675" s="54" t="s">
        <v>153</v>
      </c>
      <c r="N675" s="47" t="s">
        <v>143</v>
      </c>
      <c r="O675" s="47" t="s">
        <v>1160</v>
      </c>
      <c r="P675" s="47"/>
      <c r="Q675" s="48" t="n">
        <f aca="false">IF($J675="","",IFERROR(IF($J675&lt;=1,INDEX(VN_국채일별!$B$4:$B$1436,MATCH($B675,VN_국채일별!$A$4:$A$1436,1)),IF($J675&lt;=2,INDEX(VN_국채일별!$B$4:$B$1436,MATCH($B675,VN_국채일별!$A$4:$A$1436,1))+(INDEX(VN_국채일별!$C$4:$C$1436,MATCH($B675,VN_국채일별!$A$4:$A$1436,1))-INDEX(VN_국채일별!$B$4:$B$1436,MATCH($B675,VN_국채일별!$A$4:$A$1436,1)))*($J675-1),IF($J675&lt;=3,INDEX(VN_국채일별!$C$4:$C$1436,MATCH($B675,VN_국채일별!$A$4:$A$1436,1))+(INDEX(VN_국채일별!$D$4:$D$1436,MATCH($B675,VN_국채일별!$A$4:$A$1436,1))-INDEX(VN_국채일별!$C$4:$C$1436,MATCH($B675,VN_국채일별!$A$4:$A$1436,1)))*($J675-2),IF($J675&lt;=5,INDEX(VN_국채일별!$D$4:$D$1436,MATCH($B675,VN_국채일별!$A$4:$A$1436,1))+(INDEX(VN_국채일별!$E$4:$E$1436,MATCH($B675,VN_국채일별!$A$4:$A$1436,1))-INDEX(VN_국채일별!$D$4:$D$1436,MATCH($B675,VN_국채일별!$A$4:$A$1436,1)))*($J675-3)/2,IF($J675&lt;=7,INDEX(VN_국채일별!$E$4:$E$1436,MATCH($B675,VN_국채일별!$A$4:$A$1436,1))+(INDEX(VN_국채일별!$F$4:$F$1436,MATCH($B675,VN_국채일별!$A$4:$A$1436,1))-INDEX(VN_국채일별!$E$4:$E$1436,MATCH($B675,VN_국채일별!$A$4:$A$1436,1)))*($J675-5)/2,IF($J675&lt;=10,INDEX(VN_국채일별!$F$4:$F$1436,MATCH($B675,VN_국채일별!$A$4:$A$1436,1))+(INDEX(VN_국채일별!$G$4:$G$1436,MATCH($B675,VN_국채일별!$A$4:$A$1436,1))-INDEX(VN_국채일별!$F$4:$F$1436,MATCH($B675,VN_국채일별!$A$4:$A$1436,1)))*($J675-7)/3,INDEX(VN_국채일별!$G$4:$G$1436,MATCH($B675,VN_국채일별!$A$4:$A$1436,1)))))))),""))</f>
        <v>0.0431133333333333</v>
      </c>
      <c r="R675" s="58" t="str">
        <f aca="false">IF(OR(L675="",Q675=""),"",(L675-Q675)*10000)</f>
        <v/>
      </c>
      <c r="S675" s="30" t="n">
        <f aca="false">IF(AND(K675="고정",N675="N",J675&gt;=2,J675&lt;=4,I675&lt;&gt;""),1,0)</f>
        <v>0</v>
      </c>
      <c r="T675" s="59" t="n">
        <f aca="false">IF(S675=1,I675*L675,0)</f>
        <v>0</v>
      </c>
      <c r="U675" s="60" t="n">
        <f aca="false">IF(AND(S675=1,ISNUMBER(R675)),I675*R675,0)</f>
        <v>0</v>
      </c>
      <c r="V675" s="30" t="n">
        <f aca="false">IF(AND(F675="Big4(국영)",K675="고정",N675="N",I675&lt;&gt;""),1,0)</f>
        <v>0</v>
      </c>
      <c r="W675" s="59" t="n">
        <f aca="false">IF(V675=1,I675*L675,0)</f>
        <v>0</v>
      </c>
      <c r="X675" s="60" t="n">
        <f aca="false">IF(AND(V675=1,ISNUMBER(R675)),I675*R675,0)</f>
        <v>0</v>
      </c>
      <c r="Y675" s="61" t="n">
        <f aca="false">IF(AND(S675=1,ISNUMBER(R675)),I675,0)</f>
        <v>0</v>
      </c>
      <c r="Z675" s="61" t="n">
        <f aca="false">IF(AND(V675=1,ISNUMBER(R675)),I675,0)</f>
        <v>0</v>
      </c>
    </row>
    <row r="676" customFormat="false" ht="15" hidden="false" customHeight="false" outlineLevel="0" collapsed="false">
      <c r="A676" s="47" t="s">
        <v>1146</v>
      </c>
      <c r="B676" s="52" t="n">
        <v>46162</v>
      </c>
      <c r="C676" s="53" t="n">
        <f aca="false">DATE(YEAR(B676),MONTH(B676),1)</f>
        <v>46143</v>
      </c>
      <c r="D676" s="5" t="str">
        <f aca="false">YEAR(B676)&amp;"Q"&amp;ROUNDUP(MONTH(B676)/3,0)</f>
        <v>2026Q2</v>
      </c>
      <c r="E676" s="47" t="s">
        <v>145</v>
      </c>
      <c r="F676" s="54" t="s">
        <v>139</v>
      </c>
      <c r="G676" s="47" t="s">
        <v>146</v>
      </c>
      <c r="H676" s="47" t="s">
        <v>1161</v>
      </c>
      <c r="I676" s="55" t="n">
        <v>2000</v>
      </c>
      <c r="J676" s="56" t="n">
        <v>3</v>
      </c>
      <c r="K676" s="54" t="s">
        <v>142</v>
      </c>
      <c r="L676" s="57" t="n">
        <v>0.0845</v>
      </c>
      <c r="N676" s="47" t="s">
        <v>148</v>
      </c>
      <c r="O676" s="47" t="s">
        <v>1162</v>
      </c>
      <c r="P676" s="47"/>
      <c r="Q676" s="48" t="n">
        <f aca="false">IF($J676="","",IFERROR(IF($J676&lt;=1,INDEX(VN_국채일별!$B$4:$B$1436,MATCH($B676,VN_국채일별!$A$4:$A$1436,1)),IF($J676&lt;=2,INDEX(VN_국채일별!$B$4:$B$1436,MATCH($B676,VN_국채일별!$A$4:$A$1436,1))+(INDEX(VN_국채일별!$C$4:$C$1436,MATCH($B676,VN_국채일별!$A$4:$A$1436,1))-INDEX(VN_국채일별!$B$4:$B$1436,MATCH($B676,VN_국채일별!$A$4:$A$1436,1)))*($J676-1),IF($J676&lt;=3,INDEX(VN_국채일별!$C$4:$C$1436,MATCH($B676,VN_국채일별!$A$4:$A$1436,1))+(INDEX(VN_국채일별!$D$4:$D$1436,MATCH($B676,VN_국채일별!$A$4:$A$1436,1))-INDEX(VN_국채일별!$C$4:$C$1436,MATCH($B676,VN_국채일별!$A$4:$A$1436,1)))*($J676-2),IF($J676&lt;=5,INDEX(VN_국채일별!$D$4:$D$1436,MATCH($B676,VN_국채일별!$A$4:$A$1436,1))+(INDEX(VN_국채일별!$E$4:$E$1436,MATCH($B676,VN_국채일별!$A$4:$A$1436,1))-INDEX(VN_국채일별!$D$4:$D$1436,MATCH($B676,VN_국채일별!$A$4:$A$1436,1)))*($J676-3)/2,IF($J676&lt;=7,INDEX(VN_국채일별!$E$4:$E$1436,MATCH($B676,VN_국채일별!$A$4:$A$1436,1))+(INDEX(VN_국채일별!$F$4:$F$1436,MATCH($B676,VN_국채일별!$A$4:$A$1436,1))-INDEX(VN_국채일별!$E$4:$E$1436,MATCH($B676,VN_국채일별!$A$4:$A$1436,1)))*($J676-5)/2,IF($J676&lt;=10,INDEX(VN_국채일별!$F$4:$F$1436,MATCH($B676,VN_국채일별!$A$4:$A$1436,1))+(INDEX(VN_국채일별!$G$4:$G$1436,MATCH($B676,VN_국채일별!$A$4:$A$1436,1))-INDEX(VN_국채일별!$F$4:$F$1436,MATCH($B676,VN_국채일별!$A$4:$A$1436,1)))*($J676-7)/3,INDEX(VN_국채일별!$G$4:$G$1436,MATCH($B676,VN_국채일별!$A$4:$A$1436,1)))))))),""))</f>
        <v>0.0365</v>
      </c>
      <c r="R676" s="58" t="n">
        <f aca="false">IF(OR(L676="",Q676=""),"",(L676-Q676)*10000)</f>
        <v>480</v>
      </c>
      <c r="S676" s="30" t="n">
        <f aca="false">IF(AND(K676="고정",N676="N",J676&gt;=2,J676&lt;=4,I676&lt;&gt;""),1,0)</f>
        <v>1</v>
      </c>
      <c r="T676" s="59" t="n">
        <f aca="false">IF(S676=1,I676*L676,0)</f>
        <v>169</v>
      </c>
      <c r="U676" s="60" t="n">
        <f aca="false">IF(AND(S676=1,ISNUMBER(R676)),I676*R676,0)</f>
        <v>960000</v>
      </c>
      <c r="V676" s="30" t="n">
        <f aca="false">IF(AND(F676="Big4(국영)",K676="고정",N676="N",I676&lt;&gt;""),1,0)</f>
        <v>0</v>
      </c>
      <c r="W676" s="59" t="n">
        <f aca="false">IF(V676=1,I676*L676,0)</f>
        <v>0</v>
      </c>
      <c r="X676" s="60" t="n">
        <f aca="false">IF(AND(V676=1,ISNUMBER(R676)),I676*R676,0)</f>
        <v>0</v>
      </c>
      <c r="Y676" s="61" t="n">
        <f aca="false">IF(AND(S676=1,ISNUMBER(R676)),I676,0)</f>
        <v>2000</v>
      </c>
      <c r="Z676" s="61" t="n">
        <f aca="false">IF(AND(V676=1,ISNUMBER(R676)),I676,0)</f>
        <v>0</v>
      </c>
    </row>
    <row r="677" customFormat="false" ht="15" hidden="false" customHeight="false" outlineLevel="0" collapsed="false">
      <c r="A677" s="47" t="s">
        <v>1146</v>
      </c>
      <c r="B677" s="52" t="n">
        <v>46162</v>
      </c>
      <c r="C677" s="53" t="n">
        <f aca="false">DATE(YEAR(B677),MONTH(B677),1)</f>
        <v>46143</v>
      </c>
      <c r="D677" s="5" t="str">
        <f aca="false">YEAR(B677)&amp;"Q"&amp;ROUNDUP(MONTH(B677)/3,0)</f>
        <v>2026Q2</v>
      </c>
      <c r="E677" s="62" t="s">
        <v>155</v>
      </c>
      <c r="F677" s="62" t="s">
        <v>156</v>
      </c>
      <c r="G677" s="47" t="s">
        <v>157</v>
      </c>
      <c r="H677" s="47" t="s">
        <v>1163</v>
      </c>
      <c r="I677" s="55" t="n">
        <v>1683.9747</v>
      </c>
      <c r="J677" s="56" t="n">
        <v>10</v>
      </c>
      <c r="K677" s="54" t="s">
        <v>153</v>
      </c>
      <c r="N677" s="47" t="s">
        <v>143</v>
      </c>
      <c r="O677" s="47" t="s">
        <v>1164</v>
      </c>
      <c r="P677" s="47"/>
      <c r="Q677" s="48" t="n">
        <f aca="false">IF($J677="","",IFERROR(IF($J677&lt;=1,INDEX(VN_국채일별!$B$4:$B$1436,MATCH($B677,VN_국채일별!$A$4:$A$1436,1)),IF($J677&lt;=2,INDEX(VN_국채일별!$B$4:$B$1436,MATCH($B677,VN_국채일별!$A$4:$A$1436,1))+(INDEX(VN_국채일별!$C$4:$C$1436,MATCH($B677,VN_국채일별!$A$4:$A$1436,1))-INDEX(VN_국채일별!$B$4:$B$1436,MATCH($B677,VN_국채일별!$A$4:$A$1436,1)))*($J677-1),IF($J677&lt;=3,INDEX(VN_국채일별!$C$4:$C$1436,MATCH($B677,VN_국채일별!$A$4:$A$1436,1))+(INDEX(VN_국채일별!$D$4:$D$1436,MATCH($B677,VN_국채일별!$A$4:$A$1436,1))-INDEX(VN_국채일별!$C$4:$C$1436,MATCH($B677,VN_국채일별!$A$4:$A$1436,1)))*($J677-2),IF($J677&lt;=5,INDEX(VN_국채일별!$D$4:$D$1436,MATCH($B677,VN_국채일별!$A$4:$A$1436,1))+(INDEX(VN_국채일별!$E$4:$E$1436,MATCH($B677,VN_국채일별!$A$4:$A$1436,1))-INDEX(VN_국채일별!$D$4:$D$1436,MATCH($B677,VN_국채일별!$A$4:$A$1436,1)))*($J677-3)/2,IF($J677&lt;=7,INDEX(VN_국채일별!$E$4:$E$1436,MATCH($B677,VN_국채일별!$A$4:$A$1436,1))+(INDEX(VN_국채일별!$F$4:$F$1436,MATCH($B677,VN_국채일별!$A$4:$A$1436,1))-INDEX(VN_국채일별!$E$4:$E$1436,MATCH($B677,VN_국채일별!$A$4:$A$1436,1)))*($J677-5)/2,IF($J677&lt;=10,INDEX(VN_국채일별!$F$4:$F$1436,MATCH($B677,VN_국채일별!$A$4:$A$1436,1))+(INDEX(VN_국채일별!$G$4:$G$1436,MATCH($B677,VN_국채일별!$A$4:$A$1436,1))-INDEX(VN_국채일별!$F$4:$F$1436,MATCH($B677,VN_국채일별!$A$4:$A$1436,1)))*($J677-7)/3,INDEX(VN_국채일별!$G$4:$G$1436,MATCH($B677,VN_국채일별!$A$4:$A$1436,1)))))))),""))</f>
        <v>0.04379</v>
      </c>
      <c r="R677" s="58" t="str">
        <f aca="false">IF(OR(L677="",Q677=""),"",(L677-Q677)*10000)</f>
        <v/>
      </c>
      <c r="S677" s="30" t="n">
        <f aca="false">IF(AND(K677="고정",N677="N",J677&gt;=2,J677&lt;=4,I677&lt;&gt;""),1,0)</f>
        <v>0</v>
      </c>
      <c r="T677" s="59" t="n">
        <f aca="false">IF(S677=1,I677*L677,0)</f>
        <v>0</v>
      </c>
      <c r="U677" s="60" t="n">
        <f aca="false">IF(AND(S677=1,ISNUMBER(R677)),I677*R677,0)</f>
        <v>0</v>
      </c>
      <c r="V677" s="30" t="n">
        <f aca="false">IF(AND(F677="Big4(국영)",K677="고정",N677="N",I677&lt;&gt;""),1,0)</f>
        <v>0</v>
      </c>
      <c r="W677" s="59" t="n">
        <f aca="false">IF(V677=1,I677*L677,0)</f>
        <v>0</v>
      </c>
      <c r="X677" s="60" t="n">
        <f aca="false">IF(AND(V677=1,ISNUMBER(R677)),I677*R677,0)</f>
        <v>0</v>
      </c>
      <c r="Y677" s="61" t="n">
        <f aca="false">IF(AND(S677=1,ISNUMBER(R677)),I677,0)</f>
        <v>0</v>
      </c>
      <c r="Z677" s="61" t="n">
        <f aca="false">IF(AND(V677=1,ISNUMBER(R677)),I677,0)</f>
        <v>0</v>
      </c>
    </row>
    <row r="678" customFormat="false" ht="15" hidden="false" customHeight="false" outlineLevel="0" collapsed="false">
      <c r="A678" s="47" t="s">
        <v>1146</v>
      </c>
      <c r="B678" s="52" t="n">
        <v>46162</v>
      </c>
      <c r="C678" s="53" t="n">
        <f aca="false">DATE(YEAR(B678),MONTH(B678),1)</f>
        <v>46143</v>
      </c>
      <c r="D678" s="5" t="str">
        <f aca="false">YEAR(B678)&amp;"Q"&amp;ROUNDUP(MONTH(B678)/3,0)</f>
        <v>2026Q2</v>
      </c>
      <c r="E678" s="62" t="s">
        <v>155</v>
      </c>
      <c r="F678" s="62" t="s">
        <v>156</v>
      </c>
      <c r="G678" s="47" t="s">
        <v>157</v>
      </c>
      <c r="H678" s="47" t="s">
        <v>1165</v>
      </c>
      <c r="I678" s="55" t="n">
        <v>1000</v>
      </c>
      <c r="J678" s="56" t="n">
        <v>8</v>
      </c>
      <c r="K678" s="54" t="s">
        <v>153</v>
      </c>
      <c r="N678" s="47" t="s">
        <v>143</v>
      </c>
      <c r="O678" s="47" t="s">
        <v>1166</v>
      </c>
      <c r="P678" s="47"/>
      <c r="Q678" s="48" t="n">
        <f aca="false">IF($J678="","",IFERROR(IF($J678&lt;=1,INDEX(VN_국채일별!$B$4:$B$1436,MATCH($B678,VN_국채일별!$A$4:$A$1436,1)),IF($J678&lt;=2,INDEX(VN_국채일별!$B$4:$B$1436,MATCH($B678,VN_국채일별!$A$4:$A$1436,1))+(INDEX(VN_국채일별!$C$4:$C$1436,MATCH($B678,VN_국채일별!$A$4:$A$1436,1))-INDEX(VN_국채일별!$B$4:$B$1436,MATCH($B678,VN_국채일별!$A$4:$A$1436,1)))*($J678-1),IF($J678&lt;=3,INDEX(VN_국채일별!$C$4:$C$1436,MATCH($B678,VN_국채일별!$A$4:$A$1436,1))+(INDEX(VN_국채일별!$D$4:$D$1436,MATCH($B678,VN_국채일별!$A$4:$A$1436,1))-INDEX(VN_국채일별!$C$4:$C$1436,MATCH($B678,VN_국채일별!$A$4:$A$1436,1)))*($J678-2),IF($J678&lt;=5,INDEX(VN_국채일별!$D$4:$D$1436,MATCH($B678,VN_국채일별!$A$4:$A$1436,1))+(INDEX(VN_국채일별!$E$4:$E$1436,MATCH($B678,VN_국채일별!$A$4:$A$1436,1))-INDEX(VN_국채일별!$D$4:$D$1436,MATCH($B678,VN_국채일별!$A$4:$A$1436,1)))*($J678-3)/2,IF($J678&lt;=7,INDEX(VN_국채일별!$E$4:$E$1436,MATCH($B678,VN_국채일별!$A$4:$A$1436,1))+(INDEX(VN_국채일별!$F$4:$F$1436,MATCH($B678,VN_국채일별!$A$4:$A$1436,1))-INDEX(VN_국채일별!$E$4:$E$1436,MATCH($B678,VN_국채일별!$A$4:$A$1436,1)))*($J678-5)/2,IF($J678&lt;=10,INDEX(VN_국채일별!$F$4:$F$1436,MATCH($B678,VN_국채일별!$A$4:$A$1436,1))+(INDEX(VN_국채일별!$G$4:$G$1436,MATCH($B678,VN_국채일별!$A$4:$A$1436,1))-INDEX(VN_국채일별!$F$4:$F$1436,MATCH($B678,VN_국채일별!$A$4:$A$1436,1)))*($J678-7)/3,INDEX(VN_국채일별!$G$4:$G$1436,MATCH($B678,VN_국채일별!$A$4:$A$1436,1)))))))),""))</f>
        <v>0.0431433333333333</v>
      </c>
      <c r="R678" s="58" t="str">
        <f aca="false">IF(OR(L678="",Q678=""),"",(L678-Q678)*10000)</f>
        <v/>
      </c>
      <c r="S678" s="30" t="n">
        <f aca="false">IF(AND(K678="고정",N678="N",J678&gt;=2,J678&lt;=4,I678&lt;&gt;""),1,0)</f>
        <v>0</v>
      </c>
      <c r="T678" s="59" t="n">
        <f aca="false">IF(S678=1,I678*L678,0)</f>
        <v>0</v>
      </c>
      <c r="U678" s="60" t="n">
        <f aca="false">IF(AND(S678=1,ISNUMBER(R678)),I678*R678,0)</f>
        <v>0</v>
      </c>
      <c r="V678" s="30" t="n">
        <f aca="false">IF(AND(F678="Big4(국영)",K678="고정",N678="N",I678&lt;&gt;""),1,0)</f>
        <v>0</v>
      </c>
      <c r="W678" s="59" t="n">
        <f aca="false">IF(V678=1,I678*L678,0)</f>
        <v>0</v>
      </c>
      <c r="X678" s="60" t="n">
        <f aca="false">IF(AND(V678=1,ISNUMBER(R678)),I678*R678,0)</f>
        <v>0</v>
      </c>
      <c r="Y678" s="61" t="n">
        <f aca="false">IF(AND(S678=1,ISNUMBER(R678)),I678,0)</f>
        <v>0</v>
      </c>
      <c r="Z678" s="61" t="n">
        <f aca="false">IF(AND(V678=1,ISNUMBER(R678)),I678,0)</f>
        <v>0</v>
      </c>
    </row>
    <row r="679" customFormat="false" ht="15" hidden="false" customHeight="false" outlineLevel="0" collapsed="false">
      <c r="A679" s="47" t="s">
        <v>1146</v>
      </c>
      <c r="B679" s="52" t="n">
        <v>46162</v>
      </c>
      <c r="C679" s="53" t="n">
        <f aca="false">DATE(YEAR(B679),MONTH(B679),1)</f>
        <v>46143</v>
      </c>
      <c r="D679" s="5" t="str">
        <f aca="false">YEAR(B679)&amp;"Q"&amp;ROUNDUP(MONTH(B679)/3,0)</f>
        <v>2026Q2</v>
      </c>
      <c r="E679" s="62" t="s">
        <v>155</v>
      </c>
      <c r="F679" s="62" t="s">
        <v>156</v>
      </c>
      <c r="G679" s="47" t="s">
        <v>157</v>
      </c>
      <c r="H679" s="47" t="s">
        <v>1167</v>
      </c>
      <c r="I679" s="55" t="n">
        <v>1014.8492</v>
      </c>
      <c r="J679" s="56" t="n">
        <v>7</v>
      </c>
      <c r="K679" s="54" t="s">
        <v>153</v>
      </c>
      <c r="N679" s="47" t="s">
        <v>143</v>
      </c>
      <c r="O679" s="47" t="s">
        <v>1168</v>
      </c>
      <c r="P679" s="47"/>
      <c r="Q679" s="48" t="n">
        <f aca="false">IF($J679="","",IFERROR(IF($J679&lt;=1,INDEX(VN_국채일별!$B$4:$B$1436,MATCH($B679,VN_국채일별!$A$4:$A$1436,1)),IF($J679&lt;=2,INDEX(VN_국채일별!$B$4:$B$1436,MATCH($B679,VN_국채일별!$A$4:$A$1436,1))+(INDEX(VN_국채일별!$C$4:$C$1436,MATCH($B679,VN_국채일별!$A$4:$A$1436,1))-INDEX(VN_국채일별!$B$4:$B$1436,MATCH($B679,VN_국채일별!$A$4:$A$1436,1)))*($J679-1),IF($J679&lt;=3,INDEX(VN_국채일별!$C$4:$C$1436,MATCH($B679,VN_국채일별!$A$4:$A$1436,1))+(INDEX(VN_국채일별!$D$4:$D$1436,MATCH($B679,VN_국채일별!$A$4:$A$1436,1))-INDEX(VN_국채일별!$C$4:$C$1436,MATCH($B679,VN_국채일별!$A$4:$A$1436,1)))*($J679-2),IF($J679&lt;=5,INDEX(VN_국채일별!$D$4:$D$1436,MATCH($B679,VN_국채일별!$A$4:$A$1436,1))+(INDEX(VN_국채일별!$E$4:$E$1436,MATCH($B679,VN_국채일별!$A$4:$A$1436,1))-INDEX(VN_국채일별!$D$4:$D$1436,MATCH($B679,VN_국채일별!$A$4:$A$1436,1)))*($J679-3)/2,IF($J679&lt;=7,INDEX(VN_국채일별!$E$4:$E$1436,MATCH($B679,VN_국채일별!$A$4:$A$1436,1))+(INDEX(VN_국채일별!$F$4:$F$1436,MATCH($B679,VN_국채일별!$A$4:$A$1436,1))-INDEX(VN_국채일별!$E$4:$E$1436,MATCH($B679,VN_국채일별!$A$4:$A$1436,1)))*($J679-5)/2,IF($J679&lt;=10,INDEX(VN_국채일별!$F$4:$F$1436,MATCH($B679,VN_국채일별!$A$4:$A$1436,1))+(INDEX(VN_국채일별!$G$4:$G$1436,MATCH($B679,VN_국채일별!$A$4:$A$1436,1))-INDEX(VN_국채일별!$F$4:$F$1436,MATCH($B679,VN_국채일별!$A$4:$A$1436,1)))*($J679-7)/3,INDEX(VN_국채일별!$G$4:$G$1436,MATCH($B679,VN_국채일별!$A$4:$A$1436,1)))))))),""))</f>
        <v>0.04282</v>
      </c>
      <c r="R679" s="58" t="str">
        <f aca="false">IF(OR(L679="",Q679=""),"",(L679-Q679)*10000)</f>
        <v/>
      </c>
      <c r="S679" s="30" t="n">
        <f aca="false">IF(AND(K679="고정",N679="N",J679&gt;=2,J679&lt;=4,I679&lt;&gt;""),1,0)</f>
        <v>0</v>
      </c>
      <c r="T679" s="59" t="n">
        <f aca="false">IF(S679=1,I679*L679,0)</f>
        <v>0</v>
      </c>
      <c r="U679" s="60" t="n">
        <f aca="false">IF(AND(S679=1,ISNUMBER(R679)),I679*R679,0)</f>
        <v>0</v>
      </c>
      <c r="V679" s="30" t="n">
        <f aca="false">IF(AND(F679="Big4(국영)",K679="고정",N679="N",I679&lt;&gt;""),1,0)</f>
        <v>0</v>
      </c>
      <c r="W679" s="59" t="n">
        <f aca="false">IF(V679=1,I679*L679,0)</f>
        <v>0</v>
      </c>
      <c r="X679" s="60" t="n">
        <f aca="false">IF(AND(V679=1,ISNUMBER(R679)),I679*R679,0)</f>
        <v>0</v>
      </c>
      <c r="Y679" s="61" t="n">
        <f aca="false">IF(AND(S679=1,ISNUMBER(R679)),I679,0)</f>
        <v>0</v>
      </c>
      <c r="Z679" s="61" t="n">
        <f aca="false">IF(AND(V679=1,ISNUMBER(R679)),I679,0)</f>
        <v>0</v>
      </c>
    </row>
    <row r="680" customFormat="false" ht="15" hidden="false" customHeight="false" outlineLevel="0" collapsed="false">
      <c r="A680" s="47" t="s">
        <v>1146</v>
      </c>
      <c r="B680" s="52" t="n">
        <v>46163</v>
      </c>
      <c r="C680" s="53" t="n">
        <f aca="false">DATE(YEAR(B680),MONTH(B680),1)</f>
        <v>46143</v>
      </c>
      <c r="D680" s="5" t="str">
        <f aca="false">YEAR(B680)&amp;"Q"&amp;ROUNDUP(MONTH(B680)/3,0)</f>
        <v>2026Q2</v>
      </c>
      <c r="E680" s="47" t="s">
        <v>160</v>
      </c>
      <c r="F680" s="54" t="s">
        <v>139</v>
      </c>
      <c r="G680" s="47" t="s">
        <v>161</v>
      </c>
      <c r="H680" s="47" t="s">
        <v>1169</v>
      </c>
      <c r="I680" s="55" t="n">
        <v>3000</v>
      </c>
      <c r="J680" s="56" t="n">
        <v>3</v>
      </c>
      <c r="K680" s="54" t="s">
        <v>142</v>
      </c>
      <c r="L680" s="57" t="n">
        <v>0.083</v>
      </c>
      <c r="N680" s="47" t="s">
        <v>148</v>
      </c>
      <c r="O680" s="47" t="s">
        <v>1155</v>
      </c>
      <c r="P680" s="47"/>
      <c r="Q680" s="48" t="n">
        <f aca="false">IF($J680="","",IFERROR(IF($J680&lt;=1,INDEX(VN_국채일별!$B$4:$B$1436,MATCH($B680,VN_국채일별!$A$4:$A$1436,1)),IF($J680&lt;=2,INDEX(VN_국채일별!$B$4:$B$1436,MATCH($B680,VN_국채일별!$A$4:$A$1436,1))+(INDEX(VN_국채일별!$C$4:$C$1436,MATCH($B680,VN_국채일별!$A$4:$A$1436,1))-INDEX(VN_국채일별!$B$4:$B$1436,MATCH($B680,VN_국채일별!$A$4:$A$1436,1)))*($J680-1),IF($J680&lt;=3,INDEX(VN_국채일별!$C$4:$C$1436,MATCH($B680,VN_국채일별!$A$4:$A$1436,1))+(INDEX(VN_국채일별!$D$4:$D$1436,MATCH($B680,VN_국채일별!$A$4:$A$1436,1))-INDEX(VN_국채일별!$C$4:$C$1436,MATCH($B680,VN_국채일별!$A$4:$A$1436,1)))*($J680-2),IF($J680&lt;=5,INDEX(VN_국채일별!$D$4:$D$1436,MATCH($B680,VN_국채일별!$A$4:$A$1436,1))+(INDEX(VN_국채일별!$E$4:$E$1436,MATCH($B680,VN_국채일별!$A$4:$A$1436,1))-INDEX(VN_국채일별!$D$4:$D$1436,MATCH($B680,VN_국채일별!$A$4:$A$1436,1)))*($J680-3)/2,IF($J680&lt;=7,INDEX(VN_국채일별!$E$4:$E$1436,MATCH($B680,VN_국채일별!$A$4:$A$1436,1))+(INDEX(VN_국채일별!$F$4:$F$1436,MATCH($B680,VN_국채일별!$A$4:$A$1436,1))-INDEX(VN_국채일별!$E$4:$E$1436,MATCH($B680,VN_국채일별!$A$4:$A$1436,1)))*($J680-5)/2,IF($J680&lt;=10,INDEX(VN_국채일별!$F$4:$F$1436,MATCH($B680,VN_국채일별!$A$4:$A$1436,1))+(INDEX(VN_국채일별!$G$4:$G$1436,MATCH($B680,VN_국채일별!$A$4:$A$1436,1))-INDEX(VN_국채일별!$F$4:$F$1436,MATCH($B680,VN_국채일별!$A$4:$A$1436,1)))*($J680-7)/3,INDEX(VN_국채일별!$G$4:$G$1436,MATCH($B680,VN_국채일별!$A$4:$A$1436,1)))))))),""))</f>
        <v>0.03648</v>
      </c>
      <c r="R680" s="58" t="n">
        <f aca="false">IF(OR(L680="",Q680=""),"",(L680-Q680)*10000)</f>
        <v>465.2</v>
      </c>
      <c r="S680" s="30" t="n">
        <f aca="false">IF(AND(K680="고정",N680="N",J680&gt;=2,J680&lt;=4,I680&lt;&gt;""),1,0)</f>
        <v>1</v>
      </c>
      <c r="T680" s="59" t="n">
        <f aca="false">IF(S680=1,I680*L680,0)</f>
        <v>249</v>
      </c>
      <c r="U680" s="60" t="n">
        <f aca="false">IF(AND(S680=1,ISNUMBER(R680)),I680*R680,0)</f>
        <v>1395600</v>
      </c>
      <c r="V680" s="30" t="n">
        <f aca="false">IF(AND(F680="Big4(국영)",K680="고정",N680="N",I680&lt;&gt;""),1,0)</f>
        <v>0</v>
      </c>
      <c r="W680" s="59" t="n">
        <f aca="false">IF(V680=1,I680*L680,0)</f>
        <v>0</v>
      </c>
      <c r="X680" s="60" t="n">
        <f aca="false">IF(AND(V680=1,ISNUMBER(R680)),I680*R680,0)</f>
        <v>0</v>
      </c>
      <c r="Y680" s="61" t="n">
        <f aca="false">IF(AND(S680=1,ISNUMBER(R680)),I680,0)</f>
        <v>3000</v>
      </c>
      <c r="Z680" s="61" t="n">
        <f aca="false">IF(AND(V680=1,ISNUMBER(R680)),I680,0)</f>
        <v>0</v>
      </c>
    </row>
    <row r="681" customFormat="false" ht="15" hidden="false" customHeight="false" outlineLevel="0" collapsed="false">
      <c r="A681" s="47" t="s">
        <v>1146</v>
      </c>
      <c r="B681" s="52" t="n">
        <v>46163</v>
      </c>
      <c r="C681" s="53" t="n">
        <f aca="false">DATE(YEAR(B681),MONTH(B681),1)</f>
        <v>46143</v>
      </c>
      <c r="D681" s="5" t="str">
        <f aca="false">YEAR(B681)&amp;"Q"&amp;ROUNDUP(MONTH(B681)/3,0)</f>
        <v>2026Q2</v>
      </c>
      <c r="E681" s="47" t="s">
        <v>181</v>
      </c>
      <c r="F681" s="54" t="s">
        <v>139</v>
      </c>
      <c r="G681" s="47" t="s">
        <v>182</v>
      </c>
      <c r="H681" s="47" t="s">
        <v>1170</v>
      </c>
      <c r="I681" s="55" t="n">
        <v>1000</v>
      </c>
      <c r="J681" s="56" t="n">
        <v>3</v>
      </c>
      <c r="K681" s="54" t="s">
        <v>142</v>
      </c>
      <c r="L681" s="57" t="n">
        <v>0.086</v>
      </c>
      <c r="N681" s="47" t="s">
        <v>148</v>
      </c>
      <c r="O681" s="47" t="s">
        <v>1141</v>
      </c>
      <c r="P681" s="47"/>
      <c r="Q681" s="48" t="n">
        <f aca="false">IF($J681="","",IFERROR(IF($J681&lt;=1,INDEX(VN_국채일별!$B$4:$B$1436,MATCH($B681,VN_국채일별!$A$4:$A$1436,1)),IF($J681&lt;=2,INDEX(VN_국채일별!$B$4:$B$1436,MATCH($B681,VN_국채일별!$A$4:$A$1436,1))+(INDEX(VN_국채일별!$C$4:$C$1436,MATCH($B681,VN_국채일별!$A$4:$A$1436,1))-INDEX(VN_국채일별!$B$4:$B$1436,MATCH($B681,VN_국채일별!$A$4:$A$1436,1)))*($J681-1),IF($J681&lt;=3,INDEX(VN_국채일별!$C$4:$C$1436,MATCH($B681,VN_국채일별!$A$4:$A$1436,1))+(INDEX(VN_국채일별!$D$4:$D$1436,MATCH($B681,VN_국채일별!$A$4:$A$1436,1))-INDEX(VN_국채일별!$C$4:$C$1436,MATCH($B681,VN_국채일별!$A$4:$A$1436,1)))*($J681-2),IF($J681&lt;=5,INDEX(VN_국채일별!$D$4:$D$1436,MATCH($B681,VN_국채일별!$A$4:$A$1436,1))+(INDEX(VN_국채일별!$E$4:$E$1436,MATCH($B681,VN_국채일별!$A$4:$A$1436,1))-INDEX(VN_국채일별!$D$4:$D$1436,MATCH($B681,VN_국채일별!$A$4:$A$1436,1)))*($J681-3)/2,IF($J681&lt;=7,INDEX(VN_국채일별!$E$4:$E$1436,MATCH($B681,VN_국채일별!$A$4:$A$1436,1))+(INDEX(VN_국채일별!$F$4:$F$1436,MATCH($B681,VN_국채일별!$A$4:$A$1436,1))-INDEX(VN_국채일별!$E$4:$E$1436,MATCH($B681,VN_국채일별!$A$4:$A$1436,1)))*($J681-5)/2,IF($J681&lt;=10,INDEX(VN_국채일별!$F$4:$F$1436,MATCH($B681,VN_국채일별!$A$4:$A$1436,1))+(INDEX(VN_국채일별!$G$4:$G$1436,MATCH($B681,VN_국채일별!$A$4:$A$1436,1))-INDEX(VN_국채일별!$F$4:$F$1436,MATCH($B681,VN_국채일별!$A$4:$A$1436,1)))*($J681-7)/3,INDEX(VN_국채일별!$G$4:$G$1436,MATCH($B681,VN_국채일별!$A$4:$A$1436,1)))))))),""))</f>
        <v>0.03648</v>
      </c>
      <c r="R681" s="58" t="n">
        <f aca="false">IF(OR(L681="",Q681=""),"",(L681-Q681)*10000)</f>
        <v>495.2</v>
      </c>
      <c r="S681" s="30" t="n">
        <f aca="false">IF(AND(K681="고정",N681="N",J681&gt;=2,J681&lt;=4,I681&lt;&gt;""),1,0)</f>
        <v>1</v>
      </c>
      <c r="T681" s="59" t="n">
        <f aca="false">IF(S681=1,I681*L681,0)</f>
        <v>86</v>
      </c>
      <c r="U681" s="60" t="n">
        <f aca="false">IF(AND(S681=1,ISNUMBER(R681)),I681*R681,0)</f>
        <v>495200</v>
      </c>
      <c r="V681" s="30" t="n">
        <f aca="false">IF(AND(F681="Big4(국영)",K681="고정",N681="N",I681&lt;&gt;""),1,0)</f>
        <v>0</v>
      </c>
      <c r="W681" s="59" t="n">
        <f aca="false">IF(V681=1,I681*L681,0)</f>
        <v>0</v>
      </c>
      <c r="X681" s="60" t="n">
        <f aca="false">IF(AND(V681=1,ISNUMBER(R681)),I681*R681,0)</f>
        <v>0</v>
      </c>
      <c r="Y681" s="61" t="n">
        <f aca="false">IF(AND(S681=1,ISNUMBER(R681)),I681,0)</f>
        <v>1000</v>
      </c>
      <c r="Z681" s="61" t="n">
        <f aca="false">IF(AND(V681=1,ISNUMBER(R681)),I681,0)</f>
        <v>0</v>
      </c>
    </row>
    <row r="682" customFormat="false" ht="15" hidden="false" customHeight="false" outlineLevel="0" collapsed="false">
      <c r="A682" s="47" t="s">
        <v>1146</v>
      </c>
      <c r="B682" s="52" t="n">
        <v>46164</v>
      </c>
      <c r="C682" s="53" t="n">
        <f aca="false">DATE(YEAR(B682),MONTH(B682),1)</f>
        <v>46143</v>
      </c>
      <c r="D682" s="5" t="str">
        <f aca="false">YEAR(B682)&amp;"Q"&amp;ROUNDUP(MONTH(B682)/3,0)</f>
        <v>2026Q2</v>
      </c>
      <c r="E682" s="47" t="s">
        <v>307</v>
      </c>
      <c r="F682" s="54" t="s">
        <v>139</v>
      </c>
      <c r="G682" s="47" t="s">
        <v>308</v>
      </c>
      <c r="H682" s="47" t="s">
        <v>1171</v>
      </c>
      <c r="I682" s="55" t="n">
        <v>2000</v>
      </c>
      <c r="J682" s="56" t="n">
        <v>3</v>
      </c>
      <c r="K682" s="54" t="s">
        <v>142</v>
      </c>
      <c r="L682" s="57" t="n">
        <v>0.084</v>
      </c>
      <c r="N682" s="47" t="s">
        <v>148</v>
      </c>
      <c r="O682" s="47" t="s">
        <v>1135</v>
      </c>
      <c r="P682" s="47"/>
      <c r="Q682" s="48" t="n">
        <f aca="false">IF($J682="","",IFERROR(IF($J682&lt;=1,INDEX(VN_국채일별!$B$4:$B$1436,MATCH($B682,VN_국채일별!$A$4:$A$1436,1)),IF($J682&lt;=2,INDEX(VN_국채일별!$B$4:$B$1436,MATCH($B682,VN_국채일별!$A$4:$A$1436,1))+(INDEX(VN_국채일별!$C$4:$C$1436,MATCH($B682,VN_국채일별!$A$4:$A$1436,1))-INDEX(VN_국채일별!$B$4:$B$1436,MATCH($B682,VN_국채일별!$A$4:$A$1436,1)))*($J682-1),IF($J682&lt;=3,INDEX(VN_국채일별!$C$4:$C$1436,MATCH($B682,VN_국채일별!$A$4:$A$1436,1))+(INDEX(VN_국채일별!$D$4:$D$1436,MATCH($B682,VN_국채일별!$A$4:$A$1436,1))-INDEX(VN_국채일별!$C$4:$C$1436,MATCH($B682,VN_국채일별!$A$4:$A$1436,1)))*($J682-2),IF($J682&lt;=5,INDEX(VN_국채일별!$D$4:$D$1436,MATCH($B682,VN_국채일별!$A$4:$A$1436,1))+(INDEX(VN_국채일별!$E$4:$E$1436,MATCH($B682,VN_국채일별!$A$4:$A$1436,1))-INDEX(VN_국채일별!$D$4:$D$1436,MATCH($B682,VN_국채일별!$A$4:$A$1436,1)))*($J682-3)/2,IF($J682&lt;=7,INDEX(VN_국채일별!$E$4:$E$1436,MATCH($B682,VN_국채일별!$A$4:$A$1436,1))+(INDEX(VN_국채일별!$F$4:$F$1436,MATCH($B682,VN_국채일별!$A$4:$A$1436,1))-INDEX(VN_국채일별!$E$4:$E$1436,MATCH($B682,VN_국채일별!$A$4:$A$1436,1)))*($J682-5)/2,IF($J682&lt;=10,INDEX(VN_국채일별!$F$4:$F$1436,MATCH($B682,VN_국채일별!$A$4:$A$1436,1))+(INDEX(VN_국채일별!$G$4:$G$1436,MATCH($B682,VN_국채일별!$A$4:$A$1436,1))-INDEX(VN_국채일별!$F$4:$F$1436,MATCH($B682,VN_국채일별!$A$4:$A$1436,1)))*($J682-7)/3,INDEX(VN_국채일별!$G$4:$G$1436,MATCH($B682,VN_국채일별!$A$4:$A$1436,1)))))))),""))</f>
        <v>0.03646</v>
      </c>
      <c r="R682" s="58" t="n">
        <f aca="false">IF(OR(L682="",Q682=""),"",(L682-Q682)*10000)</f>
        <v>475.4</v>
      </c>
      <c r="S682" s="30" t="n">
        <f aca="false">IF(AND(K682="고정",N682="N",J682&gt;=2,J682&lt;=4,I682&lt;&gt;""),1,0)</f>
        <v>1</v>
      </c>
      <c r="T682" s="59" t="n">
        <f aca="false">IF(S682=1,I682*L682,0)</f>
        <v>168</v>
      </c>
      <c r="U682" s="60" t="n">
        <f aca="false">IF(AND(S682=1,ISNUMBER(R682)),I682*R682,0)</f>
        <v>950800</v>
      </c>
      <c r="V682" s="30" t="n">
        <f aca="false">IF(AND(F682="Big4(국영)",K682="고정",N682="N",I682&lt;&gt;""),1,0)</f>
        <v>0</v>
      </c>
      <c r="W682" s="59" t="n">
        <f aca="false">IF(V682=1,I682*L682,0)</f>
        <v>0</v>
      </c>
      <c r="X682" s="60" t="n">
        <f aca="false">IF(AND(V682=1,ISNUMBER(R682)),I682*R682,0)</f>
        <v>0</v>
      </c>
      <c r="Y682" s="61" t="n">
        <f aca="false">IF(AND(S682=1,ISNUMBER(R682)),I682,0)</f>
        <v>2000</v>
      </c>
      <c r="Z682" s="61" t="n">
        <f aca="false">IF(AND(V682=1,ISNUMBER(R682)),I682,0)</f>
        <v>0</v>
      </c>
    </row>
    <row r="683" customFormat="false" ht="15" hidden="false" customHeight="false" outlineLevel="0" collapsed="false">
      <c r="A683" s="47" t="s">
        <v>1146</v>
      </c>
      <c r="B683" s="52" t="n">
        <v>46168</v>
      </c>
      <c r="C683" s="53" t="n">
        <f aca="false">DATE(YEAR(B683),MONTH(B683),1)</f>
        <v>46143</v>
      </c>
      <c r="D683" s="5" t="str">
        <f aca="false">YEAR(B683)&amp;"Q"&amp;ROUNDUP(MONTH(B683)/3,0)</f>
        <v>2026Q2</v>
      </c>
      <c r="E683" s="47" t="s">
        <v>160</v>
      </c>
      <c r="F683" s="54" t="s">
        <v>139</v>
      </c>
      <c r="G683" s="47" t="s">
        <v>161</v>
      </c>
      <c r="H683" s="47" t="s">
        <v>1172</v>
      </c>
      <c r="I683" s="55" t="n">
        <v>200</v>
      </c>
      <c r="J683" s="56" t="n">
        <v>10</v>
      </c>
      <c r="K683" s="54" t="s">
        <v>142</v>
      </c>
      <c r="L683" s="57" t="n">
        <v>0.083</v>
      </c>
      <c r="N683" s="47" t="s">
        <v>143</v>
      </c>
      <c r="O683" s="47" t="s">
        <v>1155</v>
      </c>
      <c r="P683" s="47"/>
      <c r="Q683" s="48" t="n">
        <f aca="false">IF($J683="","",IFERROR(IF($J683&lt;=1,INDEX(VN_국채일별!$B$4:$B$1436,MATCH($B683,VN_국채일별!$A$4:$A$1436,1)),IF($J683&lt;=2,INDEX(VN_국채일별!$B$4:$B$1436,MATCH($B683,VN_국채일별!$A$4:$A$1436,1))+(INDEX(VN_국채일별!$C$4:$C$1436,MATCH($B683,VN_국채일별!$A$4:$A$1436,1))-INDEX(VN_국채일별!$B$4:$B$1436,MATCH($B683,VN_국채일별!$A$4:$A$1436,1)))*($J683-1),IF($J683&lt;=3,INDEX(VN_국채일별!$C$4:$C$1436,MATCH($B683,VN_국채일별!$A$4:$A$1436,1))+(INDEX(VN_국채일별!$D$4:$D$1436,MATCH($B683,VN_국채일별!$A$4:$A$1436,1))-INDEX(VN_국채일별!$C$4:$C$1436,MATCH($B683,VN_국채일별!$A$4:$A$1436,1)))*($J683-2),IF($J683&lt;=5,INDEX(VN_국채일별!$D$4:$D$1436,MATCH($B683,VN_국채일별!$A$4:$A$1436,1))+(INDEX(VN_국채일별!$E$4:$E$1436,MATCH($B683,VN_국채일별!$A$4:$A$1436,1))-INDEX(VN_국채일별!$D$4:$D$1436,MATCH($B683,VN_국채일별!$A$4:$A$1436,1)))*($J683-3)/2,IF($J683&lt;=7,INDEX(VN_국채일별!$E$4:$E$1436,MATCH($B683,VN_국채일별!$A$4:$A$1436,1))+(INDEX(VN_국채일별!$F$4:$F$1436,MATCH($B683,VN_국채일별!$A$4:$A$1436,1))-INDEX(VN_국채일별!$E$4:$E$1436,MATCH($B683,VN_국채일별!$A$4:$A$1436,1)))*($J683-5)/2,IF($J683&lt;=10,INDEX(VN_국채일별!$F$4:$F$1436,MATCH($B683,VN_국채일별!$A$4:$A$1436,1))+(INDEX(VN_국채일별!$G$4:$G$1436,MATCH($B683,VN_국채일별!$A$4:$A$1436,1))-INDEX(VN_국채일별!$F$4:$F$1436,MATCH($B683,VN_국채일별!$A$4:$A$1436,1)))*($J683-7)/3,INDEX(VN_국채일별!$G$4:$G$1436,MATCH($B683,VN_국채일별!$A$4:$A$1436,1)))))))),""))</f>
        <v>0.04384</v>
      </c>
      <c r="R683" s="58" t="n">
        <f aca="false">IF(OR(L683="",Q683=""),"",(L683-Q683)*10000)</f>
        <v>391.6</v>
      </c>
      <c r="S683" s="30" t="n">
        <f aca="false">IF(AND(K683="고정",N683="N",J683&gt;=2,J683&lt;=4,I683&lt;&gt;""),1,0)</f>
        <v>0</v>
      </c>
      <c r="T683" s="59" t="n">
        <f aca="false">IF(S683=1,I683*L683,0)</f>
        <v>0</v>
      </c>
      <c r="U683" s="60" t="n">
        <f aca="false">IF(AND(S683=1,ISNUMBER(R683)),I683*R683,0)</f>
        <v>0</v>
      </c>
      <c r="V683" s="30" t="n">
        <f aca="false">IF(AND(F683="Big4(국영)",K683="고정",N683="N",I683&lt;&gt;""),1,0)</f>
        <v>0</v>
      </c>
      <c r="W683" s="59" t="n">
        <f aca="false">IF(V683=1,I683*L683,0)</f>
        <v>0</v>
      </c>
      <c r="X683" s="60" t="n">
        <f aca="false">IF(AND(V683=1,ISNUMBER(R683)),I683*R683,0)</f>
        <v>0</v>
      </c>
      <c r="Y683" s="61" t="n">
        <f aca="false">IF(AND(S683=1,ISNUMBER(R683)),I683,0)</f>
        <v>0</v>
      </c>
      <c r="Z683" s="61" t="n">
        <f aca="false">IF(AND(V683=1,ISNUMBER(R683)),I683,0)</f>
        <v>0</v>
      </c>
    </row>
    <row r="684" customFormat="false" ht="15" hidden="false" customHeight="false" outlineLevel="0" collapsed="false">
      <c r="A684" s="47" t="s">
        <v>1146</v>
      </c>
      <c r="B684" s="52" t="n">
        <v>46168</v>
      </c>
      <c r="C684" s="53" t="n">
        <f aca="false">DATE(YEAR(B684),MONTH(B684),1)</f>
        <v>46143</v>
      </c>
      <c r="D684" s="5" t="str">
        <f aca="false">YEAR(B684)&amp;"Q"&amp;ROUNDUP(MONTH(B684)/3,0)</f>
        <v>2026Q2</v>
      </c>
      <c r="E684" s="47" t="s">
        <v>181</v>
      </c>
      <c r="F684" s="54" t="s">
        <v>139</v>
      </c>
      <c r="G684" s="47" t="s">
        <v>182</v>
      </c>
      <c r="H684" s="47" t="s">
        <v>1173</v>
      </c>
      <c r="I684" s="55" t="n">
        <v>1000</v>
      </c>
      <c r="J684" s="56" t="n">
        <v>3</v>
      </c>
      <c r="K684" s="54" t="s">
        <v>142</v>
      </c>
      <c r="L684" s="57" t="n">
        <v>0.085</v>
      </c>
      <c r="N684" s="47" t="s">
        <v>148</v>
      </c>
      <c r="O684" s="47" t="s">
        <v>384</v>
      </c>
      <c r="P684" s="47"/>
      <c r="Q684" s="48" t="n">
        <f aca="false">IF($J684="","",IFERROR(IF($J684&lt;=1,INDEX(VN_국채일별!$B$4:$B$1436,MATCH($B684,VN_국채일별!$A$4:$A$1436,1)),IF($J684&lt;=2,INDEX(VN_국채일별!$B$4:$B$1436,MATCH($B684,VN_국채일별!$A$4:$A$1436,1))+(INDEX(VN_국채일별!$C$4:$C$1436,MATCH($B684,VN_국채일별!$A$4:$A$1436,1))-INDEX(VN_국채일별!$B$4:$B$1436,MATCH($B684,VN_국채일별!$A$4:$A$1436,1)))*($J684-1),IF($J684&lt;=3,INDEX(VN_국채일별!$C$4:$C$1436,MATCH($B684,VN_국채일별!$A$4:$A$1436,1))+(INDEX(VN_국채일별!$D$4:$D$1436,MATCH($B684,VN_국채일별!$A$4:$A$1436,1))-INDEX(VN_국채일별!$C$4:$C$1436,MATCH($B684,VN_국채일별!$A$4:$A$1436,1)))*($J684-2),IF($J684&lt;=5,INDEX(VN_국채일별!$D$4:$D$1436,MATCH($B684,VN_국채일별!$A$4:$A$1436,1))+(INDEX(VN_국채일별!$E$4:$E$1436,MATCH($B684,VN_국채일별!$A$4:$A$1436,1))-INDEX(VN_국채일별!$D$4:$D$1436,MATCH($B684,VN_국채일별!$A$4:$A$1436,1)))*($J684-3)/2,IF($J684&lt;=7,INDEX(VN_국채일별!$E$4:$E$1436,MATCH($B684,VN_국채일별!$A$4:$A$1436,1))+(INDEX(VN_국채일별!$F$4:$F$1436,MATCH($B684,VN_국채일별!$A$4:$A$1436,1))-INDEX(VN_국채일별!$E$4:$E$1436,MATCH($B684,VN_국채일별!$A$4:$A$1436,1)))*($J684-5)/2,IF($J684&lt;=10,INDEX(VN_국채일별!$F$4:$F$1436,MATCH($B684,VN_국채일별!$A$4:$A$1436,1))+(INDEX(VN_국채일별!$G$4:$G$1436,MATCH($B684,VN_국채일별!$A$4:$A$1436,1))-INDEX(VN_국채일별!$F$4:$F$1436,MATCH($B684,VN_국채일별!$A$4:$A$1436,1)))*($J684-7)/3,INDEX(VN_국채일별!$G$4:$G$1436,MATCH($B684,VN_국채일별!$A$4:$A$1436,1)))))))),""))</f>
        <v>0.03646</v>
      </c>
      <c r="R684" s="58" t="n">
        <f aca="false">IF(OR(L684="",Q684=""),"",(L684-Q684)*10000)</f>
        <v>485.4</v>
      </c>
      <c r="S684" s="30" t="n">
        <f aca="false">IF(AND(K684="고정",N684="N",J684&gt;=2,J684&lt;=4,I684&lt;&gt;""),1,0)</f>
        <v>1</v>
      </c>
      <c r="T684" s="59" t="n">
        <f aca="false">IF(S684=1,I684*L684,0)</f>
        <v>85</v>
      </c>
      <c r="U684" s="60" t="n">
        <f aca="false">IF(AND(S684=1,ISNUMBER(R684)),I684*R684,0)</f>
        <v>485400</v>
      </c>
      <c r="V684" s="30" t="n">
        <f aca="false">IF(AND(F684="Big4(국영)",K684="고정",N684="N",I684&lt;&gt;""),1,0)</f>
        <v>0</v>
      </c>
      <c r="W684" s="59" t="n">
        <f aca="false">IF(V684=1,I684*L684,0)</f>
        <v>0</v>
      </c>
      <c r="X684" s="60" t="n">
        <f aca="false">IF(AND(V684=1,ISNUMBER(R684)),I684*R684,0)</f>
        <v>0</v>
      </c>
      <c r="Y684" s="61" t="n">
        <f aca="false">IF(AND(S684=1,ISNUMBER(R684)),I684,0)</f>
        <v>1000</v>
      </c>
      <c r="Z684" s="61" t="n">
        <f aca="false">IF(AND(V684=1,ISNUMBER(R684)),I684,0)</f>
        <v>0</v>
      </c>
    </row>
    <row r="685" customFormat="false" ht="15" hidden="false" customHeight="false" outlineLevel="0" collapsed="false">
      <c r="A685" s="47" t="s">
        <v>1146</v>
      </c>
      <c r="B685" s="52" t="n">
        <v>46169</v>
      </c>
      <c r="C685" s="53" t="n">
        <f aca="false">DATE(YEAR(B685),MONTH(B685),1)</f>
        <v>46143</v>
      </c>
      <c r="D685" s="5" t="str">
        <f aca="false">YEAR(B685)&amp;"Q"&amp;ROUNDUP(MONTH(B685)/3,0)</f>
        <v>2026Q2</v>
      </c>
      <c r="E685" s="47" t="s">
        <v>307</v>
      </c>
      <c r="F685" s="54" t="s">
        <v>139</v>
      </c>
      <c r="G685" s="47" t="s">
        <v>308</v>
      </c>
      <c r="H685" s="47" t="s">
        <v>1174</v>
      </c>
      <c r="I685" s="55" t="n">
        <v>3500</v>
      </c>
      <c r="J685" s="56" t="n">
        <v>3</v>
      </c>
      <c r="K685" s="54" t="s">
        <v>142</v>
      </c>
      <c r="L685" s="57" t="n">
        <v>0.084</v>
      </c>
      <c r="N685" s="47" t="s">
        <v>148</v>
      </c>
      <c r="O685" s="47" t="s">
        <v>1135</v>
      </c>
      <c r="P685" s="47"/>
      <c r="Q685" s="48" t="n">
        <f aca="false">IF($J685="","",IFERROR(IF($J685&lt;=1,INDEX(VN_국채일별!$B$4:$B$1436,MATCH($B685,VN_국채일별!$A$4:$A$1436,1)),IF($J685&lt;=2,INDEX(VN_국채일별!$B$4:$B$1436,MATCH($B685,VN_국채일별!$A$4:$A$1436,1))+(INDEX(VN_국채일별!$C$4:$C$1436,MATCH($B685,VN_국채일별!$A$4:$A$1436,1))-INDEX(VN_국채일별!$B$4:$B$1436,MATCH($B685,VN_국채일별!$A$4:$A$1436,1)))*($J685-1),IF($J685&lt;=3,INDEX(VN_국채일별!$C$4:$C$1436,MATCH($B685,VN_국채일별!$A$4:$A$1436,1))+(INDEX(VN_국채일별!$D$4:$D$1436,MATCH($B685,VN_국채일별!$A$4:$A$1436,1))-INDEX(VN_국채일별!$C$4:$C$1436,MATCH($B685,VN_국채일별!$A$4:$A$1436,1)))*($J685-2),IF($J685&lt;=5,INDEX(VN_국채일별!$D$4:$D$1436,MATCH($B685,VN_국채일별!$A$4:$A$1436,1))+(INDEX(VN_국채일별!$E$4:$E$1436,MATCH($B685,VN_국채일별!$A$4:$A$1436,1))-INDEX(VN_국채일별!$D$4:$D$1436,MATCH($B685,VN_국채일별!$A$4:$A$1436,1)))*($J685-3)/2,IF($J685&lt;=7,INDEX(VN_국채일별!$E$4:$E$1436,MATCH($B685,VN_국채일별!$A$4:$A$1436,1))+(INDEX(VN_국채일별!$F$4:$F$1436,MATCH($B685,VN_국채일별!$A$4:$A$1436,1))-INDEX(VN_국채일별!$E$4:$E$1436,MATCH($B685,VN_국채일별!$A$4:$A$1436,1)))*($J685-5)/2,IF($J685&lt;=10,INDEX(VN_국채일별!$F$4:$F$1436,MATCH($B685,VN_국채일별!$A$4:$A$1436,1))+(INDEX(VN_국채일별!$G$4:$G$1436,MATCH($B685,VN_국채일별!$A$4:$A$1436,1))-INDEX(VN_국채일별!$F$4:$F$1436,MATCH($B685,VN_국채일별!$A$4:$A$1436,1)))*($J685-7)/3,INDEX(VN_국채일별!$G$4:$G$1436,MATCH($B685,VN_국채일별!$A$4:$A$1436,1)))))))),""))</f>
        <v>0.03645</v>
      </c>
      <c r="R685" s="58" t="n">
        <f aca="false">IF(OR(L685="",Q685=""),"",(L685-Q685)*10000)</f>
        <v>475.5</v>
      </c>
      <c r="S685" s="30" t="n">
        <f aca="false">IF(AND(K685="고정",N685="N",J685&gt;=2,J685&lt;=4,I685&lt;&gt;""),1,0)</f>
        <v>1</v>
      </c>
      <c r="T685" s="59" t="n">
        <f aca="false">IF(S685=1,I685*L685,0)</f>
        <v>294</v>
      </c>
      <c r="U685" s="60" t="n">
        <f aca="false">IF(AND(S685=1,ISNUMBER(R685)),I685*R685,0)</f>
        <v>1664250</v>
      </c>
      <c r="V685" s="30" t="n">
        <f aca="false">IF(AND(F685="Big4(국영)",K685="고정",N685="N",I685&lt;&gt;""),1,0)</f>
        <v>0</v>
      </c>
      <c r="W685" s="59" t="n">
        <f aca="false">IF(V685=1,I685*L685,0)</f>
        <v>0</v>
      </c>
      <c r="X685" s="60" t="n">
        <f aca="false">IF(AND(V685=1,ISNUMBER(R685)),I685*R685,0)</f>
        <v>0</v>
      </c>
      <c r="Y685" s="61" t="n">
        <f aca="false">IF(AND(S685=1,ISNUMBER(R685)),I685,0)</f>
        <v>3500</v>
      </c>
      <c r="Z685" s="61" t="n">
        <f aca="false">IF(AND(V685=1,ISNUMBER(R685)),I685,0)</f>
        <v>0</v>
      </c>
    </row>
    <row r="686" customFormat="false" ht="15" hidden="false" customHeight="false" outlineLevel="0" collapsed="false">
      <c r="A686" s="47" t="s">
        <v>1146</v>
      </c>
      <c r="B686" s="52" t="n">
        <v>46170</v>
      </c>
      <c r="C686" s="53" t="n">
        <f aca="false">DATE(YEAR(B686),MONTH(B686),1)</f>
        <v>46143</v>
      </c>
      <c r="D686" s="5" t="str">
        <f aca="false">YEAR(B686)&amp;"Q"&amp;ROUNDUP(MONTH(B686)/3,0)</f>
        <v>2026Q2</v>
      </c>
      <c r="E686" s="47" t="s">
        <v>181</v>
      </c>
      <c r="F686" s="54" t="s">
        <v>139</v>
      </c>
      <c r="G686" s="47" t="s">
        <v>182</v>
      </c>
      <c r="H686" s="47" t="s">
        <v>1175</v>
      </c>
      <c r="I686" s="55" t="n">
        <v>1000</v>
      </c>
      <c r="J686" s="56" t="n">
        <v>2</v>
      </c>
      <c r="K686" s="54" t="s">
        <v>142</v>
      </c>
      <c r="L686" s="57" t="n">
        <v>0.086</v>
      </c>
      <c r="N686" s="47" t="s">
        <v>148</v>
      </c>
      <c r="O686" s="47" t="s">
        <v>1141</v>
      </c>
      <c r="P686" s="47"/>
      <c r="Q686" s="48" t="n">
        <f aca="false">IF($J686="","",IFERROR(IF($J686&lt;=1,INDEX(VN_국채일별!$B$4:$B$1436,MATCH($B686,VN_국채일별!$A$4:$A$1436,1)),IF($J686&lt;=2,INDEX(VN_국채일별!$B$4:$B$1436,MATCH($B686,VN_국채일별!$A$4:$A$1436,1))+(INDEX(VN_국채일별!$C$4:$C$1436,MATCH($B686,VN_국채일별!$A$4:$A$1436,1))-INDEX(VN_국채일별!$B$4:$B$1436,MATCH($B686,VN_국채일별!$A$4:$A$1436,1)))*($J686-1),IF($J686&lt;=3,INDEX(VN_국채일별!$C$4:$C$1436,MATCH($B686,VN_국채일별!$A$4:$A$1436,1))+(INDEX(VN_국채일별!$D$4:$D$1436,MATCH($B686,VN_국채일별!$A$4:$A$1436,1))-INDEX(VN_국채일별!$C$4:$C$1436,MATCH($B686,VN_국채일별!$A$4:$A$1436,1)))*($J686-2),IF($J686&lt;=5,INDEX(VN_국채일별!$D$4:$D$1436,MATCH($B686,VN_국채일별!$A$4:$A$1436,1))+(INDEX(VN_국채일별!$E$4:$E$1436,MATCH($B686,VN_국채일별!$A$4:$A$1436,1))-INDEX(VN_국채일별!$D$4:$D$1436,MATCH($B686,VN_국채일별!$A$4:$A$1436,1)))*($J686-3)/2,IF($J686&lt;=7,INDEX(VN_국채일별!$E$4:$E$1436,MATCH($B686,VN_국채일별!$A$4:$A$1436,1))+(INDEX(VN_국채일별!$F$4:$F$1436,MATCH($B686,VN_국채일별!$A$4:$A$1436,1))-INDEX(VN_국채일별!$E$4:$E$1436,MATCH($B686,VN_국채일별!$A$4:$A$1436,1)))*($J686-5)/2,IF($J686&lt;=10,INDEX(VN_국채일별!$F$4:$F$1436,MATCH($B686,VN_국채일별!$A$4:$A$1436,1))+(INDEX(VN_국채일별!$G$4:$G$1436,MATCH($B686,VN_국채일별!$A$4:$A$1436,1))-INDEX(VN_국채일별!$F$4:$F$1436,MATCH($B686,VN_국채일별!$A$4:$A$1436,1)))*($J686-7)/3,INDEX(VN_국채일별!$G$4:$G$1436,MATCH($B686,VN_국채일별!$A$4:$A$1436,1)))))))),""))</f>
        <v>0.03461</v>
      </c>
      <c r="R686" s="58" t="n">
        <f aca="false">IF(OR(L686="",Q686=""),"",(L686-Q686)*10000)</f>
        <v>513.9</v>
      </c>
      <c r="S686" s="30" t="n">
        <f aca="false">IF(AND(K686="고정",N686="N",J686&gt;=2,J686&lt;=4,I686&lt;&gt;""),1,0)</f>
        <v>1</v>
      </c>
      <c r="T686" s="59" t="n">
        <f aca="false">IF(S686=1,I686*L686,0)</f>
        <v>86</v>
      </c>
      <c r="U686" s="60" t="n">
        <f aca="false">IF(AND(S686=1,ISNUMBER(R686)),I686*R686,0)</f>
        <v>513900</v>
      </c>
      <c r="V686" s="30" t="n">
        <f aca="false">IF(AND(F686="Big4(국영)",K686="고정",N686="N",I686&lt;&gt;""),1,0)</f>
        <v>0</v>
      </c>
      <c r="W686" s="59" t="n">
        <f aca="false">IF(V686=1,I686*L686,0)</f>
        <v>0</v>
      </c>
      <c r="X686" s="60" t="n">
        <f aca="false">IF(AND(V686=1,ISNUMBER(R686)),I686*R686,0)</f>
        <v>0</v>
      </c>
      <c r="Y686" s="61" t="n">
        <f aca="false">IF(AND(S686=1,ISNUMBER(R686)),I686,0)</f>
        <v>1000</v>
      </c>
      <c r="Z686" s="61" t="n">
        <f aca="false">IF(AND(V686=1,ISNUMBER(R686)),I686,0)</f>
        <v>0</v>
      </c>
    </row>
    <row r="687" customFormat="false" ht="15" hidden="false" customHeight="false" outlineLevel="0" collapsed="false">
      <c r="A687" s="47" t="s">
        <v>1176</v>
      </c>
      <c r="B687" s="52" t="n">
        <v>46174</v>
      </c>
      <c r="C687" s="53" t="n">
        <f aca="false">DATE(YEAR(B687),MONTH(B687),1)</f>
        <v>46174</v>
      </c>
      <c r="D687" s="5" t="str">
        <f aca="false">YEAR(B687)&amp;"Q"&amp;ROUNDUP(MONTH(B687)/3,0)</f>
        <v>2026Q2</v>
      </c>
      <c r="E687" s="62" t="s">
        <v>155</v>
      </c>
      <c r="F687" s="62" t="s">
        <v>156</v>
      </c>
      <c r="G687" s="47" t="s">
        <v>157</v>
      </c>
      <c r="H687" s="47" t="s">
        <v>1177</v>
      </c>
      <c r="I687" s="55" t="n">
        <v>1000</v>
      </c>
      <c r="J687" s="56" t="n">
        <v>8</v>
      </c>
      <c r="K687" s="54" t="s">
        <v>153</v>
      </c>
      <c r="N687" s="47" t="s">
        <v>143</v>
      </c>
      <c r="O687" s="47" t="s">
        <v>1178</v>
      </c>
      <c r="P687" s="47"/>
      <c r="Q687" s="48" t="n">
        <f aca="false">IF($J687="","",IFERROR(IF($J687&lt;=1,INDEX(VN_국채일별!$B$4:$B$1436,MATCH($B687,VN_국채일별!$A$4:$A$1436,1)),IF($J687&lt;=2,INDEX(VN_국채일별!$B$4:$B$1436,MATCH($B687,VN_국채일별!$A$4:$A$1436,1))+(INDEX(VN_국채일별!$C$4:$C$1436,MATCH($B687,VN_국채일별!$A$4:$A$1436,1))-INDEX(VN_국채일별!$B$4:$B$1436,MATCH($B687,VN_국채일별!$A$4:$A$1436,1)))*($J687-1),IF($J687&lt;=3,INDEX(VN_국채일별!$C$4:$C$1436,MATCH($B687,VN_국채일별!$A$4:$A$1436,1))+(INDEX(VN_국채일별!$D$4:$D$1436,MATCH($B687,VN_국채일별!$A$4:$A$1436,1))-INDEX(VN_국채일별!$C$4:$C$1436,MATCH($B687,VN_국채일별!$A$4:$A$1436,1)))*($J687-2),IF($J687&lt;=5,INDEX(VN_국채일별!$D$4:$D$1436,MATCH($B687,VN_국채일별!$A$4:$A$1436,1))+(INDEX(VN_국채일별!$E$4:$E$1436,MATCH($B687,VN_국채일별!$A$4:$A$1436,1))-INDEX(VN_국채일별!$D$4:$D$1436,MATCH($B687,VN_국채일별!$A$4:$A$1436,1)))*($J687-3)/2,IF($J687&lt;=7,INDEX(VN_국채일별!$E$4:$E$1436,MATCH($B687,VN_국채일별!$A$4:$A$1436,1))+(INDEX(VN_국채일별!$F$4:$F$1436,MATCH($B687,VN_국채일별!$A$4:$A$1436,1))-INDEX(VN_국채일별!$E$4:$E$1436,MATCH($B687,VN_국채일별!$A$4:$A$1436,1)))*($J687-5)/2,IF($J687&lt;=10,INDEX(VN_국채일별!$F$4:$F$1436,MATCH($B687,VN_국채일별!$A$4:$A$1436,1))+(INDEX(VN_국채일별!$G$4:$G$1436,MATCH($B687,VN_국채일별!$A$4:$A$1436,1))-INDEX(VN_국채일별!$F$4:$F$1436,MATCH($B687,VN_국채일별!$A$4:$A$1436,1)))*($J687-7)/3,INDEX(VN_국채일별!$G$4:$G$1436,MATCH($B687,VN_국채일별!$A$4:$A$1436,1)))))))),""))</f>
        <v>0.0437166666666667</v>
      </c>
      <c r="R687" s="58" t="str">
        <f aca="false">IF(OR(L687="",Q687=""),"",(L687-Q687)*10000)</f>
        <v/>
      </c>
      <c r="S687" s="30" t="n">
        <f aca="false">IF(AND(K687="고정",N687="N",J687&gt;=2,J687&lt;=4,I687&lt;&gt;""),1,0)</f>
        <v>0</v>
      </c>
      <c r="T687" s="59" t="n">
        <f aca="false">IF(S687=1,I687*L687,0)</f>
        <v>0</v>
      </c>
      <c r="U687" s="60" t="n">
        <f aca="false">IF(AND(S687=1,ISNUMBER(R687)),I687*R687,0)</f>
        <v>0</v>
      </c>
      <c r="V687" s="30" t="n">
        <f aca="false">IF(AND(F687="Big4(국영)",K687="고정",N687="N",I687&lt;&gt;""),1,0)</f>
        <v>0</v>
      </c>
      <c r="W687" s="59" t="n">
        <f aca="false">IF(V687=1,I687*L687,0)</f>
        <v>0</v>
      </c>
      <c r="X687" s="60" t="n">
        <f aca="false">IF(AND(V687=1,ISNUMBER(R687)),I687*R687,0)</f>
        <v>0</v>
      </c>
      <c r="Y687" s="61" t="n">
        <f aca="false">IF(AND(S687=1,ISNUMBER(R687)),I687,0)</f>
        <v>0</v>
      </c>
      <c r="Z687" s="61" t="n">
        <f aca="false">IF(AND(V687=1,ISNUMBER(R687)),I687,0)</f>
        <v>0</v>
      </c>
    </row>
    <row r="688" customFormat="false" ht="15" hidden="false" customHeight="false" outlineLevel="0" collapsed="false">
      <c r="A688" s="47" t="s">
        <v>1176</v>
      </c>
      <c r="B688" s="52" t="n">
        <v>46175</v>
      </c>
      <c r="C688" s="53" t="n">
        <f aca="false">DATE(YEAR(B688),MONTH(B688),1)</f>
        <v>46174</v>
      </c>
      <c r="D688" s="5" t="str">
        <f aca="false">YEAR(B688)&amp;"Q"&amp;ROUNDUP(MONTH(B688)/3,0)</f>
        <v>2026Q2</v>
      </c>
      <c r="E688" s="62" t="s">
        <v>230</v>
      </c>
      <c r="F688" s="62" t="s">
        <v>156</v>
      </c>
      <c r="G688" s="47" t="s">
        <v>345</v>
      </c>
      <c r="H688" s="47" t="s">
        <v>1179</v>
      </c>
      <c r="I688" s="55" t="n">
        <v>400</v>
      </c>
      <c r="J688" s="56" t="n">
        <v>10</v>
      </c>
      <c r="K688" s="54" t="s">
        <v>142</v>
      </c>
      <c r="L688" s="57" t="n">
        <v>0.079</v>
      </c>
      <c r="N688" s="47" t="s">
        <v>143</v>
      </c>
      <c r="O688" s="47" t="s">
        <v>1180</v>
      </c>
      <c r="P688" s="47"/>
      <c r="Q688" s="48" t="n">
        <f aca="false">IF($J688="","",IFERROR(IF($J688&lt;=1,INDEX(VN_국채일별!$B$4:$B$1436,MATCH($B688,VN_국채일별!$A$4:$A$1436,1)),IF($J688&lt;=2,INDEX(VN_국채일별!$B$4:$B$1436,MATCH($B688,VN_국채일별!$A$4:$A$1436,1))+(INDEX(VN_국채일별!$C$4:$C$1436,MATCH($B688,VN_국채일별!$A$4:$A$1436,1))-INDEX(VN_국채일별!$B$4:$B$1436,MATCH($B688,VN_국채일별!$A$4:$A$1436,1)))*($J688-1),IF($J688&lt;=3,INDEX(VN_국채일별!$C$4:$C$1436,MATCH($B688,VN_국채일별!$A$4:$A$1436,1))+(INDEX(VN_국채일별!$D$4:$D$1436,MATCH($B688,VN_국채일별!$A$4:$A$1436,1))-INDEX(VN_국채일별!$C$4:$C$1436,MATCH($B688,VN_국채일별!$A$4:$A$1436,1)))*($J688-2),IF($J688&lt;=5,INDEX(VN_국채일별!$D$4:$D$1436,MATCH($B688,VN_국채일별!$A$4:$A$1436,1))+(INDEX(VN_국채일별!$E$4:$E$1436,MATCH($B688,VN_국채일별!$A$4:$A$1436,1))-INDEX(VN_국채일별!$D$4:$D$1436,MATCH($B688,VN_국채일별!$A$4:$A$1436,1)))*($J688-3)/2,IF($J688&lt;=7,INDEX(VN_국채일별!$E$4:$E$1436,MATCH($B688,VN_국채일별!$A$4:$A$1436,1))+(INDEX(VN_국채일별!$F$4:$F$1436,MATCH($B688,VN_국채일별!$A$4:$A$1436,1))-INDEX(VN_국채일별!$E$4:$E$1436,MATCH($B688,VN_국채일별!$A$4:$A$1436,1)))*($J688-5)/2,IF($J688&lt;=10,INDEX(VN_국채일별!$F$4:$F$1436,MATCH($B688,VN_국채일별!$A$4:$A$1436,1))+(INDEX(VN_국채일별!$G$4:$G$1436,MATCH($B688,VN_국채일별!$A$4:$A$1436,1))-INDEX(VN_국채일별!$F$4:$F$1436,MATCH($B688,VN_국채일별!$A$4:$A$1436,1)))*($J688-7)/3,INDEX(VN_국채일별!$G$4:$G$1436,MATCH($B688,VN_국채일별!$A$4:$A$1436,1)))))))),""))</f>
        <v>0.04471</v>
      </c>
      <c r="R688" s="58" t="n">
        <f aca="false">IF(OR(L688="",Q688=""),"",(L688-Q688)*10000)</f>
        <v>342.9</v>
      </c>
      <c r="S688" s="30" t="n">
        <f aca="false">IF(AND(K688="고정",N688="N",J688&gt;=2,J688&lt;=4,I688&lt;&gt;""),1,0)</f>
        <v>0</v>
      </c>
      <c r="T688" s="59" t="n">
        <f aca="false">IF(S688=1,I688*L688,0)</f>
        <v>0</v>
      </c>
      <c r="U688" s="60" t="n">
        <f aca="false">IF(AND(S688=1,ISNUMBER(R688)),I688*R688,0)</f>
        <v>0</v>
      </c>
      <c r="V688" s="30" t="n">
        <f aca="false">IF(AND(F688="Big4(국영)",K688="고정",N688="N",I688&lt;&gt;""),1,0)</f>
        <v>0</v>
      </c>
      <c r="W688" s="59" t="n">
        <f aca="false">IF(V688=1,I688*L688,0)</f>
        <v>0</v>
      </c>
      <c r="X688" s="60" t="n">
        <f aca="false">IF(AND(V688=1,ISNUMBER(R688)),I688*R688,0)</f>
        <v>0</v>
      </c>
      <c r="Y688" s="61" t="n">
        <f aca="false">IF(AND(S688=1,ISNUMBER(R688)),I688,0)</f>
        <v>0</v>
      </c>
      <c r="Z688" s="61" t="n">
        <f aca="false">IF(AND(V688=1,ISNUMBER(R688)),I688,0)</f>
        <v>0</v>
      </c>
    </row>
    <row r="689" customFormat="false" ht="15" hidden="false" customHeight="false" outlineLevel="0" collapsed="false">
      <c r="A689" s="47" t="s">
        <v>1176</v>
      </c>
      <c r="B689" s="52" t="n">
        <v>46176</v>
      </c>
      <c r="C689" s="53" t="n">
        <f aca="false">DATE(YEAR(B689),MONTH(B689),1)</f>
        <v>46174</v>
      </c>
      <c r="D689" s="5" t="str">
        <f aca="false">YEAR(B689)&amp;"Q"&amp;ROUNDUP(MONTH(B689)/3,0)</f>
        <v>2026Q2</v>
      </c>
      <c r="E689" s="47" t="s">
        <v>242</v>
      </c>
      <c r="F689" s="54" t="s">
        <v>139</v>
      </c>
      <c r="G689" s="47" t="s">
        <v>724</v>
      </c>
      <c r="H689" s="47" t="s">
        <v>1181</v>
      </c>
      <c r="I689" s="55" t="n">
        <v>10</v>
      </c>
      <c r="J689" s="56" t="n">
        <v>3</v>
      </c>
      <c r="K689" s="54" t="s">
        <v>142</v>
      </c>
      <c r="L689" s="57" t="n">
        <v>0.086</v>
      </c>
      <c r="N689" s="47" t="s">
        <v>148</v>
      </c>
      <c r="O689" s="47" t="s">
        <v>1141</v>
      </c>
      <c r="P689" s="47"/>
      <c r="Q689" s="48" t="n">
        <f aca="false">IF($J689="","",IFERROR(IF($J689&lt;=1,INDEX(VN_국채일별!$B$4:$B$1436,MATCH($B689,VN_국채일별!$A$4:$A$1436,1)),IF($J689&lt;=2,INDEX(VN_국채일별!$B$4:$B$1436,MATCH($B689,VN_국채일별!$A$4:$A$1436,1))+(INDEX(VN_국채일별!$C$4:$C$1436,MATCH($B689,VN_국채일별!$A$4:$A$1436,1))-INDEX(VN_국채일별!$B$4:$B$1436,MATCH($B689,VN_국채일별!$A$4:$A$1436,1)))*($J689-1),IF($J689&lt;=3,INDEX(VN_국채일별!$C$4:$C$1436,MATCH($B689,VN_국채일별!$A$4:$A$1436,1))+(INDEX(VN_국채일별!$D$4:$D$1436,MATCH($B689,VN_국채일별!$A$4:$A$1436,1))-INDEX(VN_국채일별!$C$4:$C$1436,MATCH($B689,VN_국채일별!$A$4:$A$1436,1)))*($J689-2),IF($J689&lt;=5,INDEX(VN_국채일별!$D$4:$D$1436,MATCH($B689,VN_국채일별!$A$4:$A$1436,1))+(INDEX(VN_국채일별!$E$4:$E$1436,MATCH($B689,VN_국채일별!$A$4:$A$1436,1))-INDEX(VN_국채일별!$D$4:$D$1436,MATCH($B689,VN_국채일별!$A$4:$A$1436,1)))*($J689-3)/2,IF($J689&lt;=7,INDEX(VN_국채일별!$E$4:$E$1436,MATCH($B689,VN_국채일별!$A$4:$A$1436,1))+(INDEX(VN_국채일별!$F$4:$F$1436,MATCH($B689,VN_국채일별!$A$4:$A$1436,1))-INDEX(VN_국채일별!$E$4:$E$1436,MATCH($B689,VN_국채일별!$A$4:$A$1436,1)))*($J689-5)/2,IF($J689&lt;=10,INDEX(VN_국채일별!$F$4:$F$1436,MATCH($B689,VN_국채일별!$A$4:$A$1436,1))+(INDEX(VN_국채일별!$G$4:$G$1436,MATCH($B689,VN_국채일별!$A$4:$A$1436,1))-INDEX(VN_국채일별!$F$4:$F$1436,MATCH($B689,VN_국채일별!$A$4:$A$1436,1)))*($J689-7)/3,INDEX(VN_국채일별!$G$4:$G$1436,MATCH($B689,VN_국채일별!$A$4:$A$1436,1)))))))),""))</f>
        <v>0.03693</v>
      </c>
      <c r="R689" s="58" t="n">
        <f aca="false">IF(OR(L689="",Q689=""),"",(L689-Q689)*10000)</f>
        <v>490.7</v>
      </c>
      <c r="S689" s="30" t="n">
        <f aca="false">IF(AND(K689="고정",N689="N",J689&gt;=2,J689&lt;=4,I689&lt;&gt;""),1,0)</f>
        <v>1</v>
      </c>
      <c r="T689" s="59" t="n">
        <f aca="false">IF(S689=1,I689*L689,0)</f>
        <v>0.86</v>
      </c>
      <c r="U689" s="60" t="n">
        <f aca="false">IF(AND(S689=1,ISNUMBER(R689)),I689*R689,0)</f>
        <v>4907</v>
      </c>
      <c r="V689" s="30" t="n">
        <f aca="false">IF(AND(F689="Big4(국영)",K689="고정",N689="N",I689&lt;&gt;""),1,0)</f>
        <v>0</v>
      </c>
      <c r="W689" s="59" t="n">
        <f aca="false">IF(V689=1,I689*L689,0)</f>
        <v>0</v>
      </c>
      <c r="X689" s="60" t="n">
        <f aca="false">IF(AND(V689=1,ISNUMBER(R689)),I689*R689,0)</f>
        <v>0</v>
      </c>
      <c r="Y689" s="61" t="n">
        <f aca="false">IF(AND(S689=1,ISNUMBER(R689)),I689,0)</f>
        <v>10</v>
      </c>
      <c r="Z689" s="61" t="n">
        <f aca="false">IF(AND(V689=1,ISNUMBER(R689)),I689,0)</f>
        <v>0</v>
      </c>
    </row>
    <row r="690" customFormat="false" ht="15" hidden="false" customHeight="false" outlineLevel="0" collapsed="false">
      <c r="A690" s="47" t="s">
        <v>1176</v>
      </c>
      <c r="B690" s="52" t="n">
        <v>46177</v>
      </c>
      <c r="C690" s="53" t="n">
        <f aca="false">DATE(YEAR(B690),MONTH(B690),1)</f>
        <v>46174</v>
      </c>
      <c r="D690" s="5" t="str">
        <f aca="false">YEAR(B690)&amp;"Q"&amp;ROUNDUP(MONTH(B690)/3,0)</f>
        <v>2026Q2</v>
      </c>
      <c r="E690" s="47" t="s">
        <v>307</v>
      </c>
      <c r="F690" s="54" t="s">
        <v>139</v>
      </c>
      <c r="G690" s="47" t="s">
        <v>308</v>
      </c>
      <c r="H690" s="47" t="s">
        <v>1182</v>
      </c>
      <c r="I690" s="55" t="n">
        <v>1500</v>
      </c>
      <c r="J690" s="56" t="n">
        <v>2</v>
      </c>
      <c r="K690" s="54" t="s">
        <v>153</v>
      </c>
      <c r="M690" s="57" t="n">
        <v>0.084</v>
      </c>
      <c r="N690" s="47" t="s">
        <v>148</v>
      </c>
      <c r="O690" s="47" t="s">
        <v>1183</v>
      </c>
      <c r="P690" s="47"/>
      <c r="Q690" s="48" t="n">
        <f aca="false">IF($J690="","",IFERROR(IF($J690&lt;=1,INDEX(VN_국채일별!$B$4:$B$1436,MATCH($B690,VN_국채일별!$A$4:$A$1436,1)),IF($J690&lt;=2,INDEX(VN_국채일별!$B$4:$B$1436,MATCH($B690,VN_국채일별!$A$4:$A$1436,1))+(INDEX(VN_국채일별!$C$4:$C$1436,MATCH($B690,VN_국채일별!$A$4:$A$1436,1))-INDEX(VN_국채일별!$B$4:$B$1436,MATCH($B690,VN_국채일별!$A$4:$A$1436,1)))*($J690-1),IF($J690&lt;=3,INDEX(VN_국채일별!$C$4:$C$1436,MATCH($B690,VN_국채일별!$A$4:$A$1436,1))+(INDEX(VN_국채일별!$D$4:$D$1436,MATCH($B690,VN_국채일별!$A$4:$A$1436,1))-INDEX(VN_국채일별!$C$4:$C$1436,MATCH($B690,VN_국채일별!$A$4:$A$1436,1)))*($J690-2),IF($J690&lt;=5,INDEX(VN_국채일별!$D$4:$D$1436,MATCH($B690,VN_국채일별!$A$4:$A$1436,1))+(INDEX(VN_국채일별!$E$4:$E$1436,MATCH($B690,VN_국채일별!$A$4:$A$1436,1))-INDEX(VN_국채일별!$D$4:$D$1436,MATCH($B690,VN_국채일별!$A$4:$A$1436,1)))*($J690-3)/2,IF($J690&lt;=7,INDEX(VN_국채일별!$E$4:$E$1436,MATCH($B690,VN_국채일별!$A$4:$A$1436,1))+(INDEX(VN_국채일별!$F$4:$F$1436,MATCH($B690,VN_국채일별!$A$4:$A$1436,1))-INDEX(VN_국채일별!$E$4:$E$1436,MATCH($B690,VN_국채일별!$A$4:$A$1436,1)))*($J690-5)/2,IF($J690&lt;=10,INDEX(VN_국채일별!$F$4:$F$1436,MATCH($B690,VN_국채일별!$A$4:$A$1436,1))+(INDEX(VN_국채일별!$G$4:$G$1436,MATCH($B690,VN_국채일별!$A$4:$A$1436,1))-INDEX(VN_국채일별!$F$4:$F$1436,MATCH($B690,VN_국채일별!$A$4:$A$1436,1)))*($J690-7)/3,INDEX(VN_국채일별!$G$4:$G$1436,MATCH($B690,VN_국채일별!$A$4:$A$1436,1)))))))),""))</f>
        <v>0.03507</v>
      </c>
      <c r="R690" s="58" t="str">
        <f aca="false">IF(OR(L690="",Q690=""),"",(L690-Q690)*10000)</f>
        <v/>
      </c>
      <c r="S690" s="30" t="n">
        <f aca="false">IF(AND(K690="고정",N690="N",J690&gt;=2,J690&lt;=4,I690&lt;&gt;""),1,0)</f>
        <v>0</v>
      </c>
      <c r="T690" s="59" t="n">
        <f aca="false">IF(S690=1,I690*L690,0)</f>
        <v>0</v>
      </c>
      <c r="U690" s="60" t="n">
        <f aca="false">IF(AND(S690=1,ISNUMBER(R690)),I690*R690,0)</f>
        <v>0</v>
      </c>
      <c r="V690" s="30" t="n">
        <f aca="false">IF(AND(F690="Big4(국영)",K690="고정",N690="N",I690&lt;&gt;""),1,0)</f>
        <v>0</v>
      </c>
      <c r="W690" s="59" t="n">
        <f aca="false">IF(V690=1,I690*L690,0)</f>
        <v>0</v>
      </c>
      <c r="X690" s="60" t="n">
        <f aca="false">IF(AND(V690=1,ISNUMBER(R690)),I690*R690,0)</f>
        <v>0</v>
      </c>
      <c r="Y690" s="61" t="n">
        <f aca="false">IF(AND(S690=1,ISNUMBER(R690)),I690,0)</f>
        <v>0</v>
      </c>
      <c r="Z690" s="61" t="n">
        <f aca="false">IF(AND(V690=1,ISNUMBER(R690)),I690,0)</f>
        <v>0</v>
      </c>
    </row>
    <row r="691" customFormat="false" ht="15" hidden="false" customHeight="false" outlineLevel="0" collapsed="false">
      <c r="A691" s="47" t="s">
        <v>1176</v>
      </c>
      <c r="B691" s="52" t="n">
        <v>46177</v>
      </c>
      <c r="C691" s="53" t="n">
        <f aca="false">DATE(YEAR(B691),MONTH(B691),1)</f>
        <v>46174</v>
      </c>
      <c r="D691" s="5" t="str">
        <f aca="false">YEAR(B691)&amp;"Q"&amp;ROUNDUP(MONTH(B691)/3,0)</f>
        <v>2026Q2</v>
      </c>
      <c r="E691" s="62" t="s">
        <v>155</v>
      </c>
      <c r="F691" s="62" t="s">
        <v>156</v>
      </c>
      <c r="G691" s="47" t="s">
        <v>157</v>
      </c>
      <c r="H691" s="47" t="s">
        <v>1184</v>
      </c>
      <c r="I691" s="55" t="n">
        <v>250</v>
      </c>
      <c r="J691" s="56" t="n">
        <v>6</v>
      </c>
      <c r="K691" s="54" t="s">
        <v>153</v>
      </c>
      <c r="N691" s="47" t="s">
        <v>143</v>
      </c>
      <c r="O691" s="47" t="s">
        <v>1185</v>
      </c>
      <c r="P691" s="47"/>
      <c r="Q691" s="48" t="n">
        <f aca="false">IF($J691="","",IFERROR(IF($J691&lt;=1,INDEX(VN_국채일별!$B$4:$B$1436,MATCH($B691,VN_국채일별!$A$4:$A$1436,1)),IF($J691&lt;=2,INDEX(VN_국채일별!$B$4:$B$1436,MATCH($B691,VN_국채일별!$A$4:$A$1436,1))+(INDEX(VN_국채일별!$C$4:$C$1436,MATCH($B691,VN_국채일별!$A$4:$A$1436,1))-INDEX(VN_국채일별!$B$4:$B$1436,MATCH($B691,VN_국채일별!$A$4:$A$1436,1)))*($J691-1),IF($J691&lt;=3,INDEX(VN_국채일별!$C$4:$C$1436,MATCH($B691,VN_국채일별!$A$4:$A$1436,1))+(INDEX(VN_국채일별!$D$4:$D$1436,MATCH($B691,VN_국채일별!$A$4:$A$1436,1))-INDEX(VN_국채일별!$C$4:$C$1436,MATCH($B691,VN_국채일별!$A$4:$A$1436,1)))*($J691-2),IF($J691&lt;=5,INDEX(VN_국채일별!$D$4:$D$1436,MATCH($B691,VN_국채일별!$A$4:$A$1436,1))+(INDEX(VN_국채일별!$E$4:$E$1436,MATCH($B691,VN_국채일별!$A$4:$A$1436,1))-INDEX(VN_국채일별!$D$4:$D$1436,MATCH($B691,VN_국채일별!$A$4:$A$1436,1)))*($J691-3)/2,IF($J691&lt;=7,INDEX(VN_국채일별!$E$4:$E$1436,MATCH($B691,VN_국채일별!$A$4:$A$1436,1))+(INDEX(VN_국채일별!$F$4:$F$1436,MATCH($B691,VN_국채일별!$A$4:$A$1436,1))-INDEX(VN_국채일별!$E$4:$E$1436,MATCH($B691,VN_국채일별!$A$4:$A$1436,1)))*($J691-5)/2,IF($J691&lt;=10,INDEX(VN_국채일별!$F$4:$F$1436,MATCH($B691,VN_국채일별!$A$4:$A$1436,1))+(INDEX(VN_국채일별!$G$4:$G$1436,MATCH($B691,VN_국채일별!$A$4:$A$1436,1))-INDEX(VN_국채일별!$F$4:$F$1436,MATCH($B691,VN_국채일별!$A$4:$A$1436,1)))*($J691-7)/3,INDEX(VN_국채일별!$G$4:$G$1436,MATCH($B691,VN_국채일별!$A$4:$A$1436,1)))))))),""))</f>
        <v>0.04298</v>
      </c>
      <c r="R691" s="58" t="str">
        <f aca="false">IF(OR(L691="",Q691=""),"",(L691-Q691)*10000)</f>
        <v/>
      </c>
      <c r="S691" s="30" t="n">
        <f aca="false">IF(AND(K691="고정",N691="N",J691&gt;=2,J691&lt;=4,I691&lt;&gt;""),1,0)</f>
        <v>0</v>
      </c>
      <c r="T691" s="59" t="n">
        <f aca="false">IF(S691=1,I691*L691,0)</f>
        <v>0</v>
      </c>
      <c r="U691" s="60" t="n">
        <f aca="false">IF(AND(S691=1,ISNUMBER(R691)),I691*R691,0)</f>
        <v>0</v>
      </c>
      <c r="V691" s="30" t="n">
        <f aca="false">IF(AND(F691="Big4(국영)",K691="고정",N691="N",I691&lt;&gt;""),1,0)</f>
        <v>0</v>
      </c>
      <c r="W691" s="59" t="n">
        <f aca="false">IF(V691=1,I691*L691,0)</f>
        <v>0</v>
      </c>
      <c r="X691" s="60" t="n">
        <f aca="false">IF(AND(V691=1,ISNUMBER(R691)),I691*R691,0)</f>
        <v>0</v>
      </c>
      <c r="Y691" s="61" t="n">
        <f aca="false">IF(AND(S691=1,ISNUMBER(R691)),I691,0)</f>
        <v>0</v>
      </c>
      <c r="Z691" s="61" t="n">
        <f aca="false">IF(AND(V691=1,ISNUMBER(R691)),I691,0)</f>
        <v>0</v>
      </c>
    </row>
    <row r="692" customFormat="false" ht="15" hidden="false" customHeight="false" outlineLevel="0" collapsed="false">
      <c r="A692" s="47" t="s">
        <v>1176</v>
      </c>
      <c r="B692" s="52" t="n">
        <v>46177</v>
      </c>
      <c r="C692" s="53" t="n">
        <f aca="false">DATE(YEAR(B692),MONTH(B692),1)</f>
        <v>46174</v>
      </c>
      <c r="D692" s="5" t="str">
        <f aca="false">YEAR(B692)&amp;"Q"&amp;ROUNDUP(MONTH(B692)/3,0)</f>
        <v>2026Q2</v>
      </c>
      <c r="E692" s="47" t="s">
        <v>307</v>
      </c>
      <c r="F692" s="54" t="s">
        <v>139</v>
      </c>
      <c r="G692" s="47" t="s">
        <v>308</v>
      </c>
      <c r="H692" s="47" t="s">
        <v>1186</v>
      </c>
      <c r="I692" s="55" t="n">
        <v>3000</v>
      </c>
      <c r="J692" s="56" t="n">
        <v>3</v>
      </c>
      <c r="K692" s="54" t="s">
        <v>142</v>
      </c>
      <c r="L692" s="57" t="n">
        <v>0.084</v>
      </c>
      <c r="N692" s="47" t="s">
        <v>148</v>
      </c>
      <c r="O692" s="47" t="s">
        <v>1135</v>
      </c>
      <c r="P692" s="47"/>
      <c r="Q692" s="48" t="n">
        <f aca="false">IF($J692="","",IFERROR(IF($J692&lt;=1,INDEX(VN_국채일별!$B$4:$B$1436,MATCH($B692,VN_국채일별!$A$4:$A$1436,1)),IF($J692&lt;=2,INDEX(VN_국채일별!$B$4:$B$1436,MATCH($B692,VN_국채일별!$A$4:$A$1436,1))+(INDEX(VN_국채일별!$C$4:$C$1436,MATCH($B692,VN_국채일별!$A$4:$A$1436,1))-INDEX(VN_국채일별!$B$4:$B$1436,MATCH($B692,VN_국채일별!$A$4:$A$1436,1)))*($J692-1),IF($J692&lt;=3,INDEX(VN_국채일별!$C$4:$C$1436,MATCH($B692,VN_국채일별!$A$4:$A$1436,1))+(INDEX(VN_국채일별!$D$4:$D$1436,MATCH($B692,VN_국채일별!$A$4:$A$1436,1))-INDEX(VN_국채일별!$C$4:$C$1436,MATCH($B692,VN_국채일별!$A$4:$A$1436,1)))*($J692-2),IF($J692&lt;=5,INDEX(VN_국채일별!$D$4:$D$1436,MATCH($B692,VN_국채일별!$A$4:$A$1436,1))+(INDEX(VN_국채일별!$E$4:$E$1436,MATCH($B692,VN_국채일별!$A$4:$A$1436,1))-INDEX(VN_국채일별!$D$4:$D$1436,MATCH($B692,VN_국채일별!$A$4:$A$1436,1)))*($J692-3)/2,IF($J692&lt;=7,INDEX(VN_국채일별!$E$4:$E$1436,MATCH($B692,VN_국채일별!$A$4:$A$1436,1))+(INDEX(VN_국채일별!$F$4:$F$1436,MATCH($B692,VN_국채일별!$A$4:$A$1436,1))-INDEX(VN_국채일별!$E$4:$E$1436,MATCH($B692,VN_국채일별!$A$4:$A$1436,1)))*($J692-5)/2,IF($J692&lt;=10,INDEX(VN_국채일별!$F$4:$F$1436,MATCH($B692,VN_국채일별!$A$4:$A$1436,1))+(INDEX(VN_국채일별!$G$4:$G$1436,MATCH($B692,VN_국채일별!$A$4:$A$1436,1))-INDEX(VN_국채일별!$F$4:$F$1436,MATCH($B692,VN_국채일별!$A$4:$A$1436,1)))*($J692-7)/3,INDEX(VN_국채일별!$G$4:$G$1436,MATCH($B692,VN_국채일별!$A$4:$A$1436,1)))))))),""))</f>
        <v>0.037</v>
      </c>
      <c r="R692" s="58" t="n">
        <f aca="false">IF(OR(L692="",Q692=""),"",(L692-Q692)*10000)</f>
        <v>470</v>
      </c>
      <c r="S692" s="30" t="n">
        <f aca="false">IF(AND(K692="고정",N692="N",J692&gt;=2,J692&lt;=4,I692&lt;&gt;""),1,0)</f>
        <v>1</v>
      </c>
      <c r="T692" s="59" t="n">
        <f aca="false">IF(S692=1,I692*L692,0)</f>
        <v>252</v>
      </c>
      <c r="U692" s="60" t="n">
        <f aca="false">IF(AND(S692=1,ISNUMBER(R692)),I692*R692,0)</f>
        <v>1410000</v>
      </c>
      <c r="V692" s="30" t="n">
        <f aca="false">IF(AND(F692="Big4(국영)",K692="고정",N692="N",I692&lt;&gt;""),1,0)</f>
        <v>0</v>
      </c>
      <c r="W692" s="59" t="n">
        <f aca="false">IF(V692=1,I692*L692,0)</f>
        <v>0</v>
      </c>
      <c r="X692" s="60" t="n">
        <f aca="false">IF(AND(V692=1,ISNUMBER(R692)),I692*R692,0)</f>
        <v>0</v>
      </c>
      <c r="Y692" s="61" t="n">
        <f aca="false">IF(AND(S692=1,ISNUMBER(R692)),I692,0)</f>
        <v>3000</v>
      </c>
      <c r="Z692" s="61" t="n">
        <f aca="false">IF(AND(V692=1,ISNUMBER(R692)),I692,0)</f>
        <v>0</v>
      </c>
    </row>
    <row r="693" customFormat="false" ht="15" hidden="false" customHeight="false" outlineLevel="0" collapsed="false">
      <c r="A693" s="47" t="s">
        <v>1176</v>
      </c>
      <c r="B693" s="52" t="n">
        <v>46178</v>
      </c>
      <c r="C693" s="53" t="n">
        <f aca="false">DATE(YEAR(B693),MONTH(B693),1)</f>
        <v>46174</v>
      </c>
      <c r="D693" s="5" t="str">
        <f aca="false">YEAR(B693)&amp;"Q"&amp;ROUNDUP(MONTH(B693)/3,0)</f>
        <v>2026Q2</v>
      </c>
      <c r="E693" s="47" t="s">
        <v>307</v>
      </c>
      <c r="F693" s="54" t="s">
        <v>139</v>
      </c>
      <c r="G693" s="47" t="s">
        <v>308</v>
      </c>
      <c r="H693" s="47" t="s">
        <v>1187</v>
      </c>
      <c r="I693" s="55" t="n">
        <v>3000</v>
      </c>
      <c r="J693" s="56" t="n">
        <v>3</v>
      </c>
      <c r="K693" s="54" t="s">
        <v>142</v>
      </c>
      <c r="L693" s="57" t="n">
        <v>0.085</v>
      </c>
      <c r="N693" s="47" t="s">
        <v>148</v>
      </c>
      <c r="O693" s="47" t="s">
        <v>384</v>
      </c>
      <c r="P693" s="47"/>
      <c r="Q693" s="48" t="n">
        <f aca="false">IF($J693="","",IFERROR(IF($J693&lt;=1,INDEX(VN_국채일별!$B$4:$B$1436,MATCH($B693,VN_국채일별!$A$4:$A$1436,1)),IF($J693&lt;=2,INDEX(VN_국채일별!$B$4:$B$1436,MATCH($B693,VN_국채일별!$A$4:$A$1436,1))+(INDEX(VN_국채일별!$C$4:$C$1436,MATCH($B693,VN_국채일별!$A$4:$A$1436,1))-INDEX(VN_국채일별!$B$4:$B$1436,MATCH($B693,VN_국채일별!$A$4:$A$1436,1)))*($J693-1),IF($J693&lt;=3,INDEX(VN_국채일별!$C$4:$C$1436,MATCH($B693,VN_국채일별!$A$4:$A$1436,1))+(INDEX(VN_국채일별!$D$4:$D$1436,MATCH($B693,VN_국채일별!$A$4:$A$1436,1))-INDEX(VN_국채일별!$C$4:$C$1436,MATCH($B693,VN_국채일별!$A$4:$A$1436,1)))*($J693-2),IF($J693&lt;=5,INDEX(VN_국채일별!$D$4:$D$1436,MATCH($B693,VN_국채일별!$A$4:$A$1436,1))+(INDEX(VN_국채일별!$E$4:$E$1436,MATCH($B693,VN_국채일별!$A$4:$A$1436,1))-INDEX(VN_국채일별!$D$4:$D$1436,MATCH($B693,VN_국채일별!$A$4:$A$1436,1)))*($J693-3)/2,IF($J693&lt;=7,INDEX(VN_국채일별!$E$4:$E$1436,MATCH($B693,VN_국채일별!$A$4:$A$1436,1))+(INDEX(VN_국채일별!$F$4:$F$1436,MATCH($B693,VN_국채일별!$A$4:$A$1436,1))-INDEX(VN_국채일별!$E$4:$E$1436,MATCH($B693,VN_국채일별!$A$4:$A$1436,1)))*($J693-5)/2,IF($J693&lt;=10,INDEX(VN_국채일별!$F$4:$F$1436,MATCH($B693,VN_국채일별!$A$4:$A$1436,1))+(INDEX(VN_국채일별!$G$4:$G$1436,MATCH($B693,VN_국채일별!$A$4:$A$1436,1))-INDEX(VN_국채일별!$F$4:$F$1436,MATCH($B693,VN_국채일별!$A$4:$A$1436,1)))*($J693-7)/3,INDEX(VN_국채일별!$G$4:$G$1436,MATCH($B693,VN_국채일별!$A$4:$A$1436,1)))))))),""))</f>
        <v>0.03702</v>
      </c>
      <c r="R693" s="58" t="n">
        <f aca="false">IF(OR(L693="",Q693=""),"",(L693-Q693)*10000)</f>
        <v>479.8</v>
      </c>
      <c r="S693" s="30" t="n">
        <f aca="false">IF(AND(K693="고정",N693="N",J693&gt;=2,J693&lt;=4,I693&lt;&gt;""),1,0)</f>
        <v>1</v>
      </c>
      <c r="T693" s="59" t="n">
        <f aca="false">IF(S693=1,I693*L693,0)</f>
        <v>255</v>
      </c>
      <c r="U693" s="60" t="n">
        <f aca="false">IF(AND(S693=1,ISNUMBER(R693)),I693*R693,0)</f>
        <v>1439400</v>
      </c>
      <c r="V693" s="30" t="n">
        <f aca="false">IF(AND(F693="Big4(국영)",K693="고정",N693="N",I693&lt;&gt;""),1,0)</f>
        <v>0</v>
      </c>
      <c r="W693" s="59" t="n">
        <f aca="false">IF(V693=1,I693*L693,0)</f>
        <v>0</v>
      </c>
      <c r="X693" s="60" t="n">
        <f aca="false">IF(AND(V693=1,ISNUMBER(R693)),I693*R693,0)</f>
        <v>0</v>
      </c>
      <c r="Y693" s="61" t="n">
        <f aca="false">IF(AND(S693=1,ISNUMBER(R693)),I693,0)</f>
        <v>3000</v>
      </c>
      <c r="Z693" s="61" t="n">
        <f aca="false">IF(AND(V693=1,ISNUMBER(R693)),I693,0)</f>
        <v>0</v>
      </c>
    </row>
    <row r="694" customFormat="false" ht="15" hidden="false" customHeight="false" outlineLevel="0" collapsed="false">
      <c r="A694" s="47" t="s">
        <v>1176</v>
      </c>
      <c r="B694" s="52" t="n">
        <v>46178</v>
      </c>
      <c r="C694" s="53" t="n">
        <f aca="false">DATE(YEAR(B694),MONTH(B694),1)</f>
        <v>46174</v>
      </c>
      <c r="D694" s="5" t="str">
        <f aca="false">YEAR(B694)&amp;"Q"&amp;ROUNDUP(MONTH(B694)/3,0)</f>
        <v>2026Q2</v>
      </c>
      <c r="E694" s="47" t="s">
        <v>307</v>
      </c>
      <c r="F694" s="54" t="s">
        <v>139</v>
      </c>
      <c r="G694" s="47" t="s">
        <v>308</v>
      </c>
      <c r="H694" s="47" t="s">
        <v>1188</v>
      </c>
      <c r="I694" s="55" t="n">
        <v>1500</v>
      </c>
      <c r="J694" s="56" t="n">
        <v>2</v>
      </c>
      <c r="K694" s="54" t="s">
        <v>153</v>
      </c>
      <c r="M694" s="57" t="n">
        <v>0.084</v>
      </c>
      <c r="N694" s="47" t="s">
        <v>148</v>
      </c>
      <c r="O694" s="47" t="s">
        <v>1183</v>
      </c>
      <c r="P694" s="47"/>
      <c r="Q694" s="48" t="n">
        <f aca="false">IF($J694="","",IFERROR(IF($J694&lt;=1,INDEX(VN_국채일별!$B$4:$B$1436,MATCH($B694,VN_국채일별!$A$4:$A$1436,1)),IF($J694&lt;=2,INDEX(VN_국채일별!$B$4:$B$1436,MATCH($B694,VN_국채일별!$A$4:$A$1436,1))+(INDEX(VN_국채일별!$C$4:$C$1436,MATCH($B694,VN_국채일별!$A$4:$A$1436,1))-INDEX(VN_국채일별!$B$4:$B$1436,MATCH($B694,VN_국채일별!$A$4:$A$1436,1)))*($J694-1),IF($J694&lt;=3,INDEX(VN_국채일별!$C$4:$C$1436,MATCH($B694,VN_국채일별!$A$4:$A$1436,1))+(INDEX(VN_국채일별!$D$4:$D$1436,MATCH($B694,VN_국채일별!$A$4:$A$1436,1))-INDEX(VN_국채일별!$C$4:$C$1436,MATCH($B694,VN_국채일별!$A$4:$A$1436,1)))*($J694-2),IF($J694&lt;=5,INDEX(VN_국채일별!$D$4:$D$1436,MATCH($B694,VN_국채일별!$A$4:$A$1436,1))+(INDEX(VN_국채일별!$E$4:$E$1436,MATCH($B694,VN_국채일별!$A$4:$A$1436,1))-INDEX(VN_국채일별!$D$4:$D$1436,MATCH($B694,VN_국채일별!$A$4:$A$1436,1)))*($J694-3)/2,IF($J694&lt;=7,INDEX(VN_국채일별!$E$4:$E$1436,MATCH($B694,VN_국채일별!$A$4:$A$1436,1))+(INDEX(VN_국채일별!$F$4:$F$1436,MATCH($B694,VN_국채일별!$A$4:$A$1436,1))-INDEX(VN_국채일별!$E$4:$E$1436,MATCH($B694,VN_국채일별!$A$4:$A$1436,1)))*($J694-5)/2,IF($J694&lt;=10,INDEX(VN_국채일별!$F$4:$F$1436,MATCH($B694,VN_국채일별!$A$4:$A$1436,1))+(INDEX(VN_국채일별!$G$4:$G$1436,MATCH($B694,VN_국채일별!$A$4:$A$1436,1))-INDEX(VN_국채일별!$F$4:$F$1436,MATCH($B694,VN_국채일별!$A$4:$A$1436,1)))*($J694-7)/3,INDEX(VN_국채일별!$G$4:$G$1436,MATCH($B694,VN_국채일별!$A$4:$A$1436,1)))))))),""))</f>
        <v>0.0351</v>
      </c>
      <c r="R694" s="58" t="str">
        <f aca="false">IF(OR(L694="",Q694=""),"",(L694-Q694)*10000)</f>
        <v/>
      </c>
      <c r="S694" s="30" t="n">
        <f aca="false">IF(AND(K694="고정",N694="N",J694&gt;=2,J694&lt;=4,I694&lt;&gt;""),1,0)</f>
        <v>0</v>
      </c>
      <c r="T694" s="59" t="n">
        <f aca="false">IF(S694=1,I694*L694,0)</f>
        <v>0</v>
      </c>
      <c r="U694" s="60" t="n">
        <f aca="false">IF(AND(S694=1,ISNUMBER(R694)),I694*R694,0)</f>
        <v>0</v>
      </c>
      <c r="V694" s="30" t="n">
        <f aca="false">IF(AND(F694="Big4(국영)",K694="고정",N694="N",I694&lt;&gt;""),1,0)</f>
        <v>0</v>
      </c>
      <c r="W694" s="59" t="n">
        <f aca="false">IF(V694=1,I694*L694,0)</f>
        <v>0</v>
      </c>
      <c r="X694" s="60" t="n">
        <f aca="false">IF(AND(V694=1,ISNUMBER(R694)),I694*R694,0)</f>
        <v>0</v>
      </c>
      <c r="Y694" s="61" t="n">
        <f aca="false">IF(AND(S694=1,ISNUMBER(R694)),I694,0)</f>
        <v>0</v>
      </c>
      <c r="Z694" s="61" t="n">
        <f aca="false">IF(AND(V694=1,ISNUMBER(R694)),I694,0)</f>
        <v>0</v>
      </c>
    </row>
    <row r="695" customFormat="false" ht="15" hidden="false" customHeight="false" outlineLevel="0" collapsed="false">
      <c r="A695" s="47" t="s">
        <v>1176</v>
      </c>
      <c r="B695" s="52" t="n">
        <v>46178</v>
      </c>
      <c r="C695" s="53" t="n">
        <f aca="false">DATE(YEAR(B695),MONTH(B695),1)</f>
        <v>46174</v>
      </c>
      <c r="D695" s="5" t="str">
        <f aca="false">YEAR(B695)&amp;"Q"&amp;ROUNDUP(MONTH(B695)/3,0)</f>
        <v>2026Q2</v>
      </c>
      <c r="E695" s="47" t="s">
        <v>248</v>
      </c>
      <c r="F695" s="54" t="s">
        <v>139</v>
      </c>
      <c r="G695" s="47" t="s">
        <v>361</v>
      </c>
      <c r="H695" s="47" t="s">
        <v>1189</v>
      </c>
      <c r="I695" s="55" t="n">
        <v>450</v>
      </c>
      <c r="J695" s="56" t="n">
        <v>8</v>
      </c>
      <c r="K695" s="54" t="s">
        <v>153</v>
      </c>
      <c r="N695" s="47" t="s">
        <v>143</v>
      </c>
      <c r="O695" s="47" t="s">
        <v>1190</v>
      </c>
      <c r="P695" s="47"/>
      <c r="Q695" s="48" t="n">
        <f aca="false">IF($J695="","",IFERROR(IF($J695&lt;=1,INDEX(VN_국채일별!$B$4:$B$1436,MATCH($B695,VN_국채일별!$A$4:$A$1436,1)),IF($J695&lt;=2,INDEX(VN_국채일별!$B$4:$B$1436,MATCH($B695,VN_국채일별!$A$4:$A$1436,1))+(INDEX(VN_국채일별!$C$4:$C$1436,MATCH($B695,VN_국채일별!$A$4:$A$1436,1))-INDEX(VN_국채일별!$B$4:$B$1436,MATCH($B695,VN_국채일별!$A$4:$A$1436,1)))*($J695-1),IF($J695&lt;=3,INDEX(VN_국채일별!$C$4:$C$1436,MATCH($B695,VN_국채일별!$A$4:$A$1436,1))+(INDEX(VN_국채일별!$D$4:$D$1436,MATCH($B695,VN_국채일별!$A$4:$A$1436,1))-INDEX(VN_국채일별!$C$4:$C$1436,MATCH($B695,VN_국채일별!$A$4:$A$1436,1)))*($J695-2),IF($J695&lt;=5,INDEX(VN_국채일별!$D$4:$D$1436,MATCH($B695,VN_국채일별!$A$4:$A$1436,1))+(INDEX(VN_국채일별!$E$4:$E$1436,MATCH($B695,VN_국채일별!$A$4:$A$1436,1))-INDEX(VN_국채일별!$D$4:$D$1436,MATCH($B695,VN_국채일별!$A$4:$A$1436,1)))*($J695-3)/2,IF($J695&lt;=7,INDEX(VN_국채일별!$E$4:$E$1436,MATCH($B695,VN_국채일별!$A$4:$A$1436,1))+(INDEX(VN_국채일별!$F$4:$F$1436,MATCH($B695,VN_국채일별!$A$4:$A$1436,1))-INDEX(VN_국채일별!$E$4:$E$1436,MATCH($B695,VN_국채일별!$A$4:$A$1436,1)))*($J695-5)/2,IF($J695&lt;=10,INDEX(VN_국채일별!$F$4:$F$1436,MATCH($B695,VN_국채일별!$A$4:$A$1436,1))+(INDEX(VN_국채일별!$G$4:$G$1436,MATCH($B695,VN_국채일별!$A$4:$A$1436,1))-INDEX(VN_국채일별!$F$4:$F$1436,MATCH($B695,VN_국채일별!$A$4:$A$1436,1)))*($J695-7)/3,INDEX(VN_국채일별!$G$4:$G$1436,MATCH($B695,VN_국채일별!$A$4:$A$1436,1)))))))),""))</f>
        <v>0.04374</v>
      </c>
      <c r="R695" s="58" t="str">
        <f aca="false">IF(OR(L695="",Q695=""),"",(L695-Q695)*10000)</f>
        <v/>
      </c>
      <c r="S695" s="30" t="n">
        <f aca="false">IF(AND(K695="고정",N695="N",J695&gt;=2,J695&lt;=4,I695&lt;&gt;""),1,0)</f>
        <v>0</v>
      </c>
      <c r="T695" s="59" t="n">
        <f aca="false">IF(S695=1,I695*L695,0)</f>
        <v>0</v>
      </c>
      <c r="U695" s="60" t="n">
        <f aca="false">IF(AND(S695=1,ISNUMBER(R695)),I695*R695,0)</f>
        <v>0</v>
      </c>
      <c r="V695" s="30" t="n">
        <f aca="false">IF(AND(F695="Big4(국영)",K695="고정",N695="N",I695&lt;&gt;""),1,0)</f>
        <v>0</v>
      </c>
      <c r="W695" s="59" t="n">
        <f aca="false">IF(V695=1,I695*L695,0)</f>
        <v>0</v>
      </c>
      <c r="X695" s="60" t="n">
        <f aca="false">IF(AND(V695=1,ISNUMBER(R695)),I695*R695,0)</f>
        <v>0</v>
      </c>
      <c r="Y695" s="61" t="n">
        <f aca="false">IF(AND(S695=1,ISNUMBER(R695)),I695,0)</f>
        <v>0</v>
      </c>
      <c r="Z695" s="61" t="n">
        <f aca="false">IF(AND(V695=1,ISNUMBER(R695)),I695,0)</f>
        <v>0</v>
      </c>
    </row>
    <row r="696" customFormat="false" ht="15" hidden="false" customHeight="false" outlineLevel="0" collapsed="false">
      <c r="A696" s="47" t="s">
        <v>1176</v>
      </c>
      <c r="B696" s="52" t="n">
        <v>46178</v>
      </c>
      <c r="C696" s="53" t="n">
        <f aca="false">DATE(YEAR(B696),MONTH(B696),1)</f>
        <v>46174</v>
      </c>
      <c r="D696" s="5" t="str">
        <f aca="false">YEAR(B696)&amp;"Q"&amp;ROUNDUP(MONTH(B696)/3,0)</f>
        <v>2026Q2</v>
      </c>
      <c r="E696" s="47" t="s">
        <v>160</v>
      </c>
      <c r="F696" s="54" t="s">
        <v>139</v>
      </c>
      <c r="G696" s="47" t="s">
        <v>161</v>
      </c>
      <c r="H696" s="47" t="s">
        <v>1191</v>
      </c>
      <c r="I696" s="55" t="n">
        <v>100</v>
      </c>
      <c r="J696" s="56" t="n">
        <v>10</v>
      </c>
      <c r="K696" s="54" t="s">
        <v>153</v>
      </c>
      <c r="N696" s="47" t="s">
        <v>143</v>
      </c>
      <c r="O696" s="47" t="s">
        <v>1192</v>
      </c>
      <c r="P696" s="47"/>
      <c r="Q696" s="48" t="n">
        <f aca="false">IF($J696="","",IFERROR(IF($J696&lt;=1,INDEX(VN_국채일별!$B$4:$B$1436,MATCH($B696,VN_국채일별!$A$4:$A$1436,1)),IF($J696&lt;=2,INDEX(VN_국채일별!$B$4:$B$1436,MATCH($B696,VN_국채일별!$A$4:$A$1436,1))+(INDEX(VN_국채일별!$C$4:$C$1436,MATCH($B696,VN_국채일별!$A$4:$A$1436,1))-INDEX(VN_국채일별!$B$4:$B$1436,MATCH($B696,VN_국채일별!$A$4:$A$1436,1)))*($J696-1),IF($J696&lt;=3,INDEX(VN_국채일별!$C$4:$C$1436,MATCH($B696,VN_국채일별!$A$4:$A$1436,1))+(INDEX(VN_국채일별!$D$4:$D$1436,MATCH($B696,VN_국채일별!$A$4:$A$1436,1))-INDEX(VN_국채일별!$C$4:$C$1436,MATCH($B696,VN_국채일별!$A$4:$A$1436,1)))*($J696-2),IF($J696&lt;=5,INDEX(VN_국채일별!$D$4:$D$1436,MATCH($B696,VN_국채일별!$A$4:$A$1436,1))+(INDEX(VN_국채일별!$E$4:$E$1436,MATCH($B696,VN_국채일별!$A$4:$A$1436,1))-INDEX(VN_국채일별!$D$4:$D$1436,MATCH($B696,VN_국채일별!$A$4:$A$1436,1)))*($J696-3)/2,IF($J696&lt;=7,INDEX(VN_국채일별!$E$4:$E$1436,MATCH($B696,VN_국채일별!$A$4:$A$1436,1))+(INDEX(VN_국채일별!$F$4:$F$1436,MATCH($B696,VN_국채일별!$A$4:$A$1436,1))-INDEX(VN_국채일별!$E$4:$E$1436,MATCH($B696,VN_국채일별!$A$4:$A$1436,1)))*($J696-5)/2,IF($J696&lt;=10,INDEX(VN_국채일별!$F$4:$F$1436,MATCH($B696,VN_국채일별!$A$4:$A$1436,1))+(INDEX(VN_국채일별!$G$4:$G$1436,MATCH($B696,VN_국채일별!$A$4:$A$1436,1))-INDEX(VN_국채일별!$F$4:$F$1436,MATCH($B696,VN_국채일별!$A$4:$A$1436,1)))*($J696-7)/3,INDEX(VN_국채일별!$G$4:$G$1436,MATCH($B696,VN_국채일별!$A$4:$A$1436,1)))))))),""))</f>
        <v>0.04472</v>
      </c>
      <c r="R696" s="58" t="str">
        <f aca="false">IF(OR(L696="",Q696=""),"",(L696-Q696)*10000)</f>
        <v/>
      </c>
      <c r="S696" s="30" t="n">
        <f aca="false">IF(AND(K696="고정",N696="N",J696&gt;=2,J696&lt;=4,I696&lt;&gt;""),1,0)</f>
        <v>0</v>
      </c>
      <c r="T696" s="59" t="n">
        <f aca="false">IF(S696=1,I696*L696,0)</f>
        <v>0</v>
      </c>
      <c r="U696" s="60" t="n">
        <f aca="false">IF(AND(S696=1,ISNUMBER(R696)),I696*R696,0)</f>
        <v>0</v>
      </c>
      <c r="V696" s="30" t="n">
        <f aca="false">IF(AND(F696="Big4(국영)",K696="고정",N696="N",I696&lt;&gt;""),1,0)</f>
        <v>0</v>
      </c>
      <c r="W696" s="59" t="n">
        <f aca="false">IF(V696=1,I696*L696,0)</f>
        <v>0</v>
      </c>
      <c r="X696" s="60" t="n">
        <f aca="false">IF(AND(V696=1,ISNUMBER(R696)),I696*R696,0)</f>
        <v>0</v>
      </c>
      <c r="Y696" s="61" t="n">
        <f aca="false">IF(AND(S696=1,ISNUMBER(R696)),I696,0)</f>
        <v>0</v>
      </c>
      <c r="Z696" s="61" t="n">
        <f aca="false">IF(AND(V696=1,ISNUMBER(R696)),I696,0)</f>
        <v>0</v>
      </c>
    </row>
    <row r="697" customFormat="false" ht="15" hidden="false" customHeight="false" outlineLevel="0" collapsed="false">
      <c r="A697" s="47" t="s">
        <v>1176</v>
      </c>
      <c r="B697" s="52" t="n">
        <v>46178</v>
      </c>
      <c r="C697" s="53" t="n">
        <f aca="false">DATE(YEAR(B697),MONTH(B697),1)</f>
        <v>46174</v>
      </c>
      <c r="D697" s="5" t="str">
        <f aca="false">YEAR(B697)&amp;"Q"&amp;ROUNDUP(MONTH(B697)/3,0)</f>
        <v>2026Q2</v>
      </c>
      <c r="E697" s="47" t="s">
        <v>160</v>
      </c>
      <c r="F697" s="54" t="s">
        <v>139</v>
      </c>
      <c r="G697" s="47" t="s">
        <v>161</v>
      </c>
      <c r="H697" s="47" t="s">
        <v>1193</v>
      </c>
      <c r="I697" s="55" t="n">
        <v>50</v>
      </c>
      <c r="J697" s="56" t="n">
        <v>10</v>
      </c>
      <c r="K697" s="54" t="s">
        <v>142</v>
      </c>
      <c r="L697" s="57" t="n">
        <v>0.083</v>
      </c>
      <c r="N697" s="47" t="s">
        <v>143</v>
      </c>
      <c r="O697" s="47" t="s">
        <v>1155</v>
      </c>
      <c r="P697" s="47"/>
      <c r="Q697" s="48" t="n">
        <f aca="false">IF($J697="","",IFERROR(IF($J697&lt;=1,INDEX(VN_국채일별!$B$4:$B$1436,MATCH($B697,VN_국채일별!$A$4:$A$1436,1)),IF($J697&lt;=2,INDEX(VN_국채일별!$B$4:$B$1436,MATCH($B697,VN_국채일별!$A$4:$A$1436,1))+(INDEX(VN_국채일별!$C$4:$C$1436,MATCH($B697,VN_국채일별!$A$4:$A$1436,1))-INDEX(VN_국채일별!$B$4:$B$1436,MATCH($B697,VN_국채일별!$A$4:$A$1436,1)))*($J697-1),IF($J697&lt;=3,INDEX(VN_국채일별!$C$4:$C$1436,MATCH($B697,VN_국채일별!$A$4:$A$1436,1))+(INDEX(VN_국채일별!$D$4:$D$1436,MATCH($B697,VN_국채일별!$A$4:$A$1436,1))-INDEX(VN_국채일별!$C$4:$C$1436,MATCH($B697,VN_국채일별!$A$4:$A$1436,1)))*($J697-2),IF($J697&lt;=5,INDEX(VN_국채일별!$D$4:$D$1436,MATCH($B697,VN_국채일별!$A$4:$A$1436,1))+(INDEX(VN_국채일별!$E$4:$E$1436,MATCH($B697,VN_국채일별!$A$4:$A$1436,1))-INDEX(VN_국채일별!$D$4:$D$1436,MATCH($B697,VN_국채일별!$A$4:$A$1436,1)))*($J697-3)/2,IF($J697&lt;=7,INDEX(VN_국채일별!$E$4:$E$1436,MATCH($B697,VN_국채일별!$A$4:$A$1436,1))+(INDEX(VN_국채일별!$F$4:$F$1436,MATCH($B697,VN_국채일별!$A$4:$A$1436,1))-INDEX(VN_국채일별!$E$4:$E$1436,MATCH($B697,VN_국채일별!$A$4:$A$1436,1)))*($J697-5)/2,IF($J697&lt;=10,INDEX(VN_국채일별!$F$4:$F$1436,MATCH($B697,VN_국채일별!$A$4:$A$1436,1))+(INDEX(VN_국채일별!$G$4:$G$1436,MATCH($B697,VN_국채일별!$A$4:$A$1436,1))-INDEX(VN_국채일별!$F$4:$F$1436,MATCH($B697,VN_국채일별!$A$4:$A$1436,1)))*($J697-7)/3,INDEX(VN_국채일별!$G$4:$G$1436,MATCH($B697,VN_국채일별!$A$4:$A$1436,1)))))))),""))</f>
        <v>0.04472</v>
      </c>
      <c r="R697" s="58" t="n">
        <f aca="false">IF(OR(L697="",Q697=""),"",(L697-Q697)*10000)</f>
        <v>382.8</v>
      </c>
      <c r="S697" s="30" t="n">
        <f aca="false">IF(AND(K697="고정",N697="N",J697&gt;=2,J697&lt;=4,I697&lt;&gt;""),1,0)</f>
        <v>0</v>
      </c>
      <c r="T697" s="59" t="n">
        <f aca="false">IF(S697=1,I697*L697,0)</f>
        <v>0</v>
      </c>
      <c r="U697" s="60" t="n">
        <f aca="false">IF(AND(S697=1,ISNUMBER(R697)),I697*R697,0)</f>
        <v>0</v>
      </c>
      <c r="V697" s="30" t="n">
        <f aca="false">IF(AND(F697="Big4(국영)",K697="고정",N697="N",I697&lt;&gt;""),1,0)</f>
        <v>0</v>
      </c>
      <c r="W697" s="59" t="n">
        <f aca="false">IF(V697=1,I697*L697,0)</f>
        <v>0</v>
      </c>
      <c r="X697" s="60" t="n">
        <f aca="false">IF(AND(V697=1,ISNUMBER(R697)),I697*R697,0)</f>
        <v>0</v>
      </c>
      <c r="Y697" s="61" t="n">
        <f aca="false">IF(AND(S697=1,ISNUMBER(R697)),I697,0)</f>
        <v>0</v>
      </c>
      <c r="Z697" s="61" t="n">
        <f aca="false">IF(AND(V697=1,ISNUMBER(R697)),I697,0)</f>
        <v>0</v>
      </c>
    </row>
    <row r="698" customFormat="false" ht="15" hidden="false" customHeight="false" outlineLevel="0" collapsed="false">
      <c r="A698" s="47" t="s">
        <v>1176</v>
      </c>
      <c r="B698" s="52" t="n">
        <v>46181</v>
      </c>
      <c r="C698" s="53" t="n">
        <f aca="false">DATE(YEAR(B698),MONTH(B698),1)</f>
        <v>46174</v>
      </c>
      <c r="D698" s="5" t="str">
        <f aca="false">YEAR(B698)&amp;"Q"&amp;ROUNDUP(MONTH(B698)/3,0)</f>
        <v>2026Q2</v>
      </c>
      <c r="E698" s="47" t="s">
        <v>196</v>
      </c>
      <c r="F698" s="54" t="s">
        <v>139</v>
      </c>
      <c r="G698" s="47" t="s">
        <v>673</v>
      </c>
      <c r="H698" s="47" t="s">
        <v>1194</v>
      </c>
      <c r="I698" s="55" t="n">
        <v>1000</v>
      </c>
      <c r="J698" s="56" t="n">
        <v>3</v>
      </c>
      <c r="K698" s="54" t="s">
        <v>142</v>
      </c>
      <c r="L698" s="57" t="n">
        <v>0.086</v>
      </c>
      <c r="N698" s="47" t="s">
        <v>148</v>
      </c>
      <c r="O698" s="47" t="s">
        <v>1141</v>
      </c>
      <c r="P698" s="47"/>
      <c r="Q698" s="48" t="n">
        <f aca="false">IF($J698="","",IFERROR(IF($J698&lt;=1,INDEX(VN_국채일별!$B$4:$B$1436,MATCH($B698,VN_국채일별!$A$4:$A$1436,1)),IF($J698&lt;=2,INDEX(VN_국채일별!$B$4:$B$1436,MATCH($B698,VN_국채일별!$A$4:$A$1436,1))+(INDEX(VN_국채일별!$C$4:$C$1436,MATCH($B698,VN_국채일별!$A$4:$A$1436,1))-INDEX(VN_국채일별!$B$4:$B$1436,MATCH($B698,VN_국채일별!$A$4:$A$1436,1)))*($J698-1),IF($J698&lt;=3,INDEX(VN_국채일별!$C$4:$C$1436,MATCH($B698,VN_국채일별!$A$4:$A$1436,1))+(INDEX(VN_국채일별!$D$4:$D$1436,MATCH($B698,VN_국채일별!$A$4:$A$1436,1))-INDEX(VN_국채일별!$C$4:$C$1436,MATCH($B698,VN_국채일별!$A$4:$A$1436,1)))*($J698-2),IF($J698&lt;=5,INDEX(VN_국채일별!$D$4:$D$1436,MATCH($B698,VN_국채일별!$A$4:$A$1436,1))+(INDEX(VN_국채일별!$E$4:$E$1436,MATCH($B698,VN_국채일별!$A$4:$A$1436,1))-INDEX(VN_국채일별!$D$4:$D$1436,MATCH($B698,VN_국채일별!$A$4:$A$1436,1)))*($J698-3)/2,IF($J698&lt;=7,INDEX(VN_국채일별!$E$4:$E$1436,MATCH($B698,VN_국채일별!$A$4:$A$1436,1))+(INDEX(VN_국채일별!$F$4:$F$1436,MATCH($B698,VN_국채일별!$A$4:$A$1436,1))-INDEX(VN_국채일별!$E$4:$E$1436,MATCH($B698,VN_국채일별!$A$4:$A$1436,1)))*($J698-5)/2,IF($J698&lt;=10,INDEX(VN_국채일별!$F$4:$F$1436,MATCH($B698,VN_국채일별!$A$4:$A$1436,1))+(INDEX(VN_국채일별!$G$4:$G$1436,MATCH($B698,VN_국채일별!$A$4:$A$1436,1))-INDEX(VN_국채일별!$F$4:$F$1436,MATCH($B698,VN_국채일별!$A$4:$A$1436,1)))*($J698-7)/3,INDEX(VN_국채일별!$G$4:$G$1436,MATCH($B698,VN_국채일별!$A$4:$A$1436,1)))))))),""))</f>
        <v>0.03705</v>
      </c>
      <c r="R698" s="58" t="n">
        <f aca="false">IF(OR(L698="",Q698=""),"",(L698-Q698)*10000)</f>
        <v>489.5</v>
      </c>
      <c r="S698" s="30" t="n">
        <f aca="false">IF(AND(K698="고정",N698="N",J698&gt;=2,J698&lt;=4,I698&lt;&gt;""),1,0)</f>
        <v>1</v>
      </c>
      <c r="T698" s="59" t="n">
        <f aca="false">IF(S698=1,I698*L698,0)</f>
        <v>86</v>
      </c>
      <c r="U698" s="60" t="n">
        <f aca="false">IF(AND(S698=1,ISNUMBER(R698)),I698*R698,0)</f>
        <v>489500</v>
      </c>
      <c r="V698" s="30" t="n">
        <f aca="false">IF(AND(F698="Big4(국영)",K698="고정",N698="N",I698&lt;&gt;""),1,0)</f>
        <v>0</v>
      </c>
      <c r="W698" s="59" t="n">
        <f aca="false">IF(V698=1,I698*L698,0)</f>
        <v>0</v>
      </c>
      <c r="X698" s="60" t="n">
        <f aca="false">IF(AND(V698=1,ISNUMBER(R698)),I698*R698,0)</f>
        <v>0</v>
      </c>
      <c r="Y698" s="61" t="n">
        <f aca="false">IF(AND(S698=1,ISNUMBER(R698)),I698,0)</f>
        <v>1000</v>
      </c>
      <c r="Z698" s="61" t="n">
        <f aca="false">IF(AND(V698=1,ISNUMBER(R698)),I698,0)</f>
        <v>0</v>
      </c>
    </row>
    <row r="699" customFormat="false" ht="15" hidden="false" customHeight="false" outlineLevel="0" collapsed="false">
      <c r="A699" s="47" t="s">
        <v>1176</v>
      </c>
      <c r="B699" s="52" t="n">
        <v>46182</v>
      </c>
      <c r="C699" s="53" t="n">
        <f aca="false">DATE(YEAR(B699),MONTH(B699),1)</f>
        <v>46174</v>
      </c>
      <c r="D699" s="5" t="str">
        <f aca="false">YEAR(B699)&amp;"Q"&amp;ROUNDUP(MONTH(B699)/3,0)</f>
        <v>2026Q2</v>
      </c>
      <c r="E699" s="47" t="s">
        <v>248</v>
      </c>
      <c r="F699" s="54" t="s">
        <v>139</v>
      </c>
      <c r="G699" s="47" t="s">
        <v>361</v>
      </c>
      <c r="H699" s="47" t="s">
        <v>1195</v>
      </c>
      <c r="I699" s="55" t="n">
        <v>100</v>
      </c>
      <c r="J699" s="56" t="n">
        <v>6</v>
      </c>
      <c r="K699" s="54" t="s">
        <v>153</v>
      </c>
      <c r="N699" s="47" t="s">
        <v>148</v>
      </c>
      <c r="O699" s="47" t="s">
        <v>1190</v>
      </c>
      <c r="P699" s="47"/>
      <c r="Q699" s="48" t="n">
        <f aca="false">IF($J699="","",IFERROR(IF($J699&lt;=1,INDEX(VN_국채일별!$B$4:$B$1436,MATCH($B699,VN_국채일별!$A$4:$A$1436,1)),IF($J699&lt;=2,INDEX(VN_국채일별!$B$4:$B$1436,MATCH($B699,VN_국채일별!$A$4:$A$1436,1))+(INDEX(VN_국채일별!$C$4:$C$1436,MATCH($B699,VN_국채일별!$A$4:$A$1436,1))-INDEX(VN_국채일별!$B$4:$B$1436,MATCH($B699,VN_국채일별!$A$4:$A$1436,1)))*($J699-1),IF($J699&lt;=3,INDEX(VN_국채일별!$C$4:$C$1436,MATCH($B699,VN_국채일별!$A$4:$A$1436,1))+(INDEX(VN_국채일별!$D$4:$D$1436,MATCH($B699,VN_국채일별!$A$4:$A$1436,1))-INDEX(VN_국채일별!$C$4:$C$1436,MATCH($B699,VN_국채일별!$A$4:$A$1436,1)))*($J699-2),IF($J699&lt;=5,INDEX(VN_국채일별!$D$4:$D$1436,MATCH($B699,VN_국채일별!$A$4:$A$1436,1))+(INDEX(VN_국채일별!$E$4:$E$1436,MATCH($B699,VN_국채일별!$A$4:$A$1436,1))-INDEX(VN_국채일별!$D$4:$D$1436,MATCH($B699,VN_국채일별!$A$4:$A$1436,1)))*($J699-3)/2,IF($J699&lt;=7,INDEX(VN_국채일별!$E$4:$E$1436,MATCH($B699,VN_국채일별!$A$4:$A$1436,1))+(INDEX(VN_국채일별!$F$4:$F$1436,MATCH($B699,VN_국채일별!$A$4:$A$1436,1))-INDEX(VN_국채일별!$E$4:$E$1436,MATCH($B699,VN_국채일별!$A$4:$A$1436,1)))*($J699-5)/2,IF($J699&lt;=10,INDEX(VN_국채일별!$F$4:$F$1436,MATCH($B699,VN_국채일별!$A$4:$A$1436,1))+(INDEX(VN_국채일별!$G$4:$G$1436,MATCH($B699,VN_국채일별!$A$4:$A$1436,1))-INDEX(VN_국채일별!$F$4:$F$1436,MATCH($B699,VN_국채일별!$A$4:$A$1436,1)))*($J699-7)/3,INDEX(VN_국채일별!$G$4:$G$1436,MATCH($B699,VN_국채일별!$A$4:$A$1436,1)))))))),""))</f>
        <v>0.042985</v>
      </c>
      <c r="R699" s="58" t="str">
        <f aca="false">IF(OR(L699="",Q699=""),"",(L699-Q699)*10000)</f>
        <v/>
      </c>
      <c r="S699" s="30" t="n">
        <f aca="false">IF(AND(K699="고정",N699="N",J699&gt;=2,J699&lt;=4,I699&lt;&gt;""),1,0)</f>
        <v>0</v>
      </c>
      <c r="T699" s="59" t="n">
        <f aca="false">IF(S699=1,I699*L699,0)</f>
        <v>0</v>
      </c>
      <c r="U699" s="60" t="n">
        <f aca="false">IF(AND(S699=1,ISNUMBER(R699)),I699*R699,0)</f>
        <v>0</v>
      </c>
      <c r="V699" s="30" t="n">
        <f aca="false">IF(AND(F699="Big4(국영)",K699="고정",N699="N",I699&lt;&gt;""),1,0)</f>
        <v>0</v>
      </c>
      <c r="W699" s="59" t="n">
        <f aca="false">IF(V699=1,I699*L699,0)</f>
        <v>0</v>
      </c>
      <c r="X699" s="60" t="n">
        <f aca="false">IF(AND(V699=1,ISNUMBER(R699)),I699*R699,0)</f>
        <v>0</v>
      </c>
      <c r="Y699" s="61" t="n">
        <f aca="false">IF(AND(S699=1,ISNUMBER(R699)),I699,0)</f>
        <v>0</v>
      </c>
      <c r="Z699" s="61" t="n">
        <f aca="false">IF(AND(V699=1,ISNUMBER(R699)),I699,0)</f>
        <v>0</v>
      </c>
    </row>
    <row r="700" customFormat="false" ht="15" hidden="false" customHeight="false" outlineLevel="0" collapsed="false">
      <c r="A700" s="47" t="s">
        <v>1176</v>
      </c>
      <c r="B700" s="52" t="n">
        <v>46182</v>
      </c>
      <c r="C700" s="53" t="n">
        <f aca="false">DATE(YEAR(B700),MONTH(B700),1)</f>
        <v>46174</v>
      </c>
      <c r="D700" s="5" t="str">
        <f aca="false">YEAR(B700)&amp;"Q"&amp;ROUNDUP(MONTH(B700)/3,0)</f>
        <v>2026Q2</v>
      </c>
      <c r="E700" s="47" t="s">
        <v>254</v>
      </c>
      <c r="F700" s="54" t="s">
        <v>139</v>
      </c>
      <c r="G700" s="47" t="s">
        <v>339</v>
      </c>
      <c r="H700" s="47" t="s">
        <v>1196</v>
      </c>
      <c r="I700" s="55" t="n">
        <v>1000</v>
      </c>
      <c r="J700" s="56" t="n">
        <v>2</v>
      </c>
      <c r="K700" s="54" t="s">
        <v>142</v>
      </c>
      <c r="L700" s="57" t="n">
        <v>0.083</v>
      </c>
      <c r="N700" s="47" t="s">
        <v>148</v>
      </c>
      <c r="O700" s="47" t="s">
        <v>1155</v>
      </c>
      <c r="P700" s="47"/>
      <c r="Q700" s="48" t="n">
        <f aca="false">IF($J700="","",IFERROR(IF($J700&lt;=1,INDEX(VN_국채일별!$B$4:$B$1436,MATCH($B700,VN_국채일별!$A$4:$A$1436,1)),IF($J700&lt;=2,INDEX(VN_국채일별!$B$4:$B$1436,MATCH($B700,VN_국채일별!$A$4:$A$1436,1))+(INDEX(VN_국채일별!$C$4:$C$1436,MATCH($B700,VN_국채일별!$A$4:$A$1436,1))-INDEX(VN_국채일별!$B$4:$B$1436,MATCH($B700,VN_국채일별!$A$4:$A$1436,1)))*($J700-1),IF($J700&lt;=3,INDEX(VN_국채일별!$C$4:$C$1436,MATCH($B700,VN_국채일별!$A$4:$A$1436,1))+(INDEX(VN_국채일별!$D$4:$D$1436,MATCH($B700,VN_국채일별!$A$4:$A$1436,1))-INDEX(VN_국채일별!$C$4:$C$1436,MATCH($B700,VN_국채일별!$A$4:$A$1436,1)))*($J700-2),IF($J700&lt;=5,INDEX(VN_국채일별!$D$4:$D$1436,MATCH($B700,VN_국채일별!$A$4:$A$1436,1))+(INDEX(VN_국채일별!$E$4:$E$1436,MATCH($B700,VN_국채일별!$A$4:$A$1436,1))-INDEX(VN_국채일별!$D$4:$D$1436,MATCH($B700,VN_국채일별!$A$4:$A$1436,1)))*($J700-3)/2,IF($J700&lt;=7,INDEX(VN_국채일별!$E$4:$E$1436,MATCH($B700,VN_국채일별!$A$4:$A$1436,1))+(INDEX(VN_국채일별!$F$4:$F$1436,MATCH($B700,VN_국채일별!$A$4:$A$1436,1))-INDEX(VN_국채일별!$E$4:$E$1436,MATCH($B700,VN_국채일별!$A$4:$A$1436,1)))*($J700-5)/2,IF($J700&lt;=10,INDEX(VN_국채일별!$F$4:$F$1436,MATCH($B700,VN_국채일별!$A$4:$A$1436,1))+(INDEX(VN_국채일별!$G$4:$G$1436,MATCH($B700,VN_국채일별!$A$4:$A$1436,1))-INDEX(VN_국채일별!$F$4:$F$1436,MATCH($B700,VN_국채일별!$A$4:$A$1436,1)))*($J700-7)/3,INDEX(VN_국채일별!$G$4:$G$1436,MATCH($B700,VN_국채일별!$A$4:$A$1436,1)))))))),""))</f>
        <v>0.03514</v>
      </c>
      <c r="R700" s="58" t="n">
        <f aca="false">IF(OR(L700="",Q700=""),"",(L700-Q700)*10000)</f>
        <v>478.6</v>
      </c>
      <c r="S700" s="30" t="n">
        <f aca="false">IF(AND(K700="고정",N700="N",J700&gt;=2,J700&lt;=4,I700&lt;&gt;""),1,0)</f>
        <v>1</v>
      </c>
      <c r="T700" s="59" t="n">
        <f aca="false">IF(S700=1,I700*L700,0)</f>
        <v>83</v>
      </c>
      <c r="U700" s="60" t="n">
        <f aca="false">IF(AND(S700=1,ISNUMBER(R700)),I700*R700,0)</f>
        <v>478600</v>
      </c>
      <c r="V700" s="30" t="n">
        <f aca="false">IF(AND(F700="Big4(국영)",K700="고정",N700="N",I700&lt;&gt;""),1,0)</f>
        <v>0</v>
      </c>
      <c r="W700" s="59" t="n">
        <f aca="false">IF(V700=1,I700*L700,0)</f>
        <v>0</v>
      </c>
      <c r="X700" s="60" t="n">
        <f aca="false">IF(AND(V700=1,ISNUMBER(R700)),I700*R700,0)</f>
        <v>0</v>
      </c>
      <c r="Y700" s="61" t="n">
        <f aca="false">IF(AND(S700=1,ISNUMBER(R700)),I700,0)</f>
        <v>1000</v>
      </c>
      <c r="Z700" s="61" t="n">
        <f aca="false">IF(AND(V700=1,ISNUMBER(R700)),I700,0)</f>
        <v>0</v>
      </c>
    </row>
    <row r="701" customFormat="false" ht="15" hidden="false" customHeight="false" outlineLevel="0" collapsed="false">
      <c r="A701" s="47" t="s">
        <v>1176</v>
      </c>
      <c r="B701" s="52" t="n">
        <v>46182</v>
      </c>
      <c r="C701" s="53" t="n">
        <f aca="false">DATE(YEAR(B701),MONTH(B701),1)</f>
        <v>46174</v>
      </c>
      <c r="D701" s="5" t="str">
        <f aca="false">YEAR(B701)&amp;"Q"&amp;ROUNDUP(MONTH(B701)/3,0)</f>
        <v>2026Q2</v>
      </c>
      <c r="E701" s="47" t="s">
        <v>242</v>
      </c>
      <c r="F701" s="54" t="s">
        <v>139</v>
      </c>
      <c r="G701" s="47" t="s">
        <v>724</v>
      </c>
      <c r="H701" s="47" t="s">
        <v>1197</v>
      </c>
      <c r="I701" s="55" t="n">
        <v>100</v>
      </c>
      <c r="J701" s="56" t="n">
        <v>3</v>
      </c>
      <c r="K701" s="54" t="s">
        <v>142</v>
      </c>
      <c r="L701" s="57" t="n">
        <v>0.086</v>
      </c>
      <c r="N701" s="47" t="s">
        <v>148</v>
      </c>
      <c r="O701" s="47" t="s">
        <v>1141</v>
      </c>
      <c r="P701" s="47"/>
      <c r="Q701" s="48" t="n">
        <f aca="false">IF($J701="","",IFERROR(IF($J701&lt;=1,INDEX(VN_국채일별!$B$4:$B$1436,MATCH($B701,VN_국채일별!$A$4:$A$1436,1)),IF($J701&lt;=2,INDEX(VN_국채일별!$B$4:$B$1436,MATCH($B701,VN_국채일별!$A$4:$A$1436,1))+(INDEX(VN_국채일별!$C$4:$C$1436,MATCH($B701,VN_국채일별!$A$4:$A$1436,1))-INDEX(VN_국채일별!$B$4:$B$1436,MATCH($B701,VN_국채일별!$A$4:$A$1436,1)))*($J701-1),IF($J701&lt;=3,INDEX(VN_국채일별!$C$4:$C$1436,MATCH($B701,VN_국채일별!$A$4:$A$1436,1))+(INDEX(VN_국채일별!$D$4:$D$1436,MATCH($B701,VN_국채일별!$A$4:$A$1436,1))-INDEX(VN_국채일별!$C$4:$C$1436,MATCH($B701,VN_국채일별!$A$4:$A$1436,1)))*($J701-2),IF($J701&lt;=5,INDEX(VN_국채일별!$D$4:$D$1436,MATCH($B701,VN_국채일별!$A$4:$A$1436,1))+(INDEX(VN_국채일별!$E$4:$E$1436,MATCH($B701,VN_국채일별!$A$4:$A$1436,1))-INDEX(VN_국채일별!$D$4:$D$1436,MATCH($B701,VN_국채일별!$A$4:$A$1436,1)))*($J701-3)/2,IF($J701&lt;=7,INDEX(VN_국채일별!$E$4:$E$1436,MATCH($B701,VN_국채일별!$A$4:$A$1436,1))+(INDEX(VN_국채일별!$F$4:$F$1436,MATCH($B701,VN_국채일별!$A$4:$A$1436,1))-INDEX(VN_국채일별!$E$4:$E$1436,MATCH($B701,VN_국채일별!$A$4:$A$1436,1)))*($J701-5)/2,IF($J701&lt;=10,INDEX(VN_국채일별!$F$4:$F$1436,MATCH($B701,VN_국채일별!$A$4:$A$1436,1))+(INDEX(VN_국채일별!$G$4:$G$1436,MATCH($B701,VN_국채일별!$A$4:$A$1436,1))-INDEX(VN_국채일별!$F$4:$F$1436,MATCH($B701,VN_국채일별!$A$4:$A$1436,1)))*($J701-7)/3,INDEX(VN_국채일별!$G$4:$G$1436,MATCH($B701,VN_국채일별!$A$4:$A$1436,1)))))))),""))</f>
        <v>0.03704</v>
      </c>
      <c r="R701" s="58" t="n">
        <f aca="false">IF(OR(L701="",Q701=""),"",(L701-Q701)*10000)</f>
        <v>489.6</v>
      </c>
      <c r="S701" s="30" t="n">
        <f aca="false">IF(AND(K701="고정",N701="N",J701&gt;=2,J701&lt;=4,I701&lt;&gt;""),1,0)</f>
        <v>1</v>
      </c>
      <c r="T701" s="59" t="n">
        <f aca="false">IF(S701=1,I701*L701,0)</f>
        <v>8.6</v>
      </c>
      <c r="U701" s="60" t="n">
        <f aca="false">IF(AND(S701=1,ISNUMBER(R701)),I701*R701,0)</f>
        <v>48960</v>
      </c>
      <c r="V701" s="30" t="n">
        <f aca="false">IF(AND(F701="Big4(국영)",K701="고정",N701="N",I701&lt;&gt;""),1,0)</f>
        <v>0</v>
      </c>
      <c r="W701" s="59" t="n">
        <f aca="false">IF(V701=1,I701*L701,0)</f>
        <v>0</v>
      </c>
      <c r="X701" s="60" t="n">
        <f aca="false">IF(AND(V701=1,ISNUMBER(R701)),I701*R701,0)</f>
        <v>0</v>
      </c>
      <c r="Y701" s="61" t="n">
        <f aca="false">IF(AND(S701=1,ISNUMBER(R701)),I701,0)</f>
        <v>100</v>
      </c>
      <c r="Z701" s="61" t="n">
        <f aca="false">IF(AND(V701=1,ISNUMBER(R701)),I701,0)</f>
        <v>0</v>
      </c>
    </row>
    <row r="702" customFormat="false" ht="15" hidden="false" customHeight="false" outlineLevel="0" collapsed="false">
      <c r="A702" s="47" t="s">
        <v>1176</v>
      </c>
      <c r="B702" s="52" t="n">
        <v>46182</v>
      </c>
      <c r="C702" s="53" t="n">
        <f aca="false">DATE(YEAR(B702),MONTH(B702),1)</f>
        <v>46174</v>
      </c>
      <c r="D702" s="5" t="str">
        <f aca="false">YEAR(B702)&amp;"Q"&amp;ROUNDUP(MONTH(B702)/3,0)</f>
        <v>2026Q2</v>
      </c>
      <c r="E702" s="47" t="s">
        <v>160</v>
      </c>
      <c r="F702" s="54" t="s">
        <v>139</v>
      </c>
      <c r="G702" s="47" t="s">
        <v>161</v>
      </c>
      <c r="H702" s="47" t="s">
        <v>1198</v>
      </c>
      <c r="I702" s="55" t="n">
        <v>150</v>
      </c>
      <c r="J702" s="56" t="n">
        <v>10</v>
      </c>
      <c r="K702" s="54" t="s">
        <v>142</v>
      </c>
      <c r="L702" s="57" t="n">
        <v>0.084</v>
      </c>
      <c r="N702" s="47" t="s">
        <v>143</v>
      </c>
      <c r="O702" s="47" t="s">
        <v>1135</v>
      </c>
      <c r="P702" s="47"/>
      <c r="Q702" s="48" t="n">
        <f aca="false">IF($J702="","",IFERROR(IF($J702&lt;=1,INDEX(VN_국채일별!$B$4:$B$1436,MATCH($B702,VN_국채일별!$A$4:$A$1436,1)),IF($J702&lt;=2,INDEX(VN_국채일별!$B$4:$B$1436,MATCH($B702,VN_국채일별!$A$4:$A$1436,1))+(INDEX(VN_국채일별!$C$4:$C$1436,MATCH($B702,VN_국채일별!$A$4:$A$1436,1))-INDEX(VN_국채일별!$B$4:$B$1436,MATCH($B702,VN_국채일별!$A$4:$A$1436,1)))*($J702-1),IF($J702&lt;=3,INDEX(VN_국채일별!$C$4:$C$1436,MATCH($B702,VN_국채일별!$A$4:$A$1436,1))+(INDEX(VN_국채일별!$D$4:$D$1436,MATCH($B702,VN_국채일별!$A$4:$A$1436,1))-INDEX(VN_국채일별!$C$4:$C$1436,MATCH($B702,VN_국채일별!$A$4:$A$1436,1)))*($J702-2),IF($J702&lt;=5,INDEX(VN_국채일별!$D$4:$D$1436,MATCH($B702,VN_국채일별!$A$4:$A$1436,1))+(INDEX(VN_국채일별!$E$4:$E$1436,MATCH($B702,VN_국채일별!$A$4:$A$1436,1))-INDEX(VN_국채일별!$D$4:$D$1436,MATCH($B702,VN_국채일별!$A$4:$A$1436,1)))*($J702-3)/2,IF($J702&lt;=7,INDEX(VN_국채일별!$E$4:$E$1436,MATCH($B702,VN_국채일별!$A$4:$A$1436,1))+(INDEX(VN_국채일별!$F$4:$F$1436,MATCH($B702,VN_국채일별!$A$4:$A$1436,1))-INDEX(VN_국채일별!$E$4:$E$1436,MATCH($B702,VN_국채일별!$A$4:$A$1436,1)))*($J702-5)/2,IF($J702&lt;=10,INDEX(VN_국채일별!$F$4:$F$1436,MATCH($B702,VN_국채일별!$A$4:$A$1436,1))+(INDEX(VN_국채일별!$G$4:$G$1436,MATCH($B702,VN_국채일별!$A$4:$A$1436,1))-INDEX(VN_국채일별!$F$4:$F$1436,MATCH($B702,VN_국채일별!$A$4:$A$1436,1)))*($J702-7)/3,INDEX(VN_국채일별!$G$4:$G$1436,MATCH($B702,VN_국채일별!$A$4:$A$1436,1)))))))),""))</f>
        <v>0.04473</v>
      </c>
      <c r="R702" s="58" t="n">
        <f aca="false">IF(OR(L702="",Q702=""),"",(L702-Q702)*10000)</f>
        <v>392.7</v>
      </c>
      <c r="S702" s="30" t="n">
        <f aca="false">IF(AND(K702="고정",N702="N",J702&gt;=2,J702&lt;=4,I702&lt;&gt;""),1,0)</f>
        <v>0</v>
      </c>
      <c r="T702" s="59" t="n">
        <f aca="false">IF(S702=1,I702*L702,0)</f>
        <v>0</v>
      </c>
      <c r="U702" s="60" t="n">
        <f aca="false">IF(AND(S702=1,ISNUMBER(R702)),I702*R702,0)</f>
        <v>0</v>
      </c>
      <c r="V702" s="30" t="n">
        <f aca="false">IF(AND(F702="Big4(국영)",K702="고정",N702="N",I702&lt;&gt;""),1,0)</f>
        <v>0</v>
      </c>
      <c r="W702" s="59" t="n">
        <f aca="false">IF(V702=1,I702*L702,0)</f>
        <v>0</v>
      </c>
      <c r="X702" s="60" t="n">
        <f aca="false">IF(AND(V702=1,ISNUMBER(R702)),I702*R702,0)</f>
        <v>0</v>
      </c>
      <c r="Y702" s="61" t="n">
        <f aca="false">IF(AND(S702=1,ISNUMBER(R702)),I702,0)</f>
        <v>0</v>
      </c>
      <c r="Z702" s="61" t="n">
        <f aca="false">IF(AND(V702=1,ISNUMBER(R702)),I702,0)</f>
        <v>0</v>
      </c>
    </row>
    <row r="703" customFormat="false" ht="15" hidden="false" customHeight="false" outlineLevel="0" collapsed="false">
      <c r="A703" s="47" t="s">
        <v>1176</v>
      </c>
      <c r="B703" s="52" t="n">
        <v>46185</v>
      </c>
      <c r="C703" s="53" t="n">
        <f aca="false">DATE(YEAR(B703),MONTH(B703),1)</f>
        <v>46174</v>
      </c>
      <c r="D703" s="5" t="str">
        <f aca="false">YEAR(B703)&amp;"Q"&amp;ROUNDUP(MONTH(B703)/3,0)</f>
        <v>2026Q2</v>
      </c>
      <c r="E703" s="62" t="s">
        <v>155</v>
      </c>
      <c r="F703" s="62" t="s">
        <v>156</v>
      </c>
      <c r="G703" s="47" t="s">
        <v>157</v>
      </c>
      <c r="H703" s="47" t="s">
        <v>1199</v>
      </c>
      <c r="I703" s="55" t="n">
        <v>150</v>
      </c>
      <c r="J703" s="56" t="n">
        <v>6</v>
      </c>
      <c r="K703" s="54" t="s">
        <v>153</v>
      </c>
      <c r="N703" s="47" t="s">
        <v>143</v>
      </c>
      <c r="O703" s="47" t="s">
        <v>1185</v>
      </c>
      <c r="P703" s="47"/>
      <c r="Q703" s="48" t="n">
        <f aca="false">IF($J703="","",IFERROR(IF($J703&lt;=1,INDEX(VN_국채일별!$B$4:$B$1436,MATCH($B703,VN_국채일별!$A$4:$A$1436,1)),IF($J703&lt;=2,INDEX(VN_국채일별!$B$4:$B$1436,MATCH($B703,VN_국채일별!$A$4:$A$1436,1))+(INDEX(VN_국채일별!$C$4:$C$1436,MATCH($B703,VN_국채일별!$A$4:$A$1436,1))-INDEX(VN_국채일별!$B$4:$B$1436,MATCH($B703,VN_국채일별!$A$4:$A$1436,1)))*($J703-1),IF($J703&lt;=3,INDEX(VN_국채일별!$C$4:$C$1436,MATCH($B703,VN_국채일별!$A$4:$A$1436,1))+(INDEX(VN_국채일별!$D$4:$D$1436,MATCH($B703,VN_국채일별!$A$4:$A$1436,1))-INDEX(VN_국채일별!$C$4:$C$1436,MATCH($B703,VN_국채일별!$A$4:$A$1436,1)))*($J703-2),IF($J703&lt;=5,INDEX(VN_국채일별!$D$4:$D$1436,MATCH($B703,VN_국채일별!$A$4:$A$1436,1))+(INDEX(VN_국채일별!$E$4:$E$1436,MATCH($B703,VN_국채일별!$A$4:$A$1436,1))-INDEX(VN_국채일별!$D$4:$D$1436,MATCH($B703,VN_국채일별!$A$4:$A$1436,1)))*($J703-3)/2,IF($J703&lt;=7,INDEX(VN_국채일별!$E$4:$E$1436,MATCH($B703,VN_국채일별!$A$4:$A$1436,1))+(INDEX(VN_국채일별!$F$4:$F$1436,MATCH($B703,VN_국채일별!$A$4:$A$1436,1))-INDEX(VN_국채일별!$E$4:$E$1436,MATCH($B703,VN_국채일별!$A$4:$A$1436,1)))*($J703-5)/2,IF($J703&lt;=10,INDEX(VN_국채일별!$F$4:$F$1436,MATCH($B703,VN_국채일별!$A$4:$A$1436,1))+(INDEX(VN_국채일별!$G$4:$G$1436,MATCH($B703,VN_국채일별!$A$4:$A$1436,1))-INDEX(VN_국채일별!$F$4:$F$1436,MATCH($B703,VN_국채일별!$A$4:$A$1436,1)))*($J703-7)/3,INDEX(VN_국채일별!$G$4:$G$1436,MATCH($B703,VN_국채일별!$A$4:$A$1436,1)))))))),""))</f>
        <v>0.04315</v>
      </c>
      <c r="R703" s="58" t="str">
        <f aca="false">IF(OR(L703="",Q703=""),"",(L703-Q703)*10000)</f>
        <v/>
      </c>
      <c r="S703" s="30" t="n">
        <f aca="false">IF(AND(K703="고정",N703="N",J703&gt;=2,J703&lt;=4,I703&lt;&gt;""),1,0)</f>
        <v>0</v>
      </c>
      <c r="T703" s="59" t="n">
        <f aca="false">IF(S703=1,I703*L703,0)</f>
        <v>0</v>
      </c>
      <c r="U703" s="60" t="n">
        <f aca="false">IF(AND(S703=1,ISNUMBER(R703)),I703*R703,0)</f>
        <v>0</v>
      </c>
      <c r="V703" s="30" t="n">
        <f aca="false">IF(AND(F703="Big4(국영)",K703="고정",N703="N",I703&lt;&gt;""),1,0)</f>
        <v>0</v>
      </c>
      <c r="W703" s="59" t="n">
        <f aca="false">IF(V703=1,I703*L703,0)</f>
        <v>0</v>
      </c>
      <c r="X703" s="60" t="n">
        <f aca="false">IF(AND(V703=1,ISNUMBER(R703)),I703*R703,0)</f>
        <v>0</v>
      </c>
      <c r="Y703" s="61" t="n">
        <f aca="false">IF(AND(S703=1,ISNUMBER(R703)),I703,0)</f>
        <v>0</v>
      </c>
      <c r="Z703" s="61" t="n">
        <f aca="false">IF(AND(V703=1,ISNUMBER(R703)),I703,0)</f>
        <v>0</v>
      </c>
    </row>
    <row r="704" customFormat="false" ht="15" hidden="false" customHeight="false" outlineLevel="0" collapsed="false">
      <c r="A704" s="47" t="s">
        <v>1176</v>
      </c>
      <c r="B704" s="52" t="n">
        <v>46188</v>
      </c>
      <c r="C704" s="53" t="n">
        <f aca="false">DATE(YEAR(B704),MONTH(B704),1)</f>
        <v>46174</v>
      </c>
      <c r="D704" s="5" t="str">
        <f aca="false">YEAR(B704)&amp;"Q"&amp;ROUNDUP(MONTH(B704)/3,0)</f>
        <v>2026Q2</v>
      </c>
      <c r="E704" s="47" t="s">
        <v>242</v>
      </c>
      <c r="F704" s="54" t="s">
        <v>139</v>
      </c>
      <c r="G704" s="47" t="s">
        <v>724</v>
      </c>
      <c r="H704" s="47" t="s">
        <v>1200</v>
      </c>
      <c r="I704" s="55" t="n">
        <v>1000</v>
      </c>
      <c r="J704" s="56" t="n">
        <v>3</v>
      </c>
      <c r="K704" s="54" t="s">
        <v>142</v>
      </c>
      <c r="L704" s="57" t="n">
        <v>0.086</v>
      </c>
      <c r="N704" s="47" t="s">
        <v>148</v>
      </c>
      <c r="O704" s="47" t="s">
        <v>1141</v>
      </c>
      <c r="P704" s="47"/>
      <c r="Q704" s="48" t="n">
        <f aca="false">IF($J704="","",IFERROR(IF($J704&lt;=1,INDEX(VN_국채일별!$B$4:$B$1436,MATCH($B704,VN_국채일별!$A$4:$A$1436,1)),IF($J704&lt;=2,INDEX(VN_국채일별!$B$4:$B$1436,MATCH($B704,VN_국채일별!$A$4:$A$1436,1))+(INDEX(VN_국채일별!$C$4:$C$1436,MATCH($B704,VN_국채일별!$A$4:$A$1436,1))-INDEX(VN_국채일별!$B$4:$B$1436,MATCH($B704,VN_국채일별!$A$4:$A$1436,1)))*($J704-1),IF($J704&lt;=3,INDEX(VN_국채일별!$C$4:$C$1436,MATCH($B704,VN_국채일별!$A$4:$A$1436,1))+(INDEX(VN_국채일별!$D$4:$D$1436,MATCH($B704,VN_국채일별!$A$4:$A$1436,1))-INDEX(VN_국채일별!$C$4:$C$1436,MATCH($B704,VN_국채일별!$A$4:$A$1436,1)))*($J704-2),IF($J704&lt;=5,INDEX(VN_국채일별!$D$4:$D$1436,MATCH($B704,VN_국채일별!$A$4:$A$1436,1))+(INDEX(VN_국채일별!$E$4:$E$1436,MATCH($B704,VN_국채일별!$A$4:$A$1436,1))-INDEX(VN_국채일별!$D$4:$D$1436,MATCH($B704,VN_국채일별!$A$4:$A$1436,1)))*($J704-3)/2,IF($J704&lt;=7,INDEX(VN_국채일별!$E$4:$E$1436,MATCH($B704,VN_국채일별!$A$4:$A$1436,1))+(INDEX(VN_국채일별!$F$4:$F$1436,MATCH($B704,VN_국채일별!$A$4:$A$1436,1))-INDEX(VN_국채일별!$E$4:$E$1436,MATCH($B704,VN_국채일별!$A$4:$A$1436,1)))*($J704-5)/2,IF($J704&lt;=10,INDEX(VN_국채일별!$F$4:$F$1436,MATCH($B704,VN_국채일별!$A$4:$A$1436,1))+(INDEX(VN_국채일별!$G$4:$G$1436,MATCH($B704,VN_국채일별!$A$4:$A$1436,1))-INDEX(VN_국채일별!$F$4:$F$1436,MATCH($B704,VN_국채일별!$A$4:$A$1436,1)))*($J704-7)/3,INDEX(VN_국채일별!$G$4:$G$1436,MATCH($B704,VN_국채일별!$A$4:$A$1436,1)))))))),""))</f>
        <v>0.03715</v>
      </c>
      <c r="R704" s="58" t="n">
        <f aca="false">IF(OR(L704="",Q704=""),"",(L704-Q704)*10000)</f>
        <v>488.5</v>
      </c>
      <c r="S704" s="30" t="n">
        <f aca="false">IF(AND(K704="고정",N704="N",J704&gt;=2,J704&lt;=4,I704&lt;&gt;""),1,0)</f>
        <v>1</v>
      </c>
      <c r="T704" s="59" t="n">
        <f aca="false">IF(S704=1,I704*L704,0)</f>
        <v>86</v>
      </c>
      <c r="U704" s="60" t="n">
        <f aca="false">IF(AND(S704=1,ISNUMBER(R704)),I704*R704,0)</f>
        <v>488500</v>
      </c>
      <c r="V704" s="30" t="n">
        <f aca="false">IF(AND(F704="Big4(국영)",K704="고정",N704="N",I704&lt;&gt;""),1,0)</f>
        <v>0</v>
      </c>
      <c r="W704" s="59" t="n">
        <f aca="false">IF(V704=1,I704*L704,0)</f>
        <v>0</v>
      </c>
      <c r="X704" s="60" t="n">
        <f aca="false">IF(AND(V704=1,ISNUMBER(R704)),I704*R704,0)</f>
        <v>0</v>
      </c>
      <c r="Y704" s="61" t="n">
        <f aca="false">IF(AND(S704=1,ISNUMBER(R704)),I704,0)</f>
        <v>1000</v>
      </c>
      <c r="Z704" s="61" t="n">
        <f aca="false">IF(AND(V704=1,ISNUMBER(R704)),I704,0)</f>
        <v>0</v>
      </c>
    </row>
    <row r="705" customFormat="false" ht="15" hidden="false" customHeight="false" outlineLevel="0" collapsed="false">
      <c r="A705" s="47" t="s">
        <v>1176</v>
      </c>
      <c r="B705" s="52" t="n">
        <v>46190</v>
      </c>
      <c r="C705" s="53" t="n">
        <f aca="false">DATE(YEAR(B705),MONTH(B705),1)</f>
        <v>46174</v>
      </c>
      <c r="D705" s="5" t="str">
        <f aca="false">YEAR(B705)&amp;"Q"&amp;ROUNDUP(MONTH(B705)/3,0)</f>
        <v>2026Q2</v>
      </c>
      <c r="E705" s="47" t="s">
        <v>365</v>
      </c>
      <c r="F705" s="54" t="s">
        <v>139</v>
      </c>
      <c r="G705" s="47" t="s">
        <v>366</v>
      </c>
      <c r="H705" s="47" t="s">
        <v>1201</v>
      </c>
      <c r="I705" s="55" t="n">
        <v>200</v>
      </c>
      <c r="J705" s="56" t="n">
        <v>10</v>
      </c>
      <c r="K705" s="54" t="s">
        <v>153</v>
      </c>
      <c r="N705" s="47" t="s">
        <v>143</v>
      </c>
      <c r="O705" s="47" t="s">
        <v>1202</v>
      </c>
      <c r="P705" s="47"/>
      <c r="Q705" s="48" t="n">
        <f aca="false">IF($J705="","",IFERROR(IF($J705&lt;=1,INDEX(VN_국채일별!$B$4:$B$1436,MATCH($B705,VN_국채일별!$A$4:$A$1436,1)),IF($J705&lt;=2,INDEX(VN_국채일별!$B$4:$B$1436,MATCH($B705,VN_국채일별!$A$4:$A$1436,1))+(INDEX(VN_국채일별!$C$4:$C$1436,MATCH($B705,VN_국채일별!$A$4:$A$1436,1))-INDEX(VN_국채일별!$B$4:$B$1436,MATCH($B705,VN_국채일별!$A$4:$A$1436,1)))*($J705-1),IF($J705&lt;=3,INDEX(VN_국채일별!$C$4:$C$1436,MATCH($B705,VN_국채일별!$A$4:$A$1436,1))+(INDEX(VN_국채일별!$D$4:$D$1436,MATCH($B705,VN_국채일별!$A$4:$A$1436,1))-INDEX(VN_국채일별!$C$4:$C$1436,MATCH($B705,VN_국채일별!$A$4:$A$1436,1)))*($J705-2),IF($J705&lt;=5,INDEX(VN_국채일별!$D$4:$D$1436,MATCH($B705,VN_국채일별!$A$4:$A$1436,1))+(INDEX(VN_국채일별!$E$4:$E$1436,MATCH($B705,VN_국채일별!$A$4:$A$1436,1))-INDEX(VN_국채일별!$D$4:$D$1436,MATCH($B705,VN_국채일별!$A$4:$A$1436,1)))*($J705-3)/2,IF($J705&lt;=7,INDEX(VN_국채일별!$E$4:$E$1436,MATCH($B705,VN_국채일별!$A$4:$A$1436,1))+(INDEX(VN_국채일별!$F$4:$F$1436,MATCH($B705,VN_국채일별!$A$4:$A$1436,1))-INDEX(VN_국채일별!$E$4:$E$1436,MATCH($B705,VN_국채일별!$A$4:$A$1436,1)))*($J705-5)/2,IF($J705&lt;=10,INDEX(VN_국채일별!$F$4:$F$1436,MATCH($B705,VN_국채일별!$A$4:$A$1436,1))+(INDEX(VN_국채일별!$G$4:$G$1436,MATCH($B705,VN_국채일별!$A$4:$A$1436,1))-INDEX(VN_국채일별!$F$4:$F$1436,MATCH($B705,VN_국채일별!$A$4:$A$1436,1)))*($J705-7)/3,INDEX(VN_국채일별!$G$4:$G$1436,MATCH($B705,VN_국채일별!$A$4:$A$1436,1)))))))),""))</f>
        <v>0.04487</v>
      </c>
      <c r="R705" s="58" t="str">
        <f aca="false">IF(OR(L705="",Q705=""),"",(L705-Q705)*10000)</f>
        <v/>
      </c>
      <c r="S705" s="30" t="n">
        <f aca="false">IF(AND(K705="고정",N705="N",J705&gt;=2,J705&lt;=4,I705&lt;&gt;""),1,0)</f>
        <v>0</v>
      </c>
      <c r="T705" s="59" t="n">
        <f aca="false">IF(S705=1,I705*L705,0)</f>
        <v>0</v>
      </c>
      <c r="U705" s="60" t="n">
        <f aca="false">IF(AND(S705=1,ISNUMBER(R705)),I705*R705,0)</f>
        <v>0</v>
      </c>
      <c r="V705" s="30" t="n">
        <f aca="false">IF(AND(F705="Big4(국영)",K705="고정",N705="N",I705&lt;&gt;""),1,0)</f>
        <v>0</v>
      </c>
      <c r="W705" s="59" t="n">
        <f aca="false">IF(V705=1,I705*L705,0)</f>
        <v>0</v>
      </c>
      <c r="X705" s="60" t="n">
        <f aca="false">IF(AND(V705=1,ISNUMBER(R705)),I705*R705,0)</f>
        <v>0</v>
      </c>
      <c r="Y705" s="61" t="n">
        <f aca="false">IF(AND(S705=1,ISNUMBER(R705)),I705,0)</f>
        <v>0</v>
      </c>
      <c r="Z705" s="61" t="n">
        <f aca="false">IF(AND(V705=1,ISNUMBER(R705)),I705,0)</f>
        <v>0</v>
      </c>
    </row>
    <row r="706" customFormat="false" ht="15" hidden="false" customHeight="false" outlineLevel="0" collapsed="false">
      <c r="A706" s="47" t="s">
        <v>1176</v>
      </c>
      <c r="B706" s="52" t="n">
        <v>46190</v>
      </c>
      <c r="C706" s="53" t="n">
        <f aca="false">DATE(YEAR(B706),MONTH(B706),1)</f>
        <v>46174</v>
      </c>
      <c r="D706" s="5" t="str">
        <f aca="false">YEAR(B706)&amp;"Q"&amp;ROUNDUP(MONTH(B706)/3,0)</f>
        <v>2026Q2</v>
      </c>
      <c r="E706" s="47" t="s">
        <v>181</v>
      </c>
      <c r="F706" s="54" t="s">
        <v>139</v>
      </c>
      <c r="G706" s="47" t="s">
        <v>182</v>
      </c>
      <c r="H706" s="47" t="s">
        <v>1203</v>
      </c>
      <c r="I706" s="55" t="n">
        <v>1000</v>
      </c>
      <c r="J706" s="56" t="n">
        <v>3</v>
      </c>
      <c r="K706" s="54" t="s">
        <v>142</v>
      </c>
      <c r="L706" s="57" t="n">
        <v>0.087</v>
      </c>
      <c r="N706" s="47" t="s">
        <v>148</v>
      </c>
      <c r="O706" s="47" t="s">
        <v>1143</v>
      </c>
      <c r="P706" s="47"/>
      <c r="Q706" s="48" t="n">
        <f aca="false">IF($J706="","",IFERROR(IF($J706&lt;=1,INDEX(VN_국채일별!$B$4:$B$1436,MATCH($B706,VN_국채일별!$A$4:$A$1436,1)),IF($J706&lt;=2,INDEX(VN_국채일별!$B$4:$B$1436,MATCH($B706,VN_국채일별!$A$4:$A$1436,1))+(INDEX(VN_국채일별!$C$4:$C$1436,MATCH($B706,VN_국채일별!$A$4:$A$1436,1))-INDEX(VN_국채일별!$B$4:$B$1436,MATCH($B706,VN_국채일별!$A$4:$A$1436,1)))*($J706-1),IF($J706&lt;=3,INDEX(VN_국채일별!$C$4:$C$1436,MATCH($B706,VN_국채일별!$A$4:$A$1436,1))+(INDEX(VN_국채일별!$D$4:$D$1436,MATCH($B706,VN_국채일별!$A$4:$A$1436,1))-INDEX(VN_국채일별!$C$4:$C$1436,MATCH($B706,VN_국채일별!$A$4:$A$1436,1)))*($J706-2),IF($J706&lt;=5,INDEX(VN_국채일별!$D$4:$D$1436,MATCH($B706,VN_국채일별!$A$4:$A$1436,1))+(INDEX(VN_국채일별!$E$4:$E$1436,MATCH($B706,VN_국채일별!$A$4:$A$1436,1))-INDEX(VN_국채일별!$D$4:$D$1436,MATCH($B706,VN_국채일별!$A$4:$A$1436,1)))*($J706-3)/2,IF($J706&lt;=7,INDEX(VN_국채일별!$E$4:$E$1436,MATCH($B706,VN_국채일별!$A$4:$A$1436,1))+(INDEX(VN_국채일별!$F$4:$F$1436,MATCH($B706,VN_국채일별!$A$4:$A$1436,1))-INDEX(VN_국채일별!$E$4:$E$1436,MATCH($B706,VN_국채일별!$A$4:$A$1436,1)))*($J706-5)/2,IF($J706&lt;=10,INDEX(VN_국채일별!$F$4:$F$1436,MATCH($B706,VN_국채일별!$A$4:$A$1436,1))+(INDEX(VN_국채일별!$G$4:$G$1436,MATCH($B706,VN_국채일별!$A$4:$A$1436,1))-INDEX(VN_국채일별!$F$4:$F$1436,MATCH($B706,VN_국채일별!$A$4:$A$1436,1)))*($J706-7)/3,INDEX(VN_국채일별!$G$4:$G$1436,MATCH($B706,VN_국채일별!$A$4:$A$1436,1)))))))),""))</f>
        <v>0.03714</v>
      </c>
      <c r="R706" s="58" t="n">
        <f aca="false">IF(OR(L706="",Q706=""),"",(L706-Q706)*10000)</f>
        <v>498.6</v>
      </c>
      <c r="S706" s="30" t="n">
        <f aca="false">IF(AND(K706="고정",N706="N",J706&gt;=2,J706&lt;=4,I706&lt;&gt;""),1,0)</f>
        <v>1</v>
      </c>
      <c r="T706" s="59" t="n">
        <f aca="false">IF(S706=1,I706*L706,0)</f>
        <v>87</v>
      </c>
      <c r="U706" s="60" t="n">
        <f aca="false">IF(AND(S706=1,ISNUMBER(R706)),I706*R706,0)</f>
        <v>498600</v>
      </c>
      <c r="V706" s="30" t="n">
        <f aca="false">IF(AND(F706="Big4(국영)",K706="고정",N706="N",I706&lt;&gt;""),1,0)</f>
        <v>0</v>
      </c>
      <c r="W706" s="59" t="n">
        <f aca="false">IF(V706=1,I706*L706,0)</f>
        <v>0</v>
      </c>
      <c r="X706" s="60" t="n">
        <f aca="false">IF(AND(V706=1,ISNUMBER(R706)),I706*R706,0)</f>
        <v>0</v>
      </c>
      <c r="Y706" s="61" t="n">
        <f aca="false">IF(AND(S706=1,ISNUMBER(R706)),I706,0)</f>
        <v>1000</v>
      </c>
      <c r="Z706" s="61" t="n">
        <f aca="false">IF(AND(V706=1,ISNUMBER(R706)),I706,0)</f>
        <v>0</v>
      </c>
    </row>
    <row r="707" customFormat="false" ht="15" hidden="false" customHeight="false" outlineLevel="0" collapsed="false">
      <c r="A707" s="47" t="s">
        <v>1176</v>
      </c>
      <c r="B707" s="52" t="n">
        <v>46191</v>
      </c>
      <c r="C707" s="53" t="n">
        <f aca="false">DATE(YEAR(B707),MONTH(B707),1)</f>
        <v>46174</v>
      </c>
      <c r="D707" s="5" t="str">
        <f aca="false">YEAR(B707)&amp;"Q"&amp;ROUNDUP(MONTH(B707)/3,0)</f>
        <v>2026Q2</v>
      </c>
      <c r="E707" s="47" t="s">
        <v>160</v>
      </c>
      <c r="F707" s="54" t="s">
        <v>139</v>
      </c>
      <c r="G707" s="47" t="s">
        <v>161</v>
      </c>
      <c r="H707" s="47" t="s">
        <v>1204</v>
      </c>
      <c r="I707" s="55" t="n">
        <v>100</v>
      </c>
      <c r="J707" s="56" t="n">
        <v>10</v>
      </c>
      <c r="K707" s="54" t="s">
        <v>142</v>
      </c>
      <c r="L707" s="57" t="n">
        <v>0.083</v>
      </c>
      <c r="N707" s="47" t="s">
        <v>143</v>
      </c>
      <c r="O707" s="47" t="s">
        <v>1155</v>
      </c>
      <c r="P707" s="47"/>
      <c r="Q707" s="48" t="n">
        <f aca="false">IF($J707="","",IFERROR(IF($J707&lt;=1,INDEX(VN_국채일별!$B$4:$B$1436,MATCH($B707,VN_국채일별!$A$4:$A$1436,1)),IF($J707&lt;=2,INDEX(VN_국채일별!$B$4:$B$1436,MATCH($B707,VN_국채일별!$A$4:$A$1436,1))+(INDEX(VN_국채일별!$C$4:$C$1436,MATCH($B707,VN_국채일별!$A$4:$A$1436,1))-INDEX(VN_국채일별!$B$4:$B$1436,MATCH($B707,VN_국채일별!$A$4:$A$1436,1)))*($J707-1),IF($J707&lt;=3,INDEX(VN_국채일별!$C$4:$C$1436,MATCH($B707,VN_국채일별!$A$4:$A$1436,1))+(INDEX(VN_국채일별!$D$4:$D$1436,MATCH($B707,VN_국채일별!$A$4:$A$1436,1))-INDEX(VN_국채일별!$C$4:$C$1436,MATCH($B707,VN_국채일별!$A$4:$A$1436,1)))*($J707-2),IF($J707&lt;=5,INDEX(VN_국채일별!$D$4:$D$1436,MATCH($B707,VN_국채일별!$A$4:$A$1436,1))+(INDEX(VN_국채일별!$E$4:$E$1436,MATCH($B707,VN_국채일별!$A$4:$A$1436,1))-INDEX(VN_국채일별!$D$4:$D$1436,MATCH($B707,VN_국채일별!$A$4:$A$1436,1)))*($J707-3)/2,IF($J707&lt;=7,INDEX(VN_국채일별!$E$4:$E$1436,MATCH($B707,VN_국채일별!$A$4:$A$1436,1))+(INDEX(VN_국채일별!$F$4:$F$1436,MATCH($B707,VN_국채일별!$A$4:$A$1436,1))-INDEX(VN_국채일별!$E$4:$E$1436,MATCH($B707,VN_국채일별!$A$4:$A$1436,1)))*($J707-5)/2,IF($J707&lt;=10,INDEX(VN_국채일별!$F$4:$F$1436,MATCH($B707,VN_국채일별!$A$4:$A$1436,1))+(INDEX(VN_국채일별!$G$4:$G$1436,MATCH($B707,VN_국채일별!$A$4:$A$1436,1))-INDEX(VN_국채일별!$F$4:$F$1436,MATCH($B707,VN_국채일별!$A$4:$A$1436,1)))*($J707-7)/3,INDEX(VN_국채일별!$G$4:$G$1436,MATCH($B707,VN_국채일별!$A$4:$A$1436,1)))))))),""))</f>
        <v>0.04523</v>
      </c>
      <c r="R707" s="58" t="n">
        <f aca="false">IF(OR(L707="",Q707=""),"",(L707-Q707)*10000)</f>
        <v>377.7</v>
      </c>
      <c r="S707" s="30" t="n">
        <f aca="false">IF(AND(K707="고정",N707="N",J707&gt;=2,J707&lt;=4,I707&lt;&gt;""),1,0)</f>
        <v>0</v>
      </c>
      <c r="T707" s="59" t="n">
        <f aca="false">IF(S707=1,I707*L707,0)</f>
        <v>0</v>
      </c>
      <c r="U707" s="60" t="n">
        <f aca="false">IF(AND(S707=1,ISNUMBER(R707)),I707*R707,0)</f>
        <v>0</v>
      </c>
      <c r="V707" s="30" t="n">
        <f aca="false">IF(AND(F707="Big4(국영)",K707="고정",N707="N",I707&lt;&gt;""),1,0)</f>
        <v>0</v>
      </c>
      <c r="W707" s="59" t="n">
        <f aca="false">IF(V707=1,I707*L707,0)</f>
        <v>0</v>
      </c>
      <c r="X707" s="60" t="n">
        <f aca="false">IF(AND(V707=1,ISNUMBER(R707)),I707*R707,0)</f>
        <v>0</v>
      </c>
      <c r="Y707" s="61" t="n">
        <f aca="false">IF(AND(S707=1,ISNUMBER(R707)),I707,0)</f>
        <v>0</v>
      </c>
      <c r="Z707" s="61" t="n">
        <f aca="false">IF(AND(V707=1,ISNUMBER(R707)),I707,0)</f>
        <v>0</v>
      </c>
    </row>
    <row r="708" customFormat="false" ht="15" hidden="false" customHeight="false" outlineLevel="0" collapsed="false">
      <c r="A708" s="47" t="s">
        <v>1176</v>
      </c>
      <c r="B708" s="52" t="n">
        <v>46191</v>
      </c>
      <c r="C708" s="53" t="n">
        <f aca="false">DATE(YEAR(B708),MONTH(B708),1)</f>
        <v>46174</v>
      </c>
      <c r="D708" s="5" t="str">
        <f aca="false">YEAR(B708)&amp;"Q"&amp;ROUNDUP(MONTH(B708)/3,0)</f>
        <v>2026Q2</v>
      </c>
      <c r="E708" s="47" t="s">
        <v>365</v>
      </c>
      <c r="F708" s="54" t="s">
        <v>139</v>
      </c>
      <c r="G708" s="47" t="s">
        <v>366</v>
      </c>
      <c r="H708" s="47" t="s">
        <v>1205</v>
      </c>
      <c r="I708" s="55" t="n">
        <v>320</v>
      </c>
      <c r="J708" s="56" t="n">
        <v>10</v>
      </c>
      <c r="K708" s="54" t="s">
        <v>153</v>
      </c>
      <c r="N708" s="47" t="s">
        <v>143</v>
      </c>
      <c r="O708" s="47" t="s">
        <v>1206</v>
      </c>
      <c r="P708" s="47"/>
      <c r="Q708" s="48" t="n">
        <f aca="false">IF($J708="","",IFERROR(IF($J708&lt;=1,INDEX(VN_국채일별!$B$4:$B$1436,MATCH($B708,VN_국채일별!$A$4:$A$1436,1)),IF($J708&lt;=2,INDEX(VN_국채일별!$B$4:$B$1436,MATCH($B708,VN_국채일별!$A$4:$A$1436,1))+(INDEX(VN_국채일별!$C$4:$C$1436,MATCH($B708,VN_국채일별!$A$4:$A$1436,1))-INDEX(VN_국채일별!$B$4:$B$1436,MATCH($B708,VN_국채일별!$A$4:$A$1436,1)))*($J708-1),IF($J708&lt;=3,INDEX(VN_국채일별!$C$4:$C$1436,MATCH($B708,VN_국채일별!$A$4:$A$1436,1))+(INDEX(VN_국채일별!$D$4:$D$1436,MATCH($B708,VN_국채일별!$A$4:$A$1436,1))-INDEX(VN_국채일별!$C$4:$C$1436,MATCH($B708,VN_국채일별!$A$4:$A$1436,1)))*($J708-2),IF($J708&lt;=5,INDEX(VN_국채일별!$D$4:$D$1436,MATCH($B708,VN_국채일별!$A$4:$A$1436,1))+(INDEX(VN_국채일별!$E$4:$E$1436,MATCH($B708,VN_국채일별!$A$4:$A$1436,1))-INDEX(VN_국채일별!$D$4:$D$1436,MATCH($B708,VN_국채일별!$A$4:$A$1436,1)))*($J708-3)/2,IF($J708&lt;=7,INDEX(VN_국채일별!$E$4:$E$1436,MATCH($B708,VN_국채일별!$A$4:$A$1436,1))+(INDEX(VN_국채일별!$F$4:$F$1436,MATCH($B708,VN_국채일별!$A$4:$A$1436,1))-INDEX(VN_국채일별!$E$4:$E$1436,MATCH($B708,VN_국채일별!$A$4:$A$1436,1)))*($J708-5)/2,IF($J708&lt;=10,INDEX(VN_국채일별!$F$4:$F$1436,MATCH($B708,VN_국채일별!$A$4:$A$1436,1))+(INDEX(VN_국채일별!$G$4:$G$1436,MATCH($B708,VN_국채일별!$A$4:$A$1436,1))-INDEX(VN_국채일별!$F$4:$F$1436,MATCH($B708,VN_국채일별!$A$4:$A$1436,1)))*($J708-7)/3,INDEX(VN_국채일별!$G$4:$G$1436,MATCH($B708,VN_국채일별!$A$4:$A$1436,1)))))))),""))</f>
        <v>0.04523</v>
      </c>
      <c r="R708" s="58" t="str">
        <f aca="false">IF(OR(L708="",Q708=""),"",(L708-Q708)*10000)</f>
        <v/>
      </c>
      <c r="S708" s="30" t="n">
        <f aca="false">IF(AND(K708="고정",N708="N",J708&gt;=2,J708&lt;=4,I708&lt;&gt;""),1,0)</f>
        <v>0</v>
      </c>
      <c r="T708" s="59" t="n">
        <f aca="false">IF(S708=1,I708*L708,0)</f>
        <v>0</v>
      </c>
      <c r="U708" s="60" t="n">
        <f aca="false">IF(AND(S708=1,ISNUMBER(R708)),I708*R708,0)</f>
        <v>0</v>
      </c>
      <c r="V708" s="30" t="n">
        <f aca="false">IF(AND(F708="Big4(국영)",K708="고정",N708="N",I708&lt;&gt;""),1,0)</f>
        <v>0</v>
      </c>
      <c r="W708" s="59" t="n">
        <f aca="false">IF(V708=1,I708*L708,0)</f>
        <v>0</v>
      </c>
      <c r="X708" s="60" t="n">
        <f aca="false">IF(AND(V708=1,ISNUMBER(R708)),I708*R708,0)</f>
        <v>0</v>
      </c>
      <c r="Y708" s="61" t="n">
        <f aca="false">IF(AND(S708=1,ISNUMBER(R708)),I708,0)</f>
        <v>0</v>
      </c>
      <c r="Z708" s="61" t="n">
        <f aca="false">IF(AND(V708=1,ISNUMBER(R708)),I708,0)</f>
        <v>0</v>
      </c>
    </row>
    <row r="709" customFormat="false" ht="15" hidden="false" customHeight="false" outlineLevel="0" collapsed="false">
      <c r="A709" s="47" t="s">
        <v>1176</v>
      </c>
      <c r="B709" s="52" t="n">
        <v>46192</v>
      </c>
      <c r="C709" s="53" t="n">
        <f aca="false">DATE(YEAR(B709),MONTH(B709),1)</f>
        <v>46174</v>
      </c>
      <c r="D709" s="5" t="str">
        <f aca="false">YEAR(B709)&amp;"Q"&amp;ROUNDUP(MONTH(B709)/3,0)</f>
        <v>2026Q2</v>
      </c>
      <c r="E709" s="47" t="s">
        <v>242</v>
      </c>
      <c r="F709" s="54" t="s">
        <v>139</v>
      </c>
      <c r="G709" s="47" t="s">
        <v>724</v>
      </c>
      <c r="H709" s="47" t="s">
        <v>1207</v>
      </c>
      <c r="I709" s="55" t="n">
        <v>2990</v>
      </c>
      <c r="J709" s="56" t="n">
        <v>7</v>
      </c>
      <c r="K709" s="54" t="s">
        <v>153</v>
      </c>
      <c r="N709" s="47" t="s">
        <v>143</v>
      </c>
      <c r="O709" s="47" t="s">
        <v>1208</v>
      </c>
      <c r="P709" s="47"/>
      <c r="Q709" s="48" t="n">
        <f aca="false">IF($J709="","",IFERROR(IF($J709&lt;=1,INDEX(VN_국채일별!$B$4:$B$1436,MATCH($B709,VN_국채일별!$A$4:$A$1436,1)),IF($J709&lt;=2,INDEX(VN_국채일별!$B$4:$B$1436,MATCH($B709,VN_국채일별!$A$4:$A$1436,1))+(INDEX(VN_국채일별!$C$4:$C$1436,MATCH($B709,VN_국채일별!$A$4:$A$1436,1))-INDEX(VN_국채일별!$B$4:$B$1436,MATCH($B709,VN_국채일별!$A$4:$A$1436,1)))*($J709-1),IF($J709&lt;=3,INDEX(VN_국채일별!$C$4:$C$1436,MATCH($B709,VN_국채일별!$A$4:$A$1436,1))+(INDEX(VN_국채일별!$D$4:$D$1436,MATCH($B709,VN_국채일별!$A$4:$A$1436,1))-INDEX(VN_국채일별!$C$4:$C$1436,MATCH($B709,VN_국채일별!$A$4:$A$1436,1)))*($J709-2),IF($J709&lt;=5,INDEX(VN_국채일별!$D$4:$D$1436,MATCH($B709,VN_국채일별!$A$4:$A$1436,1))+(INDEX(VN_국채일별!$E$4:$E$1436,MATCH($B709,VN_국채일별!$A$4:$A$1436,1))-INDEX(VN_국채일별!$D$4:$D$1436,MATCH($B709,VN_국채일별!$A$4:$A$1436,1)))*($J709-3)/2,IF($J709&lt;=7,INDEX(VN_국채일별!$E$4:$E$1436,MATCH($B709,VN_국채일별!$A$4:$A$1436,1))+(INDEX(VN_국채일별!$F$4:$F$1436,MATCH($B709,VN_국채일별!$A$4:$A$1436,1))-INDEX(VN_국채일별!$E$4:$E$1436,MATCH($B709,VN_국채일별!$A$4:$A$1436,1)))*($J709-5)/2,IF($J709&lt;=10,INDEX(VN_국채일별!$F$4:$F$1436,MATCH($B709,VN_국채일별!$A$4:$A$1436,1))+(INDEX(VN_국채일별!$G$4:$G$1436,MATCH($B709,VN_국채일별!$A$4:$A$1436,1))-INDEX(VN_국채일별!$F$4:$F$1436,MATCH($B709,VN_국채일별!$A$4:$A$1436,1)))*($J709-7)/3,INDEX(VN_국채일별!$G$4:$G$1436,MATCH($B709,VN_국채일별!$A$4:$A$1436,1)))))))),""))</f>
        <v>0.04395</v>
      </c>
      <c r="R709" s="58" t="str">
        <f aca="false">IF(OR(L709="",Q709=""),"",(L709-Q709)*10000)</f>
        <v/>
      </c>
      <c r="S709" s="30" t="n">
        <f aca="false">IF(AND(K709="고정",N709="N",J709&gt;=2,J709&lt;=4,I709&lt;&gt;""),1,0)</f>
        <v>0</v>
      </c>
      <c r="T709" s="59" t="n">
        <f aca="false">IF(S709=1,I709*L709,0)</f>
        <v>0</v>
      </c>
      <c r="U709" s="60" t="n">
        <f aca="false">IF(AND(S709=1,ISNUMBER(R709)),I709*R709,0)</f>
        <v>0</v>
      </c>
      <c r="V709" s="30" t="n">
        <f aca="false">IF(AND(F709="Big4(국영)",K709="고정",N709="N",I709&lt;&gt;""),1,0)</f>
        <v>0</v>
      </c>
      <c r="W709" s="59" t="n">
        <f aca="false">IF(V709=1,I709*L709,0)</f>
        <v>0</v>
      </c>
      <c r="X709" s="60" t="n">
        <f aca="false">IF(AND(V709=1,ISNUMBER(R709)),I709*R709,0)</f>
        <v>0</v>
      </c>
      <c r="Y709" s="61" t="n">
        <f aca="false">IF(AND(S709=1,ISNUMBER(R709)),I709,0)</f>
        <v>0</v>
      </c>
      <c r="Z709" s="61" t="n">
        <f aca="false">IF(AND(V709=1,ISNUMBER(R709)),I709,0)</f>
        <v>0</v>
      </c>
    </row>
    <row r="710" customFormat="false" ht="15" hidden="false" customHeight="false" outlineLevel="0" collapsed="false">
      <c r="A710" s="47" t="s">
        <v>1176</v>
      </c>
      <c r="B710" s="52" t="n">
        <v>46192</v>
      </c>
      <c r="C710" s="53" t="n">
        <f aca="false">DATE(YEAR(B710),MONTH(B710),1)</f>
        <v>46174</v>
      </c>
      <c r="D710" s="5" t="str">
        <f aca="false">YEAR(B710)&amp;"Q"&amp;ROUNDUP(MONTH(B710)/3,0)</f>
        <v>2026Q2</v>
      </c>
      <c r="E710" s="47" t="s">
        <v>160</v>
      </c>
      <c r="F710" s="54" t="s">
        <v>139</v>
      </c>
      <c r="G710" s="47" t="s">
        <v>161</v>
      </c>
      <c r="H710" s="47" t="s">
        <v>1209</v>
      </c>
      <c r="I710" s="55" t="n">
        <v>200</v>
      </c>
      <c r="J710" s="56" t="n">
        <v>10</v>
      </c>
      <c r="K710" s="54" t="s">
        <v>142</v>
      </c>
      <c r="L710" s="57" t="n">
        <v>0.083</v>
      </c>
      <c r="N710" s="47" t="s">
        <v>143</v>
      </c>
      <c r="O710" s="47" t="s">
        <v>1155</v>
      </c>
      <c r="P710" s="47"/>
      <c r="Q710" s="48" t="n">
        <f aca="false">IF($J710="","",IFERROR(IF($J710&lt;=1,INDEX(VN_국채일별!$B$4:$B$1436,MATCH($B710,VN_국채일별!$A$4:$A$1436,1)),IF($J710&lt;=2,INDEX(VN_국채일별!$B$4:$B$1436,MATCH($B710,VN_국채일별!$A$4:$A$1436,1))+(INDEX(VN_국채일별!$C$4:$C$1436,MATCH($B710,VN_국채일별!$A$4:$A$1436,1))-INDEX(VN_국채일별!$B$4:$B$1436,MATCH($B710,VN_국채일별!$A$4:$A$1436,1)))*($J710-1),IF($J710&lt;=3,INDEX(VN_국채일별!$C$4:$C$1436,MATCH($B710,VN_국채일별!$A$4:$A$1436,1))+(INDEX(VN_국채일별!$D$4:$D$1436,MATCH($B710,VN_국채일별!$A$4:$A$1436,1))-INDEX(VN_국채일별!$C$4:$C$1436,MATCH($B710,VN_국채일별!$A$4:$A$1436,1)))*($J710-2),IF($J710&lt;=5,INDEX(VN_국채일별!$D$4:$D$1436,MATCH($B710,VN_국채일별!$A$4:$A$1436,1))+(INDEX(VN_국채일별!$E$4:$E$1436,MATCH($B710,VN_국채일별!$A$4:$A$1436,1))-INDEX(VN_국채일별!$D$4:$D$1436,MATCH($B710,VN_국채일별!$A$4:$A$1436,1)))*($J710-3)/2,IF($J710&lt;=7,INDEX(VN_국채일별!$E$4:$E$1436,MATCH($B710,VN_국채일별!$A$4:$A$1436,1))+(INDEX(VN_국채일별!$F$4:$F$1436,MATCH($B710,VN_국채일별!$A$4:$A$1436,1))-INDEX(VN_국채일별!$E$4:$E$1436,MATCH($B710,VN_국채일별!$A$4:$A$1436,1)))*($J710-5)/2,IF($J710&lt;=10,INDEX(VN_국채일별!$F$4:$F$1436,MATCH($B710,VN_국채일별!$A$4:$A$1436,1))+(INDEX(VN_국채일별!$G$4:$G$1436,MATCH($B710,VN_국채일별!$A$4:$A$1436,1))-INDEX(VN_국채일별!$F$4:$F$1436,MATCH($B710,VN_국채일별!$A$4:$A$1436,1)))*($J710-7)/3,INDEX(VN_국채일별!$G$4:$G$1436,MATCH($B710,VN_국채일별!$A$4:$A$1436,1)))))))),""))</f>
        <v>0.04529</v>
      </c>
      <c r="R710" s="58" t="n">
        <f aca="false">IF(OR(L710="",Q710=""),"",(L710-Q710)*10000)</f>
        <v>377.1</v>
      </c>
      <c r="S710" s="30" t="n">
        <f aca="false">IF(AND(K710="고정",N710="N",J710&gt;=2,J710&lt;=4,I710&lt;&gt;""),1,0)</f>
        <v>0</v>
      </c>
      <c r="T710" s="59" t="n">
        <f aca="false">IF(S710=1,I710*L710,0)</f>
        <v>0</v>
      </c>
      <c r="U710" s="60" t="n">
        <f aca="false">IF(AND(S710=1,ISNUMBER(R710)),I710*R710,0)</f>
        <v>0</v>
      </c>
      <c r="V710" s="30" t="n">
        <f aca="false">IF(AND(F710="Big4(국영)",K710="고정",N710="N",I710&lt;&gt;""),1,0)</f>
        <v>0</v>
      </c>
      <c r="W710" s="59" t="n">
        <f aca="false">IF(V710=1,I710*L710,0)</f>
        <v>0</v>
      </c>
      <c r="X710" s="60" t="n">
        <f aca="false">IF(AND(V710=1,ISNUMBER(R710)),I710*R710,0)</f>
        <v>0</v>
      </c>
      <c r="Y710" s="61" t="n">
        <f aca="false">IF(AND(S710=1,ISNUMBER(R710)),I710,0)</f>
        <v>0</v>
      </c>
      <c r="Z710" s="61" t="n">
        <f aca="false">IF(AND(V710=1,ISNUMBER(R710)),I710,0)</f>
        <v>0</v>
      </c>
    </row>
    <row r="711" customFormat="false" ht="15" hidden="false" customHeight="false" outlineLevel="0" collapsed="false">
      <c r="A711" s="47" t="s">
        <v>1176</v>
      </c>
      <c r="B711" s="52" t="n">
        <v>46195</v>
      </c>
      <c r="C711" s="53" t="n">
        <f aca="false">DATE(YEAR(B711),MONTH(B711),1)</f>
        <v>46174</v>
      </c>
      <c r="D711" s="5" t="str">
        <f aca="false">YEAR(B711)&amp;"Q"&amp;ROUNDUP(MONTH(B711)/3,0)</f>
        <v>2026Q2</v>
      </c>
      <c r="E711" s="47" t="s">
        <v>181</v>
      </c>
      <c r="F711" s="54" t="s">
        <v>139</v>
      </c>
      <c r="G711" s="47" t="s">
        <v>182</v>
      </c>
      <c r="H711" s="47" t="s">
        <v>1210</v>
      </c>
      <c r="I711" s="55" t="n">
        <v>2000</v>
      </c>
      <c r="J711" s="56" t="n">
        <v>2</v>
      </c>
      <c r="K711" s="54" t="s">
        <v>142</v>
      </c>
      <c r="L711" s="57" t="n">
        <v>0.08</v>
      </c>
      <c r="N711" s="47" t="s">
        <v>148</v>
      </c>
      <c r="O711" s="47" t="s">
        <v>1211</v>
      </c>
      <c r="P711" s="47"/>
      <c r="Q711" s="48" t="n">
        <f aca="false">IF($J711="","",IFERROR(IF($J711&lt;=1,INDEX(VN_국채일별!$B$4:$B$1436,MATCH($B711,VN_국채일별!$A$4:$A$1436,1)),IF($J711&lt;=2,INDEX(VN_국채일별!$B$4:$B$1436,MATCH($B711,VN_국채일별!$A$4:$A$1436,1))+(INDEX(VN_국채일별!$C$4:$C$1436,MATCH($B711,VN_국채일별!$A$4:$A$1436,1))-INDEX(VN_국채일별!$B$4:$B$1436,MATCH($B711,VN_국채일별!$A$4:$A$1436,1)))*($J711-1),IF($J711&lt;=3,INDEX(VN_국채일별!$C$4:$C$1436,MATCH($B711,VN_국채일별!$A$4:$A$1436,1))+(INDEX(VN_국채일별!$D$4:$D$1436,MATCH($B711,VN_국채일별!$A$4:$A$1436,1))-INDEX(VN_국채일별!$C$4:$C$1436,MATCH($B711,VN_국채일별!$A$4:$A$1436,1)))*($J711-2),IF($J711&lt;=5,INDEX(VN_국채일별!$D$4:$D$1436,MATCH($B711,VN_국채일별!$A$4:$A$1436,1))+(INDEX(VN_국채일별!$E$4:$E$1436,MATCH($B711,VN_국채일별!$A$4:$A$1436,1))-INDEX(VN_국채일별!$D$4:$D$1436,MATCH($B711,VN_국채일별!$A$4:$A$1436,1)))*($J711-3)/2,IF($J711&lt;=7,INDEX(VN_국채일별!$E$4:$E$1436,MATCH($B711,VN_국채일별!$A$4:$A$1436,1))+(INDEX(VN_국채일별!$F$4:$F$1436,MATCH($B711,VN_국채일별!$A$4:$A$1436,1))-INDEX(VN_국채일별!$E$4:$E$1436,MATCH($B711,VN_국채일별!$A$4:$A$1436,1)))*($J711-5)/2,IF($J711&lt;=10,INDEX(VN_국채일별!$F$4:$F$1436,MATCH($B711,VN_국채일별!$A$4:$A$1436,1))+(INDEX(VN_국채일별!$G$4:$G$1436,MATCH($B711,VN_국채일별!$A$4:$A$1436,1))-INDEX(VN_국채일별!$F$4:$F$1436,MATCH($B711,VN_국채일별!$A$4:$A$1436,1)))*($J711-7)/3,INDEX(VN_국채일별!$G$4:$G$1436,MATCH($B711,VN_국채일별!$A$4:$A$1436,1)))))))),""))</f>
        <v>0.0354</v>
      </c>
      <c r="R711" s="58" t="n">
        <f aca="false">IF(OR(L711="",Q711=""),"",(L711-Q711)*10000)</f>
        <v>446</v>
      </c>
      <c r="S711" s="30" t="n">
        <f aca="false">IF(AND(K711="고정",N711="N",J711&gt;=2,J711&lt;=4,I711&lt;&gt;""),1,0)</f>
        <v>1</v>
      </c>
      <c r="T711" s="59" t="n">
        <f aca="false">IF(S711=1,I711*L711,0)</f>
        <v>160</v>
      </c>
      <c r="U711" s="60" t="n">
        <f aca="false">IF(AND(S711=1,ISNUMBER(R711)),I711*R711,0)</f>
        <v>892000</v>
      </c>
      <c r="V711" s="30" t="n">
        <f aca="false">IF(AND(F711="Big4(국영)",K711="고정",N711="N",I711&lt;&gt;""),1,0)</f>
        <v>0</v>
      </c>
      <c r="W711" s="59" t="n">
        <f aca="false">IF(V711=1,I711*L711,0)</f>
        <v>0</v>
      </c>
      <c r="X711" s="60" t="n">
        <f aca="false">IF(AND(V711=1,ISNUMBER(R711)),I711*R711,0)</f>
        <v>0</v>
      </c>
      <c r="Y711" s="61" t="n">
        <f aca="false">IF(AND(S711=1,ISNUMBER(R711)),I711,0)</f>
        <v>2000</v>
      </c>
      <c r="Z711" s="61" t="n">
        <f aca="false">IF(AND(V711=1,ISNUMBER(R711)),I711,0)</f>
        <v>0</v>
      </c>
    </row>
    <row r="712" customFormat="false" ht="15" hidden="false" customHeight="false" outlineLevel="0" collapsed="false">
      <c r="A712" s="47" t="s">
        <v>1176</v>
      </c>
      <c r="B712" s="52" t="n">
        <v>46198</v>
      </c>
      <c r="C712" s="53" t="n">
        <f aca="false">DATE(YEAR(B712),MONTH(B712),1)</f>
        <v>46174</v>
      </c>
      <c r="D712" s="5" t="str">
        <f aca="false">YEAR(B712)&amp;"Q"&amp;ROUNDUP(MONTH(B712)/3,0)</f>
        <v>2026Q2</v>
      </c>
      <c r="E712" s="47" t="s">
        <v>196</v>
      </c>
      <c r="F712" s="54" t="s">
        <v>139</v>
      </c>
      <c r="G712" s="47" t="s">
        <v>673</v>
      </c>
      <c r="H712" s="47" t="s">
        <v>1212</v>
      </c>
      <c r="I712" s="55" t="n">
        <v>1500</v>
      </c>
      <c r="J712" s="56" t="n">
        <v>3</v>
      </c>
      <c r="K712" s="54" t="s">
        <v>142</v>
      </c>
      <c r="L712" s="57" t="n">
        <v>0.087</v>
      </c>
      <c r="N712" s="47" t="s">
        <v>148</v>
      </c>
      <c r="O712" s="47" t="s">
        <v>1213</v>
      </c>
      <c r="P712" s="47"/>
      <c r="Q712" s="48" t="n">
        <f aca="false">IF($J712="","",IFERROR(IF($J712&lt;=1,INDEX(VN_국채일별!$B$4:$B$1436,MATCH($B712,VN_국채일별!$A$4:$A$1436,1)),IF($J712&lt;=2,INDEX(VN_국채일별!$B$4:$B$1436,MATCH($B712,VN_국채일별!$A$4:$A$1436,1))+(INDEX(VN_국채일별!$C$4:$C$1436,MATCH($B712,VN_국채일별!$A$4:$A$1436,1))-INDEX(VN_국채일별!$B$4:$B$1436,MATCH($B712,VN_국채일별!$A$4:$A$1436,1)))*($J712-1),IF($J712&lt;=3,INDEX(VN_국채일별!$C$4:$C$1436,MATCH($B712,VN_국채일별!$A$4:$A$1436,1))+(INDEX(VN_국채일별!$D$4:$D$1436,MATCH($B712,VN_국채일별!$A$4:$A$1436,1))-INDEX(VN_국채일별!$C$4:$C$1436,MATCH($B712,VN_국채일별!$A$4:$A$1436,1)))*($J712-2),IF($J712&lt;=5,INDEX(VN_국채일별!$D$4:$D$1436,MATCH($B712,VN_국채일별!$A$4:$A$1436,1))+(INDEX(VN_국채일별!$E$4:$E$1436,MATCH($B712,VN_국채일별!$A$4:$A$1436,1))-INDEX(VN_국채일별!$D$4:$D$1436,MATCH($B712,VN_국채일별!$A$4:$A$1436,1)))*($J712-3)/2,IF($J712&lt;=7,INDEX(VN_국채일별!$E$4:$E$1436,MATCH($B712,VN_국채일별!$A$4:$A$1436,1))+(INDEX(VN_국채일별!$F$4:$F$1436,MATCH($B712,VN_국채일별!$A$4:$A$1436,1))-INDEX(VN_국채일별!$E$4:$E$1436,MATCH($B712,VN_국채일별!$A$4:$A$1436,1)))*($J712-5)/2,IF($J712&lt;=10,INDEX(VN_국채일별!$F$4:$F$1436,MATCH($B712,VN_국채일별!$A$4:$A$1436,1))+(INDEX(VN_국채일별!$G$4:$G$1436,MATCH($B712,VN_국채일별!$A$4:$A$1436,1))-INDEX(VN_국채일별!$F$4:$F$1436,MATCH($B712,VN_국채일별!$A$4:$A$1436,1)))*($J712-7)/3,INDEX(VN_국채일별!$G$4:$G$1436,MATCH($B712,VN_국채일별!$A$4:$A$1436,1)))))))),""))</f>
        <v>0.03721</v>
      </c>
      <c r="R712" s="58" t="n">
        <f aca="false">IF(OR(L712="",Q712=""),"",(L712-Q712)*10000)</f>
        <v>497.9</v>
      </c>
      <c r="S712" s="30" t="n">
        <f aca="false">IF(AND(K712="고정",N712="N",J712&gt;=2,J712&lt;=4,I712&lt;&gt;""),1,0)</f>
        <v>1</v>
      </c>
      <c r="T712" s="59" t="n">
        <f aca="false">IF(S712=1,I712*L712,0)</f>
        <v>130.5</v>
      </c>
      <c r="U712" s="60" t="n">
        <f aca="false">IF(AND(S712=1,ISNUMBER(R712)),I712*R712,0)</f>
        <v>746850</v>
      </c>
      <c r="V712" s="30" t="n">
        <f aca="false">IF(AND(F712="Big4(국영)",K712="고정",N712="N",I712&lt;&gt;""),1,0)</f>
        <v>0</v>
      </c>
      <c r="W712" s="59" t="n">
        <f aca="false">IF(V712=1,I712*L712,0)</f>
        <v>0</v>
      </c>
      <c r="X712" s="60" t="n">
        <f aca="false">IF(AND(V712=1,ISNUMBER(R712)),I712*R712,0)</f>
        <v>0</v>
      </c>
      <c r="Y712" s="61" t="n">
        <f aca="false">IF(AND(S712=1,ISNUMBER(R712)),I712,0)</f>
        <v>1500</v>
      </c>
      <c r="Z712" s="61" t="n">
        <f aca="false">IF(AND(V712=1,ISNUMBER(R712)),I712,0)</f>
        <v>0</v>
      </c>
    </row>
  </sheetData>
  <autoFilter ref="A3:Z7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10" min="10" style="0" width="13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2" t="s">
        <v>1214</v>
      </c>
    </row>
    <row r="2" customFormat="false" ht="15" hidden="false" customHeight="false" outlineLevel="0" collapsed="false">
      <c r="A2" s="4" t="s">
        <v>1215</v>
      </c>
    </row>
    <row r="3" customFormat="false" ht="39.55" hidden="false" customHeight="false" outlineLevel="0" collapsed="false">
      <c r="A3" s="6" t="s">
        <v>1216</v>
      </c>
      <c r="B3" s="6" t="s">
        <v>1217</v>
      </c>
      <c r="D3" s="6" t="s">
        <v>1218</v>
      </c>
      <c r="E3" s="6" t="s">
        <v>1217</v>
      </c>
      <c r="G3" s="6" t="s">
        <v>1219</v>
      </c>
      <c r="H3" s="6" t="s">
        <v>1217</v>
      </c>
      <c r="J3" s="6" t="s">
        <v>1220</v>
      </c>
      <c r="K3" s="6" t="s">
        <v>1217</v>
      </c>
    </row>
    <row r="4" customFormat="false" ht="15" hidden="false" customHeight="false" outlineLevel="0" collapsed="false">
      <c r="A4" s="52" t="n">
        <v>44196</v>
      </c>
      <c r="B4" s="57" t="n">
        <v>-0.001</v>
      </c>
      <c r="D4" s="52" t="n">
        <v>44196</v>
      </c>
      <c r="E4" s="57" t="n">
        <v>0.0385</v>
      </c>
      <c r="G4" s="52" t="n">
        <v>44105</v>
      </c>
      <c r="H4" s="57" t="n">
        <v>0.04</v>
      </c>
      <c r="J4" s="52" t="n">
        <v>44032</v>
      </c>
      <c r="K4" s="57" t="n">
        <v>0.09</v>
      </c>
    </row>
    <row r="5" customFormat="false" ht="15" hidden="false" customHeight="false" outlineLevel="0" collapsed="false">
      <c r="A5" s="52" t="n">
        <v>44227</v>
      </c>
      <c r="B5" s="57" t="n">
        <v>-0.001</v>
      </c>
      <c r="D5" s="52" t="n">
        <v>44227</v>
      </c>
      <c r="E5" s="57" t="n">
        <v>0.0385</v>
      </c>
      <c r="G5" s="52" t="n">
        <v>44827</v>
      </c>
      <c r="H5" s="57" t="n">
        <v>0.05</v>
      </c>
      <c r="J5" s="52" t="n">
        <v>44222</v>
      </c>
      <c r="K5" s="57" t="n">
        <v>0.09</v>
      </c>
    </row>
    <row r="6" customFormat="false" ht="15" hidden="false" customHeight="false" outlineLevel="0" collapsed="false">
      <c r="A6" s="52" t="n">
        <v>44255</v>
      </c>
      <c r="B6" s="57" t="n">
        <v>-0.001</v>
      </c>
      <c r="D6" s="52" t="n">
        <v>44255</v>
      </c>
      <c r="E6" s="57" t="n">
        <v>0.0385</v>
      </c>
      <c r="G6" s="52" t="n">
        <v>44859</v>
      </c>
      <c r="H6" s="57" t="n">
        <v>0.06</v>
      </c>
      <c r="J6" s="52" t="n">
        <v>44265</v>
      </c>
      <c r="K6" s="57" t="n">
        <v>0.09</v>
      </c>
    </row>
    <row r="7" customFormat="false" ht="15" hidden="false" customHeight="false" outlineLevel="0" collapsed="false">
      <c r="A7" s="52" t="n">
        <v>44286</v>
      </c>
      <c r="B7" s="57" t="n">
        <v>-0.001</v>
      </c>
      <c r="D7" s="52" t="n">
        <v>44286</v>
      </c>
      <c r="E7" s="57" t="n">
        <v>0.0385</v>
      </c>
      <c r="G7" s="52" t="n">
        <v>45019</v>
      </c>
      <c r="H7" s="57" t="n">
        <v>0.055</v>
      </c>
      <c r="J7" s="52" t="n">
        <v>44313</v>
      </c>
      <c r="K7" s="57" t="n">
        <v>0.09</v>
      </c>
    </row>
    <row r="8" customFormat="false" ht="15" hidden="false" customHeight="false" outlineLevel="0" collapsed="false">
      <c r="A8" s="52" t="n">
        <v>44316</v>
      </c>
      <c r="B8" s="57" t="n">
        <v>-0.001</v>
      </c>
      <c r="D8" s="52" t="n">
        <v>44316</v>
      </c>
      <c r="E8" s="57" t="n">
        <v>0.0385</v>
      </c>
      <c r="G8" s="52" t="n">
        <v>45071</v>
      </c>
      <c r="H8" s="57" t="n">
        <v>0.05</v>
      </c>
      <c r="J8" s="52" t="n">
        <v>44355</v>
      </c>
      <c r="K8" s="57" t="n">
        <v>0.09</v>
      </c>
    </row>
    <row r="9" customFormat="false" ht="15" hidden="false" customHeight="false" outlineLevel="0" collapsed="false">
      <c r="A9" s="52" t="n">
        <v>44347</v>
      </c>
      <c r="B9" s="57" t="n">
        <v>-0.001</v>
      </c>
      <c r="D9" s="52" t="n">
        <v>44347</v>
      </c>
      <c r="E9" s="57" t="n">
        <v>0.0385</v>
      </c>
      <c r="G9" s="52" t="n">
        <v>45096</v>
      </c>
      <c r="H9" s="57" t="n">
        <v>0.045</v>
      </c>
      <c r="J9" s="52" t="n">
        <v>44404</v>
      </c>
      <c r="K9" s="57" t="n">
        <v>0.0925</v>
      </c>
    </row>
    <row r="10" customFormat="false" ht="15" hidden="false" customHeight="false" outlineLevel="0" collapsed="false">
      <c r="A10" s="52" t="n">
        <v>44377</v>
      </c>
      <c r="B10" s="57" t="n">
        <v>-0.001</v>
      </c>
      <c r="D10" s="52" t="n">
        <v>44377</v>
      </c>
      <c r="E10" s="57" t="n">
        <v>0.0385</v>
      </c>
      <c r="J10" s="52" t="n">
        <v>44453</v>
      </c>
      <c r="K10" s="57" t="n">
        <v>0.095</v>
      </c>
    </row>
    <row r="11" customFormat="false" ht="15" hidden="false" customHeight="false" outlineLevel="0" collapsed="false">
      <c r="A11" s="52" t="n">
        <v>44408</v>
      </c>
      <c r="B11" s="57" t="n">
        <v>-0.001</v>
      </c>
      <c r="D11" s="52" t="n">
        <v>44408</v>
      </c>
      <c r="E11" s="57" t="n">
        <v>0.0385</v>
      </c>
      <c r="J11" s="52" t="n">
        <v>44495</v>
      </c>
      <c r="K11" s="57" t="n">
        <v>0.0975</v>
      </c>
    </row>
    <row r="12" customFormat="false" ht="15" hidden="false" customHeight="false" outlineLevel="0" collapsed="false">
      <c r="A12" s="52" t="n">
        <v>44439</v>
      </c>
      <c r="B12" s="57" t="n">
        <v>-0.001</v>
      </c>
      <c r="D12" s="52" t="n">
        <v>44439</v>
      </c>
      <c r="E12" s="57" t="n">
        <v>0.0385</v>
      </c>
      <c r="J12" s="52" t="n">
        <v>44537</v>
      </c>
      <c r="K12" s="57" t="n">
        <v>0.0975</v>
      </c>
    </row>
    <row r="13" customFormat="false" ht="15" hidden="false" customHeight="false" outlineLevel="0" collapsed="false">
      <c r="A13" s="52" t="n">
        <v>44469</v>
      </c>
      <c r="B13" s="57" t="n">
        <v>-0.001</v>
      </c>
      <c r="D13" s="52" t="n">
        <v>44469</v>
      </c>
      <c r="E13" s="57" t="n">
        <v>0.0385</v>
      </c>
      <c r="J13" s="52" t="n">
        <v>44586</v>
      </c>
      <c r="K13" s="57" t="n">
        <v>0.1025</v>
      </c>
    </row>
    <row r="14" customFormat="false" ht="15" hidden="false" customHeight="false" outlineLevel="0" collapsed="false">
      <c r="A14" s="52" t="n">
        <v>44500</v>
      </c>
      <c r="B14" s="57" t="n">
        <v>-0.001</v>
      </c>
      <c r="D14" s="52" t="n">
        <v>44500</v>
      </c>
      <c r="E14" s="57" t="n">
        <v>0.0385</v>
      </c>
      <c r="J14" s="52" t="n">
        <v>44616</v>
      </c>
      <c r="K14" s="57" t="n">
        <v>0.135</v>
      </c>
    </row>
    <row r="15" customFormat="false" ht="15" hidden="false" customHeight="false" outlineLevel="0" collapsed="false">
      <c r="A15" s="52" t="n">
        <v>44530</v>
      </c>
      <c r="B15" s="57" t="n">
        <v>-0.001</v>
      </c>
      <c r="D15" s="52" t="n">
        <v>44530</v>
      </c>
      <c r="E15" s="57" t="n">
        <v>0.0385</v>
      </c>
      <c r="J15" s="52" t="n">
        <v>44630</v>
      </c>
      <c r="K15" s="57" t="n">
        <v>0.135</v>
      </c>
    </row>
    <row r="16" customFormat="false" ht="15" hidden="false" customHeight="false" outlineLevel="0" collapsed="false">
      <c r="A16" s="52" t="n">
        <v>44561</v>
      </c>
      <c r="B16" s="57" t="n">
        <v>-0.001</v>
      </c>
      <c r="D16" s="52" t="n">
        <v>44561</v>
      </c>
      <c r="E16" s="57" t="n">
        <v>0.038</v>
      </c>
      <c r="J16" s="52" t="n">
        <v>44677</v>
      </c>
      <c r="K16" s="57" t="n">
        <v>0.14</v>
      </c>
    </row>
    <row r="17" customFormat="false" ht="15" hidden="false" customHeight="false" outlineLevel="0" collapsed="false">
      <c r="A17" s="52" t="n">
        <v>44592</v>
      </c>
      <c r="B17" s="57" t="n">
        <v>-0.001</v>
      </c>
      <c r="D17" s="52" t="n">
        <v>44592</v>
      </c>
      <c r="E17" s="57" t="n">
        <v>0.037</v>
      </c>
      <c r="J17" s="52" t="n">
        <v>44719</v>
      </c>
      <c r="K17" s="57" t="n">
        <v>0.14</v>
      </c>
    </row>
    <row r="18" customFormat="false" ht="15" hidden="false" customHeight="false" outlineLevel="0" collapsed="false">
      <c r="A18" s="52" t="n">
        <v>44620</v>
      </c>
      <c r="B18" s="57" t="n">
        <v>-0.001</v>
      </c>
      <c r="D18" s="52" t="n">
        <v>44620</v>
      </c>
      <c r="E18" s="57" t="n">
        <v>0.037</v>
      </c>
      <c r="J18" s="52" t="n">
        <v>44768</v>
      </c>
      <c r="K18" s="57" t="n">
        <v>0.145</v>
      </c>
    </row>
    <row r="19" customFormat="false" ht="15" hidden="false" customHeight="false" outlineLevel="0" collapsed="false">
      <c r="A19" s="52" t="n">
        <v>44651</v>
      </c>
      <c r="B19" s="57" t="n">
        <v>-0.001</v>
      </c>
      <c r="D19" s="52" t="n">
        <v>44651</v>
      </c>
      <c r="E19" s="57" t="n">
        <v>0.037</v>
      </c>
      <c r="J19" s="52" t="n">
        <v>44810</v>
      </c>
      <c r="K19" s="57" t="n">
        <v>0.145</v>
      </c>
    </row>
    <row r="20" customFormat="false" ht="15" hidden="false" customHeight="false" outlineLevel="0" collapsed="false">
      <c r="A20" s="52" t="n">
        <v>44681</v>
      </c>
      <c r="B20" s="57" t="n">
        <v>-0.001</v>
      </c>
      <c r="D20" s="52" t="n">
        <v>44681</v>
      </c>
      <c r="E20" s="57" t="n">
        <v>0.037</v>
      </c>
      <c r="J20" s="52" t="n">
        <v>44861</v>
      </c>
      <c r="K20" s="57" t="n">
        <v>0.16</v>
      </c>
    </row>
    <row r="21" customFormat="false" ht="15" hidden="false" customHeight="false" outlineLevel="0" collapsed="false">
      <c r="A21" s="52" t="n">
        <v>44712</v>
      </c>
      <c r="B21" s="57" t="n">
        <v>-0.001</v>
      </c>
      <c r="D21" s="52" t="n">
        <v>44712</v>
      </c>
      <c r="E21" s="57" t="n">
        <v>0.037</v>
      </c>
      <c r="J21" s="52" t="n">
        <v>44901</v>
      </c>
      <c r="K21" s="57" t="n">
        <v>0.1675</v>
      </c>
    </row>
    <row r="22" customFormat="false" ht="15" hidden="false" customHeight="false" outlineLevel="0" collapsed="false">
      <c r="A22" s="52" t="n">
        <v>44742</v>
      </c>
      <c r="B22" s="57" t="n">
        <v>-0.001</v>
      </c>
      <c r="D22" s="52" t="n">
        <v>44742</v>
      </c>
      <c r="E22" s="57" t="n">
        <v>0.037</v>
      </c>
      <c r="J22" s="52" t="n">
        <v>44942</v>
      </c>
      <c r="K22" s="57" t="n">
        <v>0.1675</v>
      </c>
    </row>
    <row r="23" customFormat="false" ht="15" hidden="false" customHeight="false" outlineLevel="0" collapsed="false">
      <c r="A23" s="52" t="n">
        <v>44773</v>
      </c>
      <c r="B23" s="57" t="n">
        <v>-0.001</v>
      </c>
      <c r="D23" s="52" t="n">
        <v>44773</v>
      </c>
      <c r="E23" s="57" t="n">
        <v>0.037</v>
      </c>
      <c r="J23" s="52" t="n">
        <v>44984</v>
      </c>
      <c r="K23" s="57" t="n">
        <v>0.1675</v>
      </c>
    </row>
    <row r="24" customFormat="false" ht="15" hidden="false" customHeight="false" outlineLevel="0" collapsed="false">
      <c r="A24" s="52" t="n">
        <v>44804</v>
      </c>
      <c r="B24" s="57" t="n">
        <v>-0.001</v>
      </c>
      <c r="D24" s="52" t="n">
        <v>44804</v>
      </c>
      <c r="E24" s="57" t="n">
        <v>0.0365</v>
      </c>
      <c r="J24" s="52" t="n">
        <v>45026</v>
      </c>
      <c r="K24" s="57" t="n">
        <v>0.1675</v>
      </c>
    </row>
    <row r="25" customFormat="false" ht="15" hidden="false" customHeight="false" outlineLevel="0" collapsed="false">
      <c r="A25" s="52" t="n">
        <v>44834</v>
      </c>
      <c r="B25" s="57" t="n">
        <v>-0.001</v>
      </c>
      <c r="D25" s="52" t="n">
        <v>44834</v>
      </c>
      <c r="E25" s="57" t="n">
        <v>0.0365</v>
      </c>
      <c r="J25" s="52" t="n">
        <v>45075</v>
      </c>
      <c r="K25" s="57" t="n">
        <v>0.1675</v>
      </c>
    </row>
    <row r="26" customFormat="false" ht="15" hidden="false" customHeight="false" outlineLevel="0" collapsed="false">
      <c r="A26" s="52" t="n">
        <v>44865</v>
      </c>
      <c r="B26" s="57" t="n">
        <v>-0.001</v>
      </c>
      <c r="D26" s="52" t="n">
        <v>44865</v>
      </c>
      <c r="E26" s="57" t="n">
        <v>0.0365</v>
      </c>
      <c r="J26" s="52" t="n">
        <v>45117</v>
      </c>
      <c r="K26" s="57" t="n">
        <v>0.1675</v>
      </c>
    </row>
    <row r="27" customFormat="false" ht="15" hidden="false" customHeight="false" outlineLevel="0" collapsed="false">
      <c r="A27" s="52" t="n">
        <v>44895</v>
      </c>
      <c r="B27" s="57" t="n">
        <v>-0.001</v>
      </c>
      <c r="D27" s="52" t="n">
        <v>44895</v>
      </c>
      <c r="E27" s="57" t="n">
        <v>0.0365</v>
      </c>
      <c r="J27" s="52" t="n">
        <v>45166</v>
      </c>
      <c r="K27" s="57" t="n">
        <v>0.165</v>
      </c>
    </row>
    <row r="28" customFormat="false" ht="15" hidden="false" customHeight="false" outlineLevel="0" collapsed="false">
      <c r="A28" s="52" t="n">
        <v>44926</v>
      </c>
      <c r="B28" s="57" t="n">
        <v>-0.001</v>
      </c>
      <c r="D28" s="52" t="n">
        <v>44926</v>
      </c>
      <c r="E28" s="57" t="n">
        <v>0.0365</v>
      </c>
      <c r="J28" s="52" t="n">
        <v>45208</v>
      </c>
      <c r="K28" s="57" t="n">
        <v>0.16</v>
      </c>
    </row>
    <row r="29" customFormat="false" ht="15" hidden="false" customHeight="false" outlineLevel="0" collapsed="false">
      <c r="A29" s="52" t="n">
        <v>44957</v>
      </c>
      <c r="B29" s="57" t="n">
        <v>-0.001</v>
      </c>
      <c r="D29" s="52" t="n">
        <v>44957</v>
      </c>
      <c r="E29" s="57" t="n">
        <v>0.0365</v>
      </c>
      <c r="J29" s="52" t="n">
        <v>45257</v>
      </c>
      <c r="K29" s="57" t="n">
        <v>0.1575</v>
      </c>
    </row>
    <row r="30" customFormat="false" ht="15" hidden="false" customHeight="false" outlineLevel="0" collapsed="false">
      <c r="A30" s="52" t="n">
        <v>44985</v>
      </c>
      <c r="B30" s="57" t="n">
        <v>-0.001</v>
      </c>
      <c r="D30" s="52" t="n">
        <v>44985</v>
      </c>
      <c r="E30" s="57" t="n">
        <v>0.0365</v>
      </c>
      <c r="J30" s="52" t="n">
        <v>45313</v>
      </c>
      <c r="K30" s="57" t="n">
        <v>0.1525</v>
      </c>
    </row>
    <row r="31" customFormat="false" ht="15" hidden="false" customHeight="false" outlineLevel="0" collapsed="false">
      <c r="A31" s="52" t="n">
        <v>45016</v>
      </c>
      <c r="B31" s="57" t="n">
        <v>-0.001</v>
      </c>
      <c r="D31" s="52" t="n">
        <v>45016</v>
      </c>
      <c r="E31" s="57" t="n">
        <v>0.0365</v>
      </c>
      <c r="J31" s="52" t="n">
        <v>45348</v>
      </c>
      <c r="K31" s="57" t="n">
        <v>0.1475</v>
      </c>
    </row>
    <row r="32" customFormat="false" ht="15" hidden="false" customHeight="false" outlineLevel="0" collapsed="false">
      <c r="A32" s="52" t="n">
        <v>45046</v>
      </c>
      <c r="B32" s="57" t="n">
        <v>-0.001</v>
      </c>
      <c r="D32" s="52" t="n">
        <v>45046</v>
      </c>
      <c r="E32" s="57" t="n">
        <v>0.0365</v>
      </c>
      <c r="J32" s="52" t="n">
        <v>45397</v>
      </c>
      <c r="K32" s="57" t="n">
        <v>0.1475</v>
      </c>
    </row>
    <row r="33" customFormat="false" ht="15" hidden="false" customHeight="false" outlineLevel="0" collapsed="false">
      <c r="A33" s="52" t="n">
        <v>45077</v>
      </c>
      <c r="B33" s="57" t="n">
        <v>-0.001</v>
      </c>
      <c r="D33" s="52" t="n">
        <v>45077</v>
      </c>
      <c r="E33" s="57" t="n">
        <v>0.0365</v>
      </c>
      <c r="J33" s="52" t="n">
        <v>45446</v>
      </c>
      <c r="K33" s="57" t="n">
        <v>0.145</v>
      </c>
    </row>
    <row r="34" customFormat="false" ht="15" hidden="false" customHeight="false" outlineLevel="0" collapsed="false">
      <c r="A34" s="52" t="n">
        <v>45107</v>
      </c>
      <c r="B34" s="57" t="n">
        <v>-0.001</v>
      </c>
      <c r="D34" s="52" t="n">
        <v>45107</v>
      </c>
      <c r="E34" s="57" t="n">
        <v>0.0355</v>
      </c>
      <c r="J34" s="52" t="n">
        <v>45488</v>
      </c>
      <c r="K34" s="57" t="n">
        <v>0.1425</v>
      </c>
    </row>
    <row r="35" customFormat="false" ht="15" hidden="false" customHeight="false" outlineLevel="0" collapsed="false">
      <c r="A35" s="52" t="n">
        <v>45138</v>
      </c>
      <c r="B35" s="57" t="n">
        <v>-0.001</v>
      </c>
      <c r="D35" s="52" t="n">
        <v>45138</v>
      </c>
      <c r="E35" s="57" t="n">
        <v>0.0355</v>
      </c>
      <c r="J35" s="52" t="n">
        <v>45537</v>
      </c>
      <c r="K35" s="57" t="n">
        <v>0.1425</v>
      </c>
    </row>
    <row r="36" customFormat="false" ht="15" hidden="false" customHeight="false" outlineLevel="0" collapsed="false">
      <c r="A36" s="52" t="n">
        <v>45169</v>
      </c>
      <c r="B36" s="57" t="n">
        <v>-0.001</v>
      </c>
      <c r="D36" s="52" t="n">
        <v>45169</v>
      </c>
      <c r="E36" s="57" t="n">
        <v>0.0345</v>
      </c>
      <c r="J36" s="52" t="n">
        <v>45579</v>
      </c>
      <c r="K36" s="57" t="n">
        <v>0.1425</v>
      </c>
    </row>
    <row r="37" customFormat="false" ht="15" hidden="false" customHeight="false" outlineLevel="0" collapsed="false">
      <c r="A37" s="52" t="n">
        <v>45199</v>
      </c>
      <c r="B37" s="57" t="n">
        <v>-0.001</v>
      </c>
      <c r="D37" s="52" t="n">
        <v>45199</v>
      </c>
      <c r="E37" s="57" t="n">
        <v>0.0345</v>
      </c>
      <c r="J37" s="52" t="n">
        <v>45628</v>
      </c>
      <c r="K37" s="57" t="n">
        <v>0.1525</v>
      </c>
    </row>
    <row r="38" customFormat="false" ht="15" hidden="false" customHeight="false" outlineLevel="0" collapsed="false">
      <c r="A38" s="52" t="n">
        <v>45230</v>
      </c>
      <c r="B38" s="57" t="n">
        <v>-0.001</v>
      </c>
      <c r="D38" s="52" t="n">
        <v>45230</v>
      </c>
      <c r="E38" s="57" t="n">
        <v>0.0345</v>
      </c>
      <c r="J38" s="52" t="n">
        <v>45677</v>
      </c>
      <c r="K38" s="57" t="n">
        <v>0.1525</v>
      </c>
    </row>
    <row r="39" customFormat="false" ht="15" hidden="false" customHeight="false" outlineLevel="0" collapsed="false">
      <c r="A39" s="52" t="n">
        <v>45260</v>
      </c>
      <c r="B39" s="57" t="n">
        <v>-0.001</v>
      </c>
      <c r="D39" s="52" t="n">
        <v>45260</v>
      </c>
      <c r="E39" s="57" t="n">
        <v>0.0345</v>
      </c>
      <c r="J39" s="52" t="n">
        <v>45727</v>
      </c>
      <c r="K39" s="57" t="n">
        <v>0.165</v>
      </c>
    </row>
    <row r="40" customFormat="false" ht="15" hidden="false" customHeight="false" outlineLevel="0" collapsed="false">
      <c r="A40" s="52" t="n">
        <v>45291</v>
      </c>
      <c r="B40" s="57" t="n">
        <v>-0.001</v>
      </c>
      <c r="D40" s="52" t="n">
        <v>45291</v>
      </c>
      <c r="E40" s="57" t="n">
        <v>0.0345</v>
      </c>
      <c r="J40" s="52" t="n">
        <v>45761</v>
      </c>
      <c r="K40" s="57" t="n">
        <v>0.165</v>
      </c>
    </row>
    <row r="41" customFormat="false" ht="15" hidden="false" customHeight="false" outlineLevel="0" collapsed="false">
      <c r="A41" s="52" t="n">
        <v>45322</v>
      </c>
      <c r="B41" s="57" t="n">
        <v>-0.001</v>
      </c>
      <c r="D41" s="52" t="n">
        <v>45322</v>
      </c>
      <c r="E41" s="57" t="n">
        <v>0.0345</v>
      </c>
      <c r="J41" s="52" t="n">
        <v>45817</v>
      </c>
      <c r="K41" s="57" t="n">
        <v>0.165</v>
      </c>
    </row>
    <row r="42" customFormat="false" ht="15" hidden="false" customHeight="false" outlineLevel="0" collapsed="false">
      <c r="A42" s="52" t="n">
        <v>45351</v>
      </c>
      <c r="B42" s="57" t="n">
        <v>-0.001</v>
      </c>
      <c r="D42" s="52" t="n">
        <v>45351</v>
      </c>
      <c r="E42" s="57" t="n">
        <v>0.0345</v>
      </c>
      <c r="J42" s="52" t="n">
        <v>45852</v>
      </c>
      <c r="K42" s="57" t="n">
        <v>0.165</v>
      </c>
    </row>
    <row r="43" customFormat="false" ht="15" hidden="false" customHeight="false" outlineLevel="0" collapsed="false">
      <c r="A43" s="52" t="n">
        <v>45382</v>
      </c>
      <c r="B43" s="57" t="n">
        <v>0.0005</v>
      </c>
      <c r="D43" s="52" t="n">
        <v>45382</v>
      </c>
      <c r="E43" s="57" t="n">
        <v>0.0345</v>
      </c>
      <c r="J43" s="52" t="n">
        <v>45902</v>
      </c>
      <c r="K43" s="57" t="n">
        <v>0.165</v>
      </c>
    </row>
    <row r="44" customFormat="false" ht="15" hidden="false" customHeight="false" outlineLevel="0" collapsed="false">
      <c r="A44" s="52" t="n">
        <v>45412</v>
      </c>
      <c r="B44" s="57" t="n">
        <v>0.0005</v>
      </c>
      <c r="D44" s="52" t="n">
        <v>45412</v>
      </c>
      <c r="E44" s="57" t="n">
        <v>0.0345</v>
      </c>
      <c r="J44" s="52" t="n">
        <v>45943</v>
      </c>
      <c r="K44" s="57" t="n">
        <v>0.18</v>
      </c>
    </row>
    <row r="45" customFormat="false" ht="15" hidden="false" customHeight="false" outlineLevel="0" collapsed="false">
      <c r="A45" s="52" t="n">
        <v>45443</v>
      </c>
      <c r="B45" s="57" t="n">
        <v>0.0005</v>
      </c>
      <c r="D45" s="52" t="n">
        <v>45443</v>
      </c>
      <c r="E45" s="57" t="n">
        <v>0.0345</v>
      </c>
      <c r="J45" s="52" t="n">
        <v>45992</v>
      </c>
      <c r="K45" s="57" t="n">
        <v>0.18</v>
      </c>
    </row>
    <row r="46" customFormat="false" ht="15" hidden="false" customHeight="false" outlineLevel="0" collapsed="false">
      <c r="A46" s="52" t="n">
        <v>45473</v>
      </c>
      <c r="B46" s="57" t="n">
        <v>0.0005</v>
      </c>
      <c r="D46" s="52" t="n">
        <v>45473</v>
      </c>
      <c r="E46" s="57" t="n">
        <v>0.0345</v>
      </c>
      <c r="J46" s="52" t="n">
        <v>46048</v>
      </c>
      <c r="K46" s="57" t="n">
        <v>0.18</v>
      </c>
    </row>
    <row r="47" customFormat="false" ht="15" hidden="false" customHeight="false" outlineLevel="0" collapsed="false">
      <c r="A47" s="52" t="n">
        <v>45504</v>
      </c>
      <c r="B47" s="57" t="n">
        <v>0.0005</v>
      </c>
      <c r="D47" s="52" t="n">
        <v>45504</v>
      </c>
      <c r="E47" s="57" t="n">
        <v>0.0335</v>
      </c>
      <c r="J47" s="52" t="n">
        <v>46091</v>
      </c>
      <c r="K47" s="57" t="n">
        <v>0.18</v>
      </c>
    </row>
    <row r="48" customFormat="false" ht="15" hidden="false" customHeight="false" outlineLevel="0" collapsed="false">
      <c r="A48" s="52" t="n">
        <v>45535</v>
      </c>
      <c r="B48" s="57" t="n">
        <v>0.0025</v>
      </c>
      <c r="D48" s="52" t="n">
        <v>45535</v>
      </c>
      <c r="E48" s="57" t="n">
        <v>0.0335</v>
      </c>
      <c r="J48" s="52" t="n">
        <v>46139</v>
      </c>
      <c r="K48" s="57" t="n">
        <v>0.18</v>
      </c>
    </row>
    <row r="49" customFormat="false" ht="15" hidden="false" customHeight="false" outlineLevel="0" collapsed="false">
      <c r="A49" s="52" t="n">
        <v>45565</v>
      </c>
      <c r="B49" s="57" t="n">
        <v>0.0025</v>
      </c>
      <c r="D49" s="52" t="n">
        <v>45565</v>
      </c>
      <c r="E49" s="57" t="n">
        <v>0.0335</v>
      </c>
      <c r="J49" s="52" t="n">
        <v>46181</v>
      </c>
      <c r="K49" s="57" t="n">
        <v>0.17</v>
      </c>
    </row>
    <row r="50" customFormat="false" ht="15" hidden="false" customHeight="false" outlineLevel="0" collapsed="false">
      <c r="A50" s="52" t="n">
        <v>45596</v>
      </c>
      <c r="B50" s="57" t="n">
        <v>0.0025</v>
      </c>
      <c r="D50" s="52" t="n">
        <v>45596</v>
      </c>
      <c r="E50" s="57" t="n">
        <v>0.031</v>
      </c>
    </row>
    <row r="51" customFormat="false" ht="15" hidden="false" customHeight="false" outlineLevel="0" collapsed="false">
      <c r="A51" s="52" t="n">
        <v>45626</v>
      </c>
      <c r="B51" s="57" t="n">
        <v>0.0025</v>
      </c>
      <c r="D51" s="52" t="n">
        <v>45626</v>
      </c>
      <c r="E51" s="57" t="n">
        <v>0.031</v>
      </c>
    </row>
    <row r="52" customFormat="false" ht="15" hidden="false" customHeight="false" outlineLevel="0" collapsed="false">
      <c r="A52" s="52" t="n">
        <v>45657</v>
      </c>
      <c r="B52" s="57" t="n">
        <v>0.0025</v>
      </c>
      <c r="D52" s="52" t="n">
        <v>45657</v>
      </c>
      <c r="E52" s="57" t="n">
        <v>0.031</v>
      </c>
    </row>
    <row r="53" customFormat="false" ht="15" hidden="false" customHeight="false" outlineLevel="0" collapsed="false">
      <c r="A53" s="52" t="n">
        <v>45688</v>
      </c>
      <c r="B53" s="57" t="n">
        <v>0.005</v>
      </c>
      <c r="D53" s="52" t="n">
        <v>45688</v>
      </c>
      <c r="E53" s="57" t="n">
        <v>0.031</v>
      </c>
    </row>
    <row r="54" customFormat="false" ht="15" hidden="false" customHeight="false" outlineLevel="0" collapsed="false">
      <c r="A54" s="52" t="n">
        <v>45716</v>
      </c>
      <c r="B54" s="57" t="n">
        <v>0.005</v>
      </c>
      <c r="D54" s="52" t="n">
        <v>45716</v>
      </c>
      <c r="E54" s="57" t="n">
        <v>0.031</v>
      </c>
    </row>
    <row r="55" customFormat="false" ht="15" hidden="false" customHeight="false" outlineLevel="0" collapsed="false">
      <c r="A55" s="52" t="n">
        <v>45747</v>
      </c>
      <c r="B55" s="57" t="n">
        <v>0.005</v>
      </c>
      <c r="D55" s="52" t="n">
        <v>45747</v>
      </c>
      <c r="E55" s="57" t="n">
        <v>0.031</v>
      </c>
    </row>
    <row r="56" customFormat="false" ht="15" hidden="false" customHeight="false" outlineLevel="0" collapsed="false">
      <c r="A56" s="52" t="n">
        <v>45777</v>
      </c>
      <c r="B56" s="57" t="n">
        <v>0.005</v>
      </c>
      <c r="D56" s="52" t="n">
        <v>45777</v>
      </c>
      <c r="E56" s="57" t="n">
        <v>0.031</v>
      </c>
    </row>
    <row r="57" customFormat="false" ht="15" hidden="false" customHeight="false" outlineLevel="0" collapsed="false">
      <c r="A57" s="52" t="n">
        <v>45808</v>
      </c>
      <c r="B57" s="57" t="n">
        <v>0.005</v>
      </c>
      <c r="D57" s="52" t="n">
        <v>45808</v>
      </c>
      <c r="E57" s="57" t="n">
        <v>0.03</v>
      </c>
    </row>
    <row r="58" customFormat="false" ht="15" hidden="false" customHeight="false" outlineLevel="0" collapsed="false">
      <c r="A58" s="52" t="n">
        <v>45838</v>
      </c>
      <c r="B58" s="57" t="n">
        <v>0.005</v>
      </c>
      <c r="D58" s="52" t="n">
        <v>45838</v>
      </c>
      <c r="E58" s="57" t="n">
        <v>0.03</v>
      </c>
    </row>
    <row r="59" customFormat="false" ht="15" hidden="false" customHeight="false" outlineLevel="0" collapsed="false">
      <c r="A59" s="52" t="n">
        <v>45869</v>
      </c>
      <c r="B59" s="57" t="n">
        <v>0.005</v>
      </c>
      <c r="D59" s="52" t="n">
        <v>45869</v>
      </c>
      <c r="E59" s="57" t="n">
        <v>0.03</v>
      </c>
    </row>
    <row r="60" customFormat="false" ht="15" hidden="false" customHeight="false" outlineLevel="0" collapsed="false">
      <c r="A60" s="52" t="n">
        <v>45900</v>
      </c>
      <c r="B60" s="57" t="n">
        <v>0.005</v>
      </c>
      <c r="D60" s="52" t="n">
        <v>45900</v>
      </c>
      <c r="E60" s="57" t="n">
        <v>0.03</v>
      </c>
    </row>
    <row r="61" customFormat="false" ht="15" hidden="false" customHeight="false" outlineLevel="0" collapsed="false">
      <c r="A61" s="52" t="n">
        <v>45930</v>
      </c>
      <c r="B61" s="57" t="n">
        <v>0.005</v>
      </c>
      <c r="D61" s="52" t="n">
        <v>45930</v>
      </c>
      <c r="E61" s="57" t="n">
        <v>0.03</v>
      </c>
    </row>
    <row r="62" customFormat="false" ht="15" hidden="false" customHeight="false" outlineLevel="0" collapsed="false">
      <c r="A62" s="52" t="n">
        <v>45961</v>
      </c>
      <c r="B62" s="57" t="n">
        <v>0.005</v>
      </c>
      <c r="D62" s="52" t="n">
        <v>45961</v>
      </c>
      <c r="E62" s="57" t="n">
        <v>0.03</v>
      </c>
    </row>
    <row r="63" customFormat="false" ht="15" hidden="false" customHeight="false" outlineLevel="0" collapsed="false">
      <c r="A63" s="52" t="n">
        <v>45991</v>
      </c>
      <c r="B63" s="57" t="n">
        <v>0.005</v>
      </c>
      <c r="D63" s="52" t="n">
        <v>45991</v>
      </c>
      <c r="E63" s="57" t="n">
        <v>0.03</v>
      </c>
    </row>
    <row r="64" customFormat="false" ht="15" hidden="false" customHeight="false" outlineLevel="0" collapsed="false">
      <c r="A64" s="52" t="n">
        <v>46022</v>
      </c>
      <c r="B64" s="57" t="n">
        <v>0.0075</v>
      </c>
      <c r="D64" s="52" t="n">
        <v>46022</v>
      </c>
      <c r="E64" s="57" t="n">
        <v>0.03</v>
      </c>
    </row>
    <row r="65" customFormat="false" ht="15" hidden="false" customHeight="false" outlineLevel="0" collapsed="false">
      <c r="A65" s="52" t="n">
        <v>46053</v>
      </c>
      <c r="B65" s="57" t="n">
        <v>0.0075</v>
      </c>
      <c r="D65" s="52" t="n">
        <v>46053</v>
      </c>
      <c r="E65" s="57" t="n">
        <v>0.03</v>
      </c>
    </row>
    <row r="66" customFormat="false" ht="15" hidden="false" customHeight="false" outlineLevel="0" collapsed="false">
      <c r="A66" s="52" t="n">
        <v>46081</v>
      </c>
      <c r="B66" s="57" t="n">
        <v>0.0075</v>
      </c>
      <c r="D66" s="52" t="n">
        <v>46081</v>
      </c>
      <c r="E66" s="57" t="n">
        <v>0.03</v>
      </c>
    </row>
    <row r="67" customFormat="false" ht="15" hidden="false" customHeight="false" outlineLevel="0" collapsed="false">
      <c r="A67" s="52" t="n">
        <v>46112</v>
      </c>
      <c r="B67" s="57" t="n">
        <v>0.0075</v>
      </c>
      <c r="D67" s="52" t="n">
        <v>46112</v>
      </c>
      <c r="E67" s="57" t="n">
        <v>0.03</v>
      </c>
    </row>
    <row r="68" customFormat="false" ht="15" hidden="false" customHeight="false" outlineLevel="0" collapsed="false">
      <c r="A68" s="52" t="n">
        <v>46142</v>
      </c>
      <c r="B68" s="57" t="n">
        <v>0.0075</v>
      </c>
      <c r="D68" s="52" t="n">
        <v>46142</v>
      </c>
      <c r="E68" s="57" t="n">
        <v>0.03</v>
      </c>
    </row>
    <row r="69" customFormat="false" ht="15" hidden="false" customHeight="false" outlineLevel="0" collapsed="false">
      <c r="A69" s="52" t="n">
        <v>46173</v>
      </c>
      <c r="B69" s="57" t="n">
        <v>0.0075</v>
      </c>
      <c r="D69" s="52" t="n">
        <v>46173</v>
      </c>
      <c r="E69" s="57" t="n">
        <v>0.03</v>
      </c>
    </row>
    <row r="70" customFormat="false" ht="15" hidden="false" customHeight="false" outlineLevel="0" collapsed="false">
      <c r="A70" s="52" t="n">
        <v>46203</v>
      </c>
      <c r="B70" s="57" t="n">
        <v>0.01</v>
      </c>
      <c r="D70" s="52" t="n">
        <v>46203</v>
      </c>
      <c r="E70" s="57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2" t="s">
        <v>1221</v>
      </c>
    </row>
    <row r="2" customFormat="false" ht="15" hidden="false" customHeight="false" outlineLevel="0" collapsed="false">
      <c r="A2" s="4" t="s">
        <v>1222</v>
      </c>
    </row>
    <row r="3" customFormat="false" ht="15" hidden="false" customHeight="false" outlineLevel="0" collapsed="false">
      <c r="A3" s="6" t="s">
        <v>1223</v>
      </c>
      <c r="B3" s="27" t="s">
        <v>1224</v>
      </c>
      <c r="C3" s="27" t="s">
        <v>54</v>
      </c>
      <c r="D3" s="27" t="s">
        <v>1225</v>
      </c>
    </row>
    <row r="4" customFormat="false" ht="15" hidden="false" customHeight="false" outlineLevel="0" collapsed="false">
      <c r="A4" s="52" t="n">
        <v>44200</v>
      </c>
      <c r="B4" s="57" t="n">
        <v>-0.00121</v>
      </c>
      <c r="C4" s="57" t="n">
        <v>-0.00132</v>
      </c>
      <c r="D4" s="57" t="n">
        <v>-0.00102</v>
      </c>
    </row>
    <row r="5" customFormat="false" ht="15" hidden="false" customHeight="false" outlineLevel="0" collapsed="false">
      <c r="A5" s="52" t="n">
        <v>44201</v>
      </c>
      <c r="B5" s="57" t="n">
        <v>-0.00126</v>
      </c>
      <c r="C5" s="57" t="n">
        <v>-0.00139</v>
      </c>
      <c r="D5" s="57" t="n">
        <v>-0.00113</v>
      </c>
    </row>
    <row r="6" customFormat="false" ht="15" hidden="false" customHeight="false" outlineLevel="0" collapsed="false">
      <c r="A6" s="52" t="n">
        <v>44202</v>
      </c>
      <c r="B6" s="57" t="n">
        <v>-0.00121</v>
      </c>
      <c r="C6" s="57" t="n">
        <v>-0.00129</v>
      </c>
      <c r="D6" s="57" t="n">
        <v>-0.00104</v>
      </c>
    </row>
    <row r="7" customFormat="false" ht="15" hidden="false" customHeight="false" outlineLevel="0" collapsed="false">
      <c r="A7" s="52" t="n">
        <v>44203</v>
      </c>
      <c r="B7" s="57" t="n">
        <v>-0.00117</v>
      </c>
      <c r="C7" s="57" t="n">
        <v>-0.00122</v>
      </c>
      <c r="D7" s="57" t="n">
        <v>-0.00098</v>
      </c>
    </row>
    <row r="8" customFormat="false" ht="15" hidden="false" customHeight="false" outlineLevel="0" collapsed="false">
      <c r="A8" s="52" t="n">
        <v>44204</v>
      </c>
      <c r="B8" s="57" t="n">
        <v>-0.00122</v>
      </c>
      <c r="C8" s="57" t="n">
        <v>-0.00122</v>
      </c>
      <c r="D8" s="57" t="n">
        <v>-0.00106</v>
      </c>
    </row>
    <row r="9" customFormat="false" ht="15" hidden="false" customHeight="false" outlineLevel="0" collapsed="false">
      <c r="A9" s="52" t="n">
        <v>44208</v>
      </c>
      <c r="B9" s="57" t="n">
        <v>-0.00128</v>
      </c>
      <c r="C9" s="57" t="n">
        <v>-0.00126</v>
      </c>
      <c r="D9" s="57" t="n">
        <v>-0.00111</v>
      </c>
    </row>
    <row r="10" customFormat="false" ht="15" hidden="false" customHeight="false" outlineLevel="0" collapsed="false">
      <c r="A10" s="52" t="n">
        <v>44209</v>
      </c>
      <c r="B10" s="57" t="n">
        <v>-0.0013</v>
      </c>
      <c r="C10" s="57" t="n">
        <v>-0.00126</v>
      </c>
      <c r="D10" s="57" t="n">
        <v>-0.00109</v>
      </c>
    </row>
    <row r="11" customFormat="false" ht="15" hidden="false" customHeight="false" outlineLevel="0" collapsed="false">
      <c r="A11" s="52" t="n">
        <v>44210</v>
      </c>
      <c r="B11" s="57" t="n">
        <v>-0.00124</v>
      </c>
      <c r="C11" s="57" t="n">
        <v>-0.00123</v>
      </c>
      <c r="D11" s="57" t="n">
        <v>-0.00103</v>
      </c>
    </row>
    <row r="12" customFormat="false" ht="15" hidden="false" customHeight="false" outlineLevel="0" collapsed="false">
      <c r="A12" s="52" t="n">
        <v>44211</v>
      </c>
      <c r="B12" s="57" t="n">
        <v>-0.00129</v>
      </c>
      <c r="C12" s="57" t="n">
        <v>-0.00123</v>
      </c>
      <c r="D12" s="57" t="n">
        <v>-0.00104</v>
      </c>
    </row>
    <row r="13" customFormat="false" ht="15" hidden="false" customHeight="false" outlineLevel="0" collapsed="false">
      <c r="A13" s="52" t="n">
        <v>44214</v>
      </c>
      <c r="B13" s="57" t="n">
        <v>-0.0013</v>
      </c>
      <c r="C13" s="57" t="n">
        <v>-0.00121</v>
      </c>
      <c r="D13" s="57" t="n">
        <v>-0.00098</v>
      </c>
    </row>
    <row r="14" customFormat="false" ht="15" hidden="false" customHeight="false" outlineLevel="0" collapsed="false">
      <c r="A14" s="52" t="n">
        <v>44215</v>
      </c>
      <c r="B14" s="57" t="n">
        <v>-0.00125</v>
      </c>
      <c r="C14" s="57" t="n">
        <v>-0.00121</v>
      </c>
      <c r="D14" s="57" t="n">
        <v>-0.00108</v>
      </c>
    </row>
    <row r="15" customFormat="false" ht="15" hidden="false" customHeight="false" outlineLevel="0" collapsed="false">
      <c r="A15" s="52" t="n">
        <v>44216</v>
      </c>
      <c r="B15" s="57" t="n">
        <v>-0.00131</v>
      </c>
      <c r="C15" s="57" t="n">
        <v>-0.00127</v>
      </c>
      <c r="D15" s="57" t="n">
        <v>-0.00114</v>
      </c>
    </row>
    <row r="16" customFormat="false" ht="15" hidden="false" customHeight="false" outlineLevel="0" collapsed="false">
      <c r="A16" s="52" t="n">
        <v>44217</v>
      </c>
      <c r="B16" s="57" t="n">
        <v>-0.00136</v>
      </c>
      <c r="C16" s="57" t="n">
        <v>-0.00131</v>
      </c>
      <c r="D16" s="57" t="n">
        <v>-0.00118</v>
      </c>
    </row>
    <row r="17" customFormat="false" ht="15" hidden="false" customHeight="false" outlineLevel="0" collapsed="false">
      <c r="A17" s="52" t="n">
        <v>44218</v>
      </c>
      <c r="B17" s="57" t="n">
        <v>-0.00137</v>
      </c>
      <c r="C17" s="57" t="n">
        <v>-0.00131</v>
      </c>
      <c r="D17" s="57" t="n">
        <v>-0.00114</v>
      </c>
    </row>
    <row r="18" customFormat="false" ht="15" hidden="false" customHeight="false" outlineLevel="0" collapsed="false">
      <c r="A18" s="52" t="n">
        <v>44221</v>
      </c>
      <c r="B18" s="57" t="n">
        <v>-0.00138</v>
      </c>
      <c r="C18" s="57" t="n">
        <v>-0.00134</v>
      </c>
      <c r="D18" s="57" t="n">
        <v>-0.00118</v>
      </c>
    </row>
    <row r="19" customFormat="false" ht="15" hidden="false" customHeight="false" outlineLevel="0" collapsed="false">
      <c r="A19" s="52" t="n">
        <v>44222</v>
      </c>
      <c r="B19" s="57" t="n">
        <v>-0.00138</v>
      </c>
      <c r="C19" s="57" t="n">
        <v>-0.00134</v>
      </c>
      <c r="D19" s="57" t="n">
        <v>-0.00119</v>
      </c>
    </row>
    <row r="20" customFormat="false" ht="15" hidden="false" customHeight="false" outlineLevel="0" collapsed="false">
      <c r="A20" s="52" t="n">
        <v>44223</v>
      </c>
      <c r="B20" s="57" t="n">
        <v>-0.00133</v>
      </c>
      <c r="C20" s="57" t="n">
        <v>-0.00128</v>
      </c>
      <c r="D20" s="57" t="n">
        <v>-0.00113</v>
      </c>
    </row>
    <row r="21" customFormat="false" ht="15" hidden="false" customHeight="false" outlineLevel="0" collapsed="false">
      <c r="A21" s="52" t="n">
        <v>44224</v>
      </c>
      <c r="B21" s="57" t="n">
        <v>-0.00129</v>
      </c>
      <c r="C21" s="57" t="n">
        <v>-0.00128</v>
      </c>
      <c r="D21" s="57" t="n">
        <v>-0.00113</v>
      </c>
    </row>
    <row r="22" customFormat="false" ht="15" hidden="false" customHeight="false" outlineLevel="0" collapsed="false">
      <c r="A22" s="52" t="n">
        <v>44225</v>
      </c>
      <c r="B22" s="57" t="n">
        <v>-0.00129</v>
      </c>
      <c r="C22" s="57" t="n">
        <v>-0.00129</v>
      </c>
      <c r="D22" s="57" t="n">
        <v>-0.00113</v>
      </c>
    </row>
    <row r="23" customFormat="false" ht="15" hidden="false" customHeight="false" outlineLevel="0" collapsed="false">
      <c r="A23" s="52" t="n">
        <v>44228</v>
      </c>
      <c r="B23" s="57" t="n">
        <v>-0.00125</v>
      </c>
      <c r="C23" s="57" t="n">
        <v>-0.00124</v>
      </c>
      <c r="D23" s="57" t="n">
        <v>-0.00108</v>
      </c>
    </row>
    <row r="24" customFormat="false" ht="15" hidden="false" customHeight="false" outlineLevel="0" collapsed="false">
      <c r="A24" s="52" t="n">
        <v>44229</v>
      </c>
      <c r="B24" s="57" t="n">
        <v>-0.00125</v>
      </c>
      <c r="C24" s="57" t="n">
        <v>-0.00125</v>
      </c>
      <c r="D24" s="57" t="n">
        <v>-0.00102</v>
      </c>
    </row>
    <row r="25" customFormat="false" ht="15" hidden="false" customHeight="false" outlineLevel="0" collapsed="false">
      <c r="A25" s="52" t="n">
        <v>44230</v>
      </c>
      <c r="B25" s="57" t="n">
        <v>-0.00125</v>
      </c>
      <c r="C25" s="57" t="n">
        <v>-0.00132</v>
      </c>
      <c r="D25" s="57" t="n">
        <v>-0.00106</v>
      </c>
    </row>
    <row r="26" customFormat="false" ht="15" hidden="false" customHeight="false" outlineLevel="0" collapsed="false">
      <c r="A26" s="52" t="n">
        <v>44231</v>
      </c>
      <c r="B26" s="57" t="n">
        <v>-0.00131</v>
      </c>
      <c r="C26" s="57" t="n">
        <v>-0.00137</v>
      </c>
      <c r="D26" s="57" t="n">
        <v>-0.00106</v>
      </c>
    </row>
    <row r="27" customFormat="false" ht="15" hidden="false" customHeight="false" outlineLevel="0" collapsed="false">
      <c r="A27" s="52" t="n">
        <v>44232</v>
      </c>
      <c r="B27" s="57" t="n">
        <v>-0.00131</v>
      </c>
      <c r="C27" s="57" t="n">
        <v>-0.00137</v>
      </c>
      <c r="D27" s="57" t="n">
        <v>-0.00106</v>
      </c>
    </row>
    <row r="28" customFormat="false" ht="15" hidden="false" customHeight="false" outlineLevel="0" collapsed="false">
      <c r="A28" s="52" t="n">
        <v>44235</v>
      </c>
      <c r="B28" s="57" t="n">
        <v>-0.00127</v>
      </c>
      <c r="C28" s="57" t="n">
        <v>-0.0013</v>
      </c>
      <c r="D28" s="57" t="n">
        <v>-0.00096</v>
      </c>
    </row>
    <row r="29" customFormat="false" ht="15" hidden="false" customHeight="false" outlineLevel="0" collapsed="false">
      <c r="A29" s="52" t="n">
        <v>44236</v>
      </c>
      <c r="B29" s="57" t="n">
        <v>-0.00127</v>
      </c>
      <c r="C29" s="57" t="n">
        <v>-0.00131</v>
      </c>
      <c r="D29" s="57" t="n">
        <v>-0.00095</v>
      </c>
    </row>
    <row r="30" customFormat="false" ht="15" hidden="false" customHeight="false" outlineLevel="0" collapsed="false">
      <c r="A30" s="52" t="n">
        <v>44237</v>
      </c>
      <c r="B30" s="57" t="n">
        <v>-0.00123</v>
      </c>
      <c r="C30" s="57" t="n">
        <v>-0.00122</v>
      </c>
      <c r="D30" s="57" t="n">
        <v>-0.00092</v>
      </c>
    </row>
    <row r="31" customFormat="false" ht="15" hidden="false" customHeight="false" outlineLevel="0" collapsed="false">
      <c r="A31" s="52" t="n">
        <v>44239</v>
      </c>
      <c r="B31" s="57" t="n">
        <v>-0.00133</v>
      </c>
      <c r="C31" s="57" t="n">
        <v>-0.00136</v>
      </c>
      <c r="D31" s="57" t="n">
        <v>-0.0011</v>
      </c>
    </row>
    <row r="32" customFormat="false" ht="15" hidden="false" customHeight="false" outlineLevel="0" collapsed="false">
      <c r="A32" s="52" t="n">
        <v>44242</v>
      </c>
      <c r="B32" s="57" t="n">
        <v>-0.0013</v>
      </c>
      <c r="C32" s="57" t="n">
        <v>-0.0013</v>
      </c>
      <c r="D32" s="57" t="n">
        <v>-0.001</v>
      </c>
    </row>
    <row r="33" customFormat="false" ht="15" hidden="false" customHeight="false" outlineLevel="0" collapsed="false">
      <c r="A33" s="52" t="n">
        <v>44243</v>
      </c>
      <c r="B33" s="57" t="n">
        <v>-0.00131</v>
      </c>
      <c r="C33" s="57" t="n">
        <v>-0.00125</v>
      </c>
      <c r="D33" s="57" t="n">
        <v>-0.00097</v>
      </c>
    </row>
    <row r="34" customFormat="false" ht="15" hidden="false" customHeight="false" outlineLevel="0" collapsed="false">
      <c r="A34" s="52" t="n">
        <v>44244</v>
      </c>
      <c r="B34" s="57" t="n">
        <v>-0.00119</v>
      </c>
      <c r="C34" s="57" t="n">
        <v>-0.00113</v>
      </c>
      <c r="D34" s="57" t="n">
        <v>-0.00077</v>
      </c>
    </row>
    <row r="35" customFormat="false" ht="15" hidden="false" customHeight="false" outlineLevel="0" collapsed="false">
      <c r="A35" s="52" t="n">
        <v>44245</v>
      </c>
      <c r="B35" s="57" t="n">
        <v>-0.00126</v>
      </c>
      <c r="C35" s="57" t="n">
        <v>-0.00122</v>
      </c>
      <c r="D35" s="57" t="n">
        <v>-0.00081</v>
      </c>
    </row>
    <row r="36" customFormat="false" ht="15" hidden="false" customHeight="false" outlineLevel="0" collapsed="false">
      <c r="A36" s="52" t="n">
        <v>44246</v>
      </c>
      <c r="B36" s="57" t="n">
        <v>-0.0012</v>
      </c>
      <c r="C36" s="57" t="n">
        <v>-0.00115</v>
      </c>
      <c r="D36" s="57" t="n">
        <v>-0.00076</v>
      </c>
    </row>
    <row r="37" customFormat="false" ht="15" hidden="false" customHeight="false" outlineLevel="0" collapsed="false">
      <c r="A37" s="52" t="n">
        <v>44249</v>
      </c>
      <c r="B37" s="57" t="n">
        <v>-0.00112</v>
      </c>
      <c r="C37" s="57" t="n">
        <v>-0.00109</v>
      </c>
      <c r="D37" s="57" t="n">
        <v>-0.00064</v>
      </c>
    </row>
    <row r="38" customFormat="false" ht="15" hidden="false" customHeight="false" outlineLevel="0" collapsed="false">
      <c r="A38" s="52" t="n">
        <v>44251</v>
      </c>
      <c r="B38" s="57" t="n">
        <v>-0.00113</v>
      </c>
      <c r="C38" s="57" t="n">
        <v>-0.0011</v>
      </c>
      <c r="D38" s="57" t="n">
        <v>-0.00064</v>
      </c>
    </row>
    <row r="39" customFormat="false" ht="15" hidden="false" customHeight="false" outlineLevel="0" collapsed="false">
      <c r="A39" s="52" t="n">
        <v>44252</v>
      </c>
      <c r="B39" s="57" t="n">
        <v>-0.001</v>
      </c>
      <c r="C39" s="57" t="n">
        <v>-0.001</v>
      </c>
      <c r="D39" s="57" t="n">
        <v>-0.00048</v>
      </c>
    </row>
    <row r="40" customFormat="false" ht="15" hidden="false" customHeight="false" outlineLevel="0" collapsed="false">
      <c r="A40" s="52" t="n">
        <v>44253</v>
      </c>
      <c r="B40" s="57" t="n">
        <v>-0.00114</v>
      </c>
      <c r="C40" s="57" t="n">
        <v>-0.00107</v>
      </c>
      <c r="D40" s="57" t="n">
        <v>-0.00047</v>
      </c>
    </row>
    <row r="41" customFormat="false" ht="15" hidden="false" customHeight="false" outlineLevel="0" collapsed="false">
      <c r="A41" s="52" t="n">
        <v>44256</v>
      </c>
      <c r="B41" s="57" t="n">
        <v>-0.0012</v>
      </c>
      <c r="C41" s="57" t="n">
        <v>-0.00113</v>
      </c>
      <c r="D41" s="57" t="n">
        <v>-0.00057</v>
      </c>
    </row>
    <row r="42" customFormat="false" ht="15" hidden="false" customHeight="false" outlineLevel="0" collapsed="false">
      <c r="A42" s="52" t="n">
        <v>44257</v>
      </c>
      <c r="B42" s="57" t="n">
        <v>-0.00125</v>
      </c>
      <c r="C42" s="57" t="n">
        <v>-0.00121</v>
      </c>
      <c r="D42" s="57" t="n">
        <v>-0.00073</v>
      </c>
    </row>
    <row r="43" customFormat="false" ht="15" hidden="false" customHeight="false" outlineLevel="0" collapsed="false">
      <c r="A43" s="52" t="n">
        <v>44258</v>
      </c>
      <c r="B43" s="57" t="n">
        <v>-0.00115</v>
      </c>
      <c r="C43" s="57" t="n">
        <v>-0.00115</v>
      </c>
      <c r="D43" s="57" t="n">
        <v>-0.00069</v>
      </c>
    </row>
    <row r="44" customFormat="false" ht="15" hidden="false" customHeight="false" outlineLevel="0" collapsed="false">
      <c r="A44" s="52" t="n">
        <v>44259</v>
      </c>
      <c r="B44" s="57" t="n">
        <v>-0.00121</v>
      </c>
      <c r="C44" s="57" t="n">
        <v>-0.00115</v>
      </c>
      <c r="D44" s="57" t="n">
        <v>-0.00062</v>
      </c>
    </row>
    <row r="45" customFormat="false" ht="15" hidden="false" customHeight="false" outlineLevel="0" collapsed="false">
      <c r="A45" s="52" t="n">
        <v>44260</v>
      </c>
      <c r="B45" s="57" t="n">
        <v>-0.00131</v>
      </c>
      <c r="C45" s="57" t="n">
        <v>-0.00131</v>
      </c>
      <c r="D45" s="57" t="n">
        <v>-0.00088</v>
      </c>
    </row>
    <row r="46" customFormat="false" ht="15" hidden="false" customHeight="false" outlineLevel="0" collapsed="false">
      <c r="A46" s="52" t="n">
        <v>44263</v>
      </c>
      <c r="B46" s="57" t="n">
        <v>-0.00122</v>
      </c>
      <c r="C46" s="57" t="n">
        <v>-0.00115</v>
      </c>
      <c r="D46" s="57" t="n">
        <v>-0.00071</v>
      </c>
    </row>
    <row r="47" customFormat="false" ht="15" hidden="false" customHeight="false" outlineLevel="0" collapsed="false">
      <c r="A47" s="52" t="n">
        <v>44264</v>
      </c>
      <c r="B47" s="57" t="n">
        <v>-0.00118</v>
      </c>
      <c r="C47" s="57" t="n">
        <v>-0.00109</v>
      </c>
      <c r="D47" s="57" t="n">
        <v>-0.00061</v>
      </c>
    </row>
    <row r="48" customFormat="false" ht="15" hidden="false" customHeight="false" outlineLevel="0" collapsed="false">
      <c r="A48" s="52" t="n">
        <v>44265</v>
      </c>
      <c r="B48" s="57" t="n">
        <v>-0.00117</v>
      </c>
      <c r="C48" s="57" t="n">
        <v>-0.00115</v>
      </c>
      <c r="D48" s="57" t="n">
        <v>-0.00065</v>
      </c>
    </row>
    <row r="49" customFormat="false" ht="15" hidden="false" customHeight="false" outlineLevel="0" collapsed="false">
      <c r="A49" s="52" t="n">
        <v>44266</v>
      </c>
      <c r="B49" s="57" t="n">
        <v>-0.00124</v>
      </c>
      <c r="C49" s="57" t="n">
        <v>-0.00118</v>
      </c>
      <c r="D49" s="57" t="n">
        <v>-0.00076</v>
      </c>
    </row>
    <row r="50" customFormat="false" ht="15" hidden="false" customHeight="false" outlineLevel="0" collapsed="false">
      <c r="A50" s="52" t="n">
        <v>44267</v>
      </c>
      <c r="B50" s="57" t="n">
        <v>-0.00128</v>
      </c>
      <c r="C50" s="57" t="n">
        <v>-0.00118</v>
      </c>
      <c r="D50" s="57" t="n">
        <v>-0.00075</v>
      </c>
    </row>
    <row r="51" customFormat="false" ht="15" hidden="false" customHeight="false" outlineLevel="0" collapsed="false">
      <c r="A51" s="52" t="n">
        <v>44270</v>
      </c>
      <c r="B51" s="57" t="n">
        <v>-0.00139</v>
      </c>
      <c r="C51" s="57" t="n">
        <v>-0.00135</v>
      </c>
      <c r="D51" s="57" t="n">
        <v>-0.00082</v>
      </c>
    </row>
    <row r="52" customFormat="false" ht="15" hidden="false" customHeight="false" outlineLevel="0" collapsed="false">
      <c r="A52" s="52" t="n">
        <v>44271</v>
      </c>
      <c r="B52" s="57" t="n">
        <v>-0.0015</v>
      </c>
      <c r="C52" s="57" t="n">
        <v>-0.00145</v>
      </c>
      <c r="D52" s="57" t="n">
        <v>-0.00094</v>
      </c>
    </row>
    <row r="53" customFormat="false" ht="15" hidden="false" customHeight="false" outlineLevel="0" collapsed="false">
      <c r="A53" s="52" t="n">
        <v>44272</v>
      </c>
      <c r="B53" s="57" t="n">
        <v>-0.00145</v>
      </c>
      <c r="C53" s="57" t="n">
        <v>-0.00139</v>
      </c>
      <c r="D53" s="57" t="n">
        <v>-0.0009</v>
      </c>
    </row>
    <row r="54" customFormat="false" ht="15" hidden="false" customHeight="false" outlineLevel="0" collapsed="false">
      <c r="A54" s="52" t="n">
        <v>44273</v>
      </c>
      <c r="B54" s="57" t="n">
        <v>-0.0014</v>
      </c>
      <c r="C54" s="57" t="n">
        <v>-0.00139</v>
      </c>
      <c r="D54" s="57" t="n">
        <v>-0.00089</v>
      </c>
    </row>
    <row r="55" customFormat="false" ht="15" hidden="false" customHeight="false" outlineLevel="0" collapsed="false">
      <c r="A55" s="52" t="n">
        <v>44274</v>
      </c>
      <c r="B55" s="57" t="n">
        <v>-0.00136</v>
      </c>
      <c r="C55" s="57" t="n">
        <v>-0.00132</v>
      </c>
      <c r="D55" s="57" t="n">
        <v>-0.00079</v>
      </c>
    </row>
    <row r="56" customFormat="false" ht="15" hidden="false" customHeight="false" outlineLevel="0" collapsed="false">
      <c r="A56" s="52" t="n">
        <v>44277</v>
      </c>
      <c r="B56" s="57" t="n">
        <v>-0.00142</v>
      </c>
      <c r="C56" s="57" t="n">
        <v>-0.0014</v>
      </c>
      <c r="D56" s="57" t="n">
        <v>-0.00092</v>
      </c>
    </row>
    <row r="57" customFormat="false" ht="15" hidden="false" customHeight="false" outlineLevel="0" collapsed="false">
      <c r="A57" s="52" t="n">
        <v>44278</v>
      </c>
      <c r="B57" s="57" t="n">
        <v>-0.00137</v>
      </c>
      <c r="C57" s="57" t="n">
        <v>-0.00133</v>
      </c>
      <c r="D57" s="57" t="n">
        <v>-0.00086</v>
      </c>
    </row>
    <row r="58" customFormat="false" ht="15" hidden="false" customHeight="false" outlineLevel="0" collapsed="false">
      <c r="A58" s="52" t="n">
        <v>44279</v>
      </c>
      <c r="B58" s="57" t="n">
        <v>-0.00141</v>
      </c>
      <c r="C58" s="57" t="n">
        <v>-0.0014</v>
      </c>
      <c r="D58" s="57" t="n">
        <v>-0.00097</v>
      </c>
    </row>
    <row r="59" customFormat="false" ht="15" hidden="false" customHeight="false" outlineLevel="0" collapsed="false">
      <c r="A59" s="52" t="n">
        <v>44280</v>
      </c>
      <c r="B59" s="57" t="n">
        <v>-0.00133</v>
      </c>
      <c r="C59" s="57" t="n">
        <v>-0.00127</v>
      </c>
      <c r="D59" s="57" t="n">
        <v>-0.00093</v>
      </c>
    </row>
    <row r="60" customFormat="false" ht="15" hidden="false" customHeight="false" outlineLevel="0" collapsed="false">
      <c r="A60" s="52" t="n">
        <v>44281</v>
      </c>
      <c r="B60" s="57" t="n">
        <v>-0.00138</v>
      </c>
      <c r="C60" s="57" t="n">
        <v>-0.00134</v>
      </c>
      <c r="D60" s="57" t="n">
        <v>-0.00096</v>
      </c>
    </row>
    <row r="61" customFormat="false" ht="15" hidden="false" customHeight="false" outlineLevel="0" collapsed="false">
      <c r="A61" s="52" t="n">
        <v>44284</v>
      </c>
      <c r="B61" s="57" t="n">
        <v>-0.00139</v>
      </c>
      <c r="C61" s="57" t="n">
        <v>-0.00135</v>
      </c>
      <c r="D61" s="57" t="n">
        <v>-0.00097</v>
      </c>
    </row>
    <row r="62" customFormat="false" ht="15" hidden="false" customHeight="false" outlineLevel="0" collapsed="false">
      <c r="A62" s="52" t="n">
        <v>44285</v>
      </c>
      <c r="B62" s="57" t="n">
        <v>-0.00126</v>
      </c>
      <c r="C62" s="57" t="n">
        <v>-0.00139</v>
      </c>
      <c r="D62" s="57" t="n">
        <v>-0.00089</v>
      </c>
    </row>
    <row r="63" customFormat="false" ht="15" hidden="false" customHeight="false" outlineLevel="0" collapsed="false">
      <c r="A63" s="52" t="n">
        <v>44286</v>
      </c>
      <c r="B63" s="57" t="n">
        <v>-0.0013</v>
      </c>
      <c r="C63" s="57" t="n">
        <v>-0.00136</v>
      </c>
      <c r="D63" s="57" t="n">
        <v>-0.00083</v>
      </c>
    </row>
    <row r="64" customFormat="false" ht="15" hidden="false" customHeight="false" outlineLevel="0" collapsed="false">
      <c r="A64" s="52" t="n">
        <v>44287</v>
      </c>
      <c r="B64" s="57" t="n">
        <v>-0.00125</v>
      </c>
      <c r="C64" s="57" t="n">
        <v>-0.00126</v>
      </c>
      <c r="D64" s="57" t="n">
        <v>-0.00072</v>
      </c>
    </row>
    <row r="65" customFormat="false" ht="15" hidden="false" customHeight="false" outlineLevel="0" collapsed="false">
      <c r="A65" s="52" t="n">
        <v>44288</v>
      </c>
      <c r="B65" s="57" t="n">
        <v>-0.00125</v>
      </c>
      <c r="C65" s="57" t="n">
        <v>-0.00122</v>
      </c>
      <c r="D65" s="57" t="n">
        <v>-0.00072</v>
      </c>
    </row>
    <row r="66" customFormat="false" ht="15" hidden="false" customHeight="false" outlineLevel="0" collapsed="false">
      <c r="A66" s="52" t="n">
        <v>44291</v>
      </c>
      <c r="B66" s="57" t="n">
        <v>-0.0012</v>
      </c>
      <c r="C66" s="57" t="n">
        <v>-0.00119</v>
      </c>
      <c r="D66" s="57" t="n">
        <v>-0.00075</v>
      </c>
    </row>
    <row r="67" customFormat="false" ht="15" hidden="false" customHeight="false" outlineLevel="0" collapsed="false">
      <c r="A67" s="52" t="n">
        <v>44292</v>
      </c>
      <c r="B67" s="57" t="n">
        <v>-0.00121</v>
      </c>
      <c r="C67" s="57" t="n">
        <v>-0.00123</v>
      </c>
      <c r="D67" s="57" t="n">
        <v>-0.0008</v>
      </c>
    </row>
    <row r="68" customFormat="false" ht="15" hidden="false" customHeight="false" outlineLevel="0" collapsed="false">
      <c r="A68" s="52" t="n">
        <v>44293</v>
      </c>
      <c r="B68" s="57" t="n">
        <v>-0.00121</v>
      </c>
      <c r="C68" s="57" t="n">
        <v>-0.0013</v>
      </c>
      <c r="D68" s="57" t="n">
        <v>-0.00087</v>
      </c>
    </row>
    <row r="69" customFormat="false" ht="15" hidden="false" customHeight="false" outlineLevel="0" collapsed="false">
      <c r="A69" s="52" t="n">
        <v>44294</v>
      </c>
      <c r="B69" s="57" t="n">
        <v>-0.00126</v>
      </c>
      <c r="C69" s="57" t="n">
        <v>-0.00134</v>
      </c>
      <c r="D69" s="57" t="n">
        <v>-0.00099</v>
      </c>
    </row>
    <row r="70" customFormat="false" ht="15" hidden="false" customHeight="false" outlineLevel="0" collapsed="false">
      <c r="A70" s="52" t="n">
        <v>44295</v>
      </c>
      <c r="B70" s="57" t="n">
        <v>-0.00126</v>
      </c>
      <c r="C70" s="57" t="n">
        <v>-0.00134</v>
      </c>
      <c r="D70" s="57" t="n">
        <v>-0.00092</v>
      </c>
    </row>
    <row r="71" customFormat="false" ht="15" hidden="false" customHeight="false" outlineLevel="0" collapsed="false">
      <c r="A71" s="52" t="n">
        <v>44298</v>
      </c>
      <c r="B71" s="57" t="n">
        <v>-0.00126</v>
      </c>
      <c r="C71" s="57" t="n">
        <v>-0.00135</v>
      </c>
      <c r="D71" s="57" t="n">
        <v>-0.00092</v>
      </c>
    </row>
    <row r="72" customFormat="false" ht="15" hidden="false" customHeight="false" outlineLevel="0" collapsed="false">
      <c r="A72" s="52" t="n">
        <v>44299</v>
      </c>
      <c r="B72" s="57" t="n">
        <v>-0.00132</v>
      </c>
      <c r="C72" s="57" t="n">
        <v>-0.00138</v>
      </c>
      <c r="D72" s="57" t="n">
        <v>-0.00098</v>
      </c>
    </row>
    <row r="73" customFormat="false" ht="15" hidden="false" customHeight="false" outlineLevel="0" collapsed="false">
      <c r="A73" s="52" t="n">
        <v>44300</v>
      </c>
      <c r="B73" s="57" t="n">
        <v>-0.00132</v>
      </c>
      <c r="C73" s="57" t="n">
        <v>-0.00138</v>
      </c>
      <c r="D73" s="57" t="n">
        <v>-0.00102</v>
      </c>
    </row>
    <row r="74" customFormat="false" ht="15" hidden="false" customHeight="false" outlineLevel="0" collapsed="false">
      <c r="A74" s="52" t="n">
        <v>44301</v>
      </c>
      <c r="B74" s="57" t="n">
        <v>-0.00133</v>
      </c>
      <c r="C74" s="57" t="n">
        <v>-0.00139</v>
      </c>
      <c r="D74" s="57" t="n">
        <v>-0.00098</v>
      </c>
    </row>
    <row r="75" customFormat="false" ht="15" hidden="false" customHeight="false" outlineLevel="0" collapsed="false">
      <c r="A75" s="52" t="n">
        <v>44302</v>
      </c>
      <c r="B75" s="57" t="n">
        <v>-0.00133</v>
      </c>
      <c r="C75" s="57" t="n">
        <v>-0.00143</v>
      </c>
      <c r="D75" s="57" t="n">
        <v>-0.00102</v>
      </c>
    </row>
    <row r="76" customFormat="false" ht="15" hidden="false" customHeight="false" outlineLevel="0" collapsed="false">
      <c r="A76" s="52" t="n">
        <v>44305</v>
      </c>
      <c r="B76" s="57" t="n">
        <v>-0.00132</v>
      </c>
      <c r="C76" s="57" t="n">
        <v>-0.00144</v>
      </c>
      <c r="D76" s="57" t="n">
        <v>-0.00095</v>
      </c>
    </row>
    <row r="77" customFormat="false" ht="15" hidden="false" customHeight="false" outlineLevel="0" collapsed="false">
      <c r="A77" s="52" t="n">
        <v>44306</v>
      </c>
      <c r="B77" s="57" t="n">
        <v>-0.00129</v>
      </c>
      <c r="C77" s="57" t="n">
        <v>-0.0014</v>
      </c>
      <c r="D77" s="57" t="n">
        <v>-0.00095</v>
      </c>
    </row>
    <row r="78" customFormat="false" ht="15" hidden="false" customHeight="false" outlineLevel="0" collapsed="false">
      <c r="A78" s="52" t="n">
        <v>44307</v>
      </c>
      <c r="B78" s="57" t="n">
        <v>-0.00134</v>
      </c>
      <c r="C78" s="57" t="n">
        <v>-0.00143</v>
      </c>
      <c r="D78" s="57" t="n">
        <v>-0.00102</v>
      </c>
    </row>
    <row r="79" customFormat="false" ht="15" hidden="false" customHeight="false" outlineLevel="0" collapsed="false">
      <c r="A79" s="52" t="n">
        <v>44308</v>
      </c>
      <c r="B79" s="57" t="n">
        <v>-0.00135</v>
      </c>
      <c r="C79" s="57" t="n">
        <v>-0.00149</v>
      </c>
      <c r="D79" s="57" t="n">
        <v>-0.00106</v>
      </c>
    </row>
    <row r="80" customFormat="false" ht="15" hidden="false" customHeight="false" outlineLevel="0" collapsed="false">
      <c r="A80" s="52" t="n">
        <v>44309</v>
      </c>
      <c r="B80" s="57" t="n">
        <v>-0.00135</v>
      </c>
      <c r="C80" s="57" t="n">
        <v>-0.00146</v>
      </c>
      <c r="D80" s="57" t="n">
        <v>-0.00106</v>
      </c>
    </row>
    <row r="81" customFormat="false" ht="15" hidden="false" customHeight="false" outlineLevel="0" collapsed="false">
      <c r="A81" s="52" t="n">
        <v>44312</v>
      </c>
      <c r="B81" s="57" t="n">
        <v>-0.00136</v>
      </c>
      <c r="C81" s="57" t="n">
        <v>-0.00142</v>
      </c>
      <c r="D81" s="57" t="n">
        <v>-0.00102</v>
      </c>
    </row>
    <row r="82" customFormat="false" ht="15" hidden="false" customHeight="false" outlineLevel="0" collapsed="false">
      <c r="A82" s="52" t="n">
        <v>44313</v>
      </c>
      <c r="B82" s="57" t="n">
        <v>-0.00136</v>
      </c>
      <c r="C82" s="57" t="n">
        <v>-0.00142</v>
      </c>
      <c r="D82" s="57" t="n">
        <v>-0.00102</v>
      </c>
    </row>
    <row r="83" customFormat="false" ht="15" hidden="false" customHeight="false" outlineLevel="0" collapsed="false">
      <c r="A83" s="52" t="n">
        <v>44314</v>
      </c>
      <c r="B83" s="57" t="n">
        <v>-0.0013</v>
      </c>
      <c r="C83" s="57" t="n">
        <v>-0.00137</v>
      </c>
      <c r="D83" s="57" t="n">
        <v>-0.00092</v>
      </c>
    </row>
    <row r="84" customFormat="false" ht="15" hidden="false" customHeight="false" outlineLevel="0" collapsed="false">
      <c r="A84" s="52" t="n">
        <v>44316</v>
      </c>
      <c r="B84" s="57" t="n">
        <v>-0.0013</v>
      </c>
      <c r="C84" s="57" t="n">
        <v>-0.00137</v>
      </c>
      <c r="D84" s="57" t="n">
        <v>-0.00092</v>
      </c>
    </row>
    <row r="85" customFormat="false" ht="15" hidden="false" customHeight="false" outlineLevel="0" collapsed="false">
      <c r="A85" s="52" t="n">
        <v>44322</v>
      </c>
      <c r="B85" s="57" t="n">
        <v>-0.00126</v>
      </c>
      <c r="C85" s="57" t="n">
        <v>-0.00137</v>
      </c>
      <c r="D85" s="57" t="n">
        <v>-0.00091</v>
      </c>
    </row>
    <row r="86" customFormat="false" ht="15" hidden="false" customHeight="false" outlineLevel="0" collapsed="false">
      <c r="A86" s="52" t="n">
        <v>44323</v>
      </c>
      <c r="B86" s="57" t="n">
        <v>-0.00131</v>
      </c>
      <c r="C86" s="57" t="n">
        <v>-0.00142</v>
      </c>
      <c r="D86" s="57" t="n">
        <v>-0.00095</v>
      </c>
    </row>
    <row r="87" customFormat="false" ht="15" hidden="false" customHeight="false" outlineLevel="0" collapsed="false">
      <c r="A87" s="52" t="n">
        <v>44326</v>
      </c>
      <c r="B87" s="57" t="n">
        <v>-0.00132</v>
      </c>
      <c r="C87" s="57" t="n">
        <v>-0.0014</v>
      </c>
      <c r="D87" s="57" t="n">
        <v>-0.00091</v>
      </c>
    </row>
    <row r="88" customFormat="false" ht="15" hidden="false" customHeight="false" outlineLevel="0" collapsed="false">
      <c r="A88" s="52" t="n">
        <v>44327</v>
      </c>
      <c r="B88" s="57" t="n">
        <v>-0.00132</v>
      </c>
      <c r="C88" s="57" t="n">
        <v>-0.00141</v>
      </c>
      <c r="D88" s="57" t="n">
        <v>-0.00095</v>
      </c>
    </row>
    <row r="89" customFormat="false" ht="15" hidden="false" customHeight="false" outlineLevel="0" collapsed="false">
      <c r="A89" s="52" t="n">
        <v>44328</v>
      </c>
      <c r="B89" s="57" t="n">
        <v>-0.00127</v>
      </c>
      <c r="C89" s="57" t="n">
        <v>-0.00141</v>
      </c>
      <c r="D89" s="57" t="n">
        <v>-0.00089</v>
      </c>
    </row>
    <row r="90" customFormat="false" ht="15" hidden="false" customHeight="false" outlineLevel="0" collapsed="false">
      <c r="A90" s="52" t="n">
        <v>44329</v>
      </c>
      <c r="B90" s="57" t="n">
        <v>-0.00127</v>
      </c>
      <c r="C90" s="57" t="n">
        <v>-0.00136</v>
      </c>
      <c r="D90" s="57" t="n">
        <v>-0.00085</v>
      </c>
    </row>
    <row r="91" customFormat="false" ht="15" hidden="false" customHeight="false" outlineLevel="0" collapsed="false">
      <c r="A91" s="52" t="n">
        <v>44330</v>
      </c>
      <c r="B91" s="57" t="n">
        <v>-0.00128</v>
      </c>
      <c r="C91" s="57" t="n">
        <v>-0.00136</v>
      </c>
      <c r="D91" s="57" t="n">
        <v>-0.00096</v>
      </c>
    </row>
    <row r="92" customFormat="false" ht="15" hidden="false" customHeight="false" outlineLevel="0" collapsed="false">
      <c r="A92" s="52" t="n">
        <v>44333</v>
      </c>
      <c r="B92" s="57" t="n">
        <v>-0.0013</v>
      </c>
      <c r="C92" s="57" t="n">
        <v>-0.00135</v>
      </c>
      <c r="D92" s="57" t="n">
        <v>-0.00096</v>
      </c>
    </row>
    <row r="93" customFormat="false" ht="15" hidden="false" customHeight="false" outlineLevel="0" collapsed="false">
      <c r="A93" s="52" t="n">
        <v>44334</v>
      </c>
      <c r="B93" s="57" t="n">
        <v>-0.00129</v>
      </c>
      <c r="C93" s="57" t="n">
        <v>-0.00135</v>
      </c>
      <c r="D93" s="57" t="n">
        <v>-0.00096</v>
      </c>
    </row>
    <row r="94" customFormat="false" ht="15" hidden="false" customHeight="false" outlineLevel="0" collapsed="false">
      <c r="A94" s="52" t="n">
        <v>44335</v>
      </c>
      <c r="B94" s="57" t="n">
        <v>-0.00129</v>
      </c>
      <c r="C94" s="57" t="n">
        <v>-0.00135</v>
      </c>
      <c r="D94" s="57" t="n">
        <v>-0.00096</v>
      </c>
    </row>
    <row r="95" customFormat="false" ht="15" hidden="false" customHeight="false" outlineLevel="0" collapsed="false">
      <c r="A95" s="52" t="n">
        <v>44336</v>
      </c>
      <c r="B95" s="57" t="n">
        <v>-0.00129</v>
      </c>
      <c r="C95" s="57" t="n">
        <v>-0.00131</v>
      </c>
      <c r="D95" s="57" t="n">
        <v>-0.00089</v>
      </c>
    </row>
    <row r="96" customFormat="false" ht="15" hidden="false" customHeight="false" outlineLevel="0" collapsed="false">
      <c r="A96" s="52" t="n">
        <v>44337</v>
      </c>
      <c r="B96" s="57" t="n">
        <v>-0.00129</v>
      </c>
      <c r="C96" s="57" t="n">
        <v>-0.00131</v>
      </c>
      <c r="D96" s="57" t="n">
        <v>-0.00089</v>
      </c>
    </row>
    <row r="97" customFormat="false" ht="15" hidden="false" customHeight="false" outlineLevel="0" collapsed="false">
      <c r="A97" s="52" t="n">
        <v>44340</v>
      </c>
      <c r="B97" s="57" t="n">
        <v>-0.0013</v>
      </c>
      <c r="C97" s="57" t="n">
        <v>-0.00129</v>
      </c>
      <c r="D97" s="57" t="n">
        <v>-0.00094</v>
      </c>
    </row>
    <row r="98" customFormat="false" ht="15" hidden="false" customHeight="false" outlineLevel="0" collapsed="false">
      <c r="A98" s="52" t="n">
        <v>44341</v>
      </c>
      <c r="B98" s="57" t="n">
        <v>-0.0013</v>
      </c>
      <c r="C98" s="57" t="n">
        <v>-0.00129</v>
      </c>
      <c r="D98" s="57" t="n">
        <v>-0.00094</v>
      </c>
    </row>
    <row r="99" customFormat="false" ht="15" hidden="false" customHeight="false" outlineLevel="0" collapsed="false">
      <c r="A99" s="52" t="n">
        <v>44342</v>
      </c>
      <c r="B99" s="57" t="n">
        <v>-0.0013</v>
      </c>
      <c r="C99" s="57" t="n">
        <v>-0.00129</v>
      </c>
      <c r="D99" s="57" t="n">
        <v>-0.00094</v>
      </c>
    </row>
    <row r="100" customFormat="false" ht="15" hidden="false" customHeight="false" outlineLevel="0" collapsed="false">
      <c r="A100" s="52" t="n">
        <v>44343</v>
      </c>
      <c r="B100" s="57" t="n">
        <v>-0.00136</v>
      </c>
      <c r="C100" s="57" t="n">
        <v>-0.00135</v>
      </c>
      <c r="D100" s="57" t="n">
        <v>-0.001</v>
      </c>
    </row>
    <row r="101" customFormat="false" ht="15" hidden="false" customHeight="false" outlineLevel="0" collapsed="false">
      <c r="A101" s="52" t="n">
        <v>44344</v>
      </c>
      <c r="B101" s="57" t="n">
        <v>-0.00136</v>
      </c>
      <c r="C101" s="57" t="n">
        <v>-0.00129</v>
      </c>
      <c r="D101" s="57" t="n">
        <v>-0.00089</v>
      </c>
    </row>
    <row r="102" customFormat="false" ht="15" hidden="false" customHeight="false" outlineLevel="0" collapsed="false">
      <c r="A102" s="52" t="n">
        <v>44347</v>
      </c>
      <c r="B102" s="57" t="n">
        <v>-0.00125</v>
      </c>
      <c r="C102" s="57" t="n">
        <v>-0.0013</v>
      </c>
      <c r="D102" s="57" t="n">
        <v>-0.00093</v>
      </c>
    </row>
    <row r="103" customFormat="false" ht="15" hidden="false" customHeight="false" outlineLevel="0" collapsed="false">
      <c r="A103" s="52" t="n">
        <v>44348</v>
      </c>
      <c r="B103" s="57" t="n">
        <v>-0.00125</v>
      </c>
      <c r="C103" s="57" t="n">
        <v>-0.0013</v>
      </c>
      <c r="D103" s="57" t="n">
        <v>-0.00092</v>
      </c>
    </row>
    <row r="104" customFormat="false" ht="15" hidden="false" customHeight="false" outlineLevel="0" collapsed="false">
      <c r="A104" s="52" t="n">
        <v>44349</v>
      </c>
      <c r="B104" s="57" t="n">
        <v>-0.00125</v>
      </c>
      <c r="C104" s="57" t="n">
        <v>-0.0013</v>
      </c>
      <c r="D104" s="57" t="n">
        <v>-0.00092</v>
      </c>
    </row>
    <row r="105" customFormat="false" ht="15" hidden="false" customHeight="false" outlineLevel="0" collapsed="false">
      <c r="A105" s="52" t="n">
        <v>44350</v>
      </c>
      <c r="B105" s="57" t="n">
        <v>-0.0012</v>
      </c>
      <c r="C105" s="57" t="n">
        <v>-0.0013</v>
      </c>
      <c r="D105" s="57" t="n">
        <v>-0.00092</v>
      </c>
    </row>
    <row r="106" customFormat="false" ht="15" hidden="false" customHeight="false" outlineLevel="0" collapsed="false">
      <c r="A106" s="52" t="n">
        <v>44351</v>
      </c>
      <c r="B106" s="57" t="n">
        <v>-0.0012</v>
      </c>
      <c r="C106" s="57" t="n">
        <v>-0.0013</v>
      </c>
      <c r="D106" s="57" t="n">
        <v>-0.00092</v>
      </c>
    </row>
    <row r="107" customFormat="false" ht="15" hidden="false" customHeight="false" outlineLevel="0" collapsed="false">
      <c r="A107" s="52" t="n">
        <v>44354</v>
      </c>
      <c r="B107" s="57" t="n">
        <v>-0.0012</v>
      </c>
      <c r="C107" s="57" t="n">
        <v>-0.00131</v>
      </c>
      <c r="D107" s="57" t="n">
        <v>-0.00092</v>
      </c>
    </row>
    <row r="108" customFormat="false" ht="15" hidden="false" customHeight="false" outlineLevel="0" collapsed="false">
      <c r="A108" s="52" t="n">
        <v>44355</v>
      </c>
      <c r="B108" s="57" t="n">
        <v>-0.00121</v>
      </c>
      <c r="C108" s="57" t="n">
        <v>-0.00134</v>
      </c>
      <c r="D108" s="57" t="n">
        <v>-0.00097</v>
      </c>
    </row>
    <row r="109" customFormat="false" ht="15" hidden="false" customHeight="false" outlineLevel="0" collapsed="false">
      <c r="A109" s="52" t="n">
        <v>44356</v>
      </c>
      <c r="B109" s="57" t="n">
        <v>-0.00121</v>
      </c>
      <c r="C109" s="57" t="n">
        <v>-0.00134</v>
      </c>
      <c r="D109" s="57" t="n">
        <v>-0.00098</v>
      </c>
    </row>
    <row r="110" customFormat="false" ht="15" hidden="false" customHeight="false" outlineLevel="0" collapsed="false">
      <c r="A110" s="52" t="n">
        <v>44357</v>
      </c>
      <c r="B110" s="57" t="n">
        <v>-0.00126</v>
      </c>
      <c r="C110" s="57" t="n">
        <v>-0.00137</v>
      </c>
      <c r="D110" s="57" t="n">
        <v>-0.0011</v>
      </c>
    </row>
    <row r="111" customFormat="false" ht="15" hidden="false" customHeight="false" outlineLevel="0" collapsed="false">
      <c r="A111" s="52" t="n">
        <v>44358</v>
      </c>
      <c r="B111" s="57" t="n">
        <v>-0.00126</v>
      </c>
      <c r="C111" s="57" t="n">
        <v>-0.00138</v>
      </c>
      <c r="D111" s="57" t="n">
        <v>-0.00115</v>
      </c>
    </row>
    <row r="112" customFormat="false" ht="15" hidden="false" customHeight="false" outlineLevel="0" collapsed="false">
      <c r="A112" s="52" t="n">
        <v>44361</v>
      </c>
      <c r="B112" s="57" t="n">
        <v>-0.00126</v>
      </c>
      <c r="C112" s="57" t="n">
        <v>-0.00138</v>
      </c>
      <c r="D112" s="57" t="n">
        <v>-0.00111</v>
      </c>
    </row>
    <row r="113" customFormat="false" ht="15" hidden="false" customHeight="false" outlineLevel="0" collapsed="false">
      <c r="A113" s="52" t="n">
        <v>44362</v>
      </c>
      <c r="B113" s="57" t="n">
        <v>-0.00127</v>
      </c>
      <c r="C113" s="57" t="n">
        <v>-0.00138</v>
      </c>
      <c r="D113" s="57" t="n">
        <v>-0.00108</v>
      </c>
    </row>
    <row r="114" customFormat="false" ht="15" hidden="false" customHeight="false" outlineLevel="0" collapsed="false">
      <c r="A114" s="52" t="n">
        <v>44363</v>
      </c>
      <c r="B114" s="57" t="n">
        <v>-0.00128</v>
      </c>
      <c r="C114" s="57" t="n">
        <v>-0.00135</v>
      </c>
      <c r="D114" s="57" t="n">
        <v>-0.00102</v>
      </c>
    </row>
    <row r="115" customFormat="false" ht="15" hidden="false" customHeight="false" outlineLevel="0" collapsed="false">
      <c r="A115" s="52" t="n">
        <v>44364</v>
      </c>
      <c r="B115" s="57" t="n">
        <v>-0.00123</v>
      </c>
      <c r="C115" s="57" t="n">
        <v>-0.00126</v>
      </c>
      <c r="D115" s="57" t="n">
        <v>-0.00095</v>
      </c>
    </row>
    <row r="116" customFormat="false" ht="15" hidden="false" customHeight="false" outlineLevel="0" collapsed="false">
      <c r="A116" s="52" t="n">
        <v>44365</v>
      </c>
      <c r="B116" s="57" t="n">
        <v>-0.00123</v>
      </c>
      <c r="C116" s="57" t="n">
        <v>-0.00129</v>
      </c>
      <c r="D116" s="57" t="n">
        <v>-0.00099</v>
      </c>
    </row>
    <row r="117" customFormat="false" ht="15" hidden="false" customHeight="false" outlineLevel="0" collapsed="false">
      <c r="A117" s="52" t="n">
        <v>44368</v>
      </c>
      <c r="B117" s="57" t="n">
        <v>-0.00121</v>
      </c>
      <c r="C117" s="57" t="n">
        <v>-0.0013</v>
      </c>
      <c r="D117" s="57" t="n">
        <v>-0.00104</v>
      </c>
    </row>
    <row r="118" customFormat="false" ht="15" hidden="false" customHeight="false" outlineLevel="0" collapsed="false">
      <c r="A118" s="52" t="n">
        <v>44369</v>
      </c>
      <c r="B118" s="57" t="n">
        <v>-0.00115</v>
      </c>
      <c r="C118" s="57" t="n">
        <v>-0.00123</v>
      </c>
      <c r="D118" s="57" t="n">
        <v>-0.00096</v>
      </c>
    </row>
    <row r="119" customFormat="false" ht="15" hidden="false" customHeight="false" outlineLevel="0" collapsed="false">
      <c r="A119" s="52" t="n">
        <v>44370</v>
      </c>
      <c r="B119" s="57" t="n">
        <v>-0.00116</v>
      </c>
      <c r="C119" s="57" t="n">
        <v>-0.00123</v>
      </c>
      <c r="D119" s="57" t="n">
        <v>-0.00095</v>
      </c>
    </row>
    <row r="120" customFormat="false" ht="15" hidden="false" customHeight="false" outlineLevel="0" collapsed="false">
      <c r="A120" s="52" t="n">
        <v>44371</v>
      </c>
      <c r="B120" s="57" t="n">
        <v>-0.00116</v>
      </c>
      <c r="C120" s="57" t="n">
        <v>-0.00123</v>
      </c>
      <c r="D120" s="57" t="n">
        <v>-0.00092</v>
      </c>
    </row>
    <row r="121" customFormat="false" ht="15" hidden="false" customHeight="false" outlineLevel="0" collapsed="false">
      <c r="A121" s="52" t="n">
        <v>44372</v>
      </c>
      <c r="B121" s="57" t="n">
        <v>-0.00116</v>
      </c>
      <c r="C121" s="57" t="n">
        <v>-0.00127</v>
      </c>
      <c r="D121" s="57" t="n">
        <v>-0.001</v>
      </c>
    </row>
    <row r="122" customFormat="false" ht="15" hidden="false" customHeight="false" outlineLevel="0" collapsed="false">
      <c r="A122" s="52" t="n">
        <v>44375</v>
      </c>
      <c r="B122" s="57" t="n">
        <v>-0.00115</v>
      </c>
      <c r="C122" s="57" t="n">
        <v>-0.00124</v>
      </c>
      <c r="D122" s="57" t="n">
        <v>-0.00092</v>
      </c>
    </row>
    <row r="123" customFormat="false" ht="15" hidden="false" customHeight="false" outlineLevel="0" collapsed="false">
      <c r="A123" s="52" t="n">
        <v>44376</v>
      </c>
      <c r="B123" s="57" t="n">
        <v>-0.00114</v>
      </c>
      <c r="C123" s="57" t="n">
        <v>-0.00128</v>
      </c>
      <c r="D123" s="57" t="n">
        <v>-0.00092</v>
      </c>
    </row>
    <row r="124" customFormat="false" ht="15" hidden="false" customHeight="false" outlineLevel="0" collapsed="false">
      <c r="A124" s="52" t="n">
        <v>44377</v>
      </c>
      <c r="B124" s="57" t="n">
        <v>-0.00115</v>
      </c>
      <c r="C124" s="57" t="n">
        <v>-0.00128</v>
      </c>
      <c r="D124" s="57" t="n">
        <v>-0.00098</v>
      </c>
    </row>
    <row r="125" customFormat="false" ht="15" hidden="false" customHeight="false" outlineLevel="0" collapsed="false">
      <c r="A125" s="52" t="n">
        <v>44378</v>
      </c>
      <c r="B125" s="57" t="n">
        <v>-0.0012</v>
      </c>
      <c r="C125" s="57" t="n">
        <v>-0.00135</v>
      </c>
      <c r="D125" s="57" t="n">
        <v>-0.00107</v>
      </c>
    </row>
    <row r="126" customFormat="false" ht="15" hidden="false" customHeight="false" outlineLevel="0" collapsed="false">
      <c r="A126" s="52" t="n">
        <v>44379</v>
      </c>
      <c r="B126" s="57" t="n">
        <v>-0.0012</v>
      </c>
      <c r="C126" s="57" t="n">
        <v>-0.00135</v>
      </c>
      <c r="D126" s="57" t="n">
        <v>-0.00107</v>
      </c>
    </row>
    <row r="127" customFormat="false" ht="15" hidden="false" customHeight="false" outlineLevel="0" collapsed="false">
      <c r="A127" s="52" t="n">
        <v>44382</v>
      </c>
      <c r="B127" s="57" t="n">
        <v>-0.00116</v>
      </c>
      <c r="C127" s="57" t="n">
        <v>-0.00136</v>
      </c>
      <c r="D127" s="57" t="n">
        <v>-0.00114</v>
      </c>
    </row>
    <row r="128" customFormat="false" ht="15" hidden="false" customHeight="false" outlineLevel="0" collapsed="false">
      <c r="A128" s="52" t="n">
        <v>44383</v>
      </c>
      <c r="B128" s="57" t="n">
        <v>-0.00111</v>
      </c>
      <c r="C128" s="57" t="n">
        <v>-0.0013</v>
      </c>
      <c r="D128" s="57" t="n">
        <v>-0.00105</v>
      </c>
    </row>
    <row r="129" customFormat="false" ht="15" hidden="false" customHeight="false" outlineLevel="0" collapsed="false">
      <c r="A129" s="52" t="n">
        <v>44384</v>
      </c>
      <c r="B129" s="57" t="n">
        <v>-0.00111</v>
      </c>
      <c r="C129" s="57" t="n">
        <v>-0.00131</v>
      </c>
      <c r="D129" s="57" t="n">
        <v>-0.00109</v>
      </c>
    </row>
    <row r="130" customFormat="false" ht="15" hidden="false" customHeight="false" outlineLevel="0" collapsed="false">
      <c r="A130" s="52" t="n">
        <v>44385</v>
      </c>
      <c r="B130" s="57" t="n">
        <v>-0.00117</v>
      </c>
      <c r="C130" s="57" t="n">
        <v>-0.00135</v>
      </c>
      <c r="D130" s="57" t="n">
        <v>-0.00119</v>
      </c>
    </row>
    <row r="131" customFormat="false" ht="15" hidden="false" customHeight="false" outlineLevel="0" collapsed="false">
      <c r="A131" s="52" t="n">
        <v>44386</v>
      </c>
      <c r="B131" s="57" t="n">
        <v>-0.00117</v>
      </c>
      <c r="C131" s="57" t="n">
        <v>-0.00134</v>
      </c>
      <c r="D131" s="57" t="n">
        <v>-0.00119</v>
      </c>
    </row>
    <row r="132" customFormat="false" ht="15" hidden="false" customHeight="false" outlineLevel="0" collapsed="false">
      <c r="A132" s="52" t="n">
        <v>44389</v>
      </c>
      <c r="B132" s="57" t="n">
        <v>-0.00117</v>
      </c>
      <c r="C132" s="57" t="n">
        <v>-0.00134</v>
      </c>
      <c r="D132" s="57" t="n">
        <v>-0.00119</v>
      </c>
    </row>
    <row r="133" customFormat="false" ht="15" hidden="false" customHeight="false" outlineLevel="0" collapsed="false">
      <c r="A133" s="52" t="n">
        <v>44390</v>
      </c>
      <c r="B133" s="57" t="n">
        <v>-0.00122</v>
      </c>
      <c r="C133" s="57" t="n">
        <v>-0.00138</v>
      </c>
      <c r="D133" s="57" t="n">
        <v>-0.0012</v>
      </c>
    </row>
    <row r="134" customFormat="false" ht="15" hidden="false" customHeight="false" outlineLevel="0" collapsed="false">
      <c r="A134" s="52" t="n">
        <v>44391</v>
      </c>
      <c r="B134" s="57" t="n">
        <v>-0.00128</v>
      </c>
      <c r="C134" s="57" t="n">
        <v>-0.00145</v>
      </c>
      <c r="D134" s="57" t="n">
        <v>-0.00123</v>
      </c>
    </row>
    <row r="135" customFormat="false" ht="15" hidden="false" customHeight="false" outlineLevel="0" collapsed="false">
      <c r="A135" s="52" t="n">
        <v>44392</v>
      </c>
      <c r="B135" s="57" t="n">
        <v>-0.00128</v>
      </c>
      <c r="C135" s="57" t="n">
        <v>-0.00145</v>
      </c>
      <c r="D135" s="57" t="n">
        <v>-0.00127</v>
      </c>
    </row>
    <row r="136" customFormat="false" ht="15" hidden="false" customHeight="false" outlineLevel="0" collapsed="false">
      <c r="A136" s="52" t="n">
        <v>44393</v>
      </c>
      <c r="B136" s="57" t="n">
        <v>-0.00128</v>
      </c>
      <c r="C136" s="57" t="n">
        <v>-0.00141</v>
      </c>
      <c r="D136" s="57" t="n">
        <v>-0.00123</v>
      </c>
    </row>
    <row r="137" customFormat="false" ht="15" hidden="false" customHeight="false" outlineLevel="0" collapsed="false">
      <c r="A137" s="52" t="n">
        <v>44396</v>
      </c>
      <c r="B137" s="57" t="n">
        <v>-0.00134</v>
      </c>
      <c r="C137" s="57" t="n">
        <v>-0.00144</v>
      </c>
      <c r="D137" s="57" t="n">
        <v>-0.00128</v>
      </c>
    </row>
    <row r="138" customFormat="false" ht="15" hidden="false" customHeight="false" outlineLevel="0" collapsed="false">
      <c r="A138" s="52" t="n">
        <v>44397</v>
      </c>
      <c r="B138" s="57" t="n">
        <v>-0.00134</v>
      </c>
      <c r="C138" s="57" t="n">
        <v>-0.00144</v>
      </c>
      <c r="D138" s="57" t="n">
        <v>-0.00134</v>
      </c>
    </row>
    <row r="139" customFormat="false" ht="15" hidden="false" customHeight="false" outlineLevel="0" collapsed="false">
      <c r="A139" s="52" t="n">
        <v>44398</v>
      </c>
      <c r="B139" s="57" t="n">
        <v>-0.00134</v>
      </c>
      <c r="C139" s="57" t="n">
        <v>-0.00143</v>
      </c>
      <c r="D139" s="57" t="n">
        <v>-0.00134</v>
      </c>
    </row>
    <row r="140" customFormat="false" ht="15" hidden="false" customHeight="false" outlineLevel="0" collapsed="false">
      <c r="A140" s="52" t="n">
        <v>44403</v>
      </c>
      <c r="B140" s="57" t="n">
        <v>-0.00135</v>
      </c>
      <c r="C140" s="57" t="n">
        <v>-0.00144</v>
      </c>
      <c r="D140" s="57" t="n">
        <v>-0.00134</v>
      </c>
    </row>
    <row r="141" customFormat="false" ht="15" hidden="false" customHeight="false" outlineLevel="0" collapsed="false">
      <c r="A141" s="52" t="n">
        <v>44404</v>
      </c>
      <c r="B141" s="57" t="n">
        <v>-0.0013</v>
      </c>
      <c r="C141" s="57" t="n">
        <v>-0.00137</v>
      </c>
      <c r="D141" s="57" t="n">
        <v>-0.00128</v>
      </c>
    </row>
    <row r="142" customFormat="false" ht="15" hidden="false" customHeight="false" outlineLevel="0" collapsed="false">
      <c r="A142" s="52" t="n">
        <v>44405</v>
      </c>
      <c r="B142" s="57" t="n">
        <v>-0.0013</v>
      </c>
      <c r="C142" s="57" t="n">
        <v>-0.00138</v>
      </c>
      <c r="D142" s="57" t="n">
        <v>-0.00128</v>
      </c>
    </row>
    <row r="143" customFormat="false" ht="15" hidden="false" customHeight="false" outlineLevel="0" collapsed="false">
      <c r="A143" s="52" t="n">
        <v>44406</v>
      </c>
      <c r="B143" s="57" t="n">
        <v>-0.00125</v>
      </c>
      <c r="C143" s="57" t="n">
        <v>-0.00139</v>
      </c>
      <c r="D143" s="57" t="n">
        <v>-0.00128</v>
      </c>
    </row>
    <row r="144" customFormat="false" ht="15" hidden="false" customHeight="false" outlineLevel="0" collapsed="false">
      <c r="A144" s="52" t="n">
        <v>44407</v>
      </c>
      <c r="B144" s="57" t="n">
        <v>-0.00125</v>
      </c>
      <c r="C144" s="57" t="n">
        <v>-0.00137</v>
      </c>
      <c r="D144" s="57" t="n">
        <v>-0.00123</v>
      </c>
    </row>
    <row r="145" customFormat="false" ht="15" hidden="false" customHeight="false" outlineLevel="0" collapsed="false">
      <c r="A145" s="52" t="n">
        <v>44410</v>
      </c>
      <c r="B145" s="57" t="n">
        <v>-0.0013</v>
      </c>
      <c r="C145" s="57" t="n">
        <v>-0.00139</v>
      </c>
      <c r="D145" s="57" t="n">
        <v>-0.00123</v>
      </c>
    </row>
    <row r="146" customFormat="false" ht="15" hidden="false" customHeight="false" outlineLevel="0" collapsed="false">
      <c r="A146" s="52" t="n">
        <v>44411</v>
      </c>
      <c r="B146" s="57" t="n">
        <v>-0.00125</v>
      </c>
      <c r="C146" s="57" t="n">
        <v>-0.00139</v>
      </c>
      <c r="D146" s="57" t="n">
        <v>-0.00129</v>
      </c>
    </row>
    <row r="147" customFormat="false" ht="15" hidden="false" customHeight="false" outlineLevel="0" collapsed="false">
      <c r="A147" s="52" t="n">
        <v>44412</v>
      </c>
      <c r="B147" s="57" t="n">
        <v>-0.0013</v>
      </c>
      <c r="C147" s="57" t="n">
        <v>-0.00144</v>
      </c>
      <c r="D147" s="57" t="n">
        <v>-0.00133</v>
      </c>
    </row>
    <row r="148" customFormat="false" ht="15" hidden="false" customHeight="false" outlineLevel="0" collapsed="false">
      <c r="A148" s="52" t="n">
        <v>44413</v>
      </c>
      <c r="B148" s="57" t="n">
        <v>-0.00136</v>
      </c>
      <c r="C148" s="57" t="n">
        <v>-0.00144</v>
      </c>
      <c r="D148" s="57" t="n">
        <v>-0.00133</v>
      </c>
    </row>
    <row r="149" customFormat="false" ht="15" hidden="false" customHeight="false" outlineLevel="0" collapsed="false">
      <c r="A149" s="52" t="n">
        <v>44414</v>
      </c>
      <c r="B149" s="57" t="n">
        <v>-0.00136</v>
      </c>
      <c r="C149" s="57" t="n">
        <v>-0.00141</v>
      </c>
      <c r="D149" s="57" t="n">
        <v>-0.00128</v>
      </c>
    </row>
    <row r="150" customFormat="false" ht="15" hidden="false" customHeight="false" outlineLevel="0" collapsed="false">
      <c r="A150" s="52" t="n">
        <v>44418</v>
      </c>
      <c r="B150" s="57" t="n">
        <v>-0.00131</v>
      </c>
      <c r="C150" s="57" t="n">
        <v>-0.00136</v>
      </c>
      <c r="D150" s="57" t="n">
        <v>-0.00123</v>
      </c>
    </row>
    <row r="151" customFormat="false" ht="15" hidden="false" customHeight="false" outlineLevel="0" collapsed="false">
      <c r="A151" s="52" t="n">
        <v>44419</v>
      </c>
      <c r="B151" s="57" t="n">
        <v>-0.00131</v>
      </c>
      <c r="C151" s="57" t="n">
        <v>-0.00131</v>
      </c>
      <c r="D151" s="57" t="n">
        <v>-0.00118</v>
      </c>
    </row>
    <row r="152" customFormat="false" ht="15" hidden="false" customHeight="false" outlineLevel="0" collapsed="false">
      <c r="A152" s="52" t="n">
        <v>44420</v>
      </c>
      <c r="B152" s="57" t="n">
        <v>-0.00131</v>
      </c>
      <c r="C152" s="57" t="n">
        <v>-0.00131</v>
      </c>
      <c r="D152" s="57" t="n">
        <v>-0.00123</v>
      </c>
    </row>
    <row r="153" customFormat="false" ht="15" hidden="false" customHeight="false" outlineLevel="0" collapsed="false">
      <c r="A153" s="52" t="n">
        <v>44421</v>
      </c>
      <c r="B153" s="57" t="n">
        <v>-0.00136</v>
      </c>
      <c r="C153" s="57" t="n">
        <v>-0.00133</v>
      </c>
      <c r="D153" s="57" t="n">
        <v>-0.00124</v>
      </c>
    </row>
    <row r="154" customFormat="false" ht="15" hidden="false" customHeight="false" outlineLevel="0" collapsed="false">
      <c r="A154" s="52" t="n">
        <v>44424</v>
      </c>
      <c r="B154" s="57" t="n">
        <v>-0.00136</v>
      </c>
      <c r="C154" s="57" t="n">
        <v>-0.00139</v>
      </c>
      <c r="D154" s="57" t="n">
        <v>-0.00128</v>
      </c>
    </row>
    <row r="155" customFormat="false" ht="15" hidden="false" customHeight="false" outlineLevel="0" collapsed="false">
      <c r="A155" s="52" t="n">
        <v>44425</v>
      </c>
      <c r="B155" s="57" t="n">
        <v>-0.00142</v>
      </c>
      <c r="C155" s="57" t="n">
        <v>-0.00139</v>
      </c>
      <c r="D155" s="57" t="n">
        <v>-0.00134</v>
      </c>
    </row>
    <row r="156" customFormat="false" ht="15" hidden="false" customHeight="false" outlineLevel="0" collapsed="false">
      <c r="A156" s="52" t="n">
        <v>44426</v>
      </c>
      <c r="B156" s="57" t="n">
        <v>-0.00142</v>
      </c>
      <c r="C156" s="57" t="n">
        <v>-0.00139</v>
      </c>
      <c r="D156" s="57" t="n">
        <v>-0.00134</v>
      </c>
    </row>
    <row r="157" customFormat="false" ht="15" hidden="false" customHeight="false" outlineLevel="0" collapsed="false">
      <c r="A157" s="52" t="n">
        <v>44427</v>
      </c>
      <c r="B157" s="57" t="n">
        <v>-0.00142</v>
      </c>
      <c r="C157" s="57" t="n">
        <v>-0.00139</v>
      </c>
      <c r="D157" s="57" t="n">
        <v>-0.00128</v>
      </c>
    </row>
    <row r="158" customFormat="false" ht="15" hidden="false" customHeight="false" outlineLevel="0" collapsed="false">
      <c r="A158" s="52" t="n">
        <v>44428</v>
      </c>
      <c r="B158" s="57" t="n">
        <v>-0.00142</v>
      </c>
      <c r="C158" s="57" t="n">
        <v>-0.0014</v>
      </c>
      <c r="D158" s="57" t="n">
        <v>-0.00129</v>
      </c>
    </row>
    <row r="159" customFormat="false" ht="15" hidden="false" customHeight="false" outlineLevel="0" collapsed="false">
      <c r="A159" s="52" t="n">
        <v>44431</v>
      </c>
      <c r="B159" s="57" t="n">
        <v>-0.00139</v>
      </c>
      <c r="C159" s="57" t="n">
        <v>-0.00133</v>
      </c>
      <c r="D159" s="57" t="n">
        <v>-0.00124</v>
      </c>
    </row>
    <row r="160" customFormat="false" ht="15" hidden="false" customHeight="false" outlineLevel="0" collapsed="false">
      <c r="A160" s="52" t="n">
        <v>44432</v>
      </c>
      <c r="B160" s="57" t="n">
        <v>-0.00139</v>
      </c>
      <c r="C160" s="57" t="n">
        <v>-0.00134</v>
      </c>
      <c r="D160" s="57" t="n">
        <v>-0.00118</v>
      </c>
    </row>
    <row r="161" customFormat="false" ht="15" hidden="false" customHeight="false" outlineLevel="0" collapsed="false">
      <c r="A161" s="52" t="n">
        <v>44433</v>
      </c>
      <c r="B161" s="57" t="n">
        <v>-0.00138</v>
      </c>
      <c r="C161" s="57" t="n">
        <v>-0.00134</v>
      </c>
      <c r="D161" s="57" t="n">
        <v>-0.00119</v>
      </c>
    </row>
    <row r="162" customFormat="false" ht="15" hidden="false" customHeight="false" outlineLevel="0" collapsed="false">
      <c r="A162" s="52" t="n">
        <v>44434</v>
      </c>
      <c r="B162" s="57" t="n">
        <v>-0.00133</v>
      </c>
      <c r="C162" s="57" t="n">
        <v>-0.00132</v>
      </c>
      <c r="D162" s="57" t="n">
        <v>-0.00117</v>
      </c>
    </row>
    <row r="163" customFormat="false" ht="15" hidden="false" customHeight="false" outlineLevel="0" collapsed="false">
      <c r="A163" s="52" t="n">
        <v>44435</v>
      </c>
      <c r="B163" s="57" t="n">
        <v>-0.00133</v>
      </c>
      <c r="C163" s="57" t="n">
        <v>-0.0013</v>
      </c>
      <c r="D163" s="57" t="n">
        <v>-0.00115</v>
      </c>
    </row>
    <row r="164" customFormat="false" ht="15" hidden="false" customHeight="false" outlineLevel="0" collapsed="false">
      <c r="A164" s="52" t="n">
        <v>44438</v>
      </c>
      <c r="B164" s="57" t="n">
        <v>-0.00128</v>
      </c>
      <c r="C164" s="57" t="n">
        <v>-0.0013</v>
      </c>
      <c r="D164" s="57" t="n">
        <v>-0.00118</v>
      </c>
    </row>
    <row r="165" customFormat="false" ht="15" hidden="false" customHeight="false" outlineLevel="0" collapsed="false">
      <c r="A165" s="52" t="n">
        <v>44439</v>
      </c>
      <c r="B165" s="57" t="n">
        <v>-0.0013</v>
      </c>
      <c r="C165" s="57" t="n">
        <v>-0.0013</v>
      </c>
      <c r="D165" s="57" t="n">
        <v>-0.00118</v>
      </c>
    </row>
    <row r="166" customFormat="false" ht="15" hidden="false" customHeight="false" outlineLevel="0" collapsed="false">
      <c r="A166" s="52" t="n">
        <v>44440</v>
      </c>
      <c r="B166" s="57" t="n">
        <v>-0.0013</v>
      </c>
      <c r="C166" s="57" t="n">
        <v>-0.00124</v>
      </c>
      <c r="D166" s="57" t="n">
        <v>-0.00107</v>
      </c>
    </row>
    <row r="167" customFormat="false" ht="15" hidden="false" customHeight="false" outlineLevel="0" collapsed="false">
      <c r="A167" s="52" t="n">
        <v>44441</v>
      </c>
      <c r="B167" s="57" t="n">
        <v>-0.0013</v>
      </c>
      <c r="C167" s="57" t="n">
        <v>-0.00124</v>
      </c>
      <c r="D167" s="57" t="n">
        <v>-0.00107</v>
      </c>
    </row>
    <row r="168" customFormat="false" ht="15" hidden="false" customHeight="false" outlineLevel="0" collapsed="false">
      <c r="A168" s="52" t="n">
        <v>44442</v>
      </c>
      <c r="B168" s="57" t="n">
        <v>-0.00125</v>
      </c>
      <c r="C168" s="57" t="n">
        <v>-0.00124</v>
      </c>
      <c r="D168" s="57" t="n">
        <v>-0.00104</v>
      </c>
    </row>
    <row r="169" customFormat="false" ht="15" hidden="false" customHeight="false" outlineLevel="0" collapsed="false">
      <c r="A169" s="52" t="n">
        <v>44445</v>
      </c>
      <c r="B169" s="57" t="n">
        <v>-0.0012</v>
      </c>
      <c r="C169" s="57" t="n">
        <v>-0.00121</v>
      </c>
      <c r="D169" s="57" t="n">
        <v>-0.00097</v>
      </c>
    </row>
    <row r="170" customFormat="false" ht="15" hidden="false" customHeight="false" outlineLevel="0" collapsed="false">
      <c r="A170" s="52" t="n">
        <v>44446</v>
      </c>
      <c r="B170" s="57" t="n">
        <v>-0.00125</v>
      </c>
      <c r="C170" s="57" t="n">
        <v>-0.00121</v>
      </c>
      <c r="D170" s="57" t="n">
        <v>-0.00097</v>
      </c>
    </row>
    <row r="171" customFormat="false" ht="15" hidden="false" customHeight="false" outlineLevel="0" collapsed="false">
      <c r="A171" s="52" t="n">
        <v>44447</v>
      </c>
      <c r="B171" s="57" t="n">
        <v>-0.00125</v>
      </c>
      <c r="C171" s="57" t="n">
        <v>-0.00118</v>
      </c>
      <c r="D171" s="57" t="n">
        <v>-0.00096</v>
      </c>
    </row>
    <row r="172" customFormat="false" ht="15" hidden="false" customHeight="false" outlineLevel="0" collapsed="false">
      <c r="A172" s="52" t="n">
        <v>44448</v>
      </c>
      <c r="B172" s="57" t="n">
        <v>-0.00125</v>
      </c>
      <c r="C172" s="57" t="n">
        <v>-0.00121</v>
      </c>
      <c r="D172" s="57" t="n">
        <v>-0.001</v>
      </c>
    </row>
    <row r="173" customFormat="false" ht="15" hidden="false" customHeight="false" outlineLevel="0" collapsed="false">
      <c r="A173" s="52" t="n">
        <v>44449</v>
      </c>
      <c r="B173" s="57" t="n">
        <v>-0.00125</v>
      </c>
      <c r="C173" s="57" t="n">
        <v>-0.00124</v>
      </c>
      <c r="D173" s="57" t="n">
        <v>-0.00101</v>
      </c>
    </row>
    <row r="174" customFormat="false" ht="15" hidden="false" customHeight="false" outlineLevel="0" collapsed="false">
      <c r="A174" s="52" t="n">
        <v>44452</v>
      </c>
      <c r="B174" s="57" t="n">
        <v>-0.00126</v>
      </c>
      <c r="C174" s="57" t="n">
        <v>-0.00125</v>
      </c>
      <c r="D174" s="57" t="n">
        <v>-0.00101</v>
      </c>
    </row>
    <row r="175" customFormat="false" ht="15" hidden="false" customHeight="false" outlineLevel="0" collapsed="false">
      <c r="A175" s="52" t="n">
        <v>44453</v>
      </c>
      <c r="B175" s="57" t="n">
        <v>-0.00126</v>
      </c>
      <c r="C175" s="57" t="n">
        <v>-0.00125</v>
      </c>
      <c r="D175" s="57" t="n">
        <v>-0.00101</v>
      </c>
    </row>
    <row r="176" customFormat="false" ht="15" hidden="false" customHeight="false" outlineLevel="0" collapsed="false">
      <c r="A176" s="52" t="n">
        <v>44454</v>
      </c>
      <c r="B176" s="57" t="n">
        <v>-0.00131</v>
      </c>
      <c r="C176" s="57" t="n">
        <v>-0.00129</v>
      </c>
      <c r="D176" s="57" t="n">
        <v>-0.00108</v>
      </c>
    </row>
    <row r="177" customFormat="false" ht="15" hidden="false" customHeight="false" outlineLevel="0" collapsed="false">
      <c r="A177" s="52" t="n">
        <v>44455</v>
      </c>
      <c r="B177" s="57" t="n">
        <v>-0.00127</v>
      </c>
      <c r="C177" s="57" t="n">
        <v>-0.00125</v>
      </c>
      <c r="D177" s="57" t="n">
        <v>-0.001</v>
      </c>
    </row>
    <row r="178" customFormat="false" ht="15" hidden="false" customHeight="false" outlineLevel="0" collapsed="false">
      <c r="A178" s="52" t="n">
        <v>44456</v>
      </c>
      <c r="B178" s="57" t="n">
        <v>-0.00127</v>
      </c>
      <c r="C178" s="57" t="n">
        <v>-0.00119</v>
      </c>
      <c r="D178" s="57" t="n">
        <v>-0.00095</v>
      </c>
    </row>
    <row r="179" customFormat="false" ht="15" hidden="false" customHeight="false" outlineLevel="0" collapsed="false">
      <c r="A179" s="52" t="n">
        <v>44460</v>
      </c>
      <c r="B179" s="57" t="n">
        <v>-0.00133</v>
      </c>
      <c r="C179" s="57" t="n">
        <v>-0.00123</v>
      </c>
      <c r="D179" s="57" t="n">
        <v>-0.00102</v>
      </c>
    </row>
    <row r="180" customFormat="false" ht="15" hidden="false" customHeight="false" outlineLevel="0" collapsed="false">
      <c r="A180" s="52" t="n">
        <v>44461</v>
      </c>
      <c r="B180" s="57" t="n">
        <v>-0.00133</v>
      </c>
      <c r="C180" s="57" t="n">
        <v>-0.00123</v>
      </c>
      <c r="D180" s="57" t="n">
        <v>-0.00108</v>
      </c>
    </row>
    <row r="181" customFormat="false" ht="15" hidden="false" customHeight="false" outlineLevel="0" collapsed="false">
      <c r="A181" s="52" t="n">
        <v>44463</v>
      </c>
      <c r="B181" s="57" t="n">
        <v>-0.00128</v>
      </c>
      <c r="C181" s="57" t="n">
        <v>-0.00117</v>
      </c>
      <c r="D181" s="57" t="n">
        <v>-0.00091</v>
      </c>
    </row>
    <row r="182" customFormat="false" ht="15" hidden="false" customHeight="false" outlineLevel="0" collapsed="false">
      <c r="A182" s="52" t="n">
        <v>44466</v>
      </c>
      <c r="B182" s="57" t="n">
        <v>-0.00129</v>
      </c>
      <c r="C182" s="57" t="n">
        <v>-0.00117</v>
      </c>
      <c r="D182" s="57" t="n">
        <v>-0.00091</v>
      </c>
    </row>
    <row r="183" customFormat="false" ht="15" hidden="false" customHeight="false" outlineLevel="0" collapsed="false">
      <c r="A183" s="52" t="n">
        <v>44467</v>
      </c>
      <c r="B183" s="57" t="n">
        <v>-0.00129</v>
      </c>
      <c r="C183" s="57" t="n">
        <v>-0.00114</v>
      </c>
      <c r="D183" s="57" t="n">
        <v>-0.00081</v>
      </c>
    </row>
    <row r="184" customFormat="false" ht="15" hidden="false" customHeight="false" outlineLevel="0" collapsed="false">
      <c r="A184" s="52" t="n">
        <v>44468</v>
      </c>
      <c r="B184" s="57" t="n">
        <v>-0.00125</v>
      </c>
      <c r="C184" s="57" t="n">
        <v>-0.00114</v>
      </c>
      <c r="D184" s="57" t="n">
        <v>-0.0008</v>
      </c>
    </row>
    <row r="185" customFormat="false" ht="15" hidden="false" customHeight="false" outlineLevel="0" collapsed="false">
      <c r="A185" s="52" t="n">
        <v>44469</v>
      </c>
      <c r="B185" s="57" t="n">
        <v>-0.00115</v>
      </c>
      <c r="C185" s="57" t="n">
        <v>-0.00114</v>
      </c>
      <c r="D185" s="57" t="n">
        <v>-0.00079</v>
      </c>
    </row>
    <row r="186" customFormat="false" ht="15" hidden="false" customHeight="false" outlineLevel="0" collapsed="false">
      <c r="A186" s="52" t="n">
        <v>44470</v>
      </c>
      <c r="B186" s="57" t="n">
        <v>-0.00125</v>
      </c>
      <c r="C186" s="57" t="n">
        <v>-0.00125</v>
      </c>
      <c r="D186" s="57" t="n">
        <v>-0.00095</v>
      </c>
    </row>
    <row r="187" customFormat="false" ht="15" hidden="false" customHeight="false" outlineLevel="0" collapsed="false">
      <c r="A187" s="52" t="n">
        <v>44473</v>
      </c>
      <c r="B187" s="57" t="n">
        <v>-0.0012</v>
      </c>
      <c r="C187" s="57" t="n">
        <v>-0.00122</v>
      </c>
      <c r="D187" s="57" t="n">
        <v>-0.00096</v>
      </c>
    </row>
    <row r="188" customFormat="false" ht="15" hidden="false" customHeight="false" outlineLevel="0" collapsed="false">
      <c r="A188" s="52" t="n">
        <v>44474</v>
      </c>
      <c r="B188" s="57" t="n">
        <v>-0.0012</v>
      </c>
      <c r="C188" s="57" t="n">
        <v>-0.00122</v>
      </c>
      <c r="D188" s="57" t="n">
        <v>-0.0009</v>
      </c>
    </row>
    <row r="189" customFormat="false" ht="15" hidden="false" customHeight="false" outlineLevel="0" collapsed="false">
      <c r="A189" s="52" t="n">
        <v>44475</v>
      </c>
      <c r="B189" s="57" t="n">
        <v>-0.00116</v>
      </c>
      <c r="C189" s="57" t="n">
        <v>-0.00119</v>
      </c>
      <c r="D189" s="57" t="n">
        <v>-0.00079</v>
      </c>
    </row>
    <row r="190" customFormat="false" ht="15" hidden="false" customHeight="false" outlineLevel="0" collapsed="false">
      <c r="A190" s="52" t="n">
        <v>44476</v>
      </c>
      <c r="B190" s="57" t="n">
        <v>-0.00121</v>
      </c>
      <c r="C190" s="57" t="n">
        <v>-0.00122</v>
      </c>
      <c r="D190" s="57" t="n">
        <v>-0.00083</v>
      </c>
    </row>
    <row r="191" customFormat="false" ht="15" hidden="false" customHeight="false" outlineLevel="0" collapsed="false">
      <c r="A191" s="52" t="n">
        <v>44477</v>
      </c>
      <c r="B191" s="57" t="n">
        <v>-0.00116</v>
      </c>
      <c r="C191" s="57" t="n">
        <v>-0.00119</v>
      </c>
      <c r="D191" s="57" t="n">
        <v>-0.00079</v>
      </c>
    </row>
    <row r="192" customFormat="false" ht="15" hidden="false" customHeight="false" outlineLevel="0" collapsed="false">
      <c r="A192" s="52" t="n">
        <v>44480</v>
      </c>
      <c r="B192" s="57" t="n">
        <v>-0.00116</v>
      </c>
      <c r="C192" s="57" t="n">
        <v>-0.00113</v>
      </c>
      <c r="D192" s="57" t="n">
        <v>-0.00076</v>
      </c>
    </row>
    <row r="193" customFormat="false" ht="15" hidden="false" customHeight="false" outlineLevel="0" collapsed="false">
      <c r="A193" s="52" t="n">
        <v>44481</v>
      </c>
      <c r="B193" s="57" t="n">
        <v>-0.00116</v>
      </c>
      <c r="C193" s="57" t="n">
        <v>-0.00113</v>
      </c>
      <c r="D193" s="57" t="n">
        <v>-0.00073</v>
      </c>
    </row>
    <row r="194" customFormat="false" ht="15" hidden="false" customHeight="false" outlineLevel="0" collapsed="false">
      <c r="A194" s="52" t="n">
        <v>44482</v>
      </c>
      <c r="B194" s="57" t="n">
        <v>-0.00117</v>
      </c>
      <c r="C194" s="57" t="n">
        <v>-0.00113</v>
      </c>
      <c r="D194" s="57" t="n">
        <v>-0.00073</v>
      </c>
    </row>
    <row r="195" customFormat="false" ht="15" hidden="false" customHeight="false" outlineLevel="0" collapsed="false">
      <c r="A195" s="52" t="n">
        <v>44483</v>
      </c>
      <c r="B195" s="57" t="n">
        <v>-0.00117</v>
      </c>
      <c r="C195" s="57" t="n">
        <v>-0.00113</v>
      </c>
      <c r="D195" s="57" t="n">
        <v>-0.00079</v>
      </c>
    </row>
    <row r="196" customFormat="false" ht="15" hidden="false" customHeight="false" outlineLevel="0" collapsed="false">
      <c r="A196" s="52" t="n">
        <v>44484</v>
      </c>
      <c r="B196" s="57" t="n">
        <v>-0.00117</v>
      </c>
      <c r="C196" s="57" t="n">
        <v>-0.00117</v>
      </c>
      <c r="D196" s="57" t="n">
        <v>-0.00083</v>
      </c>
    </row>
    <row r="197" customFormat="false" ht="15" hidden="false" customHeight="false" outlineLevel="0" collapsed="false">
      <c r="A197" s="52" t="n">
        <v>44487</v>
      </c>
      <c r="B197" s="57" t="n">
        <v>-0.00119</v>
      </c>
      <c r="C197" s="57" t="n">
        <v>-0.00113</v>
      </c>
      <c r="D197" s="57" t="n">
        <v>-0.00072</v>
      </c>
    </row>
    <row r="198" customFormat="false" ht="15" hidden="false" customHeight="false" outlineLevel="0" collapsed="false">
      <c r="A198" s="52" t="n">
        <v>44488</v>
      </c>
      <c r="B198" s="57" t="n">
        <v>-0.0012</v>
      </c>
      <c r="C198" s="57" t="n">
        <v>-0.00113</v>
      </c>
      <c r="D198" s="57" t="n">
        <v>-0.00073</v>
      </c>
    </row>
    <row r="199" customFormat="false" ht="15" hidden="false" customHeight="false" outlineLevel="0" collapsed="false">
      <c r="A199" s="52" t="n">
        <v>44489</v>
      </c>
      <c r="B199" s="57" t="n">
        <v>-0.00114</v>
      </c>
      <c r="C199" s="57" t="n">
        <v>-0.00107</v>
      </c>
      <c r="D199" s="57" t="n">
        <v>-0.00073</v>
      </c>
    </row>
    <row r="200" customFormat="false" ht="15" hidden="false" customHeight="false" outlineLevel="0" collapsed="false">
      <c r="A200" s="52" t="n">
        <v>44490</v>
      </c>
      <c r="B200" s="57" t="n">
        <v>-0.00114</v>
      </c>
      <c r="C200" s="57" t="n">
        <v>-0.00107</v>
      </c>
      <c r="D200" s="57" t="n">
        <v>-0.00073</v>
      </c>
    </row>
    <row r="201" customFormat="false" ht="15" hidden="false" customHeight="false" outlineLevel="0" collapsed="false">
      <c r="A201" s="52" t="n">
        <v>44491</v>
      </c>
      <c r="B201" s="57" t="n">
        <v>-0.00114</v>
      </c>
      <c r="C201" s="57" t="n">
        <v>-0.00101</v>
      </c>
      <c r="D201" s="57" t="n">
        <v>-0.00067</v>
      </c>
    </row>
    <row r="202" customFormat="false" ht="15" hidden="false" customHeight="false" outlineLevel="0" collapsed="false">
      <c r="A202" s="52" t="n">
        <v>44494</v>
      </c>
      <c r="B202" s="57" t="n">
        <v>-0.00108</v>
      </c>
      <c r="C202" s="57" t="n">
        <v>-0.00097</v>
      </c>
      <c r="D202" s="57" t="n">
        <v>-0.00068</v>
      </c>
    </row>
    <row r="203" customFormat="false" ht="15" hidden="false" customHeight="false" outlineLevel="0" collapsed="false">
      <c r="A203" s="52" t="n">
        <v>44495</v>
      </c>
      <c r="B203" s="57" t="n">
        <v>-0.0011</v>
      </c>
      <c r="C203" s="57" t="n">
        <v>-0.00091</v>
      </c>
      <c r="D203" s="57" t="n">
        <v>-0.00057</v>
      </c>
    </row>
    <row r="204" customFormat="false" ht="15" hidden="false" customHeight="false" outlineLevel="0" collapsed="false">
      <c r="A204" s="52" t="n">
        <v>44496</v>
      </c>
      <c r="B204" s="57" t="n">
        <v>-0.00101</v>
      </c>
      <c r="C204" s="57" t="n">
        <v>-0.00094</v>
      </c>
      <c r="D204" s="57" t="n">
        <v>-0.00063</v>
      </c>
    </row>
    <row r="205" customFormat="false" ht="15" hidden="false" customHeight="false" outlineLevel="0" collapsed="false">
      <c r="A205" s="52" t="n">
        <v>44497</v>
      </c>
      <c r="B205" s="57" t="n">
        <v>-0.00105</v>
      </c>
      <c r="C205" s="57" t="n">
        <v>-0.001</v>
      </c>
      <c r="D205" s="57" t="n">
        <v>-0.00074</v>
      </c>
    </row>
    <row r="206" customFormat="false" ht="15" hidden="false" customHeight="false" outlineLevel="0" collapsed="false">
      <c r="A206" s="52" t="n">
        <v>44498</v>
      </c>
      <c r="B206" s="57" t="n">
        <v>-0.00105</v>
      </c>
      <c r="C206" s="57" t="n">
        <v>-0.001</v>
      </c>
      <c r="D206" s="57" t="n">
        <v>-0.00073</v>
      </c>
    </row>
    <row r="207" customFormat="false" ht="15" hidden="false" customHeight="false" outlineLevel="0" collapsed="false">
      <c r="A207" s="52" t="n">
        <v>44501</v>
      </c>
      <c r="B207" s="57" t="n">
        <v>-0.00105</v>
      </c>
      <c r="C207" s="57" t="n">
        <v>-0.00099</v>
      </c>
      <c r="D207" s="57" t="n">
        <v>-0.00077</v>
      </c>
    </row>
    <row r="208" customFormat="false" ht="15" hidden="false" customHeight="false" outlineLevel="0" collapsed="false">
      <c r="A208" s="52" t="n">
        <v>44502</v>
      </c>
      <c r="B208" s="57" t="n">
        <v>-0.00105</v>
      </c>
      <c r="C208" s="57" t="n">
        <v>-0.00102</v>
      </c>
      <c r="D208" s="57" t="n">
        <v>-0.00084</v>
      </c>
    </row>
    <row r="209" customFormat="false" ht="15" hidden="false" customHeight="false" outlineLevel="0" collapsed="false">
      <c r="A209" s="52" t="n">
        <v>44504</v>
      </c>
      <c r="B209" s="57" t="n">
        <v>-0.001</v>
      </c>
      <c r="C209" s="57" t="n">
        <v>-0.00105</v>
      </c>
      <c r="D209" s="57" t="n">
        <v>-0.00084</v>
      </c>
    </row>
    <row r="210" customFormat="false" ht="15" hidden="false" customHeight="false" outlineLevel="0" collapsed="false">
      <c r="A210" s="52" t="n">
        <v>44505</v>
      </c>
      <c r="B210" s="57" t="n">
        <v>-0.0011</v>
      </c>
      <c r="C210" s="57" t="n">
        <v>-0.00115</v>
      </c>
      <c r="D210" s="57" t="n">
        <v>-0.00098</v>
      </c>
    </row>
    <row r="211" customFormat="false" ht="15" hidden="false" customHeight="false" outlineLevel="0" collapsed="false">
      <c r="A211" s="52" t="n">
        <v>44508</v>
      </c>
      <c r="B211" s="57" t="n">
        <v>-0.00117</v>
      </c>
      <c r="C211" s="57" t="n">
        <v>-0.0012</v>
      </c>
      <c r="D211" s="57" t="n">
        <v>-0.00099</v>
      </c>
    </row>
    <row r="212" customFormat="false" ht="15" hidden="false" customHeight="false" outlineLevel="0" collapsed="false">
      <c r="A212" s="52" t="n">
        <v>44509</v>
      </c>
      <c r="B212" s="57" t="n">
        <v>-0.00116</v>
      </c>
      <c r="C212" s="57" t="n">
        <v>-0.00119</v>
      </c>
      <c r="D212" s="57" t="n">
        <v>-0.00092</v>
      </c>
    </row>
    <row r="213" customFormat="false" ht="15" hidden="false" customHeight="false" outlineLevel="0" collapsed="false">
      <c r="A213" s="52" t="n">
        <v>44510</v>
      </c>
      <c r="B213" s="57" t="n">
        <v>-0.00116</v>
      </c>
      <c r="C213" s="57" t="n">
        <v>-0.00119</v>
      </c>
      <c r="D213" s="57" t="n">
        <v>-0.00092</v>
      </c>
    </row>
    <row r="214" customFormat="false" ht="15" hidden="false" customHeight="false" outlineLevel="0" collapsed="false">
      <c r="A214" s="52" t="n">
        <v>44511</v>
      </c>
      <c r="B214" s="57" t="n">
        <v>-0.00116</v>
      </c>
      <c r="C214" s="57" t="n">
        <v>-0.00114</v>
      </c>
      <c r="D214" s="57" t="n">
        <v>-0.00087</v>
      </c>
    </row>
    <row r="215" customFormat="false" ht="15" hidden="false" customHeight="false" outlineLevel="0" collapsed="false">
      <c r="A215" s="52" t="n">
        <v>44512</v>
      </c>
      <c r="B215" s="57" t="n">
        <v>-0.00116</v>
      </c>
      <c r="C215" s="57" t="n">
        <v>-0.00109</v>
      </c>
      <c r="D215" s="57" t="n">
        <v>-0.00079</v>
      </c>
    </row>
    <row r="216" customFormat="false" ht="15" hidden="false" customHeight="false" outlineLevel="0" collapsed="false">
      <c r="A216" s="52" t="n">
        <v>44515</v>
      </c>
      <c r="B216" s="57" t="n">
        <v>-0.00123</v>
      </c>
      <c r="C216" s="57" t="n">
        <v>-0.00113</v>
      </c>
      <c r="D216" s="57" t="n">
        <v>-0.00083</v>
      </c>
    </row>
    <row r="217" customFormat="false" ht="15" hidden="false" customHeight="false" outlineLevel="0" collapsed="false">
      <c r="A217" s="52" t="n">
        <v>44516</v>
      </c>
      <c r="B217" s="57" t="n">
        <v>-0.00125</v>
      </c>
      <c r="C217" s="57" t="n">
        <v>-0.00113</v>
      </c>
      <c r="D217" s="57" t="n">
        <v>-0.00079</v>
      </c>
    </row>
    <row r="218" customFormat="false" ht="15" hidden="false" customHeight="false" outlineLevel="0" collapsed="false">
      <c r="A218" s="52" t="n">
        <v>44517</v>
      </c>
      <c r="B218" s="57" t="n">
        <v>-0.00128</v>
      </c>
      <c r="C218" s="57" t="n">
        <v>-0.00119</v>
      </c>
      <c r="D218" s="57" t="n">
        <v>-0.00082</v>
      </c>
    </row>
    <row r="219" customFormat="false" ht="15" hidden="false" customHeight="false" outlineLevel="0" collapsed="false">
      <c r="A219" s="52" t="n">
        <v>44518</v>
      </c>
      <c r="B219" s="57" t="n">
        <v>-0.00125</v>
      </c>
      <c r="C219" s="57" t="n">
        <v>-0.00117</v>
      </c>
      <c r="D219" s="57" t="n">
        <v>-0.00072</v>
      </c>
    </row>
    <row r="220" customFormat="false" ht="15" hidden="false" customHeight="false" outlineLevel="0" collapsed="false">
      <c r="A220" s="52" t="n">
        <v>44519</v>
      </c>
      <c r="B220" s="57" t="n">
        <v>-0.00129</v>
      </c>
      <c r="C220" s="57" t="n">
        <v>-0.00123</v>
      </c>
      <c r="D220" s="57" t="n">
        <v>-0.00078</v>
      </c>
    </row>
    <row r="221" customFormat="false" ht="15" hidden="false" customHeight="false" outlineLevel="0" collapsed="false">
      <c r="A221" s="52" t="n">
        <v>44522</v>
      </c>
      <c r="B221" s="57" t="n">
        <v>-0.00135</v>
      </c>
      <c r="C221" s="57" t="n">
        <v>-0.0013</v>
      </c>
      <c r="D221" s="57" t="n">
        <v>-0.00087</v>
      </c>
    </row>
    <row r="222" customFormat="false" ht="15" hidden="false" customHeight="false" outlineLevel="0" collapsed="false">
      <c r="A222" s="52" t="n">
        <v>44524</v>
      </c>
      <c r="B222" s="57" t="n">
        <v>-0.0013</v>
      </c>
      <c r="C222" s="57" t="n">
        <v>-0.00125</v>
      </c>
      <c r="D222" s="57" t="n">
        <v>-0.00082</v>
      </c>
    </row>
    <row r="223" customFormat="false" ht="15" hidden="false" customHeight="false" outlineLevel="0" collapsed="false">
      <c r="A223" s="52" t="n">
        <v>44525</v>
      </c>
      <c r="B223" s="57" t="n">
        <v>-0.00125</v>
      </c>
      <c r="C223" s="57" t="n">
        <v>-0.00118</v>
      </c>
      <c r="D223" s="57" t="n">
        <v>-0.00071</v>
      </c>
    </row>
    <row r="224" customFormat="false" ht="15" hidden="false" customHeight="false" outlineLevel="0" collapsed="false">
      <c r="A224" s="52" t="n">
        <v>44526</v>
      </c>
      <c r="B224" s="57" t="n">
        <v>-0.00132</v>
      </c>
      <c r="C224" s="57" t="n">
        <v>-0.00124</v>
      </c>
      <c r="D224" s="57" t="n">
        <v>-0.00081</v>
      </c>
    </row>
    <row r="225" customFormat="false" ht="15" hidden="false" customHeight="false" outlineLevel="0" collapsed="false">
      <c r="A225" s="52" t="n">
        <v>44529</v>
      </c>
      <c r="B225" s="57" t="n">
        <v>-0.00131</v>
      </c>
      <c r="C225" s="57" t="n">
        <v>-0.00125</v>
      </c>
      <c r="D225" s="57" t="n">
        <v>-0.00081</v>
      </c>
    </row>
    <row r="226" customFormat="false" ht="15" hidden="false" customHeight="false" outlineLevel="0" collapsed="false">
      <c r="A226" s="52" t="n">
        <v>44530</v>
      </c>
      <c r="B226" s="57" t="n">
        <v>-0.0012</v>
      </c>
      <c r="C226" s="57" t="n">
        <v>-0.00123</v>
      </c>
      <c r="D226" s="57" t="n">
        <v>-0.00093</v>
      </c>
    </row>
    <row r="227" customFormat="false" ht="15" hidden="false" customHeight="false" outlineLevel="0" collapsed="false">
      <c r="A227" s="52" t="n">
        <v>44531</v>
      </c>
      <c r="B227" s="57" t="n">
        <v>-0.0012</v>
      </c>
      <c r="C227" s="57" t="n">
        <v>-0.00123</v>
      </c>
      <c r="D227" s="57" t="n">
        <v>-0.00086</v>
      </c>
    </row>
    <row r="228" customFormat="false" ht="15" hidden="false" customHeight="false" outlineLevel="0" collapsed="false">
      <c r="A228" s="52" t="n">
        <v>44532</v>
      </c>
      <c r="B228" s="57" t="n">
        <v>-0.0012</v>
      </c>
      <c r="C228" s="57" t="n">
        <v>-0.00119</v>
      </c>
      <c r="D228" s="57" t="n">
        <v>-0.00093</v>
      </c>
    </row>
    <row r="229" customFormat="false" ht="15" hidden="false" customHeight="false" outlineLevel="0" collapsed="false">
      <c r="A229" s="52" t="n">
        <v>44533</v>
      </c>
      <c r="B229" s="57" t="n">
        <v>-0.00115</v>
      </c>
      <c r="C229" s="57" t="n">
        <v>-0.00119</v>
      </c>
      <c r="D229" s="57" t="n">
        <v>-0.00099</v>
      </c>
    </row>
    <row r="230" customFormat="false" ht="15" hidden="false" customHeight="false" outlineLevel="0" collapsed="false">
      <c r="A230" s="52" t="n">
        <v>44536</v>
      </c>
      <c r="B230" s="57" t="n">
        <v>-0.00116</v>
      </c>
      <c r="C230" s="57" t="n">
        <v>-0.0012</v>
      </c>
      <c r="D230" s="57" t="n">
        <v>-0.00104</v>
      </c>
    </row>
    <row r="231" customFormat="false" ht="15" hidden="false" customHeight="false" outlineLevel="0" collapsed="false">
      <c r="A231" s="52" t="n">
        <v>44537</v>
      </c>
      <c r="B231" s="57" t="n">
        <v>-0.00116</v>
      </c>
      <c r="C231" s="57" t="n">
        <v>-0.00114</v>
      </c>
      <c r="D231" s="57" t="n">
        <v>-0.00094</v>
      </c>
    </row>
    <row r="232" customFormat="false" ht="15" hidden="false" customHeight="false" outlineLevel="0" collapsed="false">
      <c r="A232" s="52" t="n">
        <v>44538</v>
      </c>
      <c r="B232" s="57" t="n">
        <v>-0.00111</v>
      </c>
      <c r="C232" s="57" t="n">
        <v>-0.00114</v>
      </c>
      <c r="D232" s="57" t="n">
        <v>-0.00094</v>
      </c>
    </row>
    <row r="233" customFormat="false" ht="15" hidden="false" customHeight="false" outlineLevel="0" collapsed="false">
      <c r="A233" s="52" t="n">
        <v>44539</v>
      </c>
      <c r="B233" s="57" t="n">
        <v>-0.00106</v>
      </c>
      <c r="C233" s="57" t="n">
        <v>-0.00117</v>
      </c>
      <c r="D233" s="57" t="n">
        <v>-0.00087</v>
      </c>
    </row>
    <row r="234" customFormat="false" ht="15" hidden="false" customHeight="false" outlineLevel="0" collapsed="false">
      <c r="A234" s="52" t="n">
        <v>44540</v>
      </c>
      <c r="B234" s="57" t="n">
        <v>-0.00107</v>
      </c>
      <c r="C234" s="57" t="n">
        <v>-0.00114</v>
      </c>
      <c r="D234" s="57" t="n">
        <v>-0.00087</v>
      </c>
    </row>
    <row r="235" customFormat="false" ht="15" hidden="false" customHeight="false" outlineLevel="0" collapsed="false">
      <c r="A235" s="52" t="n">
        <v>44543</v>
      </c>
      <c r="B235" s="57" t="n">
        <v>-0.00107</v>
      </c>
      <c r="C235" s="57" t="n">
        <v>-0.00115</v>
      </c>
      <c r="D235" s="57" t="n">
        <v>-0.00093</v>
      </c>
    </row>
    <row r="236" customFormat="false" ht="15" hidden="false" customHeight="false" outlineLevel="0" collapsed="false">
      <c r="A236" s="52" t="n">
        <v>44544</v>
      </c>
      <c r="B236" s="57" t="n">
        <v>-0.00112</v>
      </c>
      <c r="C236" s="57" t="n">
        <v>-0.00119</v>
      </c>
      <c r="D236" s="57" t="n">
        <v>-0.00099</v>
      </c>
    </row>
    <row r="237" customFormat="false" ht="15" hidden="false" customHeight="false" outlineLevel="0" collapsed="false">
      <c r="A237" s="52" t="n">
        <v>44545</v>
      </c>
      <c r="B237" s="57" t="n">
        <v>-0.00112</v>
      </c>
      <c r="C237" s="57" t="n">
        <v>-0.00119</v>
      </c>
      <c r="D237" s="57" t="n">
        <v>-0.001</v>
      </c>
    </row>
    <row r="238" customFormat="false" ht="15" hidden="false" customHeight="false" outlineLevel="0" collapsed="false">
      <c r="A238" s="52" t="n">
        <v>44546</v>
      </c>
      <c r="B238" s="57" t="n">
        <v>-0.00113</v>
      </c>
      <c r="C238" s="57" t="n">
        <v>-0.00119</v>
      </c>
      <c r="D238" s="57" t="n">
        <v>-0.00102</v>
      </c>
    </row>
    <row r="239" customFormat="false" ht="15" hidden="false" customHeight="false" outlineLevel="0" collapsed="false">
      <c r="A239" s="52" t="n">
        <v>44547</v>
      </c>
      <c r="B239" s="57" t="n">
        <v>-0.00112</v>
      </c>
      <c r="C239" s="57" t="n">
        <v>-0.00119</v>
      </c>
      <c r="D239" s="57" t="n">
        <v>-0.00101</v>
      </c>
    </row>
    <row r="240" customFormat="false" ht="15" hidden="false" customHeight="false" outlineLevel="0" collapsed="false">
      <c r="A240" s="52" t="n">
        <v>44550</v>
      </c>
      <c r="B240" s="57" t="n">
        <v>-0.00113</v>
      </c>
      <c r="C240" s="57" t="n">
        <v>-0.00123</v>
      </c>
      <c r="D240" s="57" t="n">
        <v>-0.00109</v>
      </c>
    </row>
    <row r="241" customFormat="false" ht="15" hidden="false" customHeight="false" outlineLevel="0" collapsed="false">
      <c r="A241" s="52" t="n">
        <v>44551</v>
      </c>
      <c r="B241" s="57" t="n">
        <v>-0.00107</v>
      </c>
      <c r="C241" s="57" t="n">
        <v>-0.00113</v>
      </c>
      <c r="D241" s="57" t="n">
        <v>-0.001</v>
      </c>
    </row>
    <row r="242" customFormat="false" ht="15" hidden="false" customHeight="false" outlineLevel="0" collapsed="false">
      <c r="A242" s="52" t="n">
        <v>44552</v>
      </c>
      <c r="B242" s="57" t="n">
        <v>-0.00103</v>
      </c>
      <c r="C242" s="57" t="n">
        <v>-0.00103</v>
      </c>
      <c r="D242" s="57" t="n">
        <v>-0.0009</v>
      </c>
    </row>
    <row r="243" customFormat="false" ht="15" hidden="false" customHeight="false" outlineLevel="0" collapsed="false">
      <c r="A243" s="52" t="n">
        <v>44553</v>
      </c>
      <c r="B243" s="57" t="n">
        <v>-0.00097</v>
      </c>
      <c r="C243" s="57" t="n">
        <v>-0.001</v>
      </c>
      <c r="D243" s="57" t="n">
        <v>-0.0009</v>
      </c>
    </row>
    <row r="244" customFormat="false" ht="15" hidden="false" customHeight="false" outlineLevel="0" collapsed="false">
      <c r="A244" s="52" t="n">
        <v>44554</v>
      </c>
      <c r="B244" s="57" t="n">
        <v>-0.00099</v>
      </c>
      <c r="C244" s="57" t="n">
        <v>-0.00097</v>
      </c>
      <c r="D244" s="57" t="n">
        <v>-0.00088</v>
      </c>
    </row>
    <row r="245" customFormat="false" ht="15" hidden="false" customHeight="false" outlineLevel="0" collapsed="false">
      <c r="A245" s="52" t="n">
        <v>44557</v>
      </c>
      <c r="B245" s="57" t="n">
        <v>-0.00095</v>
      </c>
      <c r="C245" s="57" t="n">
        <v>-0.00098</v>
      </c>
      <c r="D245" s="57" t="n">
        <v>-0.00084</v>
      </c>
    </row>
    <row r="246" customFormat="false" ht="15" hidden="false" customHeight="false" outlineLevel="0" collapsed="false">
      <c r="A246" s="52" t="n">
        <v>44558</v>
      </c>
      <c r="B246" s="57" t="n">
        <v>-0.00095</v>
      </c>
      <c r="C246" s="57" t="n">
        <v>-0.00098</v>
      </c>
      <c r="D246" s="57" t="n">
        <v>-0.00084</v>
      </c>
    </row>
    <row r="247" customFormat="false" ht="15" hidden="false" customHeight="false" outlineLevel="0" collapsed="false">
      <c r="A247" s="52" t="n">
        <v>44559</v>
      </c>
      <c r="B247" s="57" t="n">
        <v>-0.001</v>
      </c>
      <c r="C247" s="57" t="n">
        <v>-0.00098</v>
      </c>
      <c r="D247" s="57" t="n">
        <v>-0.00084</v>
      </c>
    </row>
    <row r="248" customFormat="false" ht="15" hidden="false" customHeight="false" outlineLevel="0" collapsed="false">
      <c r="A248" s="52" t="n">
        <v>44560</v>
      </c>
      <c r="B248" s="57" t="n">
        <v>-0.00095</v>
      </c>
      <c r="C248" s="57" t="n">
        <v>-0.00095</v>
      </c>
      <c r="D248" s="57" t="n">
        <v>-0.00075</v>
      </c>
    </row>
    <row r="249" customFormat="false" ht="15" hidden="false" customHeight="false" outlineLevel="0" collapsed="false">
      <c r="A249" s="52" t="n">
        <v>44565</v>
      </c>
      <c r="B249" s="57" t="n">
        <v>-0.00085</v>
      </c>
      <c r="C249" s="57" t="n">
        <v>-0.0009</v>
      </c>
      <c r="D249" s="57" t="n">
        <v>-0.00067</v>
      </c>
    </row>
    <row r="250" customFormat="false" ht="15" hidden="false" customHeight="false" outlineLevel="0" collapsed="false">
      <c r="A250" s="52" t="n">
        <v>44566</v>
      </c>
      <c r="B250" s="57" t="n">
        <v>-0.00086</v>
      </c>
      <c r="C250" s="57" t="n">
        <v>-0.0009</v>
      </c>
      <c r="D250" s="57" t="n">
        <v>-0.00067</v>
      </c>
    </row>
    <row r="251" customFormat="false" ht="15" hidden="false" customHeight="false" outlineLevel="0" collapsed="false">
      <c r="A251" s="52" t="n">
        <v>44567</v>
      </c>
      <c r="B251" s="57" t="n">
        <v>-0.00081</v>
      </c>
      <c r="C251" s="57" t="n">
        <v>-0.00083</v>
      </c>
      <c r="D251" s="57" t="n">
        <v>-0.00049</v>
      </c>
    </row>
    <row r="252" customFormat="false" ht="15" hidden="false" customHeight="false" outlineLevel="0" collapsed="false">
      <c r="A252" s="52" t="n">
        <v>44568</v>
      </c>
      <c r="B252" s="57" t="n">
        <v>-0.00076</v>
      </c>
      <c r="C252" s="57" t="n">
        <v>-0.00076</v>
      </c>
      <c r="D252" s="57" t="n">
        <v>-0.00037</v>
      </c>
    </row>
    <row r="253" customFormat="false" ht="15" hidden="false" customHeight="false" outlineLevel="0" collapsed="false">
      <c r="A253" s="52" t="n">
        <v>44572</v>
      </c>
      <c r="B253" s="57" t="n">
        <v>-0.00078</v>
      </c>
      <c r="C253" s="57" t="n">
        <v>-0.00073</v>
      </c>
      <c r="D253" s="57" t="n">
        <v>-0.00023</v>
      </c>
    </row>
    <row r="254" customFormat="false" ht="15" hidden="false" customHeight="false" outlineLevel="0" collapsed="false">
      <c r="A254" s="52" t="n">
        <v>44573</v>
      </c>
      <c r="B254" s="57" t="n">
        <v>-0.00083</v>
      </c>
      <c r="C254" s="57" t="n">
        <v>-0.00077</v>
      </c>
      <c r="D254" s="57" t="n">
        <v>-0.00043</v>
      </c>
    </row>
    <row r="255" customFormat="false" ht="15" hidden="false" customHeight="false" outlineLevel="0" collapsed="false">
      <c r="A255" s="52" t="n">
        <v>44574</v>
      </c>
      <c r="B255" s="57" t="n">
        <v>-0.00083</v>
      </c>
      <c r="C255" s="57" t="n">
        <v>-0.00077</v>
      </c>
      <c r="D255" s="57" t="n">
        <v>-0.00038</v>
      </c>
    </row>
    <row r="256" customFormat="false" ht="15" hidden="false" customHeight="false" outlineLevel="0" collapsed="false">
      <c r="A256" s="52" t="n">
        <v>44575</v>
      </c>
      <c r="B256" s="57" t="n">
        <v>-0.00073</v>
      </c>
      <c r="C256" s="57" t="n">
        <v>-0.00067</v>
      </c>
      <c r="D256" s="57" t="n">
        <v>-0.00016</v>
      </c>
    </row>
    <row r="257" customFormat="false" ht="15" hidden="false" customHeight="false" outlineLevel="0" collapsed="false">
      <c r="A257" s="52" t="n">
        <v>44578</v>
      </c>
      <c r="B257" s="57" t="n">
        <v>-0.00074</v>
      </c>
      <c r="C257" s="57" t="n">
        <v>-0.00068</v>
      </c>
      <c r="D257" s="57" t="n">
        <v>-0.00022</v>
      </c>
    </row>
    <row r="258" customFormat="false" ht="15" hidden="false" customHeight="false" outlineLevel="0" collapsed="false">
      <c r="A258" s="52" t="n">
        <v>44579</v>
      </c>
      <c r="B258" s="57" t="n">
        <v>-0.00075</v>
      </c>
      <c r="C258" s="57" t="n">
        <v>-0.00067</v>
      </c>
      <c r="D258" s="57" t="n">
        <v>-0.00022</v>
      </c>
    </row>
    <row r="259" customFormat="false" ht="15" hidden="false" customHeight="false" outlineLevel="0" collapsed="false">
      <c r="A259" s="52" t="n">
        <v>44580</v>
      </c>
      <c r="B259" s="57" t="n">
        <v>-0.0008</v>
      </c>
      <c r="C259" s="57" t="n">
        <v>-0.00078</v>
      </c>
      <c r="D259" s="57" t="n">
        <v>-0.00038</v>
      </c>
    </row>
    <row r="260" customFormat="false" ht="15" hidden="false" customHeight="false" outlineLevel="0" collapsed="false">
      <c r="A260" s="52" t="n">
        <v>44581</v>
      </c>
      <c r="B260" s="57" t="n">
        <v>-0.00075</v>
      </c>
      <c r="C260" s="57" t="n">
        <v>-0.00074</v>
      </c>
      <c r="D260" s="57" t="n">
        <v>-0.00027</v>
      </c>
    </row>
    <row r="261" customFormat="false" ht="15" hidden="false" customHeight="false" outlineLevel="0" collapsed="false">
      <c r="A261" s="52" t="n">
        <v>44582</v>
      </c>
      <c r="B261" s="57" t="n">
        <v>-0.00076</v>
      </c>
      <c r="C261" s="57" t="n">
        <v>-0.00074</v>
      </c>
      <c r="D261" s="57" t="n">
        <v>-0.00032</v>
      </c>
    </row>
    <row r="262" customFormat="false" ht="15" hidden="false" customHeight="false" outlineLevel="0" collapsed="false">
      <c r="A262" s="52" t="n">
        <v>44585</v>
      </c>
      <c r="B262" s="57" t="n">
        <v>-0.00071</v>
      </c>
      <c r="C262" s="57" t="n">
        <v>-0.00068</v>
      </c>
      <c r="D262" s="57" t="n">
        <v>-0.00028</v>
      </c>
    </row>
    <row r="263" customFormat="false" ht="15" hidden="false" customHeight="false" outlineLevel="0" collapsed="false">
      <c r="A263" s="52" t="n">
        <v>44586</v>
      </c>
      <c r="B263" s="57" t="n">
        <v>-0.00071</v>
      </c>
      <c r="C263" s="57" t="n">
        <v>-0.00068</v>
      </c>
      <c r="D263" s="57" t="n">
        <v>-0.00028</v>
      </c>
    </row>
    <row r="264" customFormat="false" ht="15" hidden="false" customHeight="false" outlineLevel="0" collapsed="false">
      <c r="A264" s="52" t="n">
        <v>44587</v>
      </c>
      <c r="B264" s="57" t="n">
        <v>-0.00071</v>
      </c>
      <c r="C264" s="57" t="n">
        <v>-0.00063</v>
      </c>
      <c r="D264" s="57" t="n">
        <v>-0.00022</v>
      </c>
    </row>
    <row r="265" customFormat="false" ht="15" hidden="false" customHeight="false" outlineLevel="0" collapsed="false">
      <c r="A265" s="52" t="n">
        <v>44588</v>
      </c>
      <c r="B265" s="57" t="n">
        <v>-0.00055</v>
      </c>
      <c r="C265" s="57" t="n">
        <v>-0.00049</v>
      </c>
      <c r="D265" s="57" t="n">
        <v>-0.00012</v>
      </c>
    </row>
    <row r="266" customFormat="false" ht="15" hidden="false" customHeight="false" outlineLevel="0" collapsed="false">
      <c r="A266" s="52" t="n">
        <v>44589</v>
      </c>
      <c r="B266" s="57" t="n">
        <v>-0.00055</v>
      </c>
      <c r="C266" s="57" t="n">
        <v>-0.00052</v>
      </c>
      <c r="D266" s="57" t="n">
        <v>-0.00017</v>
      </c>
    </row>
    <row r="267" customFormat="false" ht="15" hidden="false" customHeight="false" outlineLevel="0" collapsed="false">
      <c r="A267" s="52" t="n">
        <v>44592</v>
      </c>
      <c r="B267" s="57" t="n">
        <v>-0.00055</v>
      </c>
      <c r="C267" s="57" t="n">
        <v>-0.00053</v>
      </c>
      <c r="D267" s="57" t="n">
        <v>-0.00017</v>
      </c>
    </row>
    <row r="268" customFormat="false" ht="15" hidden="false" customHeight="false" outlineLevel="0" collapsed="false">
      <c r="A268" s="52" t="n">
        <v>44593</v>
      </c>
      <c r="B268" s="57" t="n">
        <v>-0.0005</v>
      </c>
      <c r="C268" s="57" t="n">
        <v>-0.00043</v>
      </c>
      <c r="D268" s="57" t="n">
        <v>0</v>
      </c>
    </row>
    <row r="269" customFormat="false" ht="15" hidden="false" customHeight="false" outlineLevel="0" collapsed="false">
      <c r="A269" s="52" t="n">
        <v>44594</v>
      </c>
      <c r="B269" s="57" t="n">
        <v>-0.0005</v>
      </c>
      <c r="C269" s="57" t="n">
        <v>-0.00047</v>
      </c>
      <c r="D269" s="57" t="n">
        <v>-6E-005</v>
      </c>
    </row>
    <row r="270" customFormat="false" ht="15" hidden="false" customHeight="false" outlineLevel="0" collapsed="false">
      <c r="A270" s="52" t="n">
        <v>44595</v>
      </c>
      <c r="B270" s="57" t="n">
        <v>-0.0005</v>
      </c>
      <c r="C270" s="57" t="n">
        <v>-0.00047</v>
      </c>
      <c r="D270" s="57" t="n">
        <v>-6E-005</v>
      </c>
    </row>
    <row r="271" customFormat="false" ht="15" hidden="false" customHeight="false" outlineLevel="0" collapsed="false">
      <c r="A271" s="52" t="n">
        <v>44596</v>
      </c>
      <c r="B271" s="57" t="n">
        <v>-0.00045</v>
      </c>
      <c r="C271" s="57" t="n">
        <v>-0.0003</v>
      </c>
      <c r="D271" s="57" t="n">
        <v>8E-005</v>
      </c>
    </row>
    <row r="272" customFormat="false" ht="15" hidden="false" customHeight="false" outlineLevel="0" collapsed="false">
      <c r="A272" s="52" t="n">
        <v>44599</v>
      </c>
      <c r="B272" s="57" t="n">
        <v>-0.00045</v>
      </c>
      <c r="C272" s="57" t="n">
        <v>-0.0003</v>
      </c>
      <c r="D272" s="57" t="n">
        <v>8E-005</v>
      </c>
    </row>
    <row r="273" customFormat="false" ht="15" hidden="false" customHeight="false" outlineLevel="0" collapsed="false">
      <c r="A273" s="52" t="n">
        <v>44600</v>
      </c>
      <c r="B273" s="57" t="n">
        <v>-0.0004</v>
      </c>
      <c r="C273" s="57" t="n">
        <v>-0.00024</v>
      </c>
      <c r="D273" s="57" t="n">
        <v>0.00019</v>
      </c>
    </row>
    <row r="274" customFormat="false" ht="15" hidden="false" customHeight="false" outlineLevel="0" collapsed="false">
      <c r="A274" s="52" t="n">
        <v>44601</v>
      </c>
      <c r="B274" s="57" t="n">
        <v>-0.0004</v>
      </c>
      <c r="C274" s="57" t="n">
        <v>-0.00025</v>
      </c>
      <c r="D274" s="57" t="n">
        <v>0.00019</v>
      </c>
    </row>
    <row r="275" customFormat="false" ht="15" hidden="false" customHeight="false" outlineLevel="0" collapsed="false">
      <c r="A275" s="52" t="n">
        <v>44602</v>
      </c>
      <c r="B275" s="57" t="n">
        <v>-0.00031</v>
      </c>
      <c r="C275" s="57" t="n">
        <v>-0.00015</v>
      </c>
      <c r="D275" s="57" t="n">
        <v>0.00035</v>
      </c>
    </row>
    <row r="276" customFormat="false" ht="15" hidden="false" customHeight="false" outlineLevel="0" collapsed="false">
      <c r="A276" s="52" t="n">
        <v>44606</v>
      </c>
      <c r="B276" s="57" t="n">
        <v>-0.00029</v>
      </c>
      <c r="C276" s="57" t="n">
        <v>-0.00011</v>
      </c>
      <c r="D276" s="57" t="n">
        <v>0.00039</v>
      </c>
    </row>
    <row r="277" customFormat="false" ht="15" hidden="false" customHeight="false" outlineLevel="0" collapsed="false">
      <c r="A277" s="52" t="n">
        <v>44607</v>
      </c>
      <c r="B277" s="57" t="n">
        <v>-0.00024</v>
      </c>
      <c r="C277" s="57" t="n">
        <v>-6E-005</v>
      </c>
      <c r="D277" s="57" t="n">
        <v>0.00044</v>
      </c>
    </row>
    <row r="278" customFormat="false" ht="15" hidden="false" customHeight="false" outlineLevel="0" collapsed="false">
      <c r="A278" s="52" t="n">
        <v>44608</v>
      </c>
      <c r="B278" s="57" t="n">
        <v>-0.00019</v>
      </c>
      <c r="C278" s="57" t="n">
        <v>4E-005</v>
      </c>
      <c r="D278" s="57" t="n">
        <v>0.00055</v>
      </c>
    </row>
    <row r="279" customFormat="false" ht="15" hidden="false" customHeight="false" outlineLevel="0" collapsed="false">
      <c r="A279" s="52" t="n">
        <v>44609</v>
      </c>
      <c r="B279" s="57" t="n">
        <v>-8E-005</v>
      </c>
      <c r="C279" s="57" t="n">
        <v>0.00014</v>
      </c>
      <c r="D279" s="57" t="n">
        <v>0.00061</v>
      </c>
    </row>
    <row r="280" customFormat="false" ht="15" hidden="false" customHeight="false" outlineLevel="0" collapsed="false">
      <c r="A280" s="52" t="n">
        <v>44610</v>
      </c>
      <c r="B280" s="57" t="n">
        <v>-8E-005</v>
      </c>
      <c r="C280" s="57" t="n">
        <v>0.00011</v>
      </c>
      <c r="D280" s="57" t="n">
        <v>0.00054</v>
      </c>
    </row>
    <row r="281" customFormat="false" ht="15" hidden="false" customHeight="false" outlineLevel="0" collapsed="false">
      <c r="A281" s="52" t="n">
        <v>44613</v>
      </c>
      <c r="B281" s="57" t="n">
        <v>-0.00015</v>
      </c>
      <c r="C281" s="57" t="n">
        <v>4E-005</v>
      </c>
      <c r="D281" s="57" t="n">
        <v>0.00044</v>
      </c>
    </row>
    <row r="282" customFormat="false" ht="15" hidden="false" customHeight="false" outlineLevel="0" collapsed="false">
      <c r="A282" s="52" t="n">
        <v>44614</v>
      </c>
      <c r="B282" s="57" t="n">
        <v>-0.00026</v>
      </c>
      <c r="C282" s="57" t="n">
        <v>-6E-005</v>
      </c>
      <c r="D282" s="57" t="n">
        <v>0.00025</v>
      </c>
    </row>
    <row r="283" customFormat="false" ht="15" hidden="false" customHeight="false" outlineLevel="0" collapsed="false">
      <c r="A283" s="52" t="n">
        <v>44616</v>
      </c>
      <c r="B283" s="57" t="n">
        <v>-0.00026</v>
      </c>
      <c r="C283" s="57" t="n">
        <v>-9E-005</v>
      </c>
      <c r="D283" s="57" t="n">
        <v>0.00025</v>
      </c>
    </row>
    <row r="284" customFormat="false" ht="15" hidden="false" customHeight="false" outlineLevel="0" collapsed="false">
      <c r="A284" s="52" t="n">
        <v>44617</v>
      </c>
      <c r="B284" s="57" t="n">
        <v>-0.00025</v>
      </c>
      <c r="C284" s="57" t="n">
        <v>-5E-005</v>
      </c>
      <c r="D284" s="57" t="n">
        <v>0.00035</v>
      </c>
    </row>
    <row r="285" customFormat="false" ht="15" hidden="false" customHeight="false" outlineLevel="0" collapsed="false">
      <c r="A285" s="52" t="n">
        <v>44620</v>
      </c>
      <c r="B285" s="57" t="n">
        <v>-0.00035</v>
      </c>
      <c r="C285" s="57" t="n">
        <v>-0.00015</v>
      </c>
      <c r="D285" s="57" t="n">
        <v>0.00012</v>
      </c>
    </row>
    <row r="286" customFormat="false" ht="15" hidden="false" customHeight="false" outlineLevel="0" collapsed="false">
      <c r="A286" s="52" t="n">
        <v>44621</v>
      </c>
      <c r="B286" s="57" t="n">
        <v>-0.00035</v>
      </c>
      <c r="C286" s="57" t="n">
        <v>-0.00019</v>
      </c>
      <c r="D286" s="57" t="n">
        <v>0.0001</v>
      </c>
    </row>
    <row r="287" customFormat="false" ht="15" hidden="false" customHeight="false" outlineLevel="0" collapsed="false">
      <c r="A287" s="52" t="n">
        <v>44622</v>
      </c>
      <c r="B287" s="57" t="n">
        <v>-0.00045</v>
      </c>
      <c r="C287" s="57" t="n">
        <v>-0.00039</v>
      </c>
      <c r="D287" s="57" t="n">
        <v>-0.00022</v>
      </c>
    </row>
    <row r="288" customFormat="false" ht="15" hidden="false" customHeight="false" outlineLevel="0" collapsed="false">
      <c r="A288" s="52" t="n">
        <v>44623</v>
      </c>
      <c r="B288" s="57" t="n">
        <v>-0.00035</v>
      </c>
      <c r="C288" s="57" t="n">
        <v>-0.00025</v>
      </c>
      <c r="D288" s="57" t="n">
        <v>3E-005</v>
      </c>
    </row>
    <row r="289" customFormat="false" ht="15" hidden="false" customHeight="false" outlineLevel="0" collapsed="false">
      <c r="A289" s="52" t="n">
        <v>44624</v>
      </c>
      <c r="B289" s="57" t="n">
        <v>-0.0004</v>
      </c>
      <c r="C289" s="57" t="n">
        <v>-0.00029</v>
      </c>
      <c r="D289" s="57" t="n">
        <v>3E-005</v>
      </c>
    </row>
    <row r="290" customFormat="false" ht="15" hidden="false" customHeight="false" outlineLevel="0" collapsed="false">
      <c r="A290" s="52" t="n">
        <v>44627</v>
      </c>
      <c r="B290" s="57" t="n">
        <v>-0.0005</v>
      </c>
      <c r="C290" s="57" t="n">
        <v>-0.00039</v>
      </c>
      <c r="D290" s="57" t="n">
        <v>-0.00012</v>
      </c>
    </row>
    <row r="291" customFormat="false" ht="15" hidden="false" customHeight="false" outlineLevel="0" collapsed="false">
      <c r="A291" s="52" t="n">
        <v>44628</v>
      </c>
      <c r="B291" s="57" t="n">
        <v>-0.00045</v>
      </c>
      <c r="C291" s="57" t="n">
        <v>-0.00033</v>
      </c>
      <c r="D291" s="57" t="n">
        <v>-8E-005</v>
      </c>
    </row>
    <row r="292" customFormat="false" ht="15" hidden="false" customHeight="false" outlineLevel="0" collapsed="false">
      <c r="A292" s="52" t="n">
        <v>44629</v>
      </c>
      <c r="B292" s="57" t="n">
        <v>-0.0004</v>
      </c>
      <c r="C292" s="57" t="n">
        <v>-0.00029</v>
      </c>
      <c r="D292" s="57" t="n">
        <v>-1E-005</v>
      </c>
    </row>
    <row r="293" customFormat="false" ht="15" hidden="false" customHeight="false" outlineLevel="0" collapsed="false">
      <c r="A293" s="52" t="n">
        <v>44630</v>
      </c>
      <c r="B293" s="57" t="n">
        <v>-0.0003</v>
      </c>
      <c r="C293" s="57" t="n">
        <v>-0.00013</v>
      </c>
      <c r="D293" s="57" t="n">
        <v>0.0002</v>
      </c>
    </row>
    <row r="294" customFormat="false" ht="15" hidden="false" customHeight="false" outlineLevel="0" collapsed="false">
      <c r="A294" s="52" t="n">
        <v>44631</v>
      </c>
      <c r="B294" s="57" t="n">
        <v>-0.0003</v>
      </c>
      <c r="C294" s="57" t="n">
        <v>-0.00019</v>
      </c>
      <c r="D294" s="57" t="n">
        <v>0.00019</v>
      </c>
    </row>
    <row r="295" customFormat="false" ht="15" hidden="false" customHeight="false" outlineLevel="0" collapsed="false">
      <c r="A295" s="52" t="n">
        <v>44634</v>
      </c>
      <c r="B295" s="57" t="n">
        <v>-0.0003</v>
      </c>
      <c r="C295" s="57" t="n">
        <v>-0.00013</v>
      </c>
      <c r="D295" s="57" t="n">
        <v>0.0003</v>
      </c>
    </row>
    <row r="296" customFormat="false" ht="15" hidden="false" customHeight="false" outlineLevel="0" collapsed="false">
      <c r="A296" s="52" t="n">
        <v>44635</v>
      </c>
      <c r="B296" s="57" t="n">
        <v>-0.00025</v>
      </c>
      <c r="C296" s="57" t="n">
        <v>-6E-005</v>
      </c>
      <c r="D296" s="57" t="n">
        <v>0.0004</v>
      </c>
    </row>
    <row r="297" customFormat="false" ht="15" hidden="false" customHeight="false" outlineLevel="0" collapsed="false">
      <c r="A297" s="52" t="n">
        <v>44636</v>
      </c>
      <c r="B297" s="57" t="n">
        <v>-0.00025</v>
      </c>
      <c r="C297" s="57" t="n">
        <v>-0.00013</v>
      </c>
      <c r="D297" s="57" t="n">
        <v>0.00034</v>
      </c>
    </row>
    <row r="298" customFormat="false" ht="15" hidden="false" customHeight="false" outlineLevel="0" collapsed="false">
      <c r="A298" s="52" t="n">
        <v>44637</v>
      </c>
      <c r="B298" s="57" t="n">
        <v>-0.00025</v>
      </c>
      <c r="C298" s="57" t="n">
        <v>-0.00013</v>
      </c>
      <c r="D298" s="57" t="n">
        <v>0.00033</v>
      </c>
    </row>
    <row r="299" customFormat="false" ht="15" hidden="false" customHeight="false" outlineLevel="0" collapsed="false">
      <c r="A299" s="52" t="n">
        <v>44638</v>
      </c>
      <c r="B299" s="57" t="n">
        <v>-0.00018</v>
      </c>
      <c r="C299" s="57" t="n">
        <v>-0.0001</v>
      </c>
      <c r="D299" s="57" t="n">
        <v>0.0004</v>
      </c>
    </row>
    <row r="300" customFormat="false" ht="15" hidden="false" customHeight="false" outlineLevel="0" collapsed="false">
      <c r="A300" s="52" t="n">
        <v>44642</v>
      </c>
      <c r="B300" s="57" t="n">
        <v>-0.00018</v>
      </c>
      <c r="C300" s="57" t="n">
        <v>-7E-005</v>
      </c>
      <c r="D300" s="57" t="n">
        <v>0.00049</v>
      </c>
    </row>
    <row r="301" customFormat="false" ht="15" hidden="false" customHeight="false" outlineLevel="0" collapsed="false">
      <c r="A301" s="52" t="n">
        <v>44643</v>
      </c>
      <c r="B301" s="57" t="n">
        <v>-0.00023</v>
      </c>
      <c r="C301" s="57" t="n">
        <v>-0.00013</v>
      </c>
      <c r="D301" s="57" t="n">
        <v>0.0005</v>
      </c>
    </row>
    <row r="302" customFormat="false" ht="15" hidden="false" customHeight="false" outlineLevel="0" collapsed="false">
      <c r="A302" s="52" t="n">
        <v>44644</v>
      </c>
      <c r="B302" s="57" t="n">
        <v>-0.00023</v>
      </c>
      <c r="C302" s="57" t="n">
        <v>-0.00013</v>
      </c>
      <c r="D302" s="57" t="n">
        <v>0.00055</v>
      </c>
    </row>
    <row r="303" customFormat="false" ht="15" hidden="false" customHeight="false" outlineLevel="0" collapsed="false">
      <c r="A303" s="52" t="n">
        <v>44645</v>
      </c>
      <c r="B303" s="57" t="n">
        <v>-0.00023</v>
      </c>
      <c r="C303" s="57" t="n">
        <v>-0.00013</v>
      </c>
      <c r="D303" s="57" t="n">
        <v>0.00056</v>
      </c>
    </row>
    <row r="304" customFormat="false" ht="15" hidden="false" customHeight="false" outlineLevel="0" collapsed="false">
      <c r="A304" s="52" t="n">
        <v>44648</v>
      </c>
      <c r="B304" s="57" t="n">
        <v>-0.00018</v>
      </c>
      <c r="C304" s="57" t="n">
        <v>-7E-005</v>
      </c>
      <c r="D304" s="57" t="n">
        <v>0.00067</v>
      </c>
    </row>
    <row r="305" customFormat="false" ht="15" hidden="false" customHeight="false" outlineLevel="0" collapsed="false">
      <c r="A305" s="52" t="n">
        <v>44649</v>
      </c>
      <c r="B305" s="57" t="n">
        <v>-0.00021</v>
      </c>
      <c r="C305" s="57" t="n">
        <v>-3E-005</v>
      </c>
      <c r="D305" s="57" t="n">
        <v>0.00076</v>
      </c>
    </row>
    <row r="306" customFormat="false" ht="15" hidden="false" customHeight="false" outlineLevel="0" collapsed="false">
      <c r="A306" s="52" t="n">
        <v>44650</v>
      </c>
      <c r="B306" s="57" t="n">
        <v>-0.00031</v>
      </c>
      <c r="C306" s="57" t="n">
        <v>-0.00017</v>
      </c>
      <c r="D306" s="57" t="n">
        <v>0.0005</v>
      </c>
    </row>
    <row r="307" customFormat="false" ht="15" hidden="false" customHeight="false" outlineLevel="0" collapsed="false">
      <c r="A307" s="52" t="n">
        <v>44651</v>
      </c>
      <c r="B307" s="57" t="n">
        <v>-0.0003</v>
      </c>
      <c r="C307" s="57" t="n">
        <v>-0.00031</v>
      </c>
      <c r="D307" s="57" t="n">
        <v>0.00036</v>
      </c>
    </row>
    <row r="308" customFormat="false" ht="15" hidden="false" customHeight="false" outlineLevel="0" collapsed="false">
      <c r="A308" s="52" t="n">
        <v>44652</v>
      </c>
      <c r="B308" s="57" t="n">
        <v>-0.0004</v>
      </c>
      <c r="C308" s="57" t="n">
        <v>-0.00045</v>
      </c>
      <c r="D308" s="57" t="n">
        <v>0.00026</v>
      </c>
    </row>
    <row r="309" customFormat="false" ht="15" hidden="false" customHeight="false" outlineLevel="0" collapsed="false">
      <c r="A309" s="52" t="n">
        <v>44655</v>
      </c>
      <c r="B309" s="57" t="n">
        <v>-0.0004</v>
      </c>
      <c r="C309" s="57" t="n">
        <v>-0.00048</v>
      </c>
      <c r="D309" s="57" t="n">
        <v>0.00022</v>
      </c>
    </row>
    <row r="310" customFormat="false" ht="15" hidden="false" customHeight="false" outlineLevel="0" collapsed="false">
      <c r="A310" s="52" t="n">
        <v>44656</v>
      </c>
      <c r="B310" s="57" t="n">
        <v>-0.0004</v>
      </c>
      <c r="C310" s="57" t="n">
        <v>-0.00041</v>
      </c>
      <c r="D310" s="57" t="n">
        <v>0.00027</v>
      </c>
    </row>
    <row r="311" customFormat="false" ht="15" hidden="false" customHeight="false" outlineLevel="0" collapsed="false">
      <c r="A311" s="52" t="n">
        <v>44657</v>
      </c>
      <c r="B311" s="57" t="n">
        <v>-0.00035</v>
      </c>
      <c r="C311" s="57" t="n">
        <v>-0.0003</v>
      </c>
      <c r="D311" s="57" t="n">
        <v>0.00047</v>
      </c>
    </row>
    <row r="312" customFormat="false" ht="15" hidden="false" customHeight="false" outlineLevel="0" collapsed="false">
      <c r="A312" s="52" t="n">
        <v>44658</v>
      </c>
      <c r="B312" s="57" t="n">
        <v>-0.0004</v>
      </c>
      <c r="C312" s="57" t="n">
        <v>-0.00032</v>
      </c>
      <c r="D312" s="57" t="n">
        <v>0.00041</v>
      </c>
    </row>
    <row r="313" customFormat="false" ht="15" hidden="false" customHeight="false" outlineLevel="0" collapsed="false">
      <c r="A313" s="52" t="n">
        <v>44659</v>
      </c>
      <c r="B313" s="57" t="n">
        <v>-0.0008</v>
      </c>
      <c r="C313" s="57" t="n">
        <v>-0.00052</v>
      </c>
      <c r="D313" s="57" t="n">
        <v>0.00024</v>
      </c>
    </row>
    <row r="314" customFormat="false" ht="15" hidden="false" customHeight="false" outlineLevel="0" collapsed="false">
      <c r="A314" s="52" t="n">
        <v>44662</v>
      </c>
      <c r="B314" s="57" t="n">
        <v>-0.00086</v>
      </c>
      <c r="C314" s="57" t="n">
        <v>-0.00047</v>
      </c>
      <c r="D314" s="57" t="n">
        <v>0.00036</v>
      </c>
    </row>
    <row r="315" customFormat="false" ht="15" hidden="false" customHeight="false" outlineLevel="0" collapsed="false">
      <c r="A315" s="52" t="n">
        <v>44663</v>
      </c>
      <c r="B315" s="57" t="n">
        <v>-0.0008</v>
      </c>
      <c r="C315" s="57" t="n">
        <v>-0.00047</v>
      </c>
      <c r="D315" s="57" t="n">
        <v>0.00028</v>
      </c>
    </row>
    <row r="316" customFormat="false" ht="15" hidden="false" customHeight="false" outlineLevel="0" collapsed="false">
      <c r="A316" s="52" t="n">
        <v>44664</v>
      </c>
      <c r="B316" s="57" t="n">
        <v>-0.00065</v>
      </c>
      <c r="C316" s="57" t="n">
        <v>-0.00041</v>
      </c>
      <c r="D316" s="57" t="n">
        <v>0.00034</v>
      </c>
    </row>
    <row r="317" customFormat="false" ht="15" hidden="false" customHeight="false" outlineLevel="0" collapsed="false">
      <c r="A317" s="52" t="n">
        <v>44665</v>
      </c>
      <c r="B317" s="57" t="n">
        <v>-0.00061</v>
      </c>
      <c r="C317" s="57" t="n">
        <v>-0.00041</v>
      </c>
      <c r="D317" s="57" t="n">
        <v>0.00028</v>
      </c>
    </row>
    <row r="318" customFormat="false" ht="15" hidden="false" customHeight="false" outlineLevel="0" collapsed="false">
      <c r="A318" s="52" t="n">
        <v>44666</v>
      </c>
      <c r="B318" s="57" t="n">
        <v>-0.00061</v>
      </c>
      <c r="C318" s="57" t="n">
        <v>-0.0004</v>
      </c>
      <c r="D318" s="57" t="n">
        <v>0.00029</v>
      </c>
    </row>
    <row r="319" customFormat="false" ht="15" hidden="false" customHeight="false" outlineLevel="0" collapsed="false">
      <c r="A319" s="52" t="n">
        <v>44669</v>
      </c>
      <c r="B319" s="57" t="n">
        <v>-0.00056</v>
      </c>
      <c r="C319" s="57" t="n">
        <v>-0.00035</v>
      </c>
      <c r="D319" s="57" t="n">
        <v>0.00029</v>
      </c>
    </row>
    <row r="320" customFormat="false" ht="15" hidden="false" customHeight="false" outlineLevel="0" collapsed="false">
      <c r="A320" s="52" t="n">
        <v>44670</v>
      </c>
      <c r="B320" s="57" t="n">
        <v>-0.00046</v>
      </c>
      <c r="C320" s="57" t="n">
        <v>-0.00032</v>
      </c>
      <c r="D320" s="57" t="n">
        <v>0.0003</v>
      </c>
    </row>
    <row r="321" customFormat="false" ht="15" hidden="false" customHeight="false" outlineLevel="0" collapsed="false">
      <c r="A321" s="52" t="n">
        <v>44671</v>
      </c>
      <c r="B321" s="57" t="n">
        <v>-0.00046</v>
      </c>
      <c r="C321" s="57" t="n">
        <v>-0.00031</v>
      </c>
      <c r="D321" s="57" t="n">
        <v>0.00037</v>
      </c>
    </row>
    <row r="322" customFormat="false" ht="15" hidden="false" customHeight="false" outlineLevel="0" collapsed="false">
      <c r="A322" s="52" t="n">
        <v>44672</v>
      </c>
      <c r="B322" s="57" t="n">
        <v>-0.00049</v>
      </c>
      <c r="C322" s="57" t="n">
        <v>-0.0004</v>
      </c>
      <c r="D322" s="57" t="n">
        <v>0.00021</v>
      </c>
    </row>
    <row r="323" customFormat="false" ht="15" hidden="false" customHeight="false" outlineLevel="0" collapsed="false">
      <c r="A323" s="52" t="n">
        <v>44673</v>
      </c>
      <c r="B323" s="57" t="n">
        <v>-0.00057</v>
      </c>
      <c r="C323" s="57" t="n">
        <v>-0.00042</v>
      </c>
      <c r="D323" s="57" t="n">
        <v>0.00021</v>
      </c>
    </row>
    <row r="324" customFormat="false" ht="15" hidden="false" customHeight="false" outlineLevel="0" collapsed="false">
      <c r="A324" s="52" t="n">
        <v>44676</v>
      </c>
      <c r="B324" s="57" t="n">
        <v>-0.00052</v>
      </c>
      <c r="C324" s="57" t="n">
        <v>-0.00043</v>
      </c>
      <c r="D324" s="57" t="n">
        <v>0.00017</v>
      </c>
    </row>
    <row r="325" customFormat="false" ht="15" hidden="false" customHeight="false" outlineLevel="0" collapsed="false">
      <c r="A325" s="52" t="n">
        <v>44677</v>
      </c>
      <c r="B325" s="57" t="n">
        <v>-0.00057</v>
      </c>
      <c r="C325" s="57" t="n">
        <v>-0.00043</v>
      </c>
      <c r="D325" s="57" t="n">
        <v>0.00016</v>
      </c>
    </row>
    <row r="326" customFormat="false" ht="15" hidden="false" customHeight="false" outlineLevel="0" collapsed="false">
      <c r="A326" s="52" t="n">
        <v>44678</v>
      </c>
      <c r="B326" s="57" t="n">
        <v>-0.00056</v>
      </c>
      <c r="C326" s="57" t="n">
        <v>-0.00043</v>
      </c>
      <c r="D326" s="57" t="n">
        <v>0.00017</v>
      </c>
    </row>
    <row r="327" customFormat="false" ht="15" hidden="false" customHeight="false" outlineLevel="0" collapsed="false">
      <c r="A327" s="52" t="n">
        <v>44679</v>
      </c>
      <c r="B327" s="57" t="n">
        <v>-0.0006</v>
      </c>
      <c r="C327" s="57" t="n">
        <v>-0.00047</v>
      </c>
      <c r="D327" s="57" t="n">
        <v>5E-005</v>
      </c>
    </row>
    <row r="328" customFormat="false" ht="15" hidden="false" customHeight="false" outlineLevel="0" collapsed="false">
      <c r="A328" s="52" t="n">
        <v>44683</v>
      </c>
      <c r="B328" s="57" t="n">
        <v>-0.0005</v>
      </c>
      <c r="C328" s="57" t="n">
        <v>-0.0004</v>
      </c>
      <c r="D328" s="57" t="n">
        <v>0.00017</v>
      </c>
    </row>
    <row r="329" customFormat="false" ht="15" hidden="false" customHeight="false" outlineLevel="0" collapsed="false">
      <c r="A329" s="52" t="n">
        <v>44687</v>
      </c>
      <c r="B329" s="57" t="n">
        <v>-0.00045</v>
      </c>
      <c r="C329" s="57" t="n">
        <v>-0.00037</v>
      </c>
      <c r="D329" s="57" t="n">
        <v>0.00024</v>
      </c>
    </row>
    <row r="330" customFormat="false" ht="15" hidden="false" customHeight="false" outlineLevel="0" collapsed="false">
      <c r="A330" s="52" t="n">
        <v>44690</v>
      </c>
      <c r="B330" s="57" t="n">
        <v>-0.00046</v>
      </c>
      <c r="C330" s="57" t="n">
        <v>-0.00037</v>
      </c>
      <c r="D330" s="57" t="n">
        <v>0.00023</v>
      </c>
    </row>
    <row r="331" customFormat="false" ht="15" hidden="false" customHeight="false" outlineLevel="0" collapsed="false">
      <c r="A331" s="52" t="n">
        <v>44691</v>
      </c>
      <c r="B331" s="57" t="n">
        <v>-0.00046</v>
      </c>
      <c r="C331" s="57" t="n">
        <v>-0.00037</v>
      </c>
      <c r="D331" s="57" t="n">
        <v>0.00023</v>
      </c>
    </row>
    <row r="332" customFormat="false" ht="15" hidden="false" customHeight="false" outlineLevel="0" collapsed="false">
      <c r="A332" s="52" t="n">
        <v>44692</v>
      </c>
      <c r="B332" s="57" t="n">
        <v>-0.00046</v>
      </c>
      <c r="C332" s="57" t="n">
        <v>-0.00037</v>
      </c>
      <c r="D332" s="57" t="n">
        <v>0.00023</v>
      </c>
    </row>
    <row r="333" customFormat="false" ht="15" hidden="false" customHeight="false" outlineLevel="0" collapsed="false">
      <c r="A333" s="52" t="n">
        <v>44693</v>
      </c>
      <c r="B333" s="57" t="n">
        <v>-0.00051</v>
      </c>
      <c r="C333" s="57" t="n">
        <v>-0.00041</v>
      </c>
      <c r="D333" s="57" t="n">
        <v>0.00018</v>
      </c>
    </row>
    <row r="334" customFormat="false" ht="15" hidden="false" customHeight="false" outlineLevel="0" collapsed="false">
      <c r="A334" s="52" t="n">
        <v>44694</v>
      </c>
      <c r="B334" s="57" t="n">
        <v>-0.00057</v>
      </c>
      <c r="C334" s="57" t="n">
        <v>-0.00046</v>
      </c>
      <c r="D334" s="57" t="n">
        <v>0.00012</v>
      </c>
    </row>
    <row r="335" customFormat="false" ht="15" hidden="false" customHeight="false" outlineLevel="0" collapsed="false">
      <c r="A335" s="52" t="n">
        <v>44697</v>
      </c>
      <c r="B335" s="57" t="n">
        <v>-0.00056</v>
      </c>
      <c r="C335" s="57" t="n">
        <v>-0.00044</v>
      </c>
      <c r="D335" s="57" t="n">
        <v>0.00019</v>
      </c>
    </row>
    <row r="336" customFormat="false" ht="15" hidden="false" customHeight="false" outlineLevel="0" collapsed="false">
      <c r="A336" s="52" t="n">
        <v>44698</v>
      </c>
      <c r="B336" s="57" t="n">
        <v>-0.00056</v>
      </c>
      <c r="C336" s="57" t="n">
        <v>-0.00044</v>
      </c>
      <c r="D336" s="57" t="n">
        <v>0.00019</v>
      </c>
    </row>
    <row r="337" customFormat="false" ht="15" hidden="false" customHeight="false" outlineLevel="0" collapsed="false">
      <c r="A337" s="52" t="n">
        <v>44699</v>
      </c>
      <c r="B337" s="57" t="n">
        <v>-0.00056</v>
      </c>
      <c r="C337" s="57" t="n">
        <v>-0.00041</v>
      </c>
      <c r="D337" s="57" t="n">
        <v>0.00022</v>
      </c>
    </row>
    <row r="338" customFormat="false" ht="15" hidden="false" customHeight="false" outlineLevel="0" collapsed="false">
      <c r="A338" s="52" t="n">
        <v>44700</v>
      </c>
      <c r="B338" s="57" t="n">
        <v>-0.00056</v>
      </c>
      <c r="C338" s="57" t="n">
        <v>-0.00041</v>
      </c>
      <c r="D338" s="57" t="n">
        <v>0.00022</v>
      </c>
    </row>
    <row r="339" customFormat="false" ht="15" hidden="false" customHeight="false" outlineLevel="0" collapsed="false">
      <c r="A339" s="52" t="n">
        <v>44701</v>
      </c>
      <c r="B339" s="57" t="n">
        <v>-0.00056</v>
      </c>
      <c r="C339" s="57" t="n">
        <v>-0.00045</v>
      </c>
      <c r="D339" s="57" t="n">
        <v>0.00018</v>
      </c>
    </row>
    <row r="340" customFormat="false" ht="15" hidden="false" customHeight="false" outlineLevel="0" collapsed="false">
      <c r="A340" s="52" t="n">
        <v>44704</v>
      </c>
      <c r="B340" s="57" t="n">
        <v>-0.00062</v>
      </c>
      <c r="C340" s="57" t="n">
        <v>-0.00045</v>
      </c>
      <c r="D340" s="57" t="n">
        <v>0.00019</v>
      </c>
    </row>
    <row r="341" customFormat="false" ht="15" hidden="false" customHeight="false" outlineLevel="0" collapsed="false">
      <c r="A341" s="52" t="n">
        <v>44705</v>
      </c>
      <c r="B341" s="57" t="n">
        <v>-0.00067</v>
      </c>
      <c r="C341" s="57" t="n">
        <v>-0.0005</v>
      </c>
      <c r="D341" s="57" t="n">
        <v>8E-005</v>
      </c>
    </row>
    <row r="342" customFormat="false" ht="15" hidden="false" customHeight="false" outlineLevel="0" collapsed="false">
      <c r="A342" s="52" t="n">
        <v>44706</v>
      </c>
      <c r="B342" s="57" t="n">
        <v>-0.00075</v>
      </c>
      <c r="C342" s="57" t="n">
        <v>-0.00054</v>
      </c>
      <c r="D342" s="57" t="n">
        <v>-8E-005</v>
      </c>
    </row>
    <row r="343" customFormat="false" ht="15" hidden="false" customHeight="false" outlineLevel="0" collapsed="false">
      <c r="A343" s="52" t="n">
        <v>44707</v>
      </c>
      <c r="B343" s="57" t="n">
        <v>-0.00062</v>
      </c>
      <c r="C343" s="57" t="n">
        <v>-0.00045</v>
      </c>
      <c r="D343" s="57" t="n">
        <v>8E-005</v>
      </c>
    </row>
    <row r="344" customFormat="false" ht="15" hidden="false" customHeight="false" outlineLevel="0" collapsed="false">
      <c r="A344" s="52" t="n">
        <v>44708</v>
      </c>
      <c r="B344" s="57" t="n">
        <v>-0.00067</v>
      </c>
      <c r="C344" s="57" t="n">
        <v>-0.00051</v>
      </c>
      <c r="D344" s="57" t="n">
        <v>4E-005</v>
      </c>
    </row>
    <row r="345" customFormat="false" ht="15" hidden="false" customHeight="false" outlineLevel="0" collapsed="false">
      <c r="A345" s="52" t="n">
        <v>44711</v>
      </c>
      <c r="B345" s="57" t="n">
        <v>-0.00068</v>
      </c>
      <c r="C345" s="57" t="n">
        <v>-0.00048</v>
      </c>
      <c r="D345" s="57" t="n">
        <v>8E-005</v>
      </c>
    </row>
    <row r="346" customFormat="false" ht="15" hidden="false" customHeight="false" outlineLevel="0" collapsed="false">
      <c r="A346" s="52" t="n">
        <v>44712</v>
      </c>
      <c r="B346" s="57" t="n">
        <v>-0.0007</v>
      </c>
      <c r="C346" s="57" t="n">
        <v>-0.00049</v>
      </c>
      <c r="D346" s="57" t="n">
        <v>0.0001</v>
      </c>
    </row>
    <row r="347" customFormat="false" ht="15" hidden="false" customHeight="false" outlineLevel="0" collapsed="false">
      <c r="A347" s="52" t="n">
        <v>44713</v>
      </c>
      <c r="B347" s="57" t="n">
        <v>-0.00075</v>
      </c>
      <c r="C347" s="57" t="n">
        <v>-0.00059</v>
      </c>
      <c r="D347" s="57" t="n">
        <v>-1E-005</v>
      </c>
    </row>
    <row r="348" customFormat="false" ht="15" hidden="false" customHeight="false" outlineLevel="0" collapsed="false">
      <c r="A348" s="52" t="n">
        <v>44714</v>
      </c>
      <c r="B348" s="57" t="n">
        <v>-0.0007</v>
      </c>
      <c r="C348" s="57" t="n">
        <v>-0.00055</v>
      </c>
      <c r="D348" s="57" t="n">
        <v>6E-005</v>
      </c>
    </row>
    <row r="349" customFormat="false" ht="15" hidden="false" customHeight="false" outlineLevel="0" collapsed="false">
      <c r="A349" s="52" t="n">
        <v>44715</v>
      </c>
      <c r="B349" s="57" t="n">
        <v>-0.0007</v>
      </c>
      <c r="C349" s="57" t="n">
        <v>-0.00059</v>
      </c>
      <c r="D349" s="57" t="n">
        <v>-1E-005</v>
      </c>
    </row>
    <row r="350" customFormat="false" ht="15" hidden="false" customHeight="false" outlineLevel="0" collapsed="false">
      <c r="A350" s="52" t="n">
        <v>44718</v>
      </c>
      <c r="B350" s="57" t="n">
        <v>-0.00065</v>
      </c>
      <c r="C350" s="57" t="n">
        <v>-0.00055</v>
      </c>
      <c r="D350" s="57" t="n">
        <v>6E-005</v>
      </c>
    </row>
    <row r="351" customFormat="false" ht="15" hidden="false" customHeight="false" outlineLevel="0" collapsed="false">
      <c r="A351" s="52" t="n">
        <v>44719</v>
      </c>
      <c r="B351" s="57" t="n">
        <v>-0.0007</v>
      </c>
      <c r="C351" s="57" t="n">
        <v>-0.00055</v>
      </c>
      <c r="D351" s="57" t="n">
        <v>9E-005</v>
      </c>
    </row>
    <row r="352" customFormat="false" ht="15" hidden="false" customHeight="false" outlineLevel="0" collapsed="false">
      <c r="A352" s="52" t="n">
        <v>44720</v>
      </c>
      <c r="B352" s="57" t="n">
        <v>-0.0007</v>
      </c>
      <c r="C352" s="57" t="n">
        <v>-0.00059</v>
      </c>
      <c r="D352" s="57" t="n">
        <v>3E-005</v>
      </c>
    </row>
    <row r="353" customFormat="false" ht="15" hidden="false" customHeight="false" outlineLevel="0" collapsed="false">
      <c r="A353" s="52" t="n">
        <v>44721</v>
      </c>
      <c r="B353" s="57" t="n">
        <v>-0.00075</v>
      </c>
      <c r="C353" s="57" t="n">
        <v>-0.00065</v>
      </c>
      <c r="D353" s="57" t="n">
        <v>3E-005</v>
      </c>
    </row>
    <row r="354" customFormat="false" ht="15" hidden="false" customHeight="false" outlineLevel="0" collapsed="false">
      <c r="A354" s="52" t="n">
        <v>44722</v>
      </c>
      <c r="B354" s="57" t="n">
        <v>-0.00081</v>
      </c>
      <c r="C354" s="57" t="n">
        <v>-0.00069</v>
      </c>
      <c r="D354" s="57" t="n">
        <v>7E-005</v>
      </c>
    </row>
    <row r="355" customFormat="false" ht="15" hidden="false" customHeight="false" outlineLevel="0" collapsed="false">
      <c r="A355" s="52" t="n">
        <v>44725</v>
      </c>
      <c r="B355" s="57" t="n">
        <v>-0.00051</v>
      </c>
      <c r="C355" s="57" t="n">
        <v>-0.00039</v>
      </c>
      <c r="D355" s="57" t="n">
        <v>0.00047</v>
      </c>
    </row>
    <row r="356" customFormat="false" ht="15" hidden="false" customHeight="false" outlineLevel="0" collapsed="false">
      <c r="A356" s="52" t="n">
        <v>44726</v>
      </c>
      <c r="B356" s="57" t="n">
        <v>-0.0005</v>
      </c>
      <c r="C356" s="57" t="n">
        <v>-0.0002</v>
      </c>
      <c r="D356" s="57" t="n">
        <v>0.00092</v>
      </c>
    </row>
    <row r="357" customFormat="false" ht="15" hidden="false" customHeight="false" outlineLevel="0" collapsed="false">
      <c r="A357" s="52" t="n">
        <v>44727</v>
      </c>
      <c r="B357" s="57" t="n">
        <v>-0.0006</v>
      </c>
      <c r="C357" s="57" t="n">
        <v>-0.00026</v>
      </c>
      <c r="D357" s="57" t="n">
        <v>0.00087</v>
      </c>
    </row>
    <row r="358" customFormat="false" ht="15" hidden="false" customHeight="false" outlineLevel="0" collapsed="false">
      <c r="A358" s="52" t="n">
        <v>44728</v>
      </c>
      <c r="B358" s="57" t="n">
        <v>-0.00084</v>
      </c>
      <c r="C358" s="57" t="n">
        <v>-0.00053</v>
      </c>
      <c r="D358" s="57" t="n">
        <v>0.00046</v>
      </c>
    </row>
    <row r="359" customFormat="false" ht="15" hidden="false" customHeight="false" outlineLevel="0" collapsed="false">
      <c r="A359" s="52" t="n">
        <v>44729</v>
      </c>
      <c r="B359" s="57" t="n">
        <v>-0.00071</v>
      </c>
      <c r="C359" s="57" t="n">
        <v>-0.00043</v>
      </c>
      <c r="D359" s="57" t="n">
        <v>0.00062</v>
      </c>
    </row>
    <row r="360" customFormat="false" ht="15" hidden="false" customHeight="false" outlineLevel="0" collapsed="false">
      <c r="A360" s="52" t="n">
        <v>44732</v>
      </c>
      <c r="B360" s="57" t="n">
        <v>-0.00059</v>
      </c>
      <c r="C360" s="57" t="n">
        <v>-0.0003</v>
      </c>
      <c r="D360" s="57" t="n">
        <v>0.00082</v>
      </c>
    </row>
    <row r="361" customFormat="false" ht="15" hidden="false" customHeight="false" outlineLevel="0" collapsed="false">
      <c r="A361" s="52" t="n">
        <v>44733</v>
      </c>
      <c r="B361" s="57" t="n">
        <v>-0.00066</v>
      </c>
      <c r="C361" s="57" t="n">
        <v>-0.00027</v>
      </c>
      <c r="D361" s="57" t="n">
        <v>0.00096</v>
      </c>
    </row>
    <row r="362" customFormat="false" ht="15" hidden="false" customHeight="false" outlineLevel="0" collapsed="false">
      <c r="A362" s="52" t="n">
        <v>44734</v>
      </c>
      <c r="B362" s="57" t="n">
        <v>-0.00079</v>
      </c>
      <c r="C362" s="57" t="n">
        <v>-0.00037</v>
      </c>
      <c r="D362" s="57" t="n">
        <v>0.00087</v>
      </c>
    </row>
    <row r="363" customFormat="false" ht="15" hidden="false" customHeight="false" outlineLevel="0" collapsed="false">
      <c r="A363" s="52" t="n">
        <v>44735</v>
      </c>
      <c r="B363" s="57" t="n">
        <v>-0.00085</v>
      </c>
      <c r="C363" s="57" t="n">
        <v>-0.00047</v>
      </c>
      <c r="D363" s="57" t="n">
        <v>0.00066</v>
      </c>
    </row>
    <row r="364" customFormat="false" ht="15" hidden="false" customHeight="false" outlineLevel="0" collapsed="false">
      <c r="A364" s="52" t="n">
        <v>44736</v>
      </c>
      <c r="B364" s="57" t="n">
        <v>-0.00079</v>
      </c>
      <c r="C364" s="57" t="n">
        <v>-0.00047</v>
      </c>
      <c r="D364" s="57" t="n">
        <v>0.00049</v>
      </c>
    </row>
    <row r="365" customFormat="false" ht="15" hidden="false" customHeight="false" outlineLevel="0" collapsed="false">
      <c r="A365" s="52" t="n">
        <v>44739</v>
      </c>
      <c r="B365" s="57" t="n">
        <v>-0.00066</v>
      </c>
      <c r="C365" s="57" t="n">
        <v>-0.00037</v>
      </c>
      <c r="D365" s="57" t="n">
        <v>0.00061</v>
      </c>
    </row>
    <row r="366" customFormat="false" ht="15" hidden="false" customHeight="false" outlineLevel="0" collapsed="false">
      <c r="A366" s="52" t="n">
        <v>44740</v>
      </c>
      <c r="B366" s="57" t="n">
        <v>-0.00045</v>
      </c>
      <c r="C366" s="57" t="n">
        <v>-0.00027</v>
      </c>
      <c r="D366" s="57" t="n">
        <v>0.00068</v>
      </c>
    </row>
    <row r="367" customFormat="false" ht="15" hidden="false" customHeight="false" outlineLevel="0" collapsed="false">
      <c r="A367" s="52" t="n">
        <v>44741</v>
      </c>
      <c r="B367" s="57" t="n">
        <v>-0.0005</v>
      </c>
      <c r="C367" s="57" t="n">
        <v>-0.00034</v>
      </c>
      <c r="D367" s="57" t="n">
        <v>0.00056</v>
      </c>
    </row>
    <row r="368" customFormat="false" ht="15" hidden="false" customHeight="false" outlineLevel="0" collapsed="false">
      <c r="A368" s="52" t="n">
        <v>44742</v>
      </c>
      <c r="B368" s="57" t="n">
        <v>-0.00065</v>
      </c>
      <c r="C368" s="57" t="n">
        <v>-0.00057</v>
      </c>
      <c r="D368" s="57" t="n">
        <v>0.00042</v>
      </c>
    </row>
    <row r="369" customFormat="false" ht="15" hidden="false" customHeight="false" outlineLevel="0" collapsed="false">
      <c r="A369" s="52" t="n">
        <v>44743</v>
      </c>
      <c r="B369" s="57" t="n">
        <v>-0.0007</v>
      </c>
      <c r="C369" s="57" t="n">
        <v>-0.00074</v>
      </c>
      <c r="D369" s="57" t="n">
        <v>0.00026</v>
      </c>
    </row>
    <row r="370" customFormat="false" ht="15" hidden="false" customHeight="false" outlineLevel="0" collapsed="false">
      <c r="A370" s="52" t="n">
        <v>44746</v>
      </c>
      <c r="B370" s="57" t="n">
        <v>-0.00065</v>
      </c>
      <c r="C370" s="57" t="n">
        <v>-0.00071</v>
      </c>
      <c r="D370" s="57" t="n">
        <v>0.00031</v>
      </c>
    </row>
    <row r="371" customFormat="false" ht="15" hidden="false" customHeight="false" outlineLevel="0" collapsed="false">
      <c r="A371" s="52" t="n">
        <v>44747</v>
      </c>
      <c r="B371" s="57" t="n">
        <v>-0.0006</v>
      </c>
      <c r="C371" s="57" t="n">
        <v>-0.00068</v>
      </c>
      <c r="D371" s="57" t="n">
        <v>0.00031</v>
      </c>
    </row>
    <row r="372" customFormat="false" ht="15" hidden="false" customHeight="false" outlineLevel="0" collapsed="false">
      <c r="A372" s="52" t="n">
        <v>44748</v>
      </c>
      <c r="B372" s="57" t="n">
        <v>-0.00065</v>
      </c>
      <c r="C372" s="57" t="n">
        <v>-0.00072</v>
      </c>
      <c r="D372" s="57" t="n">
        <v>0.00025</v>
      </c>
    </row>
    <row r="373" customFormat="false" ht="15" hidden="false" customHeight="false" outlineLevel="0" collapsed="false">
      <c r="A373" s="52" t="n">
        <v>44749</v>
      </c>
      <c r="B373" s="57" t="n">
        <v>-0.00071</v>
      </c>
      <c r="C373" s="57" t="n">
        <v>-0.00072</v>
      </c>
      <c r="D373" s="57" t="n">
        <v>0.00024</v>
      </c>
    </row>
    <row r="374" customFormat="false" ht="15" hidden="false" customHeight="false" outlineLevel="0" collapsed="false">
      <c r="A374" s="52" t="n">
        <v>44750</v>
      </c>
      <c r="B374" s="57" t="n">
        <v>-0.0007</v>
      </c>
      <c r="C374" s="57" t="n">
        <v>-0.00071</v>
      </c>
      <c r="D374" s="57" t="n">
        <v>0.00035</v>
      </c>
    </row>
    <row r="375" customFormat="false" ht="15" hidden="false" customHeight="false" outlineLevel="0" collapsed="false">
      <c r="A375" s="52" t="n">
        <v>44753</v>
      </c>
      <c r="B375" s="57" t="n">
        <v>-0.0007</v>
      </c>
      <c r="C375" s="57" t="n">
        <v>-0.00065</v>
      </c>
      <c r="D375" s="57" t="n">
        <v>0.00045</v>
      </c>
    </row>
    <row r="376" customFormat="false" ht="15" hidden="false" customHeight="false" outlineLevel="0" collapsed="false">
      <c r="A376" s="52" t="n">
        <v>44754</v>
      </c>
      <c r="B376" s="57" t="n">
        <v>-0.0007</v>
      </c>
      <c r="C376" s="57" t="n">
        <v>-0.00069</v>
      </c>
      <c r="D376" s="57" t="n">
        <v>0.00039</v>
      </c>
    </row>
    <row r="377" customFormat="false" ht="15" hidden="false" customHeight="false" outlineLevel="0" collapsed="false">
      <c r="A377" s="52" t="n">
        <v>44755</v>
      </c>
      <c r="B377" s="57" t="n">
        <v>-0.00076</v>
      </c>
      <c r="C377" s="57" t="n">
        <v>-0.00076</v>
      </c>
      <c r="D377" s="57" t="n">
        <v>0.00025</v>
      </c>
    </row>
    <row r="378" customFormat="false" ht="15" hidden="false" customHeight="false" outlineLevel="0" collapsed="false">
      <c r="A378" s="52" t="n">
        <v>44756</v>
      </c>
      <c r="B378" s="57" t="n">
        <v>-0.0006</v>
      </c>
      <c r="C378" s="57" t="n">
        <v>-0.00063</v>
      </c>
      <c r="D378" s="57" t="n">
        <v>0.00036</v>
      </c>
    </row>
    <row r="379" customFormat="false" ht="15" hidden="false" customHeight="false" outlineLevel="0" collapsed="false">
      <c r="A379" s="52" t="n">
        <v>44757</v>
      </c>
      <c r="B379" s="57" t="n">
        <v>-0.00061</v>
      </c>
      <c r="C379" s="57" t="n">
        <v>-0.00063</v>
      </c>
      <c r="D379" s="57" t="n">
        <v>0.00032</v>
      </c>
    </row>
    <row r="380" customFormat="false" ht="15" hidden="false" customHeight="false" outlineLevel="0" collapsed="false">
      <c r="A380" s="52" t="n">
        <v>44761</v>
      </c>
      <c r="B380" s="57" t="n">
        <v>-0.00077</v>
      </c>
      <c r="C380" s="57" t="n">
        <v>-0.0007</v>
      </c>
      <c r="D380" s="57" t="n">
        <v>0.00026</v>
      </c>
    </row>
    <row r="381" customFormat="false" ht="15" hidden="false" customHeight="false" outlineLevel="0" collapsed="false">
      <c r="A381" s="52" t="n">
        <v>44762</v>
      </c>
      <c r="B381" s="57" t="n">
        <v>-0.00077</v>
      </c>
      <c r="C381" s="57" t="n">
        <v>-0.00077</v>
      </c>
      <c r="D381" s="57" t="n">
        <v>0.0003</v>
      </c>
    </row>
    <row r="382" customFormat="false" ht="15" hidden="false" customHeight="false" outlineLevel="0" collapsed="false">
      <c r="A382" s="52" t="n">
        <v>44763</v>
      </c>
      <c r="B382" s="57" t="n">
        <v>-0.00075</v>
      </c>
      <c r="C382" s="57" t="n">
        <v>-0.00084</v>
      </c>
      <c r="D382" s="57" t="n">
        <v>0.0002</v>
      </c>
    </row>
    <row r="383" customFormat="false" ht="15" hidden="false" customHeight="false" outlineLevel="0" collapsed="false">
      <c r="A383" s="52" t="n">
        <v>44764</v>
      </c>
      <c r="B383" s="57" t="n">
        <v>-0.00077</v>
      </c>
      <c r="C383" s="57" t="n">
        <v>-0.00085</v>
      </c>
      <c r="D383" s="57" t="n">
        <v>0.0001</v>
      </c>
    </row>
    <row r="384" customFormat="false" ht="15" hidden="false" customHeight="false" outlineLevel="0" collapsed="false">
      <c r="A384" s="52" t="n">
        <v>44767</v>
      </c>
      <c r="B384" s="57" t="n">
        <v>-0.00075</v>
      </c>
      <c r="C384" s="57" t="n">
        <v>-0.00083</v>
      </c>
      <c r="D384" s="57" t="n">
        <v>2E-005</v>
      </c>
    </row>
    <row r="385" customFormat="false" ht="15" hidden="false" customHeight="false" outlineLevel="0" collapsed="false">
      <c r="A385" s="52" t="n">
        <v>44768</v>
      </c>
      <c r="B385" s="57" t="n">
        <v>-0.00077</v>
      </c>
      <c r="C385" s="57" t="n">
        <v>-0.00083</v>
      </c>
      <c r="D385" s="57" t="n">
        <v>2E-005</v>
      </c>
    </row>
    <row r="386" customFormat="false" ht="15" hidden="false" customHeight="false" outlineLevel="0" collapsed="false">
      <c r="A386" s="52" t="n">
        <v>44769</v>
      </c>
      <c r="B386" s="57" t="n">
        <v>-0.00078</v>
      </c>
      <c r="C386" s="57" t="n">
        <v>-0.00079</v>
      </c>
      <c r="D386" s="57" t="n">
        <v>2E-005</v>
      </c>
    </row>
    <row r="387" customFormat="false" ht="15" hidden="false" customHeight="false" outlineLevel="0" collapsed="false">
      <c r="A387" s="52" t="n">
        <v>44770</v>
      </c>
      <c r="B387" s="57" t="n">
        <v>-0.00076</v>
      </c>
      <c r="C387" s="57" t="n">
        <v>-0.00084</v>
      </c>
      <c r="D387" s="57" t="n">
        <v>-8E-005</v>
      </c>
    </row>
    <row r="388" customFormat="false" ht="15" hidden="false" customHeight="false" outlineLevel="0" collapsed="false">
      <c r="A388" s="52" t="n">
        <v>44771</v>
      </c>
      <c r="B388" s="57" t="n">
        <v>-0.0009</v>
      </c>
      <c r="C388" s="57" t="n">
        <v>-0.00094</v>
      </c>
      <c r="D388" s="57" t="n">
        <v>-0.00025</v>
      </c>
    </row>
    <row r="389" customFormat="false" ht="15" hidden="false" customHeight="false" outlineLevel="0" collapsed="false">
      <c r="A389" s="52" t="n">
        <v>44774</v>
      </c>
      <c r="B389" s="57" t="n">
        <v>-0.0009</v>
      </c>
      <c r="C389" s="57" t="n">
        <v>-0.00094</v>
      </c>
      <c r="D389" s="57" t="n">
        <v>-0.00018</v>
      </c>
    </row>
    <row r="390" customFormat="false" ht="15" hidden="false" customHeight="false" outlineLevel="0" collapsed="false">
      <c r="A390" s="52" t="n">
        <v>44775</v>
      </c>
      <c r="B390" s="57" t="n">
        <v>-0.0009</v>
      </c>
      <c r="C390" s="57" t="n">
        <v>-0.00098</v>
      </c>
      <c r="D390" s="57" t="n">
        <v>-0.00024</v>
      </c>
    </row>
    <row r="391" customFormat="false" ht="15" hidden="false" customHeight="false" outlineLevel="0" collapsed="false">
      <c r="A391" s="52" t="n">
        <v>44776</v>
      </c>
      <c r="B391" s="57" t="n">
        <v>-0.00085</v>
      </c>
      <c r="C391" s="57" t="n">
        <v>-0.00097</v>
      </c>
      <c r="D391" s="57" t="n">
        <v>-0.00013</v>
      </c>
    </row>
    <row r="392" customFormat="false" ht="15" hidden="false" customHeight="false" outlineLevel="0" collapsed="false">
      <c r="A392" s="52" t="n">
        <v>44777</v>
      </c>
      <c r="B392" s="57" t="n">
        <v>-0.00095</v>
      </c>
      <c r="C392" s="57" t="n">
        <v>-0.00107</v>
      </c>
      <c r="D392" s="57" t="n">
        <v>-0.00024</v>
      </c>
    </row>
    <row r="393" customFormat="false" ht="15" hidden="false" customHeight="false" outlineLevel="0" collapsed="false">
      <c r="A393" s="52" t="n">
        <v>44778</v>
      </c>
      <c r="B393" s="57" t="n">
        <v>-0.001</v>
      </c>
      <c r="C393" s="57" t="n">
        <v>-0.0011</v>
      </c>
      <c r="D393" s="57" t="n">
        <v>-0.00033</v>
      </c>
    </row>
    <row r="394" customFormat="false" ht="15" hidden="false" customHeight="false" outlineLevel="0" collapsed="false">
      <c r="A394" s="52" t="n">
        <v>44781</v>
      </c>
      <c r="B394" s="57" t="n">
        <v>-0.00101</v>
      </c>
      <c r="C394" s="57" t="n">
        <v>-0.00107</v>
      </c>
      <c r="D394" s="57" t="n">
        <v>-0.00028</v>
      </c>
    </row>
    <row r="395" customFormat="false" ht="15" hidden="false" customHeight="false" outlineLevel="0" collapsed="false">
      <c r="A395" s="52" t="n">
        <v>44782</v>
      </c>
      <c r="B395" s="57" t="n">
        <v>-0.00101</v>
      </c>
      <c r="C395" s="57" t="n">
        <v>-0.00107</v>
      </c>
      <c r="D395" s="57" t="n">
        <v>-0.00033</v>
      </c>
    </row>
    <row r="396" customFormat="false" ht="15" hidden="false" customHeight="false" outlineLevel="0" collapsed="false">
      <c r="A396" s="52" t="n">
        <v>44783</v>
      </c>
      <c r="B396" s="57" t="n">
        <v>-0.0009</v>
      </c>
      <c r="C396" s="57" t="n">
        <v>-0.00091</v>
      </c>
      <c r="D396" s="57" t="n">
        <v>-8E-005</v>
      </c>
    </row>
    <row r="397" customFormat="false" ht="15" hidden="false" customHeight="false" outlineLevel="0" collapsed="false">
      <c r="A397" s="52" t="n">
        <v>44785</v>
      </c>
      <c r="B397" s="57" t="n">
        <v>-0.00086</v>
      </c>
      <c r="C397" s="57" t="n">
        <v>-0.00086</v>
      </c>
      <c r="D397" s="57" t="n">
        <v>-3E-005</v>
      </c>
    </row>
    <row r="398" customFormat="false" ht="15" hidden="false" customHeight="false" outlineLevel="0" collapsed="false">
      <c r="A398" s="52" t="n">
        <v>44788</v>
      </c>
      <c r="B398" s="57" t="n">
        <v>-0.00085</v>
      </c>
      <c r="C398" s="57" t="n">
        <v>-0.00087</v>
      </c>
      <c r="D398" s="57" t="n">
        <v>3E-005</v>
      </c>
    </row>
    <row r="399" customFormat="false" ht="15" hidden="false" customHeight="false" outlineLevel="0" collapsed="false">
      <c r="A399" s="52" t="n">
        <v>44789</v>
      </c>
      <c r="B399" s="57" t="n">
        <v>-0.0009</v>
      </c>
      <c r="C399" s="57" t="n">
        <v>-0.0009</v>
      </c>
      <c r="D399" s="57" t="n">
        <v>-7E-005</v>
      </c>
    </row>
    <row r="400" customFormat="false" ht="15" hidden="false" customHeight="false" outlineLevel="0" collapsed="false">
      <c r="A400" s="52" t="n">
        <v>44790</v>
      </c>
      <c r="B400" s="57" t="n">
        <v>-0.0009</v>
      </c>
      <c r="C400" s="57" t="n">
        <v>-0.00087</v>
      </c>
      <c r="D400" s="57" t="n">
        <v>-3E-005</v>
      </c>
    </row>
    <row r="401" customFormat="false" ht="15" hidden="false" customHeight="false" outlineLevel="0" collapsed="false">
      <c r="A401" s="52" t="n">
        <v>44791</v>
      </c>
      <c r="B401" s="57" t="n">
        <v>-0.00086</v>
      </c>
      <c r="C401" s="57" t="n">
        <v>-0.0008</v>
      </c>
      <c r="D401" s="57" t="n">
        <v>8E-005</v>
      </c>
    </row>
    <row r="402" customFormat="false" ht="15" hidden="false" customHeight="false" outlineLevel="0" collapsed="false">
      <c r="A402" s="52" t="n">
        <v>44792</v>
      </c>
      <c r="B402" s="57" t="n">
        <v>-0.00086</v>
      </c>
      <c r="C402" s="57" t="n">
        <v>-0.0008</v>
      </c>
      <c r="D402" s="57" t="n">
        <v>5E-005</v>
      </c>
    </row>
    <row r="403" customFormat="false" ht="15" hidden="false" customHeight="false" outlineLevel="0" collapsed="false">
      <c r="A403" s="52" t="n">
        <v>44795</v>
      </c>
      <c r="B403" s="57" t="n">
        <v>-0.00081</v>
      </c>
      <c r="C403" s="57" t="n">
        <v>-0.00077</v>
      </c>
      <c r="D403" s="57" t="n">
        <v>0.00022</v>
      </c>
    </row>
    <row r="404" customFormat="false" ht="15" hidden="false" customHeight="false" outlineLevel="0" collapsed="false">
      <c r="A404" s="52" t="n">
        <v>44796</v>
      </c>
      <c r="B404" s="57" t="n">
        <v>-0.00086</v>
      </c>
      <c r="C404" s="57" t="n">
        <v>-0.00086</v>
      </c>
      <c r="D404" s="57" t="n">
        <v>0.00016</v>
      </c>
    </row>
    <row r="405" customFormat="false" ht="15" hidden="false" customHeight="false" outlineLevel="0" collapsed="false">
      <c r="A405" s="52" t="n">
        <v>44797</v>
      </c>
      <c r="B405" s="57" t="n">
        <v>-0.00086</v>
      </c>
      <c r="C405" s="57" t="n">
        <v>-0.00086</v>
      </c>
      <c r="D405" s="57" t="n">
        <v>0.00028</v>
      </c>
    </row>
    <row r="406" customFormat="false" ht="15" hidden="false" customHeight="false" outlineLevel="0" collapsed="false">
      <c r="A406" s="52" t="n">
        <v>44798</v>
      </c>
      <c r="B406" s="57" t="n">
        <v>-0.00087</v>
      </c>
      <c r="C406" s="57" t="n">
        <v>-0.00084</v>
      </c>
      <c r="D406" s="57" t="n">
        <v>0.00035</v>
      </c>
    </row>
    <row r="407" customFormat="false" ht="15" hidden="false" customHeight="false" outlineLevel="0" collapsed="false">
      <c r="A407" s="52" t="n">
        <v>44799</v>
      </c>
      <c r="B407" s="57" t="n">
        <v>-0.00087</v>
      </c>
      <c r="C407" s="57" t="n">
        <v>-0.00084</v>
      </c>
      <c r="D407" s="57" t="n">
        <v>0.00023</v>
      </c>
    </row>
    <row r="408" customFormat="false" ht="15" hidden="false" customHeight="false" outlineLevel="0" collapsed="false">
      <c r="A408" s="52" t="n">
        <v>44802</v>
      </c>
      <c r="B408" s="57" t="n">
        <v>-0.00079</v>
      </c>
      <c r="C408" s="57" t="n">
        <v>-0.00075</v>
      </c>
      <c r="D408" s="57" t="n">
        <v>0.00041</v>
      </c>
    </row>
    <row r="409" customFormat="false" ht="15" hidden="false" customHeight="false" outlineLevel="0" collapsed="false">
      <c r="A409" s="52" t="n">
        <v>44803</v>
      </c>
      <c r="B409" s="57" t="n">
        <v>-0.0009</v>
      </c>
      <c r="C409" s="57" t="n">
        <v>-0.00088</v>
      </c>
      <c r="D409" s="57" t="n">
        <v>0.00019</v>
      </c>
    </row>
    <row r="410" customFormat="false" ht="15" hidden="false" customHeight="false" outlineLevel="0" collapsed="false">
      <c r="A410" s="52" t="n">
        <v>44804</v>
      </c>
      <c r="B410" s="57" t="n">
        <v>-0.00085</v>
      </c>
      <c r="C410" s="57" t="n">
        <v>-0.00088</v>
      </c>
      <c r="D410" s="57" t="n">
        <v>0.00019</v>
      </c>
    </row>
    <row r="411" customFormat="false" ht="15" hidden="false" customHeight="false" outlineLevel="0" collapsed="false">
      <c r="A411" s="52" t="n">
        <v>44805</v>
      </c>
      <c r="B411" s="57" t="n">
        <v>-0.0008</v>
      </c>
      <c r="C411" s="57" t="n">
        <v>-0.00085</v>
      </c>
      <c r="D411" s="57" t="n">
        <v>0.0003</v>
      </c>
    </row>
    <row r="412" customFormat="false" ht="15" hidden="false" customHeight="false" outlineLevel="0" collapsed="false">
      <c r="A412" s="52" t="n">
        <v>44806</v>
      </c>
      <c r="B412" s="57" t="n">
        <v>-0.00085</v>
      </c>
      <c r="C412" s="57" t="n">
        <v>-0.00085</v>
      </c>
      <c r="D412" s="57" t="n">
        <v>0.00038</v>
      </c>
    </row>
    <row r="413" customFormat="false" ht="15" hidden="false" customHeight="false" outlineLevel="0" collapsed="false">
      <c r="A413" s="52" t="n">
        <v>44809</v>
      </c>
      <c r="B413" s="57" t="n">
        <v>-0.00085</v>
      </c>
      <c r="C413" s="57" t="n">
        <v>-0.00095</v>
      </c>
      <c r="D413" s="57" t="n">
        <v>0.00026</v>
      </c>
    </row>
    <row r="414" customFormat="false" ht="15" hidden="false" customHeight="false" outlineLevel="0" collapsed="false">
      <c r="A414" s="52" t="n">
        <v>44810</v>
      </c>
      <c r="B414" s="57" t="n">
        <v>-0.00081</v>
      </c>
      <c r="C414" s="57" t="n">
        <v>-0.00088</v>
      </c>
      <c r="D414" s="57" t="n">
        <v>0.00037</v>
      </c>
    </row>
    <row r="415" customFormat="false" ht="15" hidden="false" customHeight="false" outlineLevel="0" collapsed="false">
      <c r="A415" s="52" t="n">
        <v>44811</v>
      </c>
      <c r="B415" s="57" t="n">
        <v>-0.00081</v>
      </c>
      <c r="C415" s="57" t="n">
        <v>-0.00089</v>
      </c>
      <c r="D415" s="57" t="n">
        <v>0.00043</v>
      </c>
    </row>
    <row r="416" customFormat="false" ht="15" hidden="false" customHeight="false" outlineLevel="0" collapsed="false">
      <c r="A416" s="52" t="n">
        <v>44812</v>
      </c>
      <c r="B416" s="57" t="n">
        <v>-0.00081</v>
      </c>
      <c r="C416" s="57" t="n">
        <v>-0.00085</v>
      </c>
      <c r="D416" s="57" t="n">
        <v>0.00046</v>
      </c>
    </row>
    <row r="417" customFormat="false" ht="15" hidden="false" customHeight="false" outlineLevel="0" collapsed="false">
      <c r="A417" s="52" t="n">
        <v>44813</v>
      </c>
      <c r="B417" s="57" t="n">
        <v>-0.00081</v>
      </c>
      <c r="C417" s="57" t="n">
        <v>-0.00076</v>
      </c>
      <c r="D417" s="57" t="n">
        <v>0.00063</v>
      </c>
    </row>
    <row r="418" customFormat="false" ht="15" hidden="false" customHeight="false" outlineLevel="0" collapsed="false">
      <c r="A418" s="52" t="n">
        <v>44816</v>
      </c>
      <c r="B418" s="57" t="n">
        <v>-0.00076</v>
      </c>
      <c r="C418" s="57" t="n">
        <v>-0.00069</v>
      </c>
      <c r="D418" s="57" t="n">
        <v>0.00067</v>
      </c>
    </row>
    <row r="419" customFormat="false" ht="15" hidden="false" customHeight="false" outlineLevel="0" collapsed="false">
      <c r="A419" s="52" t="n">
        <v>44817</v>
      </c>
      <c r="B419" s="57" t="n">
        <v>-0.00076</v>
      </c>
      <c r="C419" s="57" t="n">
        <v>-0.00069</v>
      </c>
      <c r="D419" s="57" t="n">
        <v>0.00047</v>
      </c>
    </row>
    <row r="420" customFormat="false" ht="15" hidden="false" customHeight="false" outlineLevel="0" collapsed="false">
      <c r="A420" s="52" t="n">
        <v>44818</v>
      </c>
      <c r="B420" s="57" t="n">
        <v>-0.00076</v>
      </c>
      <c r="C420" s="57" t="n">
        <v>-0.00063</v>
      </c>
      <c r="D420" s="57" t="n">
        <v>0.00059</v>
      </c>
    </row>
    <row r="421" customFormat="false" ht="15" hidden="false" customHeight="false" outlineLevel="0" collapsed="false">
      <c r="A421" s="52" t="n">
        <v>44819</v>
      </c>
      <c r="B421" s="57" t="n">
        <v>-0.00076</v>
      </c>
      <c r="C421" s="57" t="n">
        <v>-0.00063</v>
      </c>
      <c r="D421" s="57" t="n">
        <v>0.00063</v>
      </c>
    </row>
    <row r="422" customFormat="false" ht="15" hidden="false" customHeight="false" outlineLevel="0" collapsed="false">
      <c r="A422" s="52" t="n">
        <v>44820</v>
      </c>
      <c r="B422" s="57" t="n">
        <v>-0.00071</v>
      </c>
      <c r="C422" s="57" t="n">
        <v>-0.0006</v>
      </c>
      <c r="D422" s="57" t="n">
        <v>0.00069</v>
      </c>
    </row>
    <row r="423" customFormat="false" ht="15" hidden="false" customHeight="false" outlineLevel="0" collapsed="false">
      <c r="A423" s="52" t="n">
        <v>44824</v>
      </c>
      <c r="B423" s="57" t="n">
        <v>-0.0007</v>
      </c>
      <c r="C423" s="57" t="n">
        <v>-0.0006</v>
      </c>
      <c r="D423" s="57" t="n">
        <v>0.00069</v>
      </c>
    </row>
    <row r="424" customFormat="false" ht="15" hidden="false" customHeight="false" outlineLevel="0" collapsed="false">
      <c r="A424" s="52" t="n">
        <v>44825</v>
      </c>
      <c r="B424" s="57" t="n">
        <v>-0.00055</v>
      </c>
      <c r="C424" s="57" t="n">
        <v>-0.00043</v>
      </c>
      <c r="D424" s="57" t="n">
        <v>0.00085</v>
      </c>
    </row>
    <row r="425" customFormat="false" ht="15" hidden="false" customHeight="false" outlineLevel="0" collapsed="false">
      <c r="A425" s="52" t="n">
        <v>44826</v>
      </c>
      <c r="B425" s="57" t="n">
        <v>-0.00066</v>
      </c>
      <c r="C425" s="57" t="n">
        <v>-0.00053</v>
      </c>
      <c r="D425" s="57" t="n">
        <v>0.00064</v>
      </c>
    </row>
    <row r="426" customFormat="false" ht="15" hidden="false" customHeight="false" outlineLevel="0" collapsed="false">
      <c r="A426" s="52" t="n">
        <v>44830</v>
      </c>
      <c r="B426" s="57" t="n">
        <v>-0.00056</v>
      </c>
      <c r="C426" s="57" t="n">
        <v>-0.00044</v>
      </c>
      <c r="D426" s="57" t="n">
        <v>0.00092</v>
      </c>
    </row>
    <row r="427" customFormat="false" ht="15" hidden="false" customHeight="false" outlineLevel="0" collapsed="false">
      <c r="A427" s="52" t="n">
        <v>44831</v>
      </c>
      <c r="B427" s="57" t="n">
        <v>-0.00045</v>
      </c>
      <c r="C427" s="57" t="n">
        <v>-0.00033</v>
      </c>
      <c r="D427" s="57" t="n">
        <v>0.00114</v>
      </c>
    </row>
    <row r="428" customFormat="false" ht="15" hidden="false" customHeight="false" outlineLevel="0" collapsed="false">
      <c r="A428" s="52" t="n">
        <v>44832</v>
      </c>
      <c r="B428" s="57" t="n">
        <v>-0.0004</v>
      </c>
      <c r="C428" s="57" t="n">
        <v>-0.00034</v>
      </c>
      <c r="D428" s="57" t="n">
        <v>0.001</v>
      </c>
    </row>
    <row r="429" customFormat="false" ht="15" hidden="false" customHeight="false" outlineLevel="0" collapsed="false">
      <c r="A429" s="52" t="n">
        <v>44833</v>
      </c>
      <c r="B429" s="57" t="n">
        <v>-0.0005</v>
      </c>
      <c r="C429" s="57" t="n">
        <v>-0.00034</v>
      </c>
      <c r="D429" s="57" t="n">
        <v>0.00095</v>
      </c>
    </row>
    <row r="430" customFormat="false" ht="15" hidden="false" customHeight="false" outlineLevel="0" collapsed="false">
      <c r="A430" s="52" t="n">
        <v>44834</v>
      </c>
      <c r="B430" s="57" t="n">
        <v>-0.0005</v>
      </c>
      <c r="C430" s="57" t="n">
        <v>-0.00037</v>
      </c>
      <c r="D430" s="57" t="n">
        <v>0.00088</v>
      </c>
    </row>
    <row r="431" customFormat="false" ht="15" hidden="false" customHeight="false" outlineLevel="0" collapsed="false">
      <c r="A431" s="52" t="n">
        <v>44837</v>
      </c>
      <c r="B431" s="57" t="n">
        <v>-0.00055</v>
      </c>
      <c r="C431" s="57" t="n">
        <v>-0.00048</v>
      </c>
      <c r="D431" s="57" t="n">
        <v>0.00072</v>
      </c>
    </row>
    <row r="432" customFormat="false" ht="15" hidden="false" customHeight="false" outlineLevel="0" collapsed="false">
      <c r="A432" s="52" t="n">
        <v>44838</v>
      </c>
      <c r="B432" s="57" t="n">
        <v>-0.0006</v>
      </c>
      <c r="C432" s="57" t="n">
        <v>-0.00052</v>
      </c>
      <c r="D432" s="57" t="n">
        <v>0.00056</v>
      </c>
    </row>
    <row r="433" customFormat="false" ht="15" hidden="false" customHeight="false" outlineLevel="0" collapsed="false">
      <c r="A433" s="52" t="n">
        <v>44839</v>
      </c>
      <c r="B433" s="57" t="n">
        <v>-0.00065</v>
      </c>
      <c r="C433" s="57" t="n">
        <v>-0.00057</v>
      </c>
      <c r="D433" s="57" t="n">
        <v>0.00056</v>
      </c>
    </row>
    <row r="434" customFormat="false" ht="15" hidden="false" customHeight="false" outlineLevel="0" collapsed="false">
      <c r="A434" s="52" t="n">
        <v>44840</v>
      </c>
      <c r="B434" s="57" t="n">
        <v>-0.0007</v>
      </c>
      <c r="C434" s="57" t="n">
        <v>-0.00061</v>
      </c>
      <c r="D434" s="57" t="n">
        <v>0.00056</v>
      </c>
    </row>
    <row r="435" customFormat="false" ht="15" hidden="false" customHeight="false" outlineLevel="0" collapsed="false">
      <c r="A435" s="52" t="n">
        <v>44841</v>
      </c>
      <c r="B435" s="57" t="n">
        <v>-0.00065</v>
      </c>
      <c r="C435" s="57" t="n">
        <v>-0.00058</v>
      </c>
      <c r="D435" s="57" t="n">
        <v>0.00066</v>
      </c>
    </row>
    <row r="436" customFormat="false" ht="15" hidden="false" customHeight="false" outlineLevel="0" collapsed="false">
      <c r="A436" s="52" t="n">
        <v>44845</v>
      </c>
      <c r="B436" s="57" t="n">
        <v>-0.00054</v>
      </c>
      <c r="C436" s="57" t="n">
        <v>-0.00044</v>
      </c>
      <c r="D436" s="57" t="n">
        <v>0.00082</v>
      </c>
    </row>
    <row r="437" customFormat="false" ht="15" hidden="false" customHeight="false" outlineLevel="0" collapsed="false">
      <c r="A437" s="52" t="n">
        <v>44846</v>
      </c>
      <c r="B437" s="57" t="n">
        <v>-0.00054</v>
      </c>
      <c r="C437" s="57" t="n">
        <v>-0.00041</v>
      </c>
      <c r="D437" s="57" t="n">
        <v>0.0008</v>
      </c>
    </row>
    <row r="438" customFormat="false" ht="15" hidden="false" customHeight="false" outlineLevel="0" collapsed="false">
      <c r="A438" s="52" t="n">
        <v>44847</v>
      </c>
      <c r="B438" s="57" t="n">
        <v>-0.0005</v>
      </c>
      <c r="C438" s="57" t="n">
        <v>-0.00037</v>
      </c>
      <c r="D438" s="57" t="n">
        <v>0.0009</v>
      </c>
    </row>
    <row r="439" customFormat="false" ht="15" hidden="false" customHeight="false" outlineLevel="0" collapsed="false">
      <c r="A439" s="52" t="n">
        <v>44848</v>
      </c>
      <c r="B439" s="57" t="n">
        <v>-0.0005</v>
      </c>
      <c r="C439" s="57" t="n">
        <v>-0.00037</v>
      </c>
      <c r="D439" s="57" t="n">
        <v>0.00086</v>
      </c>
    </row>
    <row r="440" customFormat="false" ht="15" hidden="false" customHeight="false" outlineLevel="0" collapsed="false">
      <c r="A440" s="52" t="n">
        <v>44851</v>
      </c>
      <c r="B440" s="57" t="n">
        <v>-0.0005</v>
      </c>
      <c r="C440" s="57" t="n">
        <v>-0.0003</v>
      </c>
      <c r="D440" s="57" t="n">
        <v>0.00097</v>
      </c>
    </row>
    <row r="441" customFormat="false" ht="15" hidden="false" customHeight="false" outlineLevel="0" collapsed="false">
      <c r="A441" s="52" t="n">
        <v>44852</v>
      </c>
      <c r="B441" s="57" t="n">
        <v>-0.0005</v>
      </c>
      <c r="C441" s="57" t="n">
        <v>-0.00031</v>
      </c>
      <c r="D441" s="57" t="n">
        <v>0.00097</v>
      </c>
    </row>
    <row r="442" customFormat="false" ht="15" hidden="false" customHeight="false" outlineLevel="0" collapsed="false">
      <c r="A442" s="52" t="n">
        <v>44853</v>
      </c>
      <c r="B442" s="57" t="n">
        <v>-0.00034</v>
      </c>
      <c r="C442" s="57" t="n">
        <v>-0.00016</v>
      </c>
      <c r="D442" s="57" t="n">
        <v>0.00112</v>
      </c>
    </row>
    <row r="443" customFormat="false" ht="15" hidden="false" customHeight="false" outlineLevel="0" collapsed="false">
      <c r="A443" s="52" t="n">
        <v>44854</v>
      </c>
      <c r="B443" s="57" t="n">
        <v>-0.00021</v>
      </c>
      <c r="C443" s="57" t="n">
        <v>-4E-005</v>
      </c>
      <c r="D443" s="57" t="n">
        <v>0.00132</v>
      </c>
    </row>
    <row r="444" customFormat="false" ht="15" hidden="false" customHeight="false" outlineLevel="0" collapsed="false">
      <c r="A444" s="52" t="n">
        <v>44855</v>
      </c>
      <c r="B444" s="57" t="n">
        <v>-3E-005</v>
      </c>
      <c r="C444" s="57" t="n">
        <v>8E-005</v>
      </c>
      <c r="D444" s="57" t="n">
        <v>0.00142</v>
      </c>
    </row>
    <row r="445" customFormat="false" ht="15" hidden="false" customHeight="false" outlineLevel="0" collapsed="false">
      <c r="A445" s="52" t="n">
        <v>44858</v>
      </c>
      <c r="B445" s="57" t="n">
        <v>1E-005</v>
      </c>
      <c r="C445" s="57" t="n">
        <v>8E-005</v>
      </c>
      <c r="D445" s="57" t="n">
        <v>0.00143</v>
      </c>
    </row>
    <row r="446" customFormat="false" ht="15" hidden="false" customHeight="false" outlineLevel="0" collapsed="false">
      <c r="A446" s="52" t="n">
        <v>44859</v>
      </c>
      <c r="B446" s="57" t="n">
        <v>-8E-005</v>
      </c>
      <c r="C446" s="57" t="n">
        <v>-2E-005</v>
      </c>
      <c r="D446" s="57" t="n">
        <v>0.00123</v>
      </c>
    </row>
    <row r="447" customFormat="false" ht="15" hidden="false" customHeight="false" outlineLevel="0" collapsed="false">
      <c r="A447" s="52" t="n">
        <v>44860</v>
      </c>
      <c r="B447" s="57" t="n">
        <v>-0.00019</v>
      </c>
      <c r="C447" s="57" t="n">
        <v>-0.00017</v>
      </c>
      <c r="D447" s="57" t="n">
        <v>0.00098</v>
      </c>
    </row>
    <row r="448" customFormat="false" ht="15" hidden="false" customHeight="false" outlineLevel="0" collapsed="false">
      <c r="A448" s="52" t="n">
        <v>44861</v>
      </c>
      <c r="B448" s="57" t="n">
        <v>-0.00044</v>
      </c>
      <c r="C448" s="57" t="n">
        <v>-0.00044</v>
      </c>
      <c r="D448" s="57" t="n">
        <v>0.0007</v>
      </c>
    </row>
    <row r="449" customFormat="false" ht="15" hidden="false" customHeight="false" outlineLevel="0" collapsed="false">
      <c r="A449" s="52" t="n">
        <v>44862</v>
      </c>
      <c r="B449" s="57" t="n">
        <v>-0.00049</v>
      </c>
      <c r="C449" s="57" t="n">
        <v>-0.00044</v>
      </c>
      <c r="D449" s="57" t="n">
        <v>0.00077</v>
      </c>
    </row>
    <row r="450" customFormat="false" ht="15" hidden="false" customHeight="false" outlineLevel="0" collapsed="false">
      <c r="A450" s="52" t="n">
        <v>44865</v>
      </c>
      <c r="B450" s="57" t="n">
        <v>-0.00045</v>
      </c>
      <c r="C450" s="57" t="n">
        <v>-0.00038</v>
      </c>
      <c r="D450" s="57" t="n">
        <v>0.00082</v>
      </c>
    </row>
    <row r="451" customFormat="false" ht="15" hidden="false" customHeight="false" outlineLevel="0" collapsed="false">
      <c r="A451" s="52" t="n">
        <v>44866</v>
      </c>
      <c r="B451" s="57" t="n">
        <v>-0.00045</v>
      </c>
      <c r="C451" s="57" t="n">
        <v>-0.0004</v>
      </c>
      <c r="D451" s="57" t="n">
        <v>0.00078</v>
      </c>
    </row>
    <row r="452" customFormat="false" ht="15" hidden="false" customHeight="false" outlineLevel="0" collapsed="false">
      <c r="A452" s="52" t="n">
        <v>44867</v>
      </c>
      <c r="B452" s="57" t="n">
        <v>-0.0004</v>
      </c>
      <c r="C452" s="57" t="n">
        <v>-0.00038</v>
      </c>
      <c r="D452" s="57" t="n">
        <v>0.00082</v>
      </c>
    </row>
    <row r="453" customFormat="false" ht="15" hidden="false" customHeight="false" outlineLevel="0" collapsed="false">
      <c r="A453" s="52" t="n">
        <v>44869</v>
      </c>
      <c r="B453" s="57" t="n">
        <v>-0.0004</v>
      </c>
      <c r="C453" s="57" t="n">
        <v>-0.00037</v>
      </c>
      <c r="D453" s="57" t="n">
        <v>0.00094</v>
      </c>
    </row>
    <row r="454" customFormat="false" ht="15" hidden="false" customHeight="false" outlineLevel="0" collapsed="false">
      <c r="A454" s="52" t="n">
        <v>44872</v>
      </c>
      <c r="B454" s="57" t="n">
        <v>-0.0004</v>
      </c>
      <c r="C454" s="57" t="n">
        <v>-0.00039</v>
      </c>
      <c r="D454" s="57" t="n">
        <v>0.00094</v>
      </c>
    </row>
    <row r="455" customFormat="false" ht="15" hidden="false" customHeight="false" outlineLevel="0" collapsed="false">
      <c r="A455" s="52" t="n">
        <v>44873</v>
      </c>
      <c r="B455" s="57" t="n">
        <v>-0.0004</v>
      </c>
      <c r="C455" s="57" t="n">
        <v>-0.00044</v>
      </c>
      <c r="D455" s="57" t="n">
        <v>0.00095</v>
      </c>
    </row>
    <row r="456" customFormat="false" ht="15" hidden="false" customHeight="false" outlineLevel="0" collapsed="false">
      <c r="A456" s="52" t="n">
        <v>44874</v>
      </c>
      <c r="B456" s="57" t="n">
        <v>-0.0005</v>
      </c>
      <c r="C456" s="57" t="n">
        <v>-0.00054</v>
      </c>
      <c r="D456" s="57" t="n">
        <v>0.0008</v>
      </c>
    </row>
    <row r="457" customFormat="false" ht="15" hidden="false" customHeight="false" outlineLevel="0" collapsed="false">
      <c r="A457" s="52" t="n">
        <v>44875</v>
      </c>
      <c r="B457" s="57" t="n">
        <v>-0.0005</v>
      </c>
      <c r="C457" s="57" t="n">
        <v>-0.00055</v>
      </c>
      <c r="D457" s="57" t="n">
        <v>0.00075</v>
      </c>
    </row>
    <row r="458" customFormat="false" ht="15" hidden="false" customHeight="false" outlineLevel="0" collapsed="false">
      <c r="A458" s="52" t="n">
        <v>44876</v>
      </c>
      <c r="B458" s="57" t="n">
        <v>-0.00056</v>
      </c>
      <c r="C458" s="57" t="n">
        <v>-0.00058</v>
      </c>
      <c r="D458" s="57" t="n">
        <v>0.00054</v>
      </c>
    </row>
    <row r="459" customFormat="false" ht="15" hidden="false" customHeight="false" outlineLevel="0" collapsed="false">
      <c r="A459" s="52" t="n">
        <v>44879</v>
      </c>
      <c r="B459" s="57" t="n">
        <v>-0.0005</v>
      </c>
      <c r="C459" s="57" t="n">
        <v>-0.00048</v>
      </c>
      <c r="D459" s="57" t="n">
        <v>0.00068</v>
      </c>
    </row>
    <row r="460" customFormat="false" ht="15" hidden="false" customHeight="false" outlineLevel="0" collapsed="false">
      <c r="A460" s="52" t="n">
        <v>44880</v>
      </c>
      <c r="B460" s="57" t="n">
        <v>-0.00047</v>
      </c>
      <c r="C460" s="57" t="n">
        <v>-0.00048</v>
      </c>
      <c r="D460" s="57" t="n">
        <v>0.00074</v>
      </c>
    </row>
    <row r="461" customFormat="false" ht="15" hidden="false" customHeight="false" outlineLevel="0" collapsed="false">
      <c r="A461" s="52" t="n">
        <v>44881</v>
      </c>
      <c r="B461" s="57" t="n">
        <v>-0.00042</v>
      </c>
      <c r="C461" s="57" t="n">
        <v>-0.00043</v>
      </c>
      <c r="D461" s="57" t="n">
        <v>0.00075</v>
      </c>
    </row>
    <row r="462" customFormat="false" ht="15" hidden="false" customHeight="false" outlineLevel="0" collapsed="false">
      <c r="A462" s="52" t="n">
        <v>44882</v>
      </c>
      <c r="B462" s="57" t="n">
        <v>-0.00041</v>
      </c>
      <c r="C462" s="57" t="n">
        <v>-0.00039</v>
      </c>
      <c r="D462" s="57" t="n">
        <v>0.00077</v>
      </c>
    </row>
    <row r="463" customFormat="false" ht="15" hidden="false" customHeight="false" outlineLevel="0" collapsed="false">
      <c r="A463" s="52" t="n">
        <v>44883</v>
      </c>
      <c r="B463" s="57" t="n">
        <v>-0.00019</v>
      </c>
      <c r="C463" s="57" t="n">
        <v>-0.00013</v>
      </c>
      <c r="D463" s="57" t="n">
        <v>0.00091</v>
      </c>
    </row>
    <row r="464" customFormat="false" ht="15" hidden="false" customHeight="false" outlineLevel="0" collapsed="false">
      <c r="A464" s="52" t="n">
        <v>44886</v>
      </c>
      <c r="B464" s="57" t="n">
        <v>-0.00014</v>
      </c>
      <c r="C464" s="57" t="n">
        <v>-8E-005</v>
      </c>
      <c r="D464" s="57" t="n">
        <v>0.00091</v>
      </c>
    </row>
    <row r="465" customFormat="false" ht="15" hidden="false" customHeight="false" outlineLevel="0" collapsed="false">
      <c r="A465" s="52" t="n">
        <v>44887</v>
      </c>
      <c r="B465" s="57" t="n">
        <v>-0.00019</v>
      </c>
      <c r="C465" s="57" t="n">
        <v>-0.00014</v>
      </c>
      <c r="D465" s="57" t="n">
        <v>0.00086</v>
      </c>
    </row>
    <row r="466" customFormat="false" ht="15" hidden="false" customHeight="false" outlineLevel="0" collapsed="false">
      <c r="A466" s="52" t="n">
        <v>44889</v>
      </c>
      <c r="B466" s="57" t="n">
        <v>-0.00024</v>
      </c>
      <c r="C466" s="57" t="n">
        <v>-0.00017</v>
      </c>
      <c r="D466" s="57" t="n">
        <v>0.0008</v>
      </c>
    </row>
    <row r="467" customFormat="false" ht="15" hidden="false" customHeight="false" outlineLevel="0" collapsed="false">
      <c r="A467" s="52" t="n">
        <v>44890</v>
      </c>
      <c r="B467" s="57" t="n">
        <v>-0.00018</v>
      </c>
      <c r="C467" s="57" t="n">
        <v>-8E-005</v>
      </c>
      <c r="D467" s="57" t="n">
        <v>0.00104</v>
      </c>
    </row>
    <row r="468" customFormat="false" ht="15" hidden="false" customHeight="false" outlineLevel="0" collapsed="false">
      <c r="A468" s="52" t="n">
        <v>44893</v>
      </c>
      <c r="B468" s="57" t="n">
        <v>-0.00019</v>
      </c>
      <c r="C468" s="57" t="n">
        <v>-9E-005</v>
      </c>
      <c r="D468" s="57" t="n">
        <v>0.00104</v>
      </c>
    </row>
    <row r="469" customFormat="false" ht="15" hidden="false" customHeight="false" outlineLevel="0" collapsed="false">
      <c r="A469" s="52" t="n">
        <v>44894</v>
      </c>
      <c r="B469" s="57" t="n">
        <v>-0.0003</v>
      </c>
      <c r="C469" s="57" t="n">
        <v>-9E-005</v>
      </c>
      <c r="D469" s="57" t="n">
        <v>0.0012</v>
      </c>
    </row>
    <row r="470" customFormat="false" ht="15" hidden="false" customHeight="false" outlineLevel="0" collapsed="false">
      <c r="A470" s="52" t="n">
        <v>44895</v>
      </c>
      <c r="B470" s="57" t="n">
        <v>-0.0003</v>
      </c>
      <c r="C470" s="57" t="n">
        <v>-6E-005</v>
      </c>
      <c r="D470" s="57" t="n">
        <v>0.0012</v>
      </c>
    </row>
    <row r="471" customFormat="false" ht="15" hidden="false" customHeight="false" outlineLevel="0" collapsed="false">
      <c r="A471" s="52" t="n">
        <v>44896</v>
      </c>
      <c r="B471" s="57" t="n">
        <v>-0.0003</v>
      </c>
      <c r="C471" s="57" t="n">
        <v>-0.0001</v>
      </c>
      <c r="D471" s="57" t="n">
        <v>0.00109</v>
      </c>
    </row>
    <row r="472" customFormat="false" ht="15" hidden="false" customHeight="false" outlineLevel="0" collapsed="false">
      <c r="A472" s="52" t="n">
        <v>44897</v>
      </c>
      <c r="B472" s="57" t="n">
        <v>-0.00025</v>
      </c>
      <c r="C472" s="57" t="n">
        <v>-0.0001</v>
      </c>
      <c r="D472" s="57" t="n">
        <v>0.00116</v>
      </c>
    </row>
    <row r="473" customFormat="false" ht="15" hidden="false" customHeight="false" outlineLevel="0" collapsed="false">
      <c r="A473" s="52" t="n">
        <v>44900</v>
      </c>
      <c r="B473" s="57" t="n">
        <v>-0.0002</v>
      </c>
      <c r="C473" s="57" t="n">
        <v>-3E-005</v>
      </c>
      <c r="D473" s="57" t="n">
        <v>0.00126</v>
      </c>
    </row>
    <row r="474" customFormat="false" ht="15" hidden="false" customHeight="false" outlineLevel="0" collapsed="false">
      <c r="A474" s="52" t="n">
        <v>44901</v>
      </c>
      <c r="B474" s="57" t="n">
        <v>-0.0001</v>
      </c>
      <c r="C474" s="57" t="n">
        <v>7E-005</v>
      </c>
      <c r="D474" s="57" t="n">
        <v>0.0014</v>
      </c>
    </row>
    <row r="475" customFormat="false" ht="15" hidden="false" customHeight="false" outlineLevel="0" collapsed="false">
      <c r="A475" s="52" t="n">
        <v>44902</v>
      </c>
      <c r="B475" s="57" t="n">
        <v>-9E-005</v>
      </c>
      <c r="C475" s="57" t="n">
        <v>7E-005</v>
      </c>
      <c r="D475" s="57" t="n">
        <v>0.00133</v>
      </c>
    </row>
    <row r="476" customFormat="false" ht="15" hidden="false" customHeight="false" outlineLevel="0" collapsed="false">
      <c r="A476" s="52" t="n">
        <v>44903</v>
      </c>
      <c r="B476" s="57" t="n">
        <v>-9E-005</v>
      </c>
      <c r="C476" s="57" t="n">
        <v>7E-005</v>
      </c>
      <c r="D476" s="57" t="n">
        <v>0.00134</v>
      </c>
    </row>
    <row r="477" customFormat="false" ht="15" hidden="false" customHeight="false" outlineLevel="0" collapsed="false">
      <c r="A477" s="52" t="n">
        <v>44904</v>
      </c>
      <c r="B477" s="57" t="n">
        <v>-0.00015</v>
      </c>
      <c r="C477" s="57" t="n">
        <v>0</v>
      </c>
      <c r="D477" s="57" t="n">
        <v>0.00126</v>
      </c>
    </row>
    <row r="478" customFormat="false" ht="15" hidden="false" customHeight="false" outlineLevel="0" collapsed="false">
      <c r="A478" s="52" t="n">
        <v>44907</v>
      </c>
      <c r="B478" s="57" t="n">
        <v>-0.00014</v>
      </c>
      <c r="C478" s="57" t="n">
        <v>7E-005</v>
      </c>
      <c r="D478" s="57" t="n">
        <v>0.00135</v>
      </c>
    </row>
    <row r="479" customFormat="false" ht="15" hidden="false" customHeight="false" outlineLevel="0" collapsed="false">
      <c r="A479" s="52" t="n">
        <v>44908</v>
      </c>
      <c r="B479" s="57" t="n">
        <v>-0.00015</v>
      </c>
      <c r="C479" s="57" t="n">
        <v>0</v>
      </c>
      <c r="D479" s="57" t="n">
        <v>0.00136</v>
      </c>
    </row>
    <row r="480" customFormat="false" ht="15" hidden="false" customHeight="false" outlineLevel="0" collapsed="false">
      <c r="A480" s="52" t="n">
        <v>44909</v>
      </c>
      <c r="B480" s="57" t="n">
        <v>-0.00015</v>
      </c>
      <c r="C480" s="57" t="n">
        <v>-3E-005</v>
      </c>
      <c r="D480" s="57" t="n">
        <v>0.00131</v>
      </c>
    </row>
    <row r="481" customFormat="false" ht="15" hidden="false" customHeight="false" outlineLevel="0" collapsed="false">
      <c r="A481" s="52" t="n">
        <v>44910</v>
      </c>
      <c r="B481" s="57" t="n">
        <v>-0.00015</v>
      </c>
      <c r="C481" s="57" t="n">
        <v>-3E-005</v>
      </c>
      <c r="D481" s="57" t="n">
        <v>0.00139</v>
      </c>
    </row>
    <row r="482" customFormat="false" ht="15" hidden="false" customHeight="false" outlineLevel="0" collapsed="false">
      <c r="A482" s="52" t="n">
        <v>44911</v>
      </c>
      <c r="B482" s="57" t="n">
        <v>-0.00019</v>
      </c>
      <c r="C482" s="57" t="n">
        <v>-0.00013</v>
      </c>
      <c r="D482" s="57" t="n">
        <v>0.00139</v>
      </c>
    </row>
    <row r="483" customFormat="false" ht="15" hidden="false" customHeight="false" outlineLevel="0" collapsed="false">
      <c r="A483" s="52" t="n">
        <v>44914</v>
      </c>
      <c r="B483" s="57" t="n">
        <v>-9E-005</v>
      </c>
      <c r="C483" s="57" t="n">
        <v>0</v>
      </c>
      <c r="D483" s="57" t="n">
        <v>0.00154</v>
      </c>
    </row>
    <row r="484" customFormat="false" ht="15" hidden="false" customHeight="false" outlineLevel="0" collapsed="false">
      <c r="A484" s="52" t="n">
        <v>44915</v>
      </c>
      <c r="B484" s="57" t="n">
        <v>0.00011</v>
      </c>
      <c r="C484" s="57" t="n">
        <v>0.00027</v>
      </c>
      <c r="D484" s="57" t="n">
        <v>0.00195</v>
      </c>
    </row>
    <row r="485" customFormat="false" ht="15" hidden="false" customHeight="false" outlineLevel="0" collapsed="false">
      <c r="A485" s="52" t="n">
        <v>44916</v>
      </c>
      <c r="B485" s="57" t="n">
        <v>-9E-005</v>
      </c>
      <c r="C485" s="57" t="n">
        <v>0.00027</v>
      </c>
      <c r="D485" s="57" t="n">
        <v>0.00261</v>
      </c>
    </row>
    <row r="486" customFormat="false" ht="15" hidden="false" customHeight="false" outlineLevel="0" collapsed="false">
      <c r="A486" s="52" t="n">
        <v>44917</v>
      </c>
      <c r="B486" s="57" t="n">
        <v>2E-005</v>
      </c>
      <c r="C486" s="57" t="n">
        <v>0.00027</v>
      </c>
      <c r="D486" s="57" t="n">
        <v>0.00235</v>
      </c>
    </row>
    <row r="487" customFormat="false" ht="15" hidden="false" customHeight="false" outlineLevel="0" collapsed="false">
      <c r="A487" s="52" t="n">
        <v>44918</v>
      </c>
      <c r="B487" s="57" t="n">
        <v>0.00014</v>
      </c>
      <c r="C487" s="57" t="n">
        <v>0.00036</v>
      </c>
      <c r="D487" s="57" t="n">
        <v>0.00217</v>
      </c>
    </row>
    <row r="488" customFormat="false" ht="15" hidden="false" customHeight="false" outlineLevel="0" collapsed="false">
      <c r="A488" s="52" t="n">
        <v>44921</v>
      </c>
      <c r="B488" s="57" t="n">
        <v>0.00033</v>
      </c>
      <c r="C488" s="57" t="n">
        <v>0.00056</v>
      </c>
      <c r="D488" s="57" t="n">
        <v>0.00257</v>
      </c>
    </row>
    <row r="489" customFormat="false" ht="15" hidden="false" customHeight="false" outlineLevel="0" collapsed="false">
      <c r="A489" s="52" t="n">
        <v>44922</v>
      </c>
      <c r="B489" s="57" t="n">
        <v>0.00038</v>
      </c>
      <c r="C489" s="57" t="n">
        <v>0.00063</v>
      </c>
      <c r="D489" s="57" t="n">
        <v>0.00262</v>
      </c>
    </row>
    <row r="490" customFormat="false" ht="15" hidden="false" customHeight="false" outlineLevel="0" collapsed="false">
      <c r="A490" s="52" t="n">
        <v>44923</v>
      </c>
      <c r="B490" s="57" t="n">
        <v>0.00039</v>
      </c>
      <c r="C490" s="57" t="n">
        <v>0.00066</v>
      </c>
      <c r="D490" s="57" t="n">
        <v>0.00262</v>
      </c>
    </row>
    <row r="491" customFormat="false" ht="15" hidden="false" customHeight="false" outlineLevel="0" collapsed="false">
      <c r="A491" s="52" t="n">
        <v>44924</v>
      </c>
      <c r="B491" s="57" t="n">
        <v>0.00039</v>
      </c>
      <c r="C491" s="57" t="n">
        <v>0.00073</v>
      </c>
      <c r="D491" s="57" t="n">
        <v>0.00262</v>
      </c>
    </row>
    <row r="492" customFormat="false" ht="15" hidden="false" customHeight="false" outlineLevel="0" collapsed="false">
      <c r="A492" s="52" t="n">
        <v>44925</v>
      </c>
      <c r="B492" s="57" t="n">
        <v>0.0003</v>
      </c>
      <c r="C492" s="57" t="n">
        <v>0.00063</v>
      </c>
      <c r="D492" s="57" t="n">
        <v>0.00253</v>
      </c>
    </row>
    <row r="493" customFormat="false" ht="15" hidden="false" customHeight="false" outlineLevel="0" collapsed="false">
      <c r="A493" s="52" t="n">
        <v>44930</v>
      </c>
      <c r="B493" s="57" t="n">
        <v>0.00025</v>
      </c>
      <c r="C493" s="57" t="n">
        <v>0.00057</v>
      </c>
      <c r="D493" s="57" t="n">
        <v>0.00246</v>
      </c>
    </row>
    <row r="494" customFormat="false" ht="15" hidden="false" customHeight="false" outlineLevel="0" collapsed="false">
      <c r="A494" s="52" t="n">
        <v>44931</v>
      </c>
      <c r="B494" s="57" t="n">
        <v>0.00015</v>
      </c>
      <c r="C494" s="57" t="n">
        <v>0.00043</v>
      </c>
      <c r="D494" s="57" t="n">
        <v>0.00234</v>
      </c>
    </row>
    <row r="495" customFormat="false" ht="15" hidden="false" customHeight="false" outlineLevel="0" collapsed="false">
      <c r="A495" s="52" t="n">
        <v>44932</v>
      </c>
      <c r="B495" s="57" t="n">
        <v>0.00011</v>
      </c>
      <c r="C495" s="57" t="n">
        <v>0.00036</v>
      </c>
      <c r="D495" s="57" t="n">
        <v>0.0023</v>
      </c>
    </row>
    <row r="496" customFormat="false" ht="15" hidden="false" customHeight="false" outlineLevel="0" collapsed="false">
      <c r="A496" s="52" t="n">
        <v>44936</v>
      </c>
      <c r="B496" s="57" t="n">
        <v>0.00026</v>
      </c>
      <c r="C496" s="57" t="n">
        <v>0.00047</v>
      </c>
      <c r="D496" s="57" t="n">
        <v>0.00258</v>
      </c>
    </row>
    <row r="497" customFormat="false" ht="15" hidden="false" customHeight="false" outlineLevel="0" collapsed="false">
      <c r="A497" s="52" t="n">
        <v>44937</v>
      </c>
      <c r="B497" s="57" t="n">
        <v>0.00026</v>
      </c>
      <c r="C497" s="57" t="n">
        <v>0.00047</v>
      </c>
      <c r="D497" s="57" t="n">
        <v>0.00262</v>
      </c>
    </row>
    <row r="498" customFormat="false" ht="15" hidden="false" customHeight="false" outlineLevel="0" collapsed="false">
      <c r="A498" s="52" t="n">
        <v>44938</v>
      </c>
      <c r="B498" s="57" t="n">
        <v>0.00041</v>
      </c>
      <c r="C498" s="57" t="n">
        <v>0.00066</v>
      </c>
      <c r="D498" s="57" t="n">
        <v>0.00302</v>
      </c>
    </row>
    <row r="499" customFormat="false" ht="15" hidden="false" customHeight="false" outlineLevel="0" collapsed="false">
      <c r="A499" s="52" t="n">
        <v>44939</v>
      </c>
      <c r="B499" s="57" t="n">
        <v>0.00032</v>
      </c>
      <c r="C499" s="57" t="n">
        <v>0.00069</v>
      </c>
      <c r="D499" s="57" t="n">
        <v>0.00328</v>
      </c>
    </row>
    <row r="500" customFormat="false" ht="15" hidden="false" customHeight="false" outlineLevel="0" collapsed="false">
      <c r="A500" s="52" t="n">
        <v>44942</v>
      </c>
      <c r="B500" s="57" t="n">
        <v>0.00032</v>
      </c>
      <c r="C500" s="57" t="n">
        <v>0.00063</v>
      </c>
      <c r="D500" s="57" t="n">
        <v>0.00319</v>
      </c>
    </row>
    <row r="501" customFormat="false" ht="15" hidden="false" customHeight="false" outlineLevel="0" collapsed="false">
      <c r="A501" s="52" t="n">
        <v>44943</v>
      </c>
      <c r="B501" s="57" t="n">
        <v>0.00041</v>
      </c>
      <c r="C501" s="57" t="n">
        <v>0.00077</v>
      </c>
      <c r="D501" s="57" t="n">
        <v>0.00329</v>
      </c>
    </row>
    <row r="502" customFormat="false" ht="15" hidden="false" customHeight="false" outlineLevel="0" collapsed="false">
      <c r="A502" s="52" t="n">
        <v>44944</v>
      </c>
      <c r="B502" s="57" t="n">
        <v>6E-005</v>
      </c>
      <c r="C502" s="57" t="n">
        <v>0.00029</v>
      </c>
      <c r="D502" s="57" t="n">
        <v>0.00238</v>
      </c>
    </row>
    <row r="503" customFormat="false" ht="15" hidden="false" customHeight="false" outlineLevel="0" collapsed="false">
      <c r="A503" s="52" t="n">
        <v>44945</v>
      </c>
      <c r="B503" s="57" t="n">
        <v>-1E-005</v>
      </c>
      <c r="C503" s="57" t="n">
        <v>0.00021</v>
      </c>
      <c r="D503" s="57" t="n">
        <v>0.00223</v>
      </c>
    </row>
    <row r="504" customFormat="false" ht="15" hidden="false" customHeight="false" outlineLevel="0" collapsed="false">
      <c r="A504" s="52" t="n">
        <v>44946</v>
      </c>
      <c r="B504" s="57" t="n">
        <v>-4E-005</v>
      </c>
      <c r="C504" s="57" t="n">
        <v>0.00014</v>
      </c>
      <c r="D504" s="57" t="n">
        <v>0.00198</v>
      </c>
    </row>
    <row r="505" customFormat="false" ht="15" hidden="false" customHeight="false" outlineLevel="0" collapsed="false">
      <c r="A505" s="52" t="n">
        <v>44949</v>
      </c>
      <c r="B505" s="57" t="n">
        <v>-0.00015</v>
      </c>
      <c r="C505" s="57" t="n">
        <v>-1E-005</v>
      </c>
      <c r="D505" s="57" t="n">
        <v>0.00168</v>
      </c>
    </row>
    <row r="506" customFormat="false" ht="15" hidden="false" customHeight="false" outlineLevel="0" collapsed="false">
      <c r="A506" s="52" t="n">
        <v>44950</v>
      </c>
      <c r="B506" s="57" t="n">
        <v>-5E-005</v>
      </c>
      <c r="C506" s="57" t="n">
        <v>4E-005</v>
      </c>
      <c r="D506" s="57" t="n">
        <v>0.00185</v>
      </c>
    </row>
    <row r="507" customFormat="false" ht="15" hidden="false" customHeight="false" outlineLevel="0" collapsed="false">
      <c r="A507" s="52" t="n">
        <v>44951</v>
      </c>
      <c r="B507" s="57" t="n">
        <v>-0.0001</v>
      </c>
      <c r="C507" s="57" t="n">
        <v>4E-005</v>
      </c>
      <c r="D507" s="57" t="n">
        <v>0.00189</v>
      </c>
    </row>
    <row r="508" customFormat="false" ht="15" hidden="false" customHeight="false" outlineLevel="0" collapsed="false">
      <c r="A508" s="52" t="n">
        <v>44952</v>
      </c>
      <c r="B508" s="57" t="n">
        <v>-9E-005</v>
      </c>
      <c r="C508" s="57" t="n">
        <v>6E-005</v>
      </c>
      <c r="D508" s="57" t="n">
        <v>0.00189</v>
      </c>
    </row>
    <row r="509" customFormat="false" ht="15" hidden="false" customHeight="false" outlineLevel="0" collapsed="false">
      <c r="A509" s="52" t="n">
        <v>44953</v>
      </c>
      <c r="B509" s="57" t="n">
        <v>1E-005</v>
      </c>
      <c r="C509" s="57" t="n">
        <v>0.00014</v>
      </c>
      <c r="D509" s="57" t="n">
        <v>0.002</v>
      </c>
    </row>
    <row r="510" customFormat="false" ht="15" hidden="false" customHeight="false" outlineLevel="0" collapsed="false">
      <c r="A510" s="52" t="n">
        <v>44956</v>
      </c>
      <c r="B510" s="57" t="n">
        <v>-4E-005</v>
      </c>
      <c r="C510" s="57" t="n">
        <v>0.00011</v>
      </c>
      <c r="D510" s="57" t="n">
        <v>0.00187</v>
      </c>
    </row>
    <row r="511" customFormat="false" ht="15" hidden="false" customHeight="false" outlineLevel="0" collapsed="false">
      <c r="A511" s="52" t="n">
        <v>44957</v>
      </c>
      <c r="B511" s="57" t="n">
        <v>-0.0001</v>
      </c>
      <c r="C511" s="57" t="n">
        <v>0.00021</v>
      </c>
      <c r="D511" s="57" t="n">
        <v>0.00198</v>
      </c>
    </row>
    <row r="512" customFormat="false" ht="15" hidden="false" customHeight="false" outlineLevel="0" collapsed="false">
      <c r="A512" s="52" t="n">
        <v>44958</v>
      </c>
      <c r="B512" s="57" t="n">
        <v>-0.0002</v>
      </c>
      <c r="C512" s="57" t="n">
        <v>0.00016</v>
      </c>
      <c r="D512" s="57" t="n">
        <v>0.00192</v>
      </c>
    </row>
    <row r="513" customFormat="false" ht="15" hidden="false" customHeight="false" outlineLevel="0" collapsed="false">
      <c r="A513" s="52" t="n">
        <v>44959</v>
      </c>
      <c r="B513" s="57" t="n">
        <v>-0.0002</v>
      </c>
      <c r="C513" s="57" t="n">
        <v>0.0001</v>
      </c>
      <c r="D513" s="57" t="n">
        <v>0.00192</v>
      </c>
    </row>
    <row r="514" customFormat="false" ht="15" hidden="false" customHeight="false" outlineLevel="0" collapsed="false">
      <c r="A514" s="52" t="n">
        <v>44960</v>
      </c>
      <c r="B514" s="57" t="n">
        <v>-0.0003</v>
      </c>
      <c r="C514" s="57" t="n">
        <v>-0.0001</v>
      </c>
      <c r="D514" s="57" t="n">
        <v>0.00167</v>
      </c>
    </row>
    <row r="515" customFormat="false" ht="15" hidden="false" customHeight="false" outlineLevel="0" collapsed="false">
      <c r="A515" s="52" t="n">
        <v>44963</v>
      </c>
      <c r="B515" s="57" t="n">
        <v>-0.00025</v>
      </c>
      <c r="C515" s="57" t="n">
        <v>-3E-005</v>
      </c>
      <c r="D515" s="57" t="n">
        <v>0.00179</v>
      </c>
    </row>
    <row r="516" customFormat="false" ht="15" hidden="false" customHeight="false" outlineLevel="0" collapsed="false">
      <c r="A516" s="52" t="n">
        <v>44964</v>
      </c>
      <c r="B516" s="57" t="n">
        <v>-0.00029</v>
      </c>
      <c r="C516" s="57" t="n">
        <v>-3E-005</v>
      </c>
      <c r="D516" s="57" t="n">
        <v>0.0019</v>
      </c>
    </row>
    <row r="517" customFormat="false" ht="15" hidden="false" customHeight="false" outlineLevel="0" collapsed="false">
      <c r="A517" s="52" t="n">
        <v>44965</v>
      </c>
      <c r="B517" s="57" t="n">
        <v>-0.00029</v>
      </c>
      <c r="C517" s="57" t="n">
        <v>7E-005</v>
      </c>
      <c r="D517" s="57" t="n">
        <v>0.002</v>
      </c>
    </row>
    <row r="518" customFormat="false" ht="15" hidden="false" customHeight="false" outlineLevel="0" collapsed="false">
      <c r="A518" s="52" t="n">
        <v>44966</v>
      </c>
      <c r="B518" s="57" t="n">
        <v>-0.00035</v>
      </c>
      <c r="C518" s="57" t="n">
        <v>6E-005</v>
      </c>
      <c r="D518" s="57" t="n">
        <v>0.00214</v>
      </c>
    </row>
    <row r="519" customFormat="false" ht="15" hidden="false" customHeight="false" outlineLevel="0" collapsed="false">
      <c r="A519" s="52" t="n">
        <v>44967</v>
      </c>
      <c r="B519" s="57" t="n">
        <v>-0.00045</v>
      </c>
      <c r="C519" s="57" t="n">
        <v>-1E-005</v>
      </c>
      <c r="D519" s="57" t="n">
        <v>0.00215</v>
      </c>
    </row>
    <row r="520" customFormat="false" ht="15" hidden="false" customHeight="false" outlineLevel="0" collapsed="false">
      <c r="A520" s="52" t="n">
        <v>44970</v>
      </c>
      <c r="B520" s="57" t="n">
        <v>-0.00055</v>
      </c>
      <c r="C520" s="57" t="n">
        <v>-0.00011</v>
      </c>
      <c r="D520" s="57" t="n">
        <v>0.00202</v>
      </c>
    </row>
    <row r="521" customFormat="false" ht="15" hidden="false" customHeight="false" outlineLevel="0" collapsed="false">
      <c r="A521" s="52" t="n">
        <v>44971</v>
      </c>
      <c r="B521" s="57" t="n">
        <v>-0.00056</v>
      </c>
      <c r="C521" s="57" t="n">
        <v>-0.0001</v>
      </c>
      <c r="D521" s="57" t="n">
        <v>0.00208</v>
      </c>
    </row>
    <row r="522" customFormat="false" ht="15" hidden="false" customHeight="false" outlineLevel="0" collapsed="false">
      <c r="A522" s="52" t="n">
        <v>44972</v>
      </c>
      <c r="B522" s="57" t="n">
        <v>-0.00051</v>
      </c>
      <c r="C522" s="57" t="n">
        <v>-4E-005</v>
      </c>
      <c r="D522" s="57" t="n">
        <v>0.00208</v>
      </c>
    </row>
    <row r="523" customFormat="false" ht="15" hidden="false" customHeight="false" outlineLevel="0" collapsed="false">
      <c r="A523" s="52" t="n">
        <v>44973</v>
      </c>
      <c r="B523" s="57" t="n">
        <v>-0.00047</v>
      </c>
      <c r="C523" s="57" t="n">
        <v>0</v>
      </c>
      <c r="D523" s="57" t="n">
        <v>0.00226</v>
      </c>
    </row>
    <row r="524" customFormat="false" ht="15" hidden="false" customHeight="false" outlineLevel="0" collapsed="false">
      <c r="A524" s="52" t="n">
        <v>44974</v>
      </c>
      <c r="B524" s="57" t="n">
        <v>-0.00047</v>
      </c>
      <c r="C524" s="57" t="n">
        <v>-3E-005</v>
      </c>
      <c r="D524" s="57" t="n">
        <v>0.00227</v>
      </c>
    </row>
    <row r="525" customFormat="false" ht="15" hidden="false" customHeight="false" outlineLevel="0" collapsed="false">
      <c r="A525" s="52" t="n">
        <v>44977</v>
      </c>
      <c r="B525" s="57" t="n">
        <v>-0.00043</v>
      </c>
      <c r="C525" s="57" t="n">
        <v>0</v>
      </c>
      <c r="D525" s="57" t="n">
        <v>0.00235</v>
      </c>
    </row>
    <row r="526" customFormat="false" ht="15" hidden="false" customHeight="false" outlineLevel="0" collapsed="false">
      <c r="A526" s="52" t="n">
        <v>44978</v>
      </c>
      <c r="B526" s="57" t="n">
        <v>-0.00029</v>
      </c>
      <c r="C526" s="57" t="n">
        <v>0.00017</v>
      </c>
      <c r="D526" s="57" t="n">
        <v>0.00255</v>
      </c>
    </row>
    <row r="527" customFormat="false" ht="15" hidden="false" customHeight="false" outlineLevel="0" collapsed="false">
      <c r="A527" s="52" t="n">
        <v>44979</v>
      </c>
      <c r="B527" s="57" t="n">
        <v>-0.00029</v>
      </c>
      <c r="C527" s="57" t="n">
        <v>0.00023</v>
      </c>
      <c r="D527" s="57" t="n">
        <v>0.00261</v>
      </c>
    </row>
    <row r="528" customFormat="false" ht="15" hidden="false" customHeight="false" outlineLevel="0" collapsed="false">
      <c r="A528" s="52" t="n">
        <v>44981</v>
      </c>
      <c r="B528" s="57" t="n">
        <v>-0.00029</v>
      </c>
      <c r="C528" s="57" t="n">
        <v>0.00015</v>
      </c>
      <c r="D528" s="57" t="n">
        <v>0.00238</v>
      </c>
    </row>
    <row r="529" customFormat="false" ht="15" hidden="false" customHeight="false" outlineLevel="0" collapsed="false">
      <c r="A529" s="52" t="n">
        <v>44984</v>
      </c>
      <c r="B529" s="57" t="n">
        <v>-0.00028</v>
      </c>
      <c r="C529" s="57" t="n">
        <v>0.00018</v>
      </c>
      <c r="D529" s="57" t="n">
        <v>0.00245</v>
      </c>
    </row>
    <row r="530" customFormat="false" ht="15" hidden="false" customHeight="false" outlineLevel="0" collapsed="false">
      <c r="A530" s="52" t="n">
        <v>44985</v>
      </c>
      <c r="B530" s="57" t="n">
        <v>-0.00026</v>
      </c>
      <c r="C530" s="57" t="n">
        <v>7E-005</v>
      </c>
      <c r="D530" s="57" t="n">
        <v>0.00229</v>
      </c>
    </row>
    <row r="531" customFormat="false" ht="15" hidden="false" customHeight="false" outlineLevel="0" collapsed="false">
      <c r="A531" s="52" t="n">
        <v>44986</v>
      </c>
      <c r="B531" s="57" t="n">
        <v>-0.00035</v>
      </c>
      <c r="C531" s="57" t="n">
        <v>-3E-005</v>
      </c>
      <c r="D531" s="57" t="n">
        <v>0.00219</v>
      </c>
    </row>
    <row r="532" customFormat="false" ht="15" hidden="false" customHeight="false" outlineLevel="0" collapsed="false">
      <c r="A532" s="52" t="n">
        <v>44987</v>
      </c>
      <c r="B532" s="57" t="n">
        <v>-0.00035</v>
      </c>
      <c r="C532" s="57" t="n">
        <v>-8E-005</v>
      </c>
      <c r="D532" s="57" t="n">
        <v>0.00216</v>
      </c>
    </row>
    <row r="533" customFormat="false" ht="15" hidden="false" customHeight="false" outlineLevel="0" collapsed="false">
      <c r="A533" s="52" t="n">
        <v>44988</v>
      </c>
      <c r="B533" s="57" t="n">
        <v>-0.0004</v>
      </c>
      <c r="C533" s="57" t="n">
        <v>-0.00012</v>
      </c>
      <c r="D533" s="57" t="n">
        <v>0.00213</v>
      </c>
    </row>
    <row r="534" customFormat="false" ht="15" hidden="false" customHeight="false" outlineLevel="0" collapsed="false">
      <c r="A534" s="52" t="n">
        <v>44991</v>
      </c>
      <c r="B534" s="57" t="n">
        <v>-0.00039</v>
      </c>
      <c r="C534" s="57" t="n">
        <v>-8E-005</v>
      </c>
      <c r="D534" s="57" t="n">
        <v>0.00229</v>
      </c>
    </row>
    <row r="535" customFormat="false" ht="15" hidden="false" customHeight="false" outlineLevel="0" collapsed="false">
      <c r="A535" s="52" t="n">
        <v>44992</v>
      </c>
      <c r="B535" s="57" t="n">
        <v>-0.00039</v>
      </c>
      <c r="C535" s="57" t="n">
        <v>-0.00017</v>
      </c>
      <c r="D535" s="57" t="n">
        <v>0.00219</v>
      </c>
    </row>
    <row r="536" customFormat="false" ht="15" hidden="false" customHeight="false" outlineLevel="0" collapsed="false">
      <c r="A536" s="52" t="n">
        <v>44993</v>
      </c>
      <c r="B536" s="57" t="n">
        <v>-0.0004</v>
      </c>
      <c r="C536" s="57" t="n">
        <v>-0.00017</v>
      </c>
      <c r="D536" s="57" t="n">
        <v>0.00224</v>
      </c>
    </row>
    <row r="537" customFormat="false" ht="15" hidden="false" customHeight="false" outlineLevel="0" collapsed="false">
      <c r="A537" s="52" t="n">
        <v>44994</v>
      </c>
      <c r="B537" s="57" t="n">
        <v>-0.00019</v>
      </c>
      <c r="C537" s="57" t="n">
        <v>0.00015</v>
      </c>
      <c r="D537" s="57" t="n">
        <v>0.00247</v>
      </c>
    </row>
    <row r="538" customFormat="false" ht="15" hidden="false" customHeight="false" outlineLevel="0" collapsed="false">
      <c r="A538" s="52" t="n">
        <v>44995</v>
      </c>
      <c r="B538" s="57" t="n">
        <v>-0.0003</v>
      </c>
      <c r="C538" s="57" t="n">
        <v>3E-005</v>
      </c>
      <c r="D538" s="57" t="n">
        <v>0.00212</v>
      </c>
    </row>
    <row r="539" customFormat="false" ht="15" hidden="false" customHeight="false" outlineLevel="0" collapsed="false">
      <c r="A539" s="52" t="n">
        <v>44998</v>
      </c>
      <c r="B539" s="57" t="n">
        <v>-0.00025</v>
      </c>
      <c r="C539" s="57" t="n">
        <v>0</v>
      </c>
      <c r="D539" s="57" t="n">
        <v>0.00192</v>
      </c>
    </row>
    <row r="540" customFormat="false" ht="15" hidden="false" customHeight="false" outlineLevel="0" collapsed="false">
      <c r="A540" s="52" t="n">
        <v>44999</v>
      </c>
      <c r="B540" s="57" t="n">
        <v>-0.0004</v>
      </c>
      <c r="C540" s="57" t="n">
        <v>-0.00029</v>
      </c>
      <c r="D540" s="57" t="n">
        <v>0.00135</v>
      </c>
    </row>
    <row r="541" customFormat="false" ht="15" hidden="false" customHeight="false" outlineLevel="0" collapsed="false">
      <c r="A541" s="52" t="n">
        <v>45000</v>
      </c>
      <c r="B541" s="57" t="n">
        <v>-0.00051</v>
      </c>
      <c r="C541" s="57" t="n">
        <v>-0.00035</v>
      </c>
      <c r="D541" s="57" t="n">
        <v>0.00145</v>
      </c>
    </row>
    <row r="542" customFormat="false" ht="15" hidden="false" customHeight="false" outlineLevel="0" collapsed="false">
      <c r="A542" s="52" t="n">
        <v>45001</v>
      </c>
      <c r="B542" s="57" t="n">
        <v>-0.0007</v>
      </c>
      <c r="C542" s="57" t="n">
        <v>-0.00055</v>
      </c>
      <c r="D542" s="57" t="n">
        <v>0.00121</v>
      </c>
    </row>
    <row r="543" customFormat="false" ht="15" hidden="false" customHeight="false" outlineLevel="0" collapsed="false">
      <c r="A543" s="52" t="n">
        <v>45002</v>
      </c>
      <c r="B543" s="57" t="n">
        <v>-0.00075</v>
      </c>
      <c r="C543" s="57" t="n">
        <v>-0.00065</v>
      </c>
      <c r="D543" s="57" t="n">
        <v>0.00116</v>
      </c>
    </row>
    <row r="544" customFormat="false" ht="15" hidden="false" customHeight="false" outlineLevel="0" collapsed="false">
      <c r="A544" s="52" t="n">
        <v>45005</v>
      </c>
      <c r="B544" s="57" t="n">
        <v>-0.00077</v>
      </c>
      <c r="C544" s="57" t="n">
        <v>-0.00072</v>
      </c>
      <c r="D544" s="57" t="n">
        <v>0.00071</v>
      </c>
    </row>
    <row r="545" customFormat="false" ht="15" hidden="false" customHeight="false" outlineLevel="0" collapsed="false">
      <c r="A545" s="52" t="n">
        <v>45007</v>
      </c>
      <c r="B545" s="57" t="n">
        <v>-0.00056</v>
      </c>
      <c r="C545" s="57" t="n">
        <v>-0.00048</v>
      </c>
      <c r="D545" s="57" t="n">
        <v>0.00114</v>
      </c>
    </row>
    <row r="546" customFormat="false" ht="15" hidden="false" customHeight="false" outlineLevel="0" collapsed="false">
      <c r="A546" s="52" t="n">
        <v>45008</v>
      </c>
      <c r="B546" s="57" t="n">
        <v>-0.00063</v>
      </c>
      <c r="C546" s="57" t="n">
        <v>-0.00058</v>
      </c>
      <c r="D546" s="57" t="n">
        <v>0.00092</v>
      </c>
    </row>
    <row r="547" customFormat="false" ht="15" hidden="false" customHeight="false" outlineLevel="0" collapsed="false">
      <c r="A547" s="52" t="n">
        <v>45009</v>
      </c>
      <c r="B547" s="57" t="n">
        <v>-0.00067</v>
      </c>
      <c r="C547" s="57" t="n">
        <v>-0.00062</v>
      </c>
      <c r="D547" s="57" t="n">
        <v>0.00077</v>
      </c>
    </row>
    <row r="548" customFormat="false" ht="15" hidden="false" customHeight="false" outlineLevel="0" collapsed="false">
      <c r="A548" s="52" t="n">
        <v>45012</v>
      </c>
      <c r="B548" s="57" t="n">
        <v>-0.00067</v>
      </c>
      <c r="C548" s="57" t="n">
        <v>-0.00062</v>
      </c>
      <c r="D548" s="57" t="n">
        <v>0.00084</v>
      </c>
    </row>
    <row r="549" customFormat="false" ht="15" hidden="false" customHeight="false" outlineLevel="0" collapsed="false">
      <c r="A549" s="52" t="n">
        <v>45013</v>
      </c>
      <c r="B549" s="57" t="n">
        <v>-0.00059</v>
      </c>
      <c r="C549" s="57" t="n">
        <v>-0.00058</v>
      </c>
      <c r="D549" s="57" t="n">
        <v>0.00094</v>
      </c>
    </row>
    <row r="550" customFormat="false" ht="15" hidden="false" customHeight="false" outlineLevel="0" collapsed="false">
      <c r="A550" s="52" t="n">
        <v>45014</v>
      </c>
      <c r="B550" s="57" t="n">
        <v>-0.0007</v>
      </c>
      <c r="C550" s="57" t="n">
        <v>-0.00062</v>
      </c>
      <c r="D550" s="57" t="n">
        <v>0.00091</v>
      </c>
    </row>
    <row r="551" customFormat="false" ht="15" hidden="false" customHeight="false" outlineLevel="0" collapsed="false">
      <c r="A551" s="52" t="n">
        <v>45015</v>
      </c>
      <c r="B551" s="57" t="n">
        <v>-0.00061</v>
      </c>
      <c r="C551" s="57" t="n">
        <v>-0.00052</v>
      </c>
      <c r="D551" s="57" t="n">
        <v>0.00101</v>
      </c>
    </row>
    <row r="552" customFormat="false" ht="15" hidden="false" customHeight="false" outlineLevel="0" collapsed="false">
      <c r="A552" s="52" t="n">
        <v>45016</v>
      </c>
      <c r="B552" s="57" t="n">
        <v>-0.00061</v>
      </c>
      <c r="C552" s="57" t="n">
        <v>-0.00052</v>
      </c>
      <c r="D552" s="57" t="n">
        <v>0.00104</v>
      </c>
    </row>
    <row r="553" customFormat="false" ht="15" hidden="false" customHeight="false" outlineLevel="0" collapsed="false">
      <c r="A553" s="52" t="n">
        <v>45019</v>
      </c>
      <c r="B553" s="57" t="n">
        <v>-0.0004</v>
      </c>
      <c r="C553" s="57" t="n">
        <v>-0.00031</v>
      </c>
      <c r="D553" s="57" t="n">
        <v>0.00138</v>
      </c>
    </row>
    <row r="554" customFormat="false" ht="15" hidden="false" customHeight="false" outlineLevel="0" collapsed="false">
      <c r="A554" s="52" t="n">
        <v>45020</v>
      </c>
      <c r="B554" s="57" t="n">
        <v>-0.00025</v>
      </c>
      <c r="C554" s="57" t="n">
        <v>-0.00017</v>
      </c>
      <c r="D554" s="57" t="n">
        <v>0.0017</v>
      </c>
    </row>
    <row r="555" customFormat="false" ht="15" hidden="false" customHeight="false" outlineLevel="0" collapsed="false">
      <c r="A555" s="52" t="n">
        <v>45021</v>
      </c>
      <c r="B555" s="57" t="n">
        <v>-0.0003</v>
      </c>
      <c r="C555" s="57" t="n">
        <v>-0.00016</v>
      </c>
      <c r="D555" s="57" t="n">
        <v>0.00178</v>
      </c>
    </row>
    <row r="556" customFormat="false" ht="15" hidden="false" customHeight="false" outlineLevel="0" collapsed="false">
      <c r="A556" s="52" t="n">
        <v>45022</v>
      </c>
      <c r="B556" s="57" t="n">
        <v>-0.00045</v>
      </c>
      <c r="C556" s="57" t="n">
        <v>-0.0003</v>
      </c>
      <c r="D556" s="57" t="n">
        <v>0.00168</v>
      </c>
    </row>
    <row r="557" customFormat="false" ht="15" hidden="false" customHeight="false" outlineLevel="0" collapsed="false">
      <c r="A557" s="52" t="n">
        <v>45023</v>
      </c>
      <c r="B557" s="57" t="n">
        <v>-0.0006</v>
      </c>
      <c r="C557" s="57" t="n">
        <v>-0.00039</v>
      </c>
      <c r="D557" s="57" t="n">
        <v>0.00168</v>
      </c>
    </row>
    <row r="558" customFormat="false" ht="15" hidden="false" customHeight="false" outlineLevel="0" collapsed="false">
      <c r="A558" s="52" t="n">
        <v>45026</v>
      </c>
      <c r="B558" s="57" t="n">
        <v>-0.00045</v>
      </c>
      <c r="C558" s="57" t="n">
        <v>-0.00035</v>
      </c>
      <c r="D558" s="57" t="n">
        <v>0.00174</v>
      </c>
    </row>
    <row r="559" customFormat="false" ht="15" hidden="false" customHeight="false" outlineLevel="0" collapsed="false">
      <c r="A559" s="52" t="n">
        <v>45027</v>
      </c>
      <c r="B559" s="57" t="n">
        <v>-0.00046</v>
      </c>
      <c r="C559" s="57" t="n">
        <v>-0.00034</v>
      </c>
      <c r="D559" s="57" t="n">
        <v>0.00155</v>
      </c>
    </row>
    <row r="560" customFormat="false" ht="15" hidden="false" customHeight="false" outlineLevel="0" collapsed="false">
      <c r="A560" s="52" t="n">
        <v>45028</v>
      </c>
      <c r="B560" s="57" t="n">
        <v>-0.00045</v>
      </c>
      <c r="C560" s="57" t="n">
        <v>-0.00031</v>
      </c>
      <c r="D560" s="57" t="n">
        <v>0.00159</v>
      </c>
    </row>
    <row r="561" customFormat="false" ht="15" hidden="false" customHeight="false" outlineLevel="0" collapsed="false">
      <c r="A561" s="52" t="n">
        <v>45029</v>
      </c>
      <c r="B561" s="57" t="n">
        <v>-0.0005</v>
      </c>
      <c r="C561" s="57" t="n">
        <v>-0.00028</v>
      </c>
      <c r="D561" s="57" t="n">
        <v>0.00159</v>
      </c>
    </row>
    <row r="562" customFormat="false" ht="15" hidden="false" customHeight="false" outlineLevel="0" collapsed="false">
      <c r="A562" s="52" t="n">
        <v>45030</v>
      </c>
      <c r="B562" s="57" t="n">
        <v>-0.0004</v>
      </c>
      <c r="C562" s="57" t="n">
        <v>-0.00028</v>
      </c>
      <c r="D562" s="57" t="n">
        <v>0.00156</v>
      </c>
    </row>
    <row r="563" customFormat="false" ht="15" hidden="false" customHeight="false" outlineLevel="0" collapsed="false">
      <c r="A563" s="52" t="n">
        <v>45033</v>
      </c>
      <c r="B563" s="57" t="n">
        <v>-0.00035</v>
      </c>
      <c r="C563" s="57" t="n">
        <v>-0.00018</v>
      </c>
      <c r="D563" s="57" t="n">
        <v>0.0017</v>
      </c>
    </row>
    <row r="564" customFormat="false" ht="15" hidden="false" customHeight="false" outlineLevel="0" collapsed="false">
      <c r="A564" s="52" t="n">
        <v>45034</v>
      </c>
      <c r="B564" s="57" t="n">
        <v>-0.0004</v>
      </c>
      <c r="C564" s="57" t="n">
        <v>-0.00018</v>
      </c>
      <c r="D564" s="57" t="n">
        <v>0.0017</v>
      </c>
    </row>
    <row r="565" customFormat="false" ht="15" hidden="false" customHeight="false" outlineLevel="0" collapsed="false">
      <c r="A565" s="52" t="n">
        <v>45035</v>
      </c>
      <c r="B565" s="57" t="n">
        <v>-0.0004</v>
      </c>
      <c r="C565" s="57" t="n">
        <v>-0.00017</v>
      </c>
      <c r="D565" s="57" t="n">
        <v>0.0017</v>
      </c>
    </row>
    <row r="566" customFormat="false" ht="15" hidden="false" customHeight="false" outlineLevel="0" collapsed="false">
      <c r="A566" s="52" t="n">
        <v>45036</v>
      </c>
      <c r="B566" s="57" t="n">
        <v>-0.0004</v>
      </c>
      <c r="C566" s="57" t="n">
        <v>-0.00017</v>
      </c>
      <c r="D566" s="57" t="n">
        <v>0.0017</v>
      </c>
    </row>
    <row r="567" customFormat="false" ht="15" hidden="false" customHeight="false" outlineLevel="0" collapsed="false">
      <c r="A567" s="52" t="n">
        <v>45037</v>
      </c>
      <c r="B567" s="57" t="n">
        <v>-0.00035</v>
      </c>
      <c r="C567" s="57" t="n">
        <v>-0.00018</v>
      </c>
      <c r="D567" s="57" t="n">
        <v>0.00162</v>
      </c>
    </row>
    <row r="568" customFormat="false" ht="15" hidden="false" customHeight="false" outlineLevel="0" collapsed="false">
      <c r="A568" s="52" t="n">
        <v>45040</v>
      </c>
      <c r="B568" s="57" t="n">
        <v>-0.00038</v>
      </c>
      <c r="C568" s="57" t="n">
        <v>-0.00018</v>
      </c>
      <c r="D568" s="57" t="n">
        <v>0.00163</v>
      </c>
    </row>
    <row r="569" customFormat="false" ht="15" hidden="false" customHeight="false" outlineLevel="0" collapsed="false">
      <c r="A569" s="52" t="n">
        <v>45041</v>
      </c>
      <c r="B569" s="57" t="n">
        <v>-0.00035</v>
      </c>
      <c r="C569" s="57" t="n">
        <v>-0.00018</v>
      </c>
      <c r="D569" s="57" t="n">
        <v>0.00168</v>
      </c>
    </row>
    <row r="570" customFormat="false" ht="15" hidden="false" customHeight="false" outlineLevel="0" collapsed="false">
      <c r="A570" s="52" t="n">
        <v>45042</v>
      </c>
      <c r="B570" s="57" t="n">
        <v>-0.0004</v>
      </c>
      <c r="C570" s="57" t="n">
        <v>-0.00028</v>
      </c>
      <c r="D570" s="57" t="n">
        <v>0.00153</v>
      </c>
    </row>
    <row r="571" customFormat="false" ht="15" hidden="false" customHeight="false" outlineLevel="0" collapsed="false">
      <c r="A571" s="52" t="n">
        <v>45043</v>
      </c>
      <c r="B571" s="57" t="n">
        <v>-0.0004</v>
      </c>
      <c r="C571" s="57" t="n">
        <v>-0.00027</v>
      </c>
      <c r="D571" s="57" t="n">
        <v>0.00153</v>
      </c>
    </row>
    <row r="572" customFormat="false" ht="15" hidden="false" customHeight="false" outlineLevel="0" collapsed="false">
      <c r="A572" s="52" t="n">
        <v>45044</v>
      </c>
      <c r="B572" s="57" t="n">
        <v>-0.00045</v>
      </c>
      <c r="C572" s="57" t="n">
        <v>-0.0004</v>
      </c>
      <c r="D572" s="57" t="n">
        <v>0.00109</v>
      </c>
    </row>
    <row r="573" customFormat="false" ht="15" hidden="false" customHeight="false" outlineLevel="0" collapsed="false">
      <c r="A573" s="52" t="n">
        <v>45047</v>
      </c>
      <c r="B573" s="57" t="n">
        <v>-0.00045</v>
      </c>
      <c r="C573" s="57" t="n">
        <v>-0.00033</v>
      </c>
      <c r="D573" s="57" t="n">
        <v>0.00113</v>
      </c>
    </row>
    <row r="574" customFormat="false" ht="15" hidden="false" customHeight="false" outlineLevel="0" collapsed="false">
      <c r="A574" s="52" t="n">
        <v>45048</v>
      </c>
      <c r="B574" s="57" t="n">
        <v>-0.00035</v>
      </c>
      <c r="C574" s="57" t="n">
        <v>-0.00029</v>
      </c>
      <c r="D574" s="57" t="n">
        <v>0.0013</v>
      </c>
    </row>
    <row r="575" customFormat="false" ht="15" hidden="false" customHeight="false" outlineLevel="0" collapsed="false">
      <c r="A575" s="52" t="n">
        <v>45054</v>
      </c>
      <c r="B575" s="57" t="n">
        <v>-0.00035</v>
      </c>
      <c r="C575" s="57" t="n">
        <v>-0.00032</v>
      </c>
      <c r="D575" s="57" t="n">
        <v>0.00124</v>
      </c>
    </row>
    <row r="576" customFormat="false" ht="15" hidden="false" customHeight="false" outlineLevel="0" collapsed="false">
      <c r="A576" s="52" t="n">
        <v>45055</v>
      </c>
      <c r="B576" s="57" t="n">
        <v>-0.0003</v>
      </c>
      <c r="C576" s="57" t="n">
        <v>-0.00029</v>
      </c>
      <c r="D576" s="57" t="n">
        <v>0.00135</v>
      </c>
    </row>
    <row r="577" customFormat="false" ht="15" hidden="false" customHeight="false" outlineLevel="0" collapsed="false">
      <c r="A577" s="52" t="n">
        <v>45056</v>
      </c>
      <c r="B577" s="57" t="n">
        <v>-0.0004</v>
      </c>
      <c r="C577" s="57" t="n">
        <v>-0.00039</v>
      </c>
      <c r="D577" s="57" t="n">
        <v>0.00125</v>
      </c>
    </row>
    <row r="578" customFormat="false" ht="15" hidden="false" customHeight="false" outlineLevel="0" collapsed="false">
      <c r="A578" s="52" t="n">
        <v>45057</v>
      </c>
      <c r="B578" s="57" t="n">
        <v>-0.00045</v>
      </c>
      <c r="C578" s="57" t="n">
        <v>-0.00044</v>
      </c>
      <c r="D578" s="57" t="n">
        <v>0.00115</v>
      </c>
    </row>
    <row r="579" customFormat="false" ht="15" hidden="false" customHeight="false" outlineLevel="0" collapsed="false">
      <c r="A579" s="52" t="n">
        <v>45058</v>
      </c>
      <c r="B579" s="57" t="n">
        <v>-0.00055</v>
      </c>
      <c r="C579" s="57" t="n">
        <v>-0.00049</v>
      </c>
      <c r="D579" s="57" t="n">
        <v>0.0011</v>
      </c>
    </row>
    <row r="580" customFormat="false" ht="15" hidden="false" customHeight="false" outlineLevel="0" collapsed="false">
      <c r="A580" s="52" t="n">
        <v>45061</v>
      </c>
      <c r="B580" s="57" t="n">
        <v>-0.00049</v>
      </c>
      <c r="C580" s="57" t="n">
        <v>-0.00039</v>
      </c>
      <c r="D580" s="57" t="n">
        <v>0.00127</v>
      </c>
    </row>
    <row r="581" customFormat="false" ht="15" hidden="false" customHeight="false" outlineLevel="0" collapsed="false">
      <c r="A581" s="52" t="n">
        <v>45062</v>
      </c>
      <c r="B581" s="57" t="n">
        <v>-0.00054</v>
      </c>
      <c r="C581" s="57" t="n">
        <v>-0.00042</v>
      </c>
      <c r="D581" s="57" t="n">
        <v>0.00116</v>
      </c>
    </row>
    <row r="582" customFormat="false" ht="15" hidden="false" customHeight="false" outlineLevel="0" collapsed="false">
      <c r="A582" s="52" t="n">
        <v>45063</v>
      </c>
      <c r="B582" s="57" t="n">
        <v>-0.00066</v>
      </c>
      <c r="C582" s="57" t="n">
        <v>-0.00053</v>
      </c>
      <c r="D582" s="57" t="n">
        <v>0.001</v>
      </c>
    </row>
    <row r="583" customFormat="false" ht="15" hidden="false" customHeight="false" outlineLevel="0" collapsed="false">
      <c r="A583" s="52" t="n">
        <v>45064</v>
      </c>
      <c r="B583" s="57" t="n">
        <v>-0.00061</v>
      </c>
      <c r="C583" s="57" t="n">
        <v>-0.00048</v>
      </c>
      <c r="D583" s="57" t="n">
        <v>0.00106</v>
      </c>
    </row>
    <row r="584" customFormat="false" ht="15" hidden="false" customHeight="false" outlineLevel="0" collapsed="false">
      <c r="A584" s="52" t="n">
        <v>45065</v>
      </c>
      <c r="B584" s="57" t="n">
        <v>-0.00061</v>
      </c>
      <c r="C584" s="57" t="n">
        <v>-0.00041</v>
      </c>
      <c r="D584" s="57" t="n">
        <v>0.00112</v>
      </c>
    </row>
    <row r="585" customFormat="false" ht="15" hidden="false" customHeight="false" outlineLevel="0" collapsed="false">
      <c r="A585" s="52" t="n">
        <v>45068</v>
      </c>
      <c r="B585" s="57" t="n">
        <v>-0.00066</v>
      </c>
      <c r="C585" s="57" t="n">
        <v>-0.00046</v>
      </c>
      <c r="D585" s="57" t="n">
        <v>0.00103</v>
      </c>
    </row>
    <row r="586" customFormat="false" ht="15" hidden="false" customHeight="false" outlineLevel="0" collapsed="false">
      <c r="A586" s="52" t="n">
        <v>45069</v>
      </c>
      <c r="B586" s="57" t="n">
        <v>-0.00061</v>
      </c>
      <c r="C586" s="57" t="n">
        <v>-0.00041</v>
      </c>
      <c r="D586" s="57" t="n">
        <v>0.00107</v>
      </c>
    </row>
    <row r="587" customFormat="false" ht="15" hidden="false" customHeight="false" outlineLevel="0" collapsed="false">
      <c r="A587" s="52" t="n">
        <v>45070</v>
      </c>
      <c r="B587" s="57" t="n">
        <v>-0.00066</v>
      </c>
      <c r="C587" s="57" t="n">
        <v>-0.00041</v>
      </c>
      <c r="D587" s="57" t="n">
        <v>0.00112</v>
      </c>
    </row>
    <row r="588" customFormat="false" ht="15" hidden="false" customHeight="false" outlineLevel="0" collapsed="false">
      <c r="A588" s="52" t="n">
        <v>45071</v>
      </c>
      <c r="B588" s="57" t="n">
        <v>-0.00066</v>
      </c>
      <c r="C588" s="57" t="n">
        <v>-0.00041</v>
      </c>
      <c r="D588" s="57" t="n">
        <v>0.0013</v>
      </c>
    </row>
    <row r="589" customFormat="false" ht="15" hidden="false" customHeight="false" outlineLevel="0" collapsed="false">
      <c r="A589" s="52" t="n">
        <v>45072</v>
      </c>
      <c r="B589" s="57" t="n">
        <v>-0.00066</v>
      </c>
      <c r="C589" s="57" t="n">
        <v>-0.00046</v>
      </c>
      <c r="D589" s="57" t="n">
        <v>0.00115</v>
      </c>
    </row>
    <row r="590" customFormat="false" ht="15" hidden="false" customHeight="false" outlineLevel="0" collapsed="false">
      <c r="A590" s="52" t="n">
        <v>45075</v>
      </c>
      <c r="B590" s="57" t="n">
        <v>-0.00061</v>
      </c>
      <c r="C590" s="57" t="n">
        <v>-0.00045</v>
      </c>
      <c r="D590" s="57" t="n">
        <v>0.00112</v>
      </c>
    </row>
    <row r="591" customFormat="false" ht="15" hidden="false" customHeight="false" outlineLevel="0" collapsed="false">
      <c r="A591" s="52" t="n">
        <v>45076</v>
      </c>
      <c r="B591" s="57" t="n">
        <v>-0.00055</v>
      </c>
      <c r="C591" s="57" t="n">
        <v>-0.00046</v>
      </c>
      <c r="D591" s="57" t="n">
        <v>0.00112</v>
      </c>
    </row>
    <row r="592" customFormat="false" ht="15" hidden="false" customHeight="false" outlineLevel="0" collapsed="false">
      <c r="A592" s="52" t="n">
        <v>45077</v>
      </c>
      <c r="B592" s="57" t="n">
        <v>-0.0006</v>
      </c>
      <c r="C592" s="57" t="n">
        <v>-0.00049</v>
      </c>
      <c r="D592" s="57" t="n">
        <v>0.00097</v>
      </c>
    </row>
    <row r="593" customFormat="false" ht="15" hidden="false" customHeight="false" outlineLevel="0" collapsed="false">
      <c r="A593" s="52" t="n">
        <v>45078</v>
      </c>
      <c r="B593" s="57" t="n">
        <v>-0.00065</v>
      </c>
      <c r="C593" s="57" t="n">
        <v>-0.00059</v>
      </c>
      <c r="D593" s="57" t="n">
        <v>0.00093</v>
      </c>
    </row>
    <row r="594" customFormat="false" ht="15" hidden="false" customHeight="false" outlineLevel="0" collapsed="false">
      <c r="A594" s="52" t="n">
        <v>45079</v>
      </c>
      <c r="B594" s="57" t="n">
        <v>-0.00075</v>
      </c>
      <c r="C594" s="57" t="n">
        <v>-0.00069</v>
      </c>
      <c r="D594" s="57" t="n">
        <v>0.00088</v>
      </c>
    </row>
    <row r="595" customFormat="false" ht="15" hidden="false" customHeight="false" outlineLevel="0" collapsed="false">
      <c r="A595" s="52" t="n">
        <v>45082</v>
      </c>
      <c r="B595" s="57" t="n">
        <v>-0.00065</v>
      </c>
      <c r="C595" s="57" t="n">
        <v>-0.00059</v>
      </c>
      <c r="D595" s="57" t="n">
        <v>0.00107</v>
      </c>
    </row>
    <row r="596" customFormat="false" ht="15" hidden="false" customHeight="false" outlineLevel="0" collapsed="false">
      <c r="A596" s="52" t="n">
        <v>45083</v>
      </c>
      <c r="B596" s="57" t="n">
        <v>-0.00065</v>
      </c>
      <c r="C596" s="57" t="n">
        <v>-0.00059</v>
      </c>
      <c r="D596" s="57" t="n">
        <v>0.00098</v>
      </c>
    </row>
    <row r="597" customFormat="false" ht="15" hidden="false" customHeight="false" outlineLevel="0" collapsed="false">
      <c r="A597" s="52" t="n">
        <v>45084</v>
      </c>
      <c r="B597" s="57" t="n">
        <v>-0.0006</v>
      </c>
      <c r="C597" s="57" t="n">
        <v>-0.00056</v>
      </c>
      <c r="D597" s="57" t="n">
        <v>0.00092</v>
      </c>
    </row>
    <row r="598" customFormat="false" ht="15" hidden="false" customHeight="false" outlineLevel="0" collapsed="false">
      <c r="A598" s="52" t="n">
        <v>45085</v>
      </c>
      <c r="B598" s="57" t="n">
        <v>-0.0006</v>
      </c>
      <c r="C598" s="57" t="n">
        <v>-0.00049</v>
      </c>
      <c r="D598" s="57" t="n">
        <v>0.00102</v>
      </c>
    </row>
    <row r="599" customFormat="false" ht="15" hidden="false" customHeight="false" outlineLevel="0" collapsed="false">
      <c r="A599" s="52" t="n">
        <v>45086</v>
      </c>
      <c r="B599" s="57" t="n">
        <v>-0.00065</v>
      </c>
      <c r="C599" s="57" t="n">
        <v>-0.00049</v>
      </c>
      <c r="D599" s="57" t="n">
        <v>0.00098</v>
      </c>
    </row>
    <row r="600" customFormat="false" ht="15" hidden="false" customHeight="false" outlineLevel="0" collapsed="false">
      <c r="A600" s="52" t="n">
        <v>45089</v>
      </c>
      <c r="B600" s="57" t="n">
        <v>-0.0007</v>
      </c>
      <c r="C600" s="57" t="n">
        <v>-0.00055</v>
      </c>
      <c r="D600" s="57" t="n">
        <v>0.00094</v>
      </c>
    </row>
    <row r="601" customFormat="false" ht="15" hidden="false" customHeight="false" outlineLevel="0" collapsed="false">
      <c r="A601" s="52" t="n">
        <v>45090</v>
      </c>
      <c r="B601" s="57" t="n">
        <v>-0.00075</v>
      </c>
      <c r="C601" s="57" t="n">
        <v>-0.00059</v>
      </c>
      <c r="D601" s="57" t="n">
        <v>0.00086</v>
      </c>
    </row>
    <row r="602" customFormat="false" ht="15" hidden="false" customHeight="false" outlineLevel="0" collapsed="false">
      <c r="A602" s="52" t="n">
        <v>45091</v>
      </c>
      <c r="B602" s="57" t="n">
        <v>-0.00071</v>
      </c>
      <c r="C602" s="57" t="n">
        <v>-0.00055</v>
      </c>
      <c r="D602" s="57" t="n">
        <v>0.00097</v>
      </c>
    </row>
    <row r="603" customFormat="false" ht="15" hidden="false" customHeight="false" outlineLevel="0" collapsed="false">
      <c r="A603" s="52" t="n">
        <v>45092</v>
      </c>
      <c r="B603" s="57" t="n">
        <v>-0.00064</v>
      </c>
      <c r="C603" s="57" t="n">
        <v>-0.00049</v>
      </c>
      <c r="D603" s="57" t="n">
        <v>0.00103</v>
      </c>
    </row>
    <row r="604" customFormat="false" ht="15" hidden="false" customHeight="false" outlineLevel="0" collapsed="false">
      <c r="A604" s="52" t="n">
        <v>45093</v>
      </c>
      <c r="B604" s="57" t="n">
        <v>-0.00065</v>
      </c>
      <c r="C604" s="57" t="n">
        <v>-0.00055</v>
      </c>
      <c r="D604" s="57" t="n">
        <v>0.00093</v>
      </c>
    </row>
    <row r="605" customFormat="false" ht="15" hidden="false" customHeight="false" outlineLevel="0" collapsed="false">
      <c r="A605" s="52" t="n">
        <v>45096</v>
      </c>
      <c r="B605" s="57" t="n">
        <v>-0.00066</v>
      </c>
      <c r="C605" s="57" t="n">
        <v>-0.00055</v>
      </c>
      <c r="D605" s="57" t="n">
        <v>0.00093</v>
      </c>
    </row>
    <row r="606" customFormat="false" ht="15" hidden="false" customHeight="false" outlineLevel="0" collapsed="false">
      <c r="A606" s="52" t="n">
        <v>45097</v>
      </c>
      <c r="B606" s="57" t="n">
        <v>-0.00066</v>
      </c>
      <c r="C606" s="57" t="n">
        <v>-0.00055</v>
      </c>
      <c r="D606" s="57" t="n">
        <v>0.00092</v>
      </c>
    </row>
    <row r="607" customFormat="false" ht="15" hidden="false" customHeight="false" outlineLevel="0" collapsed="false">
      <c r="A607" s="52" t="n">
        <v>45098</v>
      </c>
      <c r="B607" s="57" t="n">
        <v>-0.00069</v>
      </c>
      <c r="C607" s="57" t="n">
        <v>-0.00055</v>
      </c>
      <c r="D607" s="57" t="n">
        <v>0.00087</v>
      </c>
    </row>
    <row r="608" customFormat="false" ht="15" hidden="false" customHeight="false" outlineLevel="0" collapsed="false">
      <c r="A608" s="52" t="n">
        <v>45099</v>
      </c>
      <c r="B608" s="57" t="n">
        <v>-0.00071</v>
      </c>
      <c r="C608" s="57" t="n">
        <v>-0.00058</v>
      </c>
      <c r="D608" s="57" t="n">
        <v>0.00085</v>
      </c>
    </row>
    <row r="609" customFormat="false" ht="15" hidden="false" customHeight="false" outlineLevel="0" collapsed="false">
      <c r="A609" s="52" t="n">
        <v>45100</v>
      </c>
      <c r="B609" s="57" t="n">
        <v>-0.00074</v>
      </c>
      <c r="C609" s="57" t="n">
        <v>-0.00065</v>
      </c>
      <c r="D609" s="57" t="n">
        <v>0.00073</v>
      </c>
    </row>
    <row r="610" customFormat="false" ht="15" hidden="false" customHeight="false" outlineLevel="0" collapsed="false">
      <c r="A610" s="52" t="n">
        <v>45103</v>
      </c>
      <c r="B610" s="57" t="n">
        <v>-0.00077</v>
      </c>
      <c r="C610" s="57" t="n">
        <v>-0.00068</v>
      </c>
      <c r="D610" s="57" t="n">
        <v>0.00066</v>
      </c>
    </row>
    <row r="611" customFormat="false" ht="15" hidden="false" customHeight="false" outlineLevel="0" collapsed="false">
      <c r="A611" s="52" t="n">
        <v>45104</v>
      </c>
      <c r="B611" s="57" t="n">
        <v>-0.00074</v>
      </c>
      <c r="C611" s="57" t="n">
        <v>-0.00062</v>
      </c>
      <c r="D611" s="57" t="n">
        <v>0.00075</v>
      </c>
    </row>
    <row r="612" customFormat="false" ht="15" hidden="false" customHeight="false" outlineLevel="0" collapsed="false">
      <c r="A612" s="52" t="n">
        <v>45105</v>
      </c>
      <c r="B612" s="57" t="n">
        <v>-0.00064</v>
      </c>
      <c r="C612" s="57" t="n">
        <v>-0.00058</v>
      </c>
      <c r="D612" s="57" t="n">
        <v>0.00089</v>
      </c>
    </row>
    <row r="613" customFormat="false" ht="15" hidden="false" customHeight="false" outlineLevel="0" collapsed="false">
      <c r="A613" s="52" t="n">
        <v>45106</v>
      </c>
      <c r="B613" s="57" t="n">
        <v>-0.0007</v>
      </c>
      <c r="C613" s="57" t="n">
        <v>-0.00062</v>
      </c>
      <c r="D613" s="57" t="n">
        <v>0.00085</v>
      </c>
    </row>
    <row r="614" customFormat="false" ht="15" hidden="false" customHeight="false" outlineLevel="0" collapsed="false">
      <c r="A614" s="52" t="n">
        <v>45107</v>
      </c>
      <c r="B614" s="57" t="n">
        <v>-0.00075</v>
      </c>
      <c r="C614" s="57" t="n">
        <v>-0.00068</v>
      </c>
      <c r="D614" s="57" t="n">
        <v>0.0008</v>
      </c>
    </row>
    <row r="615" customFormat="false" ht="15" hidden="false" customHeight="false" outlineLevel="0" collapsed="false">
      <c r="A615" s="52" t="n">
        <v>45110</v>
      </c>
      <c r="B615" s="57" t="n">
        <v>-0.00065</v>
      </c>
      <c r="C615" s="57" t="n">
        <v>-0.00068</v>
      </c>
      <c r="D615" s="57" t="n">
        <v>0.00084</v>
      </c>
    </row>
    <row r="616" customFormat="false" ht="15" hidden="false" customHeight="false" outlineLevel="0" collapsed="false">
      <c r="A616" s="52" t="n">
        <v>45111</v>
      </c>
      <c r="B616" s="57" t="n">
        <v>-0.0007</v>
      </c>
      <c r="C616" s="57" t="n">
        <v>-0.00068</v>
      </c>
      <c r="D616" s="57" t="n">
        <v>0.00078</v>
      </c>
    </row>
    <row r="617" customFormat="false" ht="15" hidden="false" customHeight="false" outlineLevel="0" collapsed="false">
      <c r="A617" s="52" t="n">
        <v>45112</v>
      </c>
      <c r="B617" s="57" t="n">
        <v>-0.0007</v>
      </c>
      <c r="C617" s="57" t="n">
        <v>-0.00068</v>
      </c>
      <c r="D617" s="57" t="n">
        <v>0.00072</v>
      </c>
    </row>
    <row r="618" customFormat="false" ht="15" hidden="false" customHeight="false" outlineLevel="0" collapsed="false">
      <c r="A618" s="52" t="n">
        <v>45113</v>
      </c>
      <c r="B618" s="57" t="n">
        <v>-0.0006</v>
      </c>
      <c r="C618" s="57" t="n">
        <v>-0.00058</v>
      </c>
      <c r="D618" s="57" t="n">
        <v>0.00089</v>
      </c>
    </row>
    <row r="619" customFormat="false" ht="15" hidden="false" customHeight="false" outlineLevel="0" collapsed="false">
      <c r="A619" s="52" t="n">
        <v>45114</v>
      </c>
      <c r="B619" s="57" t="n">
        <v>-0.00039</v>
      </c>
      <c r="C619" s="57" t="n">
        <v>-0.00031</v>
      </c>
      <c r="D619" s="57" t="n">
        <v>0.00123</v>
      </c>
    </row>
    <row r="620" customFormat="false" ht="15" hidden="false" customHeight="false" outlineLevel="0" collapsed="false">
      <c r="A620" s="52" t="n">
        <v>45117</v>
      </c>
      <c r="B620" s="57" t="n">
        <v>-0.00029</v>
      </c>
      <c r="C620" s="57" t="n">
        <v>-0.00017</v>
      </c>
      <c r="D620" s="57" t="n">
        <v>0.00157</v>
      </c>
    </row>
    <row r="621" customFormat="false" ht="15" hidden="false" customHeight="false" outlineLevel="0" collapsed="false">
      <c r="A621" s="52" t="n">
        <v>45118</v>
      </c>
      <c r="B621" s="57" t="n">
        <v>-0.00039</v>
      </c>
      <c r="C621" s="57" t="n">
        <v>-0.0003</v>
      </c>
      <c r="D621" s="57" t="n">
        <v>0.00122</v>
      </c>
    </row>
    <row r="622" customFormat="false" ht="15" hidden="false" customHeight="false" outlineLevel="0" collapsed="false">
      <c r="A622" s="52" t="n">
        <v>45119</v>
      </c>
      <c r="B622" s="57" t="n">
        <v>-0.00034</v>
      </c>
      <c r="C622" s="57" t="n">
        <v>-0.00021</v>
      </c>
      <c r="D622" s="57" t="n">
        <v>0.00143</v>
      </c>
    </row>
    <row r="623" customFormat="false" ht="15" hidden="false" customHeight="false" outlineLevel="0" collapsed="false">
      <c r="A623" s="52" t="n">
        <v>45120</v>
      </c>
      <c r="B623" s="57" t="n">
        <v>-0.00034</v>
      </c>
      <c r="C623" s="57" t="n">
        <v>-0.00027</v>
      </c>
      <c r="D623" s="57" t="n">
        <v>0.00132</v>
      </c>
    </row>
    <row r="624" customFormat="false" ht="15" hidden="false" customHeight="false" outlineLevel="0" collapsed="false">
      <c r="A624" s="52" t="n">
        <v>45121</v>
      </c>
      <c r="B624" s="57" t="n">
        <v>-0.00038</v>
      </c>
      <c r="C624" s="57" t="n">
        <v>-0.0003</v>
      </c>
      <c r="D624" s="57" t="n">
        <v>0.00133</v>
      </c>
    </row>
    <row r="625" customFormat="false" ht="15" hidden="false" customHeight="false" outlineLevel="0" collapsed="false">
      <c r="A625" s="52" t="n">
        <v>45125</v>
      </c>
      <c r="B625" s="57" t="n">
        <v>-0.00033</v>
      </c>
      <c r="C625" s="57" t="n">
        <v>-0.00031</v>
      </c>
      <c r="D625" s="57" t="n">
        <v>0.00139</v>
      </c>
    </row>
    <row r="626" customFormat="false" ht="15" hidden="false" customHeight="false" outlineLevel="0" collapsed="false">
      <c r="A626" s="52" t="n">
        <v>45126</v>
      </c>
      <c r="B626" s="57" t="n">
        <v>-0.00037</v>
      </c>
      <c r="C626" s="57" t="n">
        <v>-0.00041</v>
      </c>
      <c r="D626" s="57" t="n">
        <v>0.00118</v>
      </c>
    </row>
    <row r="627" customFormat="false" ht="15" hidden="false" customHeight="false" outlineLevel="0" collapsed="false">
      <c r="A627" s="52" t="n">
        <v>45127</v>
      </c>
      <c r="B627" s="57" t="n">
        <v>-0.00037</v>
      </c>
      <c r="C627" s="57" t="n">
        <v>-0.00042</v>
      </c>
      <c r="D627" s="57" t="n">
        <v>0.00114</v>
      </c>
    </row>
    <row r="628" customFormat="false" ht="15" hidden="false" customHeight="false" outlineLevel="0" collapsed="false">
      <c r="A628" s="52" t="n">
        <v>45128</v>
      </c>
      <c r="B628" s="57" t="n">
        <v>-0.00026</v>
      </c>
      <c r="C628" s="57" t="n">
        <v>-0.0003</v>
      </c>
      <c r="D628" s="57" t="n">
        <v>0.00128</v>
      </c>
    </row>
    <row r="629" customFormat="false" ht="15" hidden="false" customHeight="false" outlineLevel="0" collapsed="false">
      <c r="A629" s="52" t="n">
        <v>45131</v>
      </c>
      <c r="B629" s="57" t="n">
        <v>-0.00036</v>
      </c>
      <c r="C629" s="57" t="n">
        <v>-0.0004</v>
      </c>
      <c r="D629" s="57" t="n">
        <v>0.00108</v>
      </c>
    </row>
    <row r="630" customFormat="false" ht="15" hidden="false" customHeight="false" outlineLevel="0" collapsed="false">
      <c r="A630" s="52" t="n">
        <v>45132</v>
      </c>
      <c r="B630" s="57" t="n">
        <v>-0.00038</v>
      </c>
      <c r="C630" s="57" t="n">
        <v>-0.0004</v>
      </c>
      <c r="D630" s="57" t="n">
        <v>0.00109</v>
      </c>
    </row>
    <row r="631" customFormat="false" ht="15" hidden="false" customHeight="false" outlineLevel="0" collapsed="false">
      <c r="A631" s="52" t="n">
        <v>45133</v>
      </c>
      <c r="B631" s="57" t="n">
        <v>-0.00038</v>
      </c>
      <c r="C631" s="57" t="n">
        <v>-0.0004</v>
      </c>
      <c r="D631" s="57" t="n">
        <v>0.001</v>
      </c>
    </row>
    <row r="632" customFormat="false" ht="15" hidden="false" customHeight="false" outlineLevel="0" collapsed="false">
      <c r="A632" s="52" t="n">
        <v>45134</v>
      </c>
      <c r="B632" s="57" t="n">
        <v>-0.0004</v>
      </c>
      <c r="C632" s="57" t="n">
        <v>-0.0004</v>
      </c>
      <c r="D632" s="57" t="n">
        <v>0.001</v>
      </c>
    </row>
    <row r="633" customFormat="false" ht="15" hidden="false" customHeight="false" outlineLevel="0" collapsed="false">
      <c r="A633" s="52" t="n">
        <v>45135</v>
      </c>
      <c r="B633" s="57" t="n">
        <v>-0.00015</v>
      </c>
      <c r="C633" s="57" t="n">
        <v>-0.0001</v>
      </c>
      <c r="D633" s="57" t="n">
        <v>0.00162</v>
      </c>
    </row>
    <row r="634" customFormat="false" ht="15" hidden="false" customHeight="false" outlineLevel="0" collapsed="false">
      <c r="A634" s="52" t="n">
        <v>45138</v>
      </c>
      <c r="B634" s="57" t="n">
        <v>0</v>
      </c>
      <c r="C634" s="57" t="n">
        <v>0.00016</v>
      </c>
      <c r="D634" s="57" t="n">
        <v>0.0019</v>
      </c>
    </row>
    <row r="635" customFormat="false" ht="15" hidden="false" customHeight="false" outlineLevel="0" collapsed="false">
      <c r="A635" s="52" t="n">
        <v>45139</v>
      </c>
      <c r="B635" s="57" t="n">
        <v>0</v>
      </c>
      <c r="C635" s="57" t="n">
        <v>0.00016</v>
      </c>
      <c r="D635" s="57" t="n">
        <v>0.00182</v>
      </c>
    </row>
    <row r="636" customFormat="false" ht="15" hidden="false" customHeight="false" outlineLevel="0" collapsed="false">
      <c r="A636" s="52" t="n">
        <v>45140</v>
      </c>
      <c r="B636" s="57" t="n">
        <v>0.0001</v>
      </c>
      <c r="C636" s="57" t="n">
        <v>0.00025</v>
      </c>
      <c r="D636" s="57" t="n">
        <v>0.002</v>
      </c>
    </row>
    <row r="637" customFormat="false" ht="15" hidden="false" customHeight="false" outlineLevel="0" collapsed="false">
      <c r="A637" s="52" t="n">
        <v>45141</v>
      </c>
      <c r="B637" s="57" t="n">
        <v>0.0002</v>
      </c>
      <c r="C637" s="57" t="n">
        <v>0.0004</v>
      </c>
      <c r="D637" s="57" t="n">
        <v>0.00225</v>
      </c>
    </row>
    <row r="638" customFormat="false" ht="15" hidden="false" customHeight="false" outlineLevel="0" collapsed="false">
      <c r="A638" s="52" t="n">
        <v>45142</v>
      </c>
      <c r="B638" s="57" t="n">
        <v>0.00021</v>
      </c>
      <c r="C638" s="57" t="n">
        <v>0.00041</v>
      </c>
      <c r="D638" s="57" t="n">
        <v>0.00226</v>
      </c>
    </row>
    <row r="639" customFormat="false" ht="15" hidden="false" customHeight="false" outlineLevel="0" collapsed="false">
      <c r="A639" s="52" t="n">
        <v>45145</v>
      </c>
      <c r="B639" s="57" t="n">
        <v>0.00017</v>
      </c>
      <c r="C639" s="57" t="n">
        <v>0.00036</v>
      </c>
      <c r="D639" s="57" t="n">
        <v>0.00216</v>
      </c>
    </row>
    <row r="640" customFormat="false" ht="15" hidden="false" customHeight="false" outlineLevel="0" collapsed="false">
      <c r="A640" s="52" t="n">
        <v>45146</v>
      </c>
      <c r="B640" s="57" t="n">
        <v>0.00012</v>
      </c>
      <c r="C640" s="57" t="n">
        <v>0.00036</v>
      </c>
      <c r="D640" s="57" t="n">
        <v>0.00205</v>
      </c>
    </row>
    <row r="641" customFormat="false" ht="15" hidden="false" customHeight="false" outlineLevel="0" collapsed="false">
      <c r="A641" s="52" t="n">
        <v>45147</v>
      </c>
      <c r="B641" s="57" t="n">
        <v>6E-005</v>
      </c>
      <c r="C641" s="57" t="n">
        <v>0.00026</v>
      </c>
      <c r="D641" s="57" t="n">
        <v>0.00184</v>
      </c>
    </row>
    <row r="642" customFormat="false" ht="15" hidden="false" customHeight="false" outlineLevel="0" collapsed="false">
      <c r="A642" s="52" t="n">
        <v>45148</v>
      </c>
      <c r="B642" s="57" t="n">
        <v>0.00012</v>
      </c>
      <c r="C642" s="57" t="n">
        <v>0.00036</v>
      </c>
      <c r="D642" s="57" t="n">
        <v>0.00199</v>
      </c>
    </row>
    <row r="643" customFormat="false" ht="15" hidden="false" customHeight="false" outlineLevel="0" collapsed="false">
      <c r="A643" s="52" t="n">
        <v>45152</v>
      </c>
      <c r="B643" s="57" t="n">
        <v>0.00017</v>
      </c>
      <c r="C643" s="57" t="n">
        <v>0.00042</v>
      </c>
      <c r="D643" s="57" t="n">
        <v>0.00218</v>
      </c>
    </row>
    <row r="644" customFormat="false" ht="15" hidden="false" customHeight="false" outlineLevel="0" collapsed="false">
      <c r="A644" s="52" t="n">
        <v>45153</v>
      </c>
      <c r="B644" s="57" t="n">
        <v>0.00016</v>
      </c>
      <c r="C644" s="57" t="n">
        <v>0.00042</v>
      </c>
      <c r="D644" s="57" t="n">
        <v>0.00223</v>
      </c>
    </row>
    <row r="645" customFormat="false" ht="15" hidden="false" customHeight="false" outlineLevel="0" collapsed="false">
      <c r="A645" s="52" t="n">
        <v>45154</v>
      </c>
      <c r="B645" s="57" t="n">
        <v>0.00017</v>
      </c>
      <c r="C645" s="57" t="n">
        <v>0.00046</v>
      </c>
      <c r="D645" s="57" t="n">
        <v>0.00223</v>
      </c>
    </row>
    <row r="646" customFormat="false" ht="15" hidden="false" customHeight="false" outlineLevel="0" collapsed="false">
      <c r="A646" s="52" t="n">
        <v>45155</v>
      </c>
      <c r="B646" s="57" t="n">
        <v>0.00028</v>
      </c>
      <c r="C646" s="57" t="n">
        <v>0.0006</v>
      </c>
      <c r="D646" s="57" t="n">
        <v>0.00239</v>
      </c>
    </row>
    <row r="647" customFormat="false" ht="15" hidden="false" customHeight="false" outlineLevel="0" collapsed="false">
      <c r="A647" s="52" t="n">
        <v>45156</v>
      </c>
      <c r="B647" s="57" t="n">
        <v>0.00022</v>
      </c>
      <c r="C647" s="57" t="n">
        <v>0.00055</v>
      </c>
      <c r="D647" s="57" t="n">
        <v>0.00227</v>
      </c>
    </row>
    <row r="648" customFormat="false" ht="15" hidden="false" customHeight="false" outlineLevel="0" collapsed="false">
      <c r="A648" s="52" t="n">
        <v>45159</v>
      </c>
      <c r="B648" s="57" t="n">
        <v>0.00029</v>
      </c>
      <c r="C648" s="57" t="n">
        <v>0.00071</v>
      </c>
      <c r="D648" s="57" t="n">
        <v>0.00242</v>
      </c>
    </row>
    <row r="649" customFormat="false" ht="15" hidden="false" customHeight="false" outlineLevel="0" collapsed="false">
      <c r="A649" s="52" t="n">
        <v>45160</v>
      </c>
      <c r="B649" s="57" t="n">
        <v>0.00025</v>
      </c>
      <c r="C649" s="57" t="n">
        <v>0.00082</v>
      </c>
      <c r="D649" s="57" t="n">
        <v>0.00252</v>
      </c>
    </row>
    <row r="650" customFormat="false" ht="15" hidden="false" customHeight="false" outlineLevel="0" collapsed="false">
      <c r="A650" s="52" t="n">
        <v>45161</v>
      </c>
      <c r="B650" s="57" t="n">
        <v>0.00024</v>
      </c>
      <c r="C650" s="57" t="n">
        <v>0.00082</v>
      </c>
      <c r="D650" s="57" t="n">
        <v>0.00259</v>
      </c>
    </row>
    <row r="651" customFormat="false" ht="15" hidden="false" customHeight="false" outlineLevel="0" collapsed="false">
      <c r="A651" s="52" t="n">
        <v>45162</v>
      </c>
      <c r="B651" s="57" t="n">
        <v>0.0001</v>
      </c>
      <c r="C651" s="57" t="n">
        <v>0.00072</v>
      </c>
      <c r="D651" s="57" t="n">
        <v>0.00237</v>
      </c>
    </row>
    <row r="652" customFormat="false" ht="15" hidden="false" customHeight="false" outlineLevel="0" collapsed="false">
      <c r="A652" s="52" t="n">
        <v>45163</v>
      </c>
      <c r="B652" s="57" t="n">
        <v>0.0001</v>
      </c>
      <c r="C652" s="57" t="n">
        <v>0.00072</v>
      </c>
      <c r="D652" s="57" t="n">
        <v>0.00248</v>
      </c>
    </row>
    <row r="653" customFormat="false" ht="15" hidden="false" customHeight="false" outlineLevel="0" collapsed="false">
      <c r="A653" s="52" t="n">
        <v>45166</v>
      </c>
      <c r="B653" s="57" t="n">
        <v>0.00011</v>
      </c>
      <c r="C653" s="57" t="n">
        <v>0.00073</v>
      </c>
      <c r="D653" s="57" t="n">
        <v>0.00248</v>
      </c>
    </row>
    <row r="654" customFormat="false" ht="15" hidden="false" customHeight="false" outlineLevel="0" collapsed="false">
      <c r="A654" s="52" t="n">
        <v>45167</v>
      </c>
      <c r="B654" s="57" t="n">
        <v>0.00019</v>
      </c>
      <c r="C654" s="57" t="n">
        <v>0.00068</v>
      </c>
      <c r="D654" s="57" t="n">
        <v>0.00241</v>
      </c>
    </row>
    <row r="655" customFormat="false" ht="15" hidden="false" customHeight="false" outlineLevel="0" collapsed="false">
      <c r="A655" s="52" t="n">
        <v>45168</v>
      </c>
      <c r="B655" s="57" t="n">
        <v>0.00029</v>
      </c>
      <c r="C655" s="57" t="n">
        <v>0.00074</v>
      </c>
      <c r="D655" s="57" t="n">
        <v>0.00247</v>
      </c>
    </row>
    <row r="656" customFormat="false" ht="15" hidden="false" customHeight="false" outlineLevel="0" collapsed="false">
      <c r="A656" s="52" t="n">
        <v>45169</v>
      </c>
      <c r="B656" s="57" t="n">
        <v>0.00025</v>
      </c>
      <c r="C656" s="57" t="n">
        <v>0.00068</v>
      </c>
      <c r="D656" s="57" t="n">
        <v>0.00238</v>
      </c>
    </row>
    <row r="657" customFormat="false" ht="15" hidden="false" customHeight="false" outlineLevel="0" collapsed="false">
      <c r="A657" s="52" t="n">
        <v>45170</v>
      </c>
      <c r="B657" s="57" t="n">
        <v>0.0002</v>
      </c>
      <c r="C657" s="57" t="n">
        <v>0.00058</v>
      </c>
      <c r="D657" s="57" t="n">
        <v>0.00222</v>
      </c>
    </row>
    <row r="658" customFormat="false" ht="15" hidden="false" customHeight="false" outlineLevel="0" collapsed="false">
      <c r="A658" s="52" t="n">
        <v>45173</v>
      </c>
      <c r="B658" s="57" t="n">
        <v>0.00016</v>
      </c>
      <c r="C658" s="57" t="n">
        <v>0.00059</v>
      </c>
      <c r="D658" s="57" t="n">
        <v>0.00235</v>
      </c>
    </row>
    <row r="659" customFormat="false" ht="15" hidden="false" customHeight="false" outlineLevel="0" collapsed="false">
      <c r="A659" s="52" t="n">
        <v>45174</v>
      </c>
      <c r="B659" s="57" t="n">
        <v>0.00016</v>
      </c>
      <c r="C659" s="57" t="n">
        <v>0.00059</v>
      </c>
      <c r="D659" s="57" t="n">
        <v>0.00243</v>
      </c>
    </row>
    <row r="660" customFormat="false" ht="15" hidden="false" customHeight="false" outlineLevel="0" collapsed="false">
      <c r="A660" s="52" t="n">
        <v>45175</v>
      </c>
      <c r="B660" s="57" t="n">
        <v>0.00017</v>
      </c>
      <c r="C660" s="57" t="n">
        <v>0.00059</v>
      </c>
      <c r="D660" s="57" t="n">
        <v>0.00243</v>
      </c>
    </row>
    <row r="661" customFormat="false" ht="15" hidden="false" customHeight="false" outlineLevel="0" collapsed="false">
      <c r="A661" s="52" t="n">
        <v>45176</v>
      </c>
      <c r="B661" s="57" t="n">
        <v>0.00012</v>
      </c>
      <c r="C661" s="57" t="n">
        <v>0.00056</v>
      </c>
      <c r="D661" s="57" t="n">
        <v>0.00239</v>
      </c>
    </row>
    <row r="662" customFormat="false" ht="15" hidden="false" customHeight="false" outlineLevel="0" collapsed="false">
      <c r="A662" s="52" t="n">
        <v>45177</v>
      </c>
      <c r="B662" s="57" t="n">
        <v>7E-005</v>
      </c>
      <c r="C662" s="57" t="n">
        <v>0.00046</v>
      </c>
      <c r="D662" s="57" t="n">
        <v>0.00234</v>
      </c>
    </row>
    <row r="663" customFormat="false" ht="15" hidden="false" customHeight="false" outlineLevel="0" collapsed="false">
      <c r="A663" s="52" t="n">
        <v>45180</v>
      </c>
      <c r="B663" s="57" t="n">
        <v>0.00043</v>
      </c>
      <c r="C663" s="57" t="n">
        <v>0.001</v>
      </c>
      <c r="D663" s="57" t="n">
        <v>0.003</v>
      </c>
    </row>
    <row r="664" customFormat="false" ht="15" hidden="false" customHeight="false" outlineLevel="0" collapsed="false">
      <c r="A664" s="52" t="n">
        <v>45181</v>
      </c>
      <c r="B664" s="57" t="n">
        <v>0.00033</v>
      </c>
      <c r="C664" s="57" t="n">
        <v>0.0009</v>
      </c>
      <c r="D664" s="57" t="n">
        <v>0.00297</v>
      </c>
    </row>
    <row r="665" customFormat="false" ht="15" hidden="false" customHeight="false" outlineLevel="0" collapsed="false">
      <c r="A665" s="52" t="n">
        <v>45182</v>
      </c>
      <c r="B665" s="57" t="n">
        <v>0.00028</v>
      </c>
      <c r="C665" s="57" t="n">
        <v>0.0009</v>
      </c>
      <c r="D665" s="57" t="n">
        <v>0.00297</v>
      </c>
    </row>
    <row r="666" customFormat="false" ht="15" hidden="false" customHeight="false" outlineLevel="0" collapsed="false">
      <c r="A666" s="52" t="n">
        <v>45183</v>
      </c>
      <c r="B666" s="57" t="n">
        <v>0.00029</v>
      </c>
      <c r="C666" s="57" t="n">
        <v>0.0009</v>
      </c>
      <c r="D666" s="57" t="n">
        <v>0.00296</v>
      </c>
    </row>
    <row r="667" customFormat="false" ht="15" hidden="false" customHeight="false" outlineLevel="0" collapsed="false">
      <c r="A667" s="52" t="n">
        <v>45184</v>
      </c>
      <c r="B667" s="57" t="n">
        <v>0.0003</v>
      </c>
      <c r="C667" s="57" t="n">
        <v>0.00091</v>
      </c>
      <c r="D667" s="57" t="n">
        <v>0.0029</v>
      </c>
    </row>
    <row r="668" customFormat="false" ht="15" hidden="false" customHeight="false" outlineLevel="0" collapsed="false">
      <c r="A668" s="52" t="n">
        <v>45188</v>
      </c>
      <c r="B668" s="57" t="n">
        <v>0.00035</v>
      </c>
      <c r="C668" s="57" t="n">
        <v>0.00092</v>
      </c>
      <c r="D668" s="57" t="n">
        <v>0.00301</v>
      </c>
    </row>
    <row r="669" customFormat="false" ht="15" hidden="false" customHeight="false" outlineLevel="0" collapsed="false">
      <c r="A669" s="52" t="n">
        <v>45189</v>
      </c>
      <c r="B669" s="57" t="n">
        <v>0.00026</v>
      </c>
      <c r="C669" s="57" t="n">
        <v>0.00085</v>
      </c>
      <c r="D669" s="57" t="n">
        <v>0.00301</v>
      </c>
    </row>
    <row r="670" customFormat="false" ht="15" hidden="false" customHeight="false" outlineLevel="0" collapsed="false">
      <c r="A670" s="52" t="n">
        <v>45190</v>
      </c>
      <c r="B670" s="57" t="n">
        <v>0.00035</v>
      </c>
      <c r="C670" s="57" t="n">
        <v>0.00099</v>
      </c>
      <c r="D670" s="57" t="n">
        <v>0.00332</v>
      </c>
    </row>
    <row r="671" customFormat="false" ht="15" hidden="false" customHeight="false" outlineLevel="0" collapsed="false">
      <c r="A671" s="52" t="n">
        <v>45191</v>
      </c>
      <c r="B671" s="57" t="n">
        <v>0.00035</v>
      </c>
      <c r="C671" s="57" t="n">
        <v>0.00096</v>
      </c>
      <c r="D671" s="57" t="n">
        <v>0.00324</v>
      </c>
    </row>
    <row r="672" customFormat="false" ht="15" hidden="false" customHeight="false" outlineLevel="0" collapsed="false">
      <c r="A672" s="52" t="n">
        <v>45194</v>
      </c>
      <c r="B672" s="57" t="n">
        <v>0.00033</v>
      </c>
      <c r="C672" s="57" t="n">
        <v>0.00093</v>
      </c>
      <c r="D672" s="57" t="n">
        <v>0.00318</v>
      </c>
    </row>
    <row r="673" customFormat="false" ht="15" hidden="false" customHeight="false" outlineLevel="0" collapsed="false">
      <c r="A673" s="52" t="n">
        <v>45195</v>
      </c>
      <c r="B673" s="57" t="n">
        <v>0.00034</v>
      </c>
      <c r="C673" s="57" t="n">
        <v>0.00093</v>
      </c>
      <c r="D673" s="57" t="n">
        <v>0.00317</v>
      </c>
    </row>
    <row r="674" customFormat="false" ht="15" hidden="false" customHeight="false" outlineLevel="0" collapsed="false">
      <c r="A674" s="52" t="n">
        <v>45196</v>
      </c>
      <c r="B674" s="57" t="n">
        <v>0.00034</v>
      </c>
      <c r="C674" s="57" t="n">
        <v>0.0009</v>
      </c>
      <c r="D674" s="57" t="n">
        <v>0.00313</v>
      </c>
    </row>
    <row r="675" customFormat="false" ht="15" hidden="false" customHeight="false" outlineLevel="0" collapsed="false">
      <c r="A675" s="52" t="n">
        <v>45197</v>
      </c>
      <c r="B675" s="57" t="n">
        <v>0.00044</v>
      </c>
      <c r="C675" s="57" t="n">
        <v>0.00104</v>
      </c>
      <c r="D675" s="57" t="n">
        <v>0.00331</v>
      </c>
    </row>
    <row r="676" customFormat="false" ht="15" hidden="false" customHeight="false" outlineLevel="0" collapsed="false">
      <c r="A676" s="52" t="n">
        <v>45198</v>
      </c>
      <c r="B676" s="57" t="n">
        <v>0.00044</v>
      </c>
      <c r="C676" s="57" t="n">
        <v>0.00108</v>
      </c>
      <c r="D676" s="57" t="n">
        <v>0.00341</v>
      </c>
    </row>
    <row r="677" customFormat="false" ht="15" hidden="false" customHeight="false" outlineLevel="0" collapsed="false">
      <c r="A677" s="52" t="n">
        <v>45201</v>
      </c>
      <c r="B677" s="57" t="n">
        <v>0.00055</v>
      </c>
      <c r="C677" s="57" t="n">
        <v>0.00119</v>
      </c>
      <c r="D677" s="57" t="n">
        <v>0.00359</v>
      </c>
    </row>
    <row r="678" customFormat="false" ht="15" hidden="false" customHeight="false" outlineLevel="0" collapsed="false">
      <c r="A678" s="52" t="n">
        <v>45202</v>
      </c>
      <c r="B678" s="57" t="n">
        <v>0.00051</v>
      </c>
      <c r="C678" s="57" t="n">
        <v>0.00116</v>
      </c>
      <c r="D678" s="57" t="n">
        <v>0.00351</v>
      </c>
    </row>
    <row r="679" customFormat="false" ht="15" hidden="false" customHeight="false" outlineLevel="0" collapsed="false">
      <c r="A679" s="52" t="n">
        <v>45203</v>
      </c>
      <c r="B679" s="57" t="n">
        <v>0.00061</v>
      </c>
      <c r="C679" s="57" t="n">
        <v>0.00124</v>
      </c>
      <c r="D679" s="57" t="n">
        <v>0.00371</v>
      </c>
    </row>
    <row r="680" customFormat="false" ht="15" hidden="false" customHeight="false" outlineLevel="0" collapsed="false">
      <c r="A680" s="52" t="n">
        <v>45204</v>
      </c>
      <c r="B680" s="57" t="n">
        <v>0.00061</v>
      </c>
      <c r="C680" s="57" t="n">
        <v>0.0012</v>
      </c>
      <c r="D680" s="57" t="n">
        <v>0.00355</v>
      </c>
    </row>
    <row r="681" customFormat="false" ht="15" hidden="false" customHeight="false" outlineLevel="0" collapsed="false">
      <c r="A681" s="52" t="n">
        <v>45205</v>
      </c>
      <c r="B681" s="57" t="n">
        <v>0.00061</v>
      </c>
      <c r="C681" s="57" t="n">
        <v>0.00121</v>
      </c>
      <c r="D681" s="57" t="n">
        <v>0.00358</v>
      </c>
    </row>
    <row r="682" customFormat="false" ht="15" hidden="false" customHeight="false" outlineLevel="0" collapsed="false">
      <c r="A682" s="52" t="n">
        <v>45209</v>
      </c>
      <c r="B682" s="57" t="n">
        <v>0.00058</v>
      </c>
      <c r="C682" s="57" t="n">
        <v>0.00112</v>
      </c>
      <c r="D682" s="57" t="n">
        <v>0.00333</v>
      </c>
    </row>
    <row r="683" customFormat="false" ht="15" hidden="false" customHeight="false" outlineLevel="0" collapsed="false">
      <c r="A683" s="52" t="n">
        <v>45210</v>
      </c>
      <c r="B683" s="57" t="n">
        <v>0.00058</v>
      </c>
      <c r="C683" s="57" t="n">
        <v>0.00111</v>
      </c>
      <c r="D683" s="57" t="n">
        <v>0.00335</v>
      </c>
    </row>
    <row r="684" customFormat="false" ht="15" hidden="false" customHeight="false" outlineLevel="0" collapsed="false">
      <c r="A684" s="52" t="n">
        <v>45211</v>
      </c>
      <c r="B684" s="57" t="n">
        <v>0.00047</v>
      </c>
      <c r="C684" s="57" t="n">
        <v>0.00101</v>
      </c>
      <c r="D684" s="57" t="n">
        <v>0.00315</v>
      </c>
    </row>
    <row r="685" customFormat="false" ht="15" hidden="false" customHeight="false" outlineLevel="0" collapsed="false">
      <c r="A685" s="52" t="n">
        <v>45212</v>
      </c>
      <c r="B685" s="57" t="n">
        <v>0.00044</v>
      </c>
      <c r="C685" s="57" t="n">
        <v>0.00101</v>
      </c>
      <c r="D685" s="57" t="n">
        <v>0.00322</v>
      </c>
    </row>
    <row r="686" customFormat="false" ht="15" hidden="false" customHeight="false" outlineLevel="0" collapsed="false">
      <c r="A686" s="52" t="n">
        <v>45215</v>
      </c>
      <c r="B686" s="57" t="n">
        <v>0.00043</v>
      </c>
      <c r="C686" s="57" t="n">
        <v>0.00096</v>
      </c>
      <c r="D686" s="57" t="n">
        <v>0.00316</v>
      </c>
    </row>
    <row r="687" customFormat="false" ht="15" hidden="false" customHeight="false" outlineLevel="0" collapsed="false">
      <c r="A687" s="52" t="n">
        <v>45216</v>
      </c>
      <c r="B687" s="57" t="n">
        <v>0.00059</v>
      </c>
      <c r="C687" s="57" t="n">
        <v>0.0011</v>
      </c>
      <c r="D687" s="57" t="n">
        <v>0.00326</v>
      </c>
    </row>
    <row r="688" customFormat="false" ht="15" hidden="false" customHeight="false" outlineLevel="0" collapsed="false">
      <c r="A688" s="52" t="n">
        <v>45217</v>
      </c>
      <c r="B688" s="57" t="n">
        <v>0.0007</v>
      </c>
      <c r="C688" s="57" t="n">
        <v>0.00127</v>
      </c>
      <c r="D688" s="57" t="n">
        <v>0.00351</v>
      </c>
    </row>
    <row r="689" customFormat="false" ht="15" hidden="false" customHeight="false" outlineLevel="0" collapsed="false">
      <c r="A689" s="52" t="n">
        <v>45218</v>
      </c>
      <c r="B689" s="57" t="n">
        <v>0.00081</v>
      </c>
      <c r="C689" s="57" t="n">
        <v>0.00139</v>
      </c>
      <c r="D689" s="57" t="n">
        <v>0.00372</v>
      </c>
    </row>
    <row r="690" customFormat="false" ht="15" hidden="false" customHeight="false" outlineLevel="0" collapsed="false">
      <c r="A690" s="52" t="n">
        <v>45219</v>
      </c>
      <c r="B690" s="57" t="n">
        <v>0.00075</v>
      </c>
      <c r="C690" s="57" t="n">
        <v>0.00133</v>
      </c>
      <c r="D690" s="57" t="n">
        <v>0.00366</v>
      </c>
    </row>
    <row r="691" customFormat="false" ht="15" hidden="false" customHeight="false" outlineLevel="0" collapsed="false">
      <c r="A691" s="52" t="n">
        <v>45222</v>
      </c>
      <c r="B691" s="57" t="n">
        <v>0.00087</v>
      </c>
      <c r="C691" s="57" t="n">
        <v>0.00144</v>
      </c>
      <c r="D691" s="57" t="n">
        <v>0.00378</v>
      </c>
    </row>
    <row r="692" customFormat="false" ht="15" hidden="false" customHeight="false" outlineLevel="0" collapsed="false">
      <c r="A692" s="52" t="n">
        <v>45223</v>
      </c>
      <c r="B692" s="57" t="n">
        <v>0.00082</v>
      </c>
      <c r="C692" s="57" t="n">
        <v>0.00134</v>
      </c>
      <c r="D692" s="57" t="n">
        <v>0.00364</v>
      </c>
    </row>
    <row r="693" customFormat="false" ht="15" hidden="false" customHeight="false" outlineLevel="0" collapsed="false">
      <c r="A693" s="52" t="n">
        <v>45224</v>
      </c>
      <c r="B693" s="57" t="n">
        <v>0.00077</v>
      </c>
      <c r="C693" s="57" t="n">
        <v>0.00135</v>
      </c>
      <c r="D693" s="57" t="n">
        <v>0.00364</v>
      </c>
    </row>
    <row r="694" customFormat="false" ht="15" hidden="false" customHeight="false" outlineLevel="0" collapsed="false">
      <c r="A694" s="52" t="n">
        <v>45225</v>
      </c>
      <c r="B694" s="57" t="n">
        <v>0.00093</v>
      </c>
      <c r="C694" s="57" t="n">
        <v>0.00155</v>
      </c>
      <c r="D694" s="57" t="n">
        <v>0.00394</v>
      </c>
    </row>
    <row r="695" customFormat="false" ht="15" hidden="false" customHeight="false" outlineLevel="0" collapsed="false">
      <c r="A695" s="52" t="n">
        <v>45226</v>
      </c>
      <c r="B695" s="57" t="n">
        <v>0.00094</v>
      </c>
      <c r="C695" s="57" t="n">
        <v>0.00156</v>
      </c>
      <c r="D695" s="57" t="n">
        <v>0.00386</v>
      </c>
    </row>
    <row r="696" customFormat="false" ht="15" hidden="false" customHeight="false" outlineLevel="0" collapsed="false">
      <c r="A696" s="52" t="n">
        <v>45229</v>
      </c>
      <c r="B696" s="57" t="n">
        <v>0.00119</v>
      </c>
      <c r="C696" s="57" t="n">
        <v>0.00177</v>
      </c>
      <c r="D696" s="57" t="n">
        <v>0.0041</v>
      </c>
    </row>
    <row r="697" customFormat="false" ht="15" hidden="false" customHeight="false" outlineLevel="0" collapsed="false">
      <c r="A697" s="52" t="n">
        <v>45230</v>
      </c>
      <c r="B697" s="57" t="n">
        <v>0.00149</v>
      </c>
      <c r="C697" s="57" t="n">
        <v>0.0022</v>
      </c>
      <c r="D697" s="57" t="n">
        <v>0.00475</v>
      </c>
    </row>
    <row r="698" customFormat="false" ht="15" hidden="false" customHeight="false" outlineLevel="0" collapsed="false">
      <c r="A698" s="52" t="n">
        <v>45231</v>
      </c>
      <c r="B698" s="57" t="n">
        <v>0.00155</v>
      </c>
      <c r="C698" s="57" t="n">
        <v>0.00234</v>
      </c>
      <c r="D698" s="57" t="n">
        <v>0.00489</v>
      </c>
    </row>
    <row r="699" customFormat="false" ht="15" hidden="false" customHeight="false" outlineLevel="0" collapsed="false">
      <c r="A699" s="52" t="n">
        <v>45232</v>
      </c>
      <c r="B699" s="57" t="n">
        <v>0.00135</v>
      </c>
      <c r="C699" s="57" t="n">
        <v>0.00213</v>
      </c>
      <c r="D699" s="57" t="n">
        <v>0.0046</v>
      </c>
    </row>
    <row r="700" customFormat="false" ht="15" hidden="false" customHeight="false" outlineLevel="0" collapsed="false">
      <c r="A700" s="52" t="n">
        <v>45236</v>
      </c>
      <c r="B700" s="57" t="n">
        <v>0.00127</v>
      </c>
      <c r="C700" s="57" t="n">
        <v>0.00198</v>
      </c>
      <c r="D700" s="57" t="n">
        <v>0.00432</v>
      </c>
    </row>
    <row r="701" customFormat="false" ht="15" hidden="false" customHeight="false" outlineLevel="0" collapsed="false">
      <c r="A701" s="52" t="n">
        <v>45237</v>
      </c>
      <c r="B701" s="57" t="n">
        <v>0.00127</v>
      </c>
      <c r="C701" s="57" t="n">
        <v>0.00199</v>
      </c>
      <c r="D701" s="57" t="n">
        <v>0.00441</v>
      </c>
    </row>
    <row r="702" customFormat="false" ht="15" hidden="false" customHeight="false" outlineLevel="0" collapsed="false">
      <c r="A702" s="52" t="n">
        <v>45238</v>
      </c>
      <c r="B702" s="57" t="n">
        <v>0.00117</v>
      </c>
      <c r="C702" s="57" t="n">
        <v>0.00184</v>
      </c>
      <c r="D702" s="57" t="n">
        <v>0.00423</v>
      </c>
    </row>
    <row r="703" customFormat="false" ht="15" hidden="false" customHeight="false" outlineLevel="0" collapsed="false">
      <c r="A703" s="52" t="n">
        <v>45239</v>
      </c>
      <c r="B703" s="57" t="n">
        <v>0.00107</v>
      </c>
      <c r="C703" s="57" t="n">
        <v>0.00175</v>
      </c>
      <c r="D703" s="57" t="n">
        <v>0.00413</v>
      </c>
    </row>
    <row r="704" customFormat="false" ht="15" hidden="false" customHeight="false" outlineLevel="0" collapsed="false">
      <c r="A704" s="52" t="n">
        <v>45240</v>
      </c>
      <c r="B704" s="57" t="n">
        <v>0.00108</v>
      </c>
      <c r="C704" s="57" t="n">
        <v>0.0018</v>
      </c>
      <c r="D704" s="57" t="n">
        <v>0.00427</v>
      </c>
    </row>
    <row r="705" customFormat="false" ht="15" hidden="false" customHeight="false" outlineLevel="0" collapsed="false">
      <c r="A705" s="52" t="n">
        <v>45243</v>
      </c>
      <c r="B705" s="57" t="n">
        <v>0.00103</v>
      </c>
      <c r="C705" s="57" t="n">
        <v>0.0018</v>
      </c>
      <c r="D705" s="57" t="n">
        <v>0.0044</v>
      </c>
    </row>
    <row r="706" customFormat="false" ht="15" hidden="false" customHeight="false" outlineLevel="0" collapsed="false">
      <c r="A706" s="52" t="n">
        <v>45244</v>
      </c>
      <c r="B706" s="57" t="n">
        <v>0.00093</v>
      </c>
      <c r="C706" s="57" t="n">
        <v>0.00164</v>
      </c>
      <c r="D706" s="57" t="n">
        <v>0.00414</v>
      </c>
    </row>
    <row r="707" customFormat="false" ht="15" hidden="false" customHeight="false" outlineLevel="0" collapsed="false">
      <c r="A707" s="52" t="n">
        <v>45245</v>
      </c>
      <c r="B707" s="57" t="n">
        <v>0.00069</v>
      </c>
      <c r="C707" s="57" t="n">
        <v>0.00134</v>
      </c>
      <c r="D707" s="57" t="n">
        <v>0.00369</v>
      </c>
    </row>
    <row r="708" customFormat="false" ht="15" hidden="false" customHeight="false" outlineLevel="0" collapsed="false">
      <c r="A708" s="52" t="n">
        <v>45246</v>
      </c>
      <c r="B708" s="57" t="n">
        <v>0.00057</v>
      </c>
      <c r="C708" s="57" t="n">
        <v>0.00127</v>
      </c>
      <c r="D708" s="57" t="n">
        <v>0.0037</v>
      </c>
    </row>
    <row r="709" customFormat="false" ht="15" hidden="false" customHeight="false" outlineLevel="0" collapsed="false">
      <c r="A709" s="52" t="n">
        <v>45247</v>
      </c>
      <c r="B709" s="57" t="n">
        <v>0.00046</v>
      </c>
      <c r="C709" s="57" t="n">
        <v>0.00102</v>
      </c>
      <c r="D709" s="57" t="n">
        <v>0.0033</v>
      </c>
    </row>
    <row r="710" customFormat="false" ht="15" hidden="false" customHeight="false" outlineLevel="0" collapsed="false">
      <c r="A710" s="52" t="n">
        <v>45250</v>
      </c>
      <c r="B710" s="57" t="n">
        <v>0.00046</v>
      </c>
      <c r="C710" s="57" t="n">
        <v>0.00094</v>
      </c>
      <c r="D710" s="57" t="n">
        <v>0.0032</v>
      </c>
    </row>
    <row r="711" customFormat="false" ht="15" hidden="false" customHeight="false" outlineLevel="0" collapsed="false">
      <c r="A711" s="52" t="n">
        <v>45251</v>
      </c>
      <c r="B711" s="57" t="n">
        <v>0.00036</v>
      </c>
      <c r="C711" s="57" t="n">
        <v>0.00079</v>
      </c>
      <c r="D711" s="57" t="n">
        <v>0.00284</v>
      </c>
    </row>
    <row r="712" customFormat="false" ht="15" hidden="false" customHeight="false" outlineLevel="0" collapsed="false">
      <c r="A712" s="52" t="n">
        <v>45252</v>
      </c>
      <c r="B712" s="57" t="n">
        <v>0.00052</v>
      </c>
      <c r="C712" s="57" t="n">
        <v>0.00099</v>
      </c>
      <c r="D712" s="57" t="n">
        <v>0.00324</v>
      </c>
    </row>
    <row r="713" customFormat="false" ht="15" hidden="false" customHeight="false" outlineLevel="0" collapsed="false">
      <c r="A713" s="52" t="n">
        <v>45254</v>
      </c>
      <c r="B713" s="57" t="n">
        <v>0.00068</v>
      </c>
      <c r="C713" s="57" t="n">
        <v>0.00122</v>
      </c>
      <c r="D713" s="57" t="n">
        <v>0.00367</v>
      </c>
    </row>
    <row r="714" customFormat="false" ht="15" hidden="false" customHeight="false" outlineLevel="0" collapsed="false">
      <c r="A714" s="52" t="n">
        <v>45257</v>
      </c>
      <c r="B714" s="57" t="n">
        <v>0.00068</v>
      </c>
      <c r="C714" s="57" t="n">
        <v>0.00124</v>
      </c>
      <c r="D714" s="57" t="n">
        <v>0.00361</v>
      </c>
    </row>
    <row r="715" customFormat="false" ht="15" hidden="false" customHeight="false" outlineLevel="0" collapsed="false">
      <c r="A715" s="52" t="n">
        <v>45258</v>
      </c>
      <c r="B715" s="57" t="n">
        <v>0.00065</v>
      </c>
      <c r="C715" s="57" t="n">
        <v>0.00117</v>
      </c>
      <c r="D715" s="57" t="n">
        <v>0.00338</v>
      </c>
    </row>
    <row r="716" customFormat="false" ht="15" hidden="false" customHeight="false" outlineLevel="0" collapsed="false">
      <c r="A716" s="52" t="n">
        <v>45259</v>
      </c>
      <c r="B716" s="57" t="n">
        <v>0.00048</v>
      </c>
      <c r="C716" s="57" t="n">
        <v>0.00083</v>
      </c>
      <c r="D716" s="57" t="n">
        <v>0.00276</v>
      </c>
    </row>
    <row r="717" customFormat="false" ht="15" hidden="false" customHeight="false" outlineLevel="0" collapsed="false">
      <c r="A717" s="52" t="n">
        <v>45260</v>
      </c>
      <c r="B717" s="57" t="n">
        <v>0.00049</v>
      </c>
      <c r="C717" s="57" t="n">
        <v>0.00081</v>
      </c>
      <c r="D717" s="57" t="n">
        <v>0.00271</v>
      </c>
    </row>
    <row r="718" customFormat="false" ht="15" hidden="false" customHeight="false" outlineLevel="0" collapsed="false">
      <c r="A718" s="52" t="n">
        <v>45261</v>
      </c>
      <c r="B718" s="57" t="n">
        <v>0.0004</v>
      </c>
      <c r="C718" s="57" t="n">
        <v>0.00075</v>
      </c>
      <c r="D718" s="57" t="n">
        <v>0.00281</v>
      </c>
    </row>
    <row r="719" customFormat="false" ht="15" hidden="false" customHeight="false" outlineLevel="0" collapsed="false">
      <c r="A719" s="52" t="n">
        <v>45264</v>
      </c>
      <c r="B719" s="57" t="n">
        <v>0.00031</v>
      </c>
      <c r="C719" s="57" t="n">
        <v>0.00063</v>
      </c>
      <c r="D719" s="57" t="n">
        <v>0.00271</v>
      </c>
    </row>
    <row r="720" customFormat="false" ht="15" hidden="false" customHeight="false" outlineLevel="0" collapsed="false">
      <c r="A720" s="52" t="n">
        <v>45265</v>
      </c>
      <c r="B720" s="57" t="n">
        <v>0.00036</v>
      </c>
      <c r="C720" s="57" t="n">
        <v>0.00058</v>
      </c>
      <c r="D720" s="57" t="n">
        <v>0.00271</v>
      </c>
    </row>
    <row r="721" customFormat="false" ht="15" hidden="false" customHeight="false" outlineLevel="0" collapsed="false">
      <c r="A721" s="52" t="n">
        <v>45266</v>
      </c>
      <c r="B721" s="57" t="n">
        <v>0.00036</v>
      </c>
      <c r="C721" s="57" t="n">
        <v>0.00055</v>
      </c>
      <c r="D721" s="57" t="n">
        <v>0.0026</v>
      </c>
    </row>
    <row r="722" customFormat="false" ht="15" hidden="false" customHeight="false" outlineLevel="0" collapsed="false">
      <c r="A722" s="52" t="n">
        <v>45267</v>
      </c>
      <c r="B722" s="57" t="n">
        <v>0.00087</v>
      </c>
      <c r="C722" s="57" t="n">
        <v>0.00121</v>
      </c>
      <c r="D722" s="57" t="n">
        <v>0.00356</v>
      </c>
    </row>
    <row r="723" customFormat="false" ht="15" hidden="false" customHeight="false" outlineLevel="0" collapsed="false">
      <c r="A723" s="52" t="n">
        <v>45268</v>
      </c>
      <c r="B723" s="57" t="n">
        <v>0.00092</v>
      </c>
      <c r="C723" s="57" t="n">
        <v>0.00134</v>
      </c>
      <c r="D723" s="57" t="n">
        <v>0.00372</v>
      </c>
    </row>
    <row r="724" customFormat="false" ht="15" hidden="false" customHeight="false" outlineLevel="0" collapsed="false">
      <c r="A724" s="52" t="n">
        <v>45271</v>
      </c>
      <c r="B724" s="57" t="n">
        <v>0.00088</v>
      </c>
      <c r="C724" s="57" t="n">
        <v>0.00129</v>
      </c>
      <c r="D724" s="57" t="n">
        <v>0.00373</v>
      </c>
    </row>
    <row r="725" customFormat="false" ht="15" hidden="false" customHeight="false" outlineLevel="0" collapsed="false">
      <c r="A725" s="52" t="n">
        <v>45272</v>
      </c>
      <c r="B725" s="57" t="n">
        <v>0.00067</v>
      </c>
      <c r="C725" s="57" t="n">
        <v>0.00099</v>
      </c>
      <c r="D725" s="57" t="n">
        <v>0.0033</v>
      </c>
    </row>
    <row r="726" customFormat="false" ht="15" hidden="false" customHeight="false" outlineLevel="0" collapsed="false">
      <c r="A726" s="52" t="n">
        <v>45273</v>
      </c>
      <c r="B726" s="57" t="n">
        <v>0.00048</v>
      </c>
      <c r="C726" s="57" t="n">
        <v>0.00073</v>
      </c>
      <c r="D726" s="57" t="n">
        <v>0.00284</v>
      </c>
    </row>
    <row r="727" customFormat="false" ht="15" hidden="false" customHeight="false" outlineLevel="0" collapsed="false">
      <c r="A727" s="52" t="n">
        <v>45274</v>
      </c>
      <c r="B727" s="57" t="n">
        <v>0.00057</v>
      </c>
      <c r="C727" s="57" t="n">
        <v>0.0009</v>
      </c>
      <c r="D727" s="57" t="n">
        <v>0.00293</v>
      </c>
    </row>
    <row r="728" customFormat="false" ht="15" hidden="false" customHeight="false" outlineLevel="0" collapsed="false">
      <c r="A728" s="52" t="n">
        <v>45275</v>
      </c>
      <c r="B728" s="57" t="n">
        <v>0.00087</v>
      </c>
      <c r="C728" s="57" t="n">
        <v>0.0012</v>
      </c>
      <c r="D728" s="57" t="n">
        <v>0.00327</v>
      </c>
    </row>
    <row r="729" customFormat="false" ht="15" hidden="false" customHeight="false" outlineLevel="0" collapsed="false">
      <c r="A729" s="52" t="n">
        <v>45278</v>
      </c>
      <c r="B729" s="57" t="n">
        <v>0.00079</v>
      </c>
      <c r="C729" s="57" t="n">
        <v>0.00105</v>
      </c>
      <c r="D729" s="57" t="n">
        <v>0.00297</v>
      </c>
    </row>
    <row r="730" customFormat="false" ht="15" hidden="false" customHeight="false" outlineLevel="0" collapsed="false">
      <c r="A730" s="52" t="n">
        <v>45279</v>
      </c>
      <c r="B730" s="57" t="n">
        <v>0.00068</v>
      </c>
      <c r="C730" s="57" t="n">
        <v>0.00095</v>
      </c>
      <c r="D730" s="57" t="n">
        <v>0.00283</v>
      </c>
    </row>
    <row r="731" customFormat="false" ht="15" hidden="false" customHeight="false" outlineLevel="0" collapsed="false">
      <c r="A731" s="52" t="n">
        <v>45280</v>
      </c>
      <c r="B731" s="57" t="n">
        <v>0.00033</v>
      </c>
      <c r="C731" s="57" t="n">
        <v>0.00055</v>
      </c>
      <c r="D731" s="57" t="n">
        <v>0.00214</v>
      </c>
    </row>
    <row r="732" customFormat="false" ht="15" hidden="false" customHeight="false" outlineLevel="0" collapsed="false">
      <c r="A732" s="52" t="n">
        <v>45281</v>
      </c>
      <c r="B732" s="57" t="n">
        <v>0.00037</v>
      </c>
      <c r="C732" s="57" t="n">
        <v>0.00062</v>
      </c>
      <c r="D732" s="57" t="n">
        <v>0.00241</v>
      </c>
    </row>
    <row r="733" customFormat="false" ht="15" hidden="false" customHeight="false" outlineLevel="0" collapsed="false">
      <c r="A733" s="52" t="n">
        <v>45282</v>
      </c>
      <c r="B733" s="57" t="n">
        <v>0.00046</v>
      </c>
      <c r="C733" s="57" t="n">
        <v>0.00076</v>
      </c>
      <c r="D733" s="57" t="n">
        <v>0.00268</v>
      </c>
    </row>
    <row r="734" customFormat="false" ht="15" hidden="false" customHeight="false" outlineLevel="0" collapsed="false">
      <c r="A734" s="52" t="n">
        <v>45285</v>
      </c>
      <c r="B734" s="57" t="n">
        <v>0.00038</v>
      </c>
      <c r="C734" s="57" t="n">
        <v>0.00066</v>
      </c>
      <c r="D734" s="57" t="n">
        <v>0.00252</v>
      </c>
    </row>
    <row r="735" customFormat="false" ht="15" hidden="false" customHeight="false" outlineLevel="0" collapsed="false">
      <c r="A735" s="52" t="n">
        <v>45286</v>
      </c>
      <c r="B735" s="57" t="n">
        <v>0.00065</v>
      </c>
      <c r="C735" s="57" t="n">
        <v>0.00076</v>
      </c>
      <c r="D735" s="57" t="n">
        <v>0.00262</v>
      </c>
    </row>
    <row r="736" customFormat="false" ht="15" hidden="false" customHeight="false" outlineLevel="0" collapsed="false">
      <c r="A736" s="52" t="n">
        <v>45287</v>
      </c>
      <c r="B736" s="57" t="n">
        <v>0.0005</v>
      </c>
      <c r="C736" s="57" t="n">
        <v>0.00056</v>
      </c>
      <c r="D736" s="57" t="n">
        <v>0.00226</v>
      </c>
    </row>
    <row r="737" customFormat="false" ht="15" hidden="false" customHeight="false" outlineLevel="0" collapsed="false">
      <c r="A737" s="52" t="n">
        <v>45288</v>
      </c>
      <c r="B737" s="57" t="n">
        <v>0.00037</v>
      </c>
      <c r="C737" s="57" t="n">
        <v>0.00045</v>
      </c>
      <c r="D737" s="57" t="n">
        <v>0.00208</v>
      </c>
    </row>
    <row r="738" customFormat="false" ht="15" hidden="false" customHeight="false" outlineLevel="0" collapsed="false">
      <c r="A738" s="52" t="n">
        <v>45289</v>
      </c>
      <c r="B738" s="57" t="n">
        <v>0.00048</v>
      </c>
      <c r="C738" s="57" t="n">
        <v>0.00056</v>
      </c>
      <c r="D738" s="57" t="n">
        <v>0.00233</v>
      </c>
    </row>
    <row r="739" customFormat="false" ht="15" hidden="false" customHeight="false" outlineLevel="0" collapsed="false">
      <c r="A739" s="52" t="n">
        <v>45295</v>
      </c>
      <c r="B739" s="57" t="n">
        <v>0.0005</v>
      </c>
      <c r="C739" s="57" t="n">
        <v>0.00057</v>
      </c>
      <c r="D739" s="57" t="n">
        <v>0.0023</v>
      </c>
    </row>
    <row r="740" customFormat="false" ht="15" hidden="false" customHeight="false" outlineLevel="0" collapsed="false">
      <c r="A740" s="52" t="n">
        <v>45296</v>
      </c>
      <c r="B740" s="57" t="n">
        <v>0.00035</v>
      </c>
      <c r="C740" s="57" t="n">
        <v>0.00044</v>
      </c>
      <c r="D740" s="57" t="n">
        <v>0.00217</v>
      </c>
    </row>
    <row r="741" customFormat="false" ht="15" hidden="false" customHeight="false" outlineLevel="0" collapsed="false">
      <c r="A741" s="52" t="n">
        <v>45300</v>
      </c>
      <c r="B741" s="57" t="n">
        <v>0.00025</v>
      </c>
      <c r="C741" s="57" t="n">
        <v>0.00033</v>
      </c>
      <c r="D741" s="57" t="n">
        <v>0.00207</v>
      </c>
    </row>
    <row r="742" customFormat="false" ht="15" hidden="false" customHeight="false" outlineLevel="0" collapsed="false">
      <c r="A742" s="52" t="n">
        <v>45301</v>
      </c>
      <c r="B742" s="57" t="n">
        <v>0.00025</v>
      </c>
      <c r="C742" s="57" t="n">
        <v>0.00033</v>
      </c>
      <c r="D742" s="57" t="n">
        <v>0.00214</v>
      </c>
    </row>
    <row r="743" customFormat="false" ht="15" hidden="false" customHeight="false" outlineLevel="0" collapsed="false">
      <c r="A743" s="52" t="n">
        <v>45302</v>
      </c>
      <c r="B743" s="57" t="n">
        <v>0.00015</v>
      </c>
      <c r="C743" s="57" t="n">
        <v>0.00018</v>
      </c>
      <c r="D743" s="57" t="n">
        <v>0.00202</v>
      </c>
    </row>
    <row r="744" customFormat="false" ht="15" hidden="false" customHeight="false" outlineLevel="0" collapsed="false">
      <c r="A744" s="52" t="n">
        <v>45303</v>
      </c>
      <c r="B744" s="57" t="n">
        <v>5E-005</v>
      </c>
      <c r="C744" s="57" t="n">
        <v>0.00014</v>
      </c>
      <c r="D744" s="57" t="n">
        <v>0.00196</v>
      </c>
    </row>
    <row r="745" customFormat="false" ht="15" hidden="false" customHeight="false" outlineLevel="0" collapsed="false">
      <c r="A745" s="52" t="n">
        <v>45306</v>
      </c>
      <c r="B745" s="57" t="n">
        <v>-1E-005</v>
      </c>
      <c r="C745" s="57" t="n">
        <v>7E-005</v>
      </c>
      <c r="D745" s="57" t="n">
        <v>0.00175</v>
      </c>
    </row>
    <row r="746" customFormat="false" ht="15" hidden="false" customHeight="false" outlineLevel="0" collapsed="false">
      <c r="A746" s="52" t="n">
        <v>45307</v>
      </c>
      <c r="B746" s="57" t="n">
        <v>0.0002</v>
      </c>
      <c r="C746" s="57" t="n">
        <v>0.00024</v>
      </c>
      <c r="D746" s="57" t="n">
        <v>0.00203</v>
      </c>
    </row>
    <row r="747" customFormat="false" ht="15" hidden="false" customHeight="false" outlineLevel="0" collapsed="false">
      <c r="A747" s="52" t="n">
        <v>45308</v>
      </c>
      <c r="B747" s="57" t="n">
        <v>0.00025</v>
      </c>
      <c r="C747" s="57" t="n">
        <v>0.00024</v>
      </c>
      <c r="D747" s="57" t="n">
        <v>0.0021</v>
      </c>
    </row>
    <row r="748" customFormat="false" ht="15" hidden="false" customHeight="false" outlineLevel="0" collapsed="false">
      <c r="A748" s="52" t="n">
        <v>45309</v>
      </c>
      <c r="B748" s="57" t="n">
        <v>0.00036</v>
      </c>
      <c r="C748" s="57" t="n">
        <v>0.00035</v>
      </c>
      <c r="D748" s="57" t="n">
        <v>0.00249</v>
      </c>
    </row>
    <row r="749" customFormat="false" ht="15" hidden="false" customHeight="false" outlineLevel="0" collapsed="false">
      <c r="A749" s="52" t="n">
        <v>45310</v>
      </c>
      <c r="B749" s="57" t="n">
        <v>0.00031</v>
      </c>
      <c r="C749" s="57" t="n">
        <v>0.00035</v>
      </c>
      <c r="D749" s="57" t="n">
        <v>0.00256</v>
      </c>
    </row>
    <row r="750" customFormat="false" ht="15" hidden="false" customHeight="false" outlineLevel="0" collapsed="false">
      <c r="A750" s="52" t="n">
        <v>45313</v>
      </c>
      <c r="B750" s="57" t="n">
        <v>0.00025</v>
      </c>
      <c r="C750" s="57" t="n">
        <v>0.00029</v>
      </c>
      <c r="D750" s="57" t="n">
        <v>0.00245</v>
      </c>
    </row>
    <row r="751" customFormat="false" ht="15" hidden="false" customHeight="false" outlineLevel="0" collapsed="false">
      <c r="A751" s="52" t="n">
        <v>45314</v>
      </c>
      <c r="B751" s="57" t="n">
        <v>0.00025</v>
      </c>
      <c r="C751" s="57" t="n">
        <v>0.00029</v>
      </c>
      <c r="D751" s="57" t="n">
        <v>0.00239</v>
      </c>
    </row>
    <row r="752" customFormat="false" ht="15" hidden="false" customHeight="false" outlineLevel="0" collapsed="false">
      <c r="A752" s="52" t="n">
        <v>45315</v>
      </c>
      <c r="B752" s="57" t="n">
        <v>0.0007</v>
      </c>
      <c r="C752" s="57" t="n">
        <v>0.00077</v>
      </c>
      <c r="D752" s="57" t="n">
        <v>0.00316</v>
      </c>
    </row>
    <row r="753" customFormat="false" ht="15" hidden="false" customHeight="false" outlineLevel="0" collapsed="false">
      <c r="A753" s="52" t="n">
        <v>45316</v>
      </c>
      <c r="B753" s="57" t="n">
        <v>0.00067</v>
      </c>
      <c r="C753" s="57" t="n">
        <v>0.00083</v>
      </c>
      <c r="D753" s="57" t="n">
        <v>0.00332</v>
      </c>
    </row>
    <row r="754" customFormat="false" ht="15" hidden="false" customHeight="false" outlineLevel="0" collapsed="false">
      <c r="A754" s="52" t="n">
        <v>45317</v>
      </c>
      <c r="B754" s="57" t="n">
        <v>0.00052</v>
      </c>
      <c r="C754" s="57" t="n">
        <v>0.00068</v>
      </c>
      <c r="D754" s="57" t="n">
        <v>0.003</v>
      </c>
    </row>
    <row r="755" customFormat="false" ht="15" hidden="false" customHeight="false" outlineLevel="0" collapsed="false">
      <c r="A755" s="52" t="n">
        <v>45320</v>
      </c>
      <c r="B755" s="57" t="n">
        <v>0.00063</v>
      </c>
      <c r="C755" s="57" t="n">
        <v>0.00077</v>
      </c>
      <c r="D755" s="57" t="n">
        <v>0.00308</v>
      </c>
    </row>
    <row r="756" customFormat="false" ht="15" hidden="false" customHeight="false" outlineLevel="0" collapsed="false">
      <c r="A756" s="52" t="n">
        <v>45321</v>
      </c>
      <c r="B756" s="57" t="n">
        <v>0.00074</v>
      </c>
      <c r="C756" s="57" t="n">
        <v>0.00071</v>
      </c>
      <c r="D756" s="57" t="n">
        <v>0.00291</v>
      </c>
    </row>
    <row r="757" customFormat="false" ht="15" hidden="false" customHeight="false" outlineLevel="0" collapsed="false">
      <c r="A757" s="52" t="n">
        <v>45322</v>
      </c>
      <c r="B757" s="57" t="n">
        <v>0.00094</v>
      </c>
      <c r="C757" s="57" t="n">
        <v>0.00089</v>
      </c>
      <c r="D757" s="57" t="n">
        <v>0.00312</v>
      </c>
    </row>
    <row r="758" customFormat="false" ht="15" hidden="false" customHeight="false" outlineLevel="0" collapsed="false">
      <c r="A758" s="52" t="n">
        <v>45323</v>
      </c>
      <c r="B758" s="57" t="n">
        <v>0.00085</v>
      </c>
      <c r="C758" s="57" t="n">
        <v>0.00073</v>
      </c>
      <c r="D758" s="57" t="n">
        <v>0.00286</v>
      </c>
    </row>
    <row r="759" customFormat="false" ht="15" hidden="false" customHeight="false" outlineLevel="0" collapsed="false">
      <c r="A759" s="52" t="n">
        <v>45324</v>
      </c>
      <c r="B759" s="57" t="n">
        <v>0.001</v>
      </c>
      <c r="C759" s="57" t="n">
        <v>0.00084</v>
      </c>
      <c r="D759" s="57" t="n">
        <v>0.00282</v>
      </c>
    </row>
    <row r="760" customFormat="false" ht="15" hidden="false" customHeight="false" outlineLevel="0" collapsed="false">
      <c r="A760" s="52" t="n">
        <v>45327</v>
      </c>
      <c r="B760" s="57" t="n">
        <v>0.00111</v>
      </c>
      <c r="C760" s="57" t="n">
        <v>0.00108</v>
      </c>
      <c r="D760" s="57" t="n">
        <v>0.00323</v>
      </c>
    </row>
    <row r="761" customFormat="false" ht="15" hidden="false" customHeight="false" outlineLevel="0" collapsed="false">
      <c r="A761" s="52" t="n">
        <v>45328</v>
      </c>
      <c r="B761" s="57" t="n">
        <v>0.00106</v>
      </c>
      <c r="C761" s="57" t="n">
        <v>0.00102</v>
      </c>
      <c r="D761" s="57" t="n">
        <v>0.00317</v>
      </c>
    </row>
    <row r="762" customFormat="false" ht="15" hidden="false" customHeight="false" outlineLevel="0" collapsed="false">
      <c r="A762" s="52" t="n">
        <v>45329</v>
      </c>
      <c r="B762" s="57" t="n">
        <v>0.00101</v>
      </c>
      <c r="C762" s="57" t="n">
        <v>0.00104</v>
      </c>
      <c r="D762" s="57" t="n">
        <v>0.00317</v>
      </c>
    </row>
    <row r="763" customFormat="false" ht="15" hidden="false" customHeight="false" outlineLevel="0" collapsed="false">
      <c r="A763" s="52" t="n">
        <v>45330</v>
      </c>
      <c r="B763" s="57" t="n">
        <v>0.00101</v>
      </c>
      <c r="C763" s="57" t="n">
        <v>0.00099</v>
      </c>
      <c r="D763" s="57" t="n">
        <v>0.00307</v>
      </c>
    </row>
    <row r="764" customFormat="false" ht="15" hidden="false" customHeight="false" outlineLevel="0" collapsed="false">
      <c r="A764" s="52" t="n">
        <v>45331</v>
      </c>
      <c r="B764" s="57" t="n">
        <v>0.00116</v>
      </c>
      <c r="C764" s="57" t="n">
        <v>0.00118</v>
      </c>
      <c r="D764" s="57" t="n">
        <v>0.00332</v>
      </c>
    </row>
    <row r="765" customFormat="false" ht="15" hidden="false" customHeight="false" outlineLevel="0" collapsed="false">
      <c r="A765" s="52" t="n">
        <v>45335</v>
      </c>
      <c r="B765" s="57" t="n">
        <v>0.00128</v>
      </c>
      <c r="C765" s="57" t="n">
        <v>0.00129</v>
      </c>
      <c r="D765" s="57" t="n">
        <v>0.00343</v>
      </c>
    </row>
    <row r="766" customFormat="false" ht="15" hidden="false" customHeight="false" outlineLevel="0" collapsed="false">
      <c r="A766" s="52" t="n">
        <v>45336</v>
      </c>
      <c r="B766" s="57" t="n">
        <v>0.00143</v>
      </c>
      <c r="C766" s="57" t="n">
        <v>0.00144</v>
      </c>
      <c r="D766" s="57" t="n">
        <v>0.00369</v>
      </c>
    </row>
    <row r="767" customFormat="false" ht="15" hidden="false" customHeight="false" outlineLevel="0" collapsed="false">
      <c r="A767" s="52" t="n">
        <v>45337</v>
      </c>
      <c r="B767" s="57" t="n">
        <v>0.00137</v>
      </c>
      <c r="C767" s="57" t="n">
        <v>0.00127</v>
      </c>
      <c r="D767" s="57" t="n">
        <v>0.0034</v>
      </c>
    </row>
    <row r="768" customFormat="false" ht="15" hidden="false" customHeight="false" outlineLevel="0" collapsed="false">
      <c r="A768" s="52" t="n">
        <v>45338</v>
      </c>
      <c r="B768" s="57" t="n">
        <v>0.00143</v>
      </c>
      <c r="C768" s="57" t="n">
        <v>0.00139</v>
      </c>
      <c r="D768" s="57" t="n">
        <v>0.00354</v>
      </c>
    </row>
    <row r="769" customFormat="false" ht="15" hidden="false" customHeight="false" outlineLevel="0" collapsed="false">
      <c r="A769" s="52" t="n">
        <v>45341</v>
      </c>
      <c r="B769" s="57" t="n">
        <v>0.0015</v>
      </c>
      <c r="C769" s="57" t="n">
        <v>0.00145</v>
      </c>
      <c r="D769" s="57" t="n">
        <v>0.00359</v>
      </c>
    </row>
    <row r="770" customFormat="false" ht="15" hidden="false" customHeight="false" outlineLevel="0" collapsed="false">
      <c r="A770" s="52" t="n">
        <v>45342</v>
      </c>
      <c r="B770" s="57" t="n">
        <v>0.00151</v>
      </c>
      <c r="C770" s="57" t="n">
        <v>0.00147</v>
      </c>
      <c r="D770" s="57" t="n">
        <v>0.00366</v>
      </c>
    </row>
    <row r="771" customFormat="false" ht="15" hidden="false" customHeight="false" outlineLevel="0" collapsed="false">
      <c r="A771" s="52" t="n">
        <v>45343</v>
      </c>
      <c r="B771" s="57" t="n">
        <v>0.00155</v>
      </c>
      <c r="C771" s="57" t="n">
        <v>0.00154</v>
      </c>
      <c r="D771" s="57" t="n">
        <v>0.00367</v>
      </c>
    </row>
    <row r="772" customFormat="false" ht="15" hidden="false" customHeight="false" outlineLevel="0" collapsed="false">
      <c r="A772" s="52" t="n">
        <v>45344</v>
      </c>
      <c r="B772" s="57" t="n">
        <v>0.00158</v>
      </c>
      <c r="C772" s="57" t="n">
        <v>0.00168</v>
      </c>
      <c r="D772" s="57" t="n">
        <v>0.00366</v>
      </c>
    </row>
    <row r="773" customFormat="false" ht="15" hidden="false" customHeight="false" outlineLevel="0" collapsed="false">
      <c r="A773" s="52" t="n">
        <v>45348</v>
      </c>
      <c r="B773" s="57" t="n">
        <v>0.00159</v>
      </c>
      <c r="C773" s="57" t="n">
        <v>0.00164</v>
      </c>
      <c r="D773" s="57" t="n">
        <v>0.00349</v>
      </c>
    </row>
    <row r="774" customFormat="false" ht="15" hidden="false" customHeight="false" outlineLevel="0" collapsed="false">
      <c r="A774" s="52" t="n">
        <v>45349</v>
      </c>
      <c r="B774" s="57" t="n">
        <v>0.00173</v>
      </c>
      <c r="C774" s="57" t="n">
        <v>0.0018</v>
      </c>
      <c r="D774" s="57" t="n">
        <v>0.00355</v>
      </c>
    </row>
    <row r="775" customFormat="false" ht="15" hidden="false" customHeight="false" outlineLevel="0" collapsed="false">
      <c r="A775" s="52" t="n">
        <v>45350</v>
      </c>
      <c r="B775" s="57" t="n">
        <v>0.00166</v>
      </c>
      <c r="C775" s="57" t="n">
        <v>0.0018</v>
      </c>
      <c r="D775" s="57" t="n">
        <v>0.00354</v>
      </c>
    </row>
    <row r="776" customFormat="false" ht="15" hidden="false" customHeight="false" outlineLevel="0" collapsed="false">
      <c r="A776" s="52" t="n">
        <v>45351</v>
      </c>
      <c r="B776" s="57" t="n">
        <v>0.0019</v>
      </c>
      <c r="C776" s="57" t="n">
        <v>0.00193</v>
      </c>
      <c r="D776" s="57" t="n">
        <v>0.00372</v>
      </c>
    </row>
    <row r="777" customFormat="false" ht="15" hidden="false" customHeight="false" outlineLevel="0" collapsed="false">
      <c r="A777" s="52" t="n">
        <v>45352</v>
      </c>
      <c r="B777" s="57" t="n">
        <v>0.0018</v>
      </c>
      <c r="C777" s="57" t="n">
        <v>0.0019</v>
      </c>
      <c r="D777" s="57" t="n">
        <v>0.00377</v>
      </c>
    </row>
    <row r="778" customFormat="false" ht="15" hidden="false" customHeight="false" outlineLevel="0" collapsed="false">
      <c r="A778" s="52" t="n">
        <v>45355</v>
      </c>
      <c r="B778" s="57" t="n">
        <v>0.00176</v>
      </c>
      <c r="C778" s="57" t="n">
        <v>0.00184</v>
      </c>
      <c r="D778" s="57" t="n">
        <v>0.00371</v>
      </c>
    </row>
    <row r="779" customFormat="false" ht="15" hidden="false" customHeight="false" outlineLevel="0" collapsed="false">
      <c r="A779" s="52" t="n">
        <v>45356</v>
      </c>
      <c r="B779" s="57" t="n">
        <v>0.00175</v>
      </c>
      <c r="C779" s="57" t="n">
        <v>0.00184</v>
      </c>
      <c r="D779" s="57" t="n">
        <v>0.00361</v>
      </c>
    </row>
    <row r="780" customFormat="false" ht="15" hidden="false" customHeight="false" outlineLevel="0" collapsed="false">
      <c r="A780" s="52" t="n">
        <v>45357</v>
      </c>
      <c r="B780" s="57" t="n">
        <v>0.00186</v>
      </c>
      <c r="C780" s="57" t="n">
        <v>0.00194</v>
      </c>
      <c r="D780" s="57" t="n">
        <v>0.00376</v>
      </c>
    </row>
    <row r="781" customFormat="false" ht="15" hidden="false" customHeight="false" outlineLevel="0" collapsed="false">
      <c r="A781" s="52" t="n">
        <v>45358</v>
      </c>
      <c r="B781" s="57" t="n">
        <v>0.00191</v>
      </c>
      <c r="C781" s="57" t="n">
        <v>0.00204</v>
      </c>
      <c r="D781" s="57" t="n">
        <v>0.00388</v>
      </c>
    </row>
    <row r="782" customFormat="false" ht="15" hidden="false" customHeight="false" outlineLevel="0" collapsed="false">
      <c r="A782" s="52" t="n">
        <v>45359</v>
      </c>
      <c r="B782" s="57" t="n">
        <v>0.00202</v>
      </c>
      <c r="C782" s="57" t="n">
        <v>0.00211</v>
      </c>
      <c r="D782" s="57" t="n">
        <v>0.00388</v>
      </c>
    </row>
    <row r="783" customFormat="false" ht="15" hidden="false" customHeight="false" outlineLevel="0" collapsed="false">
      <c r="A783" s="52" t="n">
        <v>45362</v>
      </c>
      <c r="B783" s="57" t="n">
        <v>0.00202</v>
      </c>
      <c r="C783" s="57" t="n">
        <v>0.00211</v>
      </c>
      <c r="D783" s="57" t="n">
        <v>0.00386</v>
      </c>
    </row>
    <row r="784" customFormat="false" ht="15" hidden="false" customHeight="false" outlineLevel="0" collapsed="false">
      <c r="A784" s="52" t="n">
        <v>45363</v>
      </c>
      <c r="B784" s="57" t="n">
        <v>0.00197</v>
      </c>
      <c r="C784" s="57" t="n">
        <v>0.00209</v>
      </c>
      <c r="D784" s="57" t="n">
        <v>0.00385</v>
      </c>
    </row>
    <row r="785" customFormat="false" ht="15" hidden="false" customHeight="false" outlineLevel="0" collapsed="false">
      <c r="A785" s="52" t="n">
        <v>45364</v>
      </c>
      <c r="B785" s="57" t="n">
        <v>0.00197</v>
      </c>
      <c r="C785" s="57" t="n">
        <v>0.00206</v>
      </c>
      <c r="D785" s="57" t="n">
        <v>0.0038</v>
      </c>
    </row>
    <row r="786" customFormat="false" ht="15" hidden="false" customHeight="false" outlineLevel="0" collapsed="false">
      <c r="A786" s="52" t="n">
        <v>45365</v>
      </c>
      <c r="B786" s="57" t="n">
        <v>0.00198</v>
      </c>
      <c r="C786" s="57" t="n">
        <v>0.00206</v>
      </c>
      <c r="D786" s="57" t="n">
        <v>0.00384</v>
      </c>
    </row>
    <row r="787" customFormat="false" ht="15" hidden="false" customHeight="false" outlineLevel="0" collapsed="false">
      <c r="A787" s="52" t="n">
        <v>45366</v>
      </c>
      <c r="B787" s="57" t="n">
        <v>0.00193</v>
      </c>
      <c r="C787" s="57" t="n">
        <v>0.00206</v>
      </c>
      <c r="D787" s="57" t="n">
        <v>0.00393</v>
      </c>
    </row>
    <row r="788" customFormat="false" ht="15" hidden="false" customHeight="false" outlineLevel="0" collapsed="false">
      <c r="A788" s="52" t="n">
        <v>45369</v>
      </c>
      <c r="B788" s="57" t="n">
        <v>0.00188</v>
      </c>
      <c r="C788" s="57" t="n">
        <v>0.002</v>
      </c>
      <c r="D788" s="57" t="n">
        <v>0.00381</v>
      </c>
    </row>
    <row r="789" customFormat="false" ht="15" hidden="false" customHeight="false" outlineLevel="0" collapsed="false">
      <c r="A789" s="52" t="n">
        <v>45370</v>
      </c>
      <c r="B789" s="57" t="n">
        <v>0.00178</v>
      </c>
      <c r="C789" s="57" t="n">
        <v>0.0019</v>
      </c>
      <c r="D789" s="57" t="n">
        <v>0.00367</v>
      </c>
    </row>
    <row r="790" customFormat="false" ht="15" hidden="false" customHeight="false" outlineLevel="0" collapsed="false">
      <c r="A790" s="52" t="n">
        <v>45372</v>
      </c>
      <c r="B790" s="57" t="n">
        <v>0.00205</v>
      </c>
      <c r="C790" s="57" t="n">
        <v>0.00214</v>
      </c>
      <c r="D790" s="57" t="n">
        <v>0.00401</v>
      </c>
    </row>
    <row r="791" customFormat="false" ht="15" hidden="false" customHeight="false" outlineLevel="0" collapsed="false">
      <c r="A791" s="52" t="n">
        <v>45373</v>
      </c>
      <c r="B791" s="57" t="n">
        <v>0.00206</v>
      </c>
      <c r="C791" s="57" t="n">
        <v>0.00231</v>
      </c>
      <c r="D791" s="57" t="n">
        <v>0.0041</v>
      </c>
    </row>
    <row r="792" customFormat="false" ht="15" hidden="false" customHeight="false" outlineLevel="0" collapsed="false">
      <c r="A792" s="52" t="n">
        <v>45376</v>
      </c>
      <c r="B792" s="57" t="n">
        <v>0.00206</v>
      </c>
      <c r="C792" s="57" t="n">
        <v>0.00221</v>
      </c>
      <c r="D792" s="57" t="n">
        <v>0.00401</v>
      </c>
    </row>
    <row r="793" customFormat="false" ht="15" hidden="false" customHeight="false" outlineLevel="0" collapsed="false">
      <c r="A793" s="52" t="n">
        <v>45377</v>
      </c>
      <c r="B793" s="57" t="n">
        <v>0.00207</v>
      </c>
      <c r="C793" s="57" t="n">
        <v>0.00221</v>
      </c>
      <c r="D793" s="57" t="n">
        <v>0.00396</v>
      </c>
    </row>
    <row r="794" customFormat="false" ht="15" hidden="false" customHeight="false" outlineLevel="0" collapsed="false">
      <c r="A794" s="52" t="n">
        <v>45378</v>
      </c>
      <c r="B794" s="57" t="n">
        <v>0.00204</v>
      </c>
      <c r="C794" s="57" t="n">
        <v>0.00211</v>
      </c>
      <c r="D794" s="57" t="n">
        <v>0.00384</v>
      </c>
    </row>
    <row r="795" customFormat="false" ht="15" hidden="false" customHeight="false" outlineLevel="0" collapsed="false">
      <c r="A795" s="52" t="n">
        <v>45379</v>
      </c>
      <c r="B795" s="57" t="n">
        <v>0.00196</v>
      </c>
      <c r="C795" s="57" t="n">
        <v>0.00205</v>
      </c>
      <c r="D795" s="57" t="n">
        <v>0.00368</v>
      </c>
    </row>
    <row r="796" customFormat="false" ht="15" hidden="false" customHeight="false" outlineLevel="0" collapsed="false">
      <c r="A796" s="52" t="n">
        <v>45380</v>
      </c>
      <c r="B796" s="57" t="n">
        <v>0.00189</v>
      </c>
      <c r="C796" s="57" t="n">
        <v>0.00202</v>
      </c>
      <c r="D796" s="57" t="n">
        <v>0.00372</v>
      </c>
    </row>
    <row r="797" customFormat="false" ht="15" hidden="false" customHeight="false" outlineLevel="0" collapsed="false">
      <c r="A797" s="52" t="n">
        <v>45383</v>
      </c>
      <c r="B797" s="57" t="n">
        <v>0.00195</v>
      </c>
      <c r="C797" s="57" t="n">
        <v>0.00206</v>
      </c>
      <c r="D797" s="57" t="n">
        <v>0.00389</v>
      </c>
    </row>
    <row r="798" customFormat="false" ht="15" hidden="false" customHeight="false" outlineLevel="0" collapsed="false">
      <c r="A798" s="52" t="n">
        <v>45384</v>
      </c>
      <c r="B798" s="57" t="n">
        <v>0.002</v>
      </c>
      <c r="C798" s="57" t="n">
        <v>0.00206</v>
      </c>
      <c r="D798" s="57" t="n">
        <v>0.00395</v>
      </c>
    </row>
    <row r="799" customFormat="false" ht="15" hidden="false" customHeight="false" outlineLevel="0" collapsed="false">
      <c r="A799" s="52" t="n">
        <v>45385</v>
      </c>
      <c r="B799" s="57" t="n">
        <v>0.00191</v>
      </c>
      <c r="C799" s="57" t="n">
        <v>0.00196</v>
      </c>
      <c r="D799" s="57" t="n">
        <v>0.00386</v>
      </c>
    </row>
    <row r="800" customFormat="false" ht="15" hidden="false" customHeight="false" outlineLevel="0" collapsed="false">
      <c r="A800" s="52" t="n">
        <v>45386</v>
      </c>
      <c r="B800" s="57" t="n">
        <v>0.00196</v>
      </c>
      <c r="C800" s="57" t="n">
        <v>0.00197</v>
      </c>
      <c r="D800" s="57" t="n">
        <v>0.00399</v>
      </c>
    </row>
    <row r="801" customFormat="false" ht="15" hidden="false" customHeight="false" outlineLevel="0" collapsed="false">
      <c r="A801" s="52" t="n">
        <v>45387</v>
      </c>
      <c r="B801" s="57" t="n">
        <v>0.00211</v>
      </c>
      <c r="C801" s="57" t="n">
        <v>0.00217</v>
      </c>
      <c r="D801" s="57" t="n">
        <v>0.00404</v>
      </c>
    </row>
    <row r="802" customFormat="false" ht="15" hidden="false" customHeight="false" outlineLevel="0" collapsed="false">
      <c r="A802" s="52" t="n">
        <v>45390</v>
      </c>
      <c r="B802" s="57" t="n">
        <v>0.00228</v>
      </c>
      <c r="C802" s="57" t="n">
        <v>0.00231</v>
      </c>
      <c r="D802" s="57" t="n">
        <v>0.0041</v>
      </c>
    </row>
    <row r="803" customFormat="false" ht="15" hidden="false" customHeight="false" outlineLevel="0" collapsed="false">
      <c r="A803" s="52" t="n">
        <v>45391</v>
      </c>
      <c r="B803" s="57" t="n">
        <v>0.00223</v>
      </c>
      <c r="C803" s="57" t="n">
        <v>0.00228</v>
      </c>
      <c r="D803" s="57" t="n">
        <v>0.00414</v>
      </c>
    </row>
    <row r="804" customFormat="false" ht="15" hidden="false" customHeight="false" outlineLevel="0" collapsed="false">
      <c r="A804" s="52" t="n">
        <v>45392</v>
      </c>
      <c r="B804" s="57" t="n">
        <v>0.00233</v>
      </c>
      <c r="C804" s="57" t="n">
        <v>0.00239</v>
      </c>
      <c r="D804" s="57" t="n">
        <v>0.00431</v>
      </c>
    </row>
    <row r="805" customFormat="false" ht="15" hidden="false" customHeight="false" outlineLevel="0" collapsed="false">
      <c r="A805" s="52" t="n">
        <v>45393</v>
      </c>
      <c r="B805" s="57" t="n">
        <v>0.0027</v>
      </c>
      <c r="C805" s="57" t="n">
        <v>0.0028</v>
      </c>
      <c r="D805" s="57" t="n">
        <v>0.00485</v>
      </c>
    </row>
    <row r="806" customFormat="false" ht="15" hidden="false" customHeight="false" outlineLevel="0" collapsed="false">
      <c r="A806" s="52" t="n">
        <v>45394</v>
      </c>
      <c r="B806" s="57" t="n">
        <v>0.00281</v>
      </c>
      <c r="C806" s="57" t="n">
        <v>0.00288</v>
      </c>
      <c r="D806" s="57" t="n">
        <v>0.00496</v>
      </c>
    </row>
    <row r="807" customFormat="false" ht="15" hidden="false" customHeight="false" outlineLevel="0" collapsed="false">
      <c r="A807" s="52" t="n">
        <v>45397</v>
      </c>
      <c r="B807" s="57" t="n">
        <v>0.00275</v>
      </c>
      <c r="C807" s="57" t="n">
        <v>0.00285</v>
      </c>
      <c r="D807" s="57" t="n">
        <v>0.00486</v>
      </c>
    </row>
    <row r="808" customFormat="false" ht="15" hidden="false" customHeight="false" outlineLevel="0" collapsed="false">
      <c r="A808" s="52" t="n">
        <v>45398</v>
      </c>
      <c r="B808" s="57" t="n">
        <v>0.00281</v>
      </c>
      <c r="C808" s="57" t="n">
        <v>0.00296</v>
      </c>
      <c r="D808" s="57" t="n">
        <v>0.0049</v>
      </c>
    </row>
    <row r="809" customFormat="false" ht="15" hidden="false" customHeight="false" outlineLevel="0" collapsed="false">
      <c r="A809" s="52" t="n">
        <v>45399</v>
      </c>
      <c r="B809" s="57" t="n">
        <v>0.00288</v>
      </c>
      <c r="C809" s="57" t="n">
        <v>0.00303</v>
      </c>
      <c r="D809" s="57" t="n">
        <v>0.00496</v>
      </c>
    </row>
    <row r="810" customFormat="false" ht="15" hidden="false" customHeight="false" outlineLevel="0" collapsed="false">
      <c r="A810" s="52" t="n">
        <v>45400</v>
      </c>
      <c r="B810" s="57" t="n">
        <v>0.00278</v>
      </c>
      <c r="C810" s="57" t="n">
        <v>0.00296</v>
      </c>
      <c r="D810" s="57" t="n">
        <v>0.00476</v>
      </c>
    </row>
    <row r="811" customFormat="false" ht="15" hidden="false" customHeight="false" outlineLevel="0" collapsed="false">
      <c r="A811" s="52" t="n">
        <v>45401</v>
      </c>
      <c r="B811" s="57" t="n">
        <v>0.00263</v>
      </c>
      <c r="C811" s="57" t="n">
        <v>0.00286</v>
      </c>
      <c r="D811" s="57" t="n">
        <v>0.00457</v>
      </c>
    </row>
    <row r="812" customFormat="false" ht="15" hidden="false" customHeight="false" outlineLevel="0" collapsed="false">
      <c r="A812" s="52" t="n">
        <v>45404</v>
      </c>
      <c r="B812" s="57" t="n">
        <v>0.0029</v>
      </c>
      <c r="C812" s="57" t="n">
        <v>0.00312</v>
      </c>
      <c r="D812" s="57" t="n">
        <v>0.00497</v>
      </c>
    </row>
    <row r="813" customFormat="false" ht="15" hidden="false" customHeight="false" outlineLevel="0" collapsed="false">
      <c r="A813" s="52" t="n">
        <v>45405</v>
      </c>
      <c r="B813" s="57" t="n">
        <v>0.00297</v>
      </c>
      <c r="C813" s="57" t="n">
        <v>0.00315</v>
      </c>
      <c r="D813" s="57" t="n">
        <v>0.00499</v>
      </c>
    </row>
    <row r="814" customFormat="false" ht="15" hidden="false" customHeight="false" outlineLevel="0" collapsed="false">
      <c r="A814" s="52" t="n">
        <v>45406</v>
      </c>
      <c r="B814" s="57" t="n">
        <v>0.00298</v>
      </c>
      <c r="C814" s="57" t="n">
        <v>0.00314</v>
      </c>
      <c r="D814" s="57" t="n">
        <v>0.00499</v>
      </c>
    </row>
    <row r="815" customFormat="false" ht="15" hidden="false" customHeight="false" outlineLevel="0" collapsed="false">
      <c r="A815" s="52" t="n">
        <v>45407</v>
      </c>
      <c r="B815" s="57" t="n">
        <v>0.00298</v>
      </c>
      <c r="C815" s="57" t="n">
        <v>0.00315</v>
      </c>
      <c r="D815" s="57" t="n">
        <v>0.00503</v>
      </c>
    </row>
    <row r="816" customFormat="false" ht="15" hidden="false" customHeight="false" outlineLevel="0" collapsed="false">
      <c r="A816" s="52" t="n">
        <v>45408</v>
      </c>
      <c r="B816" s="57" t="n">
        <v>0.00298</v>
      </c>
      <c r="C816" s="57" t="n">
        <v>0.00319</v>
      </c>
      <c r="D816" s="57" t="n">
        <v>0.00514</v>
      </c>
    </row>
    <row r="817" customFormat="false" ht="15" hidden="false" customHeight="false" outlineLevel="0" collapsed="false">
      <c r="A817" s="52" t="n">
        <v>45412</v>
      </c>
      <c r="B817" s="57" t="n">
        <v>0.00275</v>
      </c>
      <c r="C817" s="57" t="n">
        <v>0.0031</v>
      </c>
      <c r="D817" s="57" t="n">
        <v>0.00478</v>
      </c>
    </row>
    <row r="818" customFormat="false" ht="15" hidden="false" customHeight="false" outlineLevel="0" collapsed="false">
      <c r="A818" s="52" t="n">
        <v>45413</v>
      </c>
      <c r="B818" s="57" t="n">
        <v>0.0029</v>
      </c>
      <c r="C818" s="57" t="n">
        <v>0.0032</v>
      </c>
      <c r="D818" s="57" t="n">
        <v>0.00493</v>
      </c>
    </row>
    <row r="819" customFormat="false" ht="15" hidden="false" customHeight="false" outlineLevel="0" collapsed="false">
      <c r="A819" s="52" t="n">
        <v>45414</v>
      </c>
      <c r="B819" s="57" t="n">
        <v>0.0029</v>
      </c>
      <c r="C819" s="57" t="n">
        <v>0.00321</v>
      </c>
      <c r="D819" s="57" t="n">
        <v>0.00494</v>
      </c>
    </row>
    <row r="820" customFormat="false" ht="15" hidden="false" customHeight="false" outlineLevel="0" collapsed="false">
      <c r="A820" s="52" t="n">
        <v>45419</v>
      </c>
      <c r="B820" s="57" t="n">
        <v>0.00282</v>
      </c>
      <c r="C820" s="57" t="n">
        <v>0.00313</v>
      </c>
      <c r="D820" s="57" t="n">
        <v>0.00479</v>
      </c>
    </row>
    <row r="821" customFormat="false" ht="15" hidden="false" customHeight="false" outlineLevel="0" collapsed="false">
      <c r="A821" s="52" t="n">
        <v>45420</v>
      </c>
      <c r="B821" s="57" t="n">
        <v>0.00288</v>
      </c>
      <c r="C821" s="57" t="n">
        <v>0.00317</v>
      </c>
      <c r="D821" s="57" t="n">
        <v>0.00489</v>
      </c>
    </row>
    <row r="822" customFormat="false" ht="15" hidden="false" customHeight="false" outlineLevel="0" collapsed="false">
      <c r="A822" s="52" t="n">
        <v>45421</v>
      </c>
      <c r="B822" s="57" t="n">
        <v>0.00313</v>
      </c>
      <c r="C822" s="57" t="n">
        <v>0.00348</v>
      </c>
      <c r="D822" s="57" t="n">
        <v>0.00523</v>
      </c>
    </row>
    <row r="823" customFormat="false" ht="15" hidden="false" customHeight="false" outlineLevel="0" collapsed="false">
      <c r="A823" s="52" t="n">
        <v>45422</v>
      </c>
      <c r="B823" s="57" t="n">
        <v>0.00319</v>
      </c>
      <c r="C823" s="57" t="n">
        <v>0.00356</v>
      </c>
      <c r="D823" s="57" t="n">
        <v>0.00526</v>
      </c>
    </row>
    <row r="824" customFormat="false" ht="15" hidden="false" customHeight="false" outlineLevel="0" collapsed="false">
      <c r="A824" s="52" t="n">
        <v>45425</v>
      </c>
      <c r="B824" s="57" t="n">
        <v>0.00335</v>
      </c>
      <c r="C824" s="57" t="n">
        <v>0.00373</v>
      </c>
      <c r="D824" s="57" t="n">
        <v>0.0055</v>
      </c>
    </row>
    <row r="825" customFormat="false" ht="15" hidden="false" customHeight="false" outlineLevel="0" collapsed="false">
      <c r="A825" s="52" t="n">
        <v>45426</v>
      </c>
      <c r="B825" s="57" t="n">
        <v>0.00346</v>
      </c>
      <c r="C825" s="57" t="n">
        <v>0.00394</v>
      </c>
      <c r="D825" s="57" t="n">
        <v>0.00571</v>
      </c>
    </row>
    <row r="826" customFormat="false" ht="15" hidden="false" customHeight="false" outlineLevel="0" collapsed="false">
      <c r="A826" s="52" t="n">
        <v>45427</v>
      </c>
      <c r="B826" s="57" t="n">
        <v>0.00341</v>
      </c>
      <c r="C826" s="57" t="n">
        <v>0.00392</v>
      </c>
      <c r="D826" s="57" t="n">
        <v>0.0056</v>
      </c>
    </row>
    <row r="827" customFormat="false" ht="15" hidden="false" customHeight="false" outlineLevel="0" collapsed="false">
      <c r="A827" s="52" t="n">
        <v>45428</v>
      </c>
      <c r="B827" s="57" t="n">
        <v>0.00326</v>
      </c>
      <c r="C827" s="57" t="n">
        <v>0.00377</v>
      </c>
      <c r="D827" s="57" t="n">
        <v>0.00539</v>
      </c>
    </row>
    <row r="828" customFormat="false" ht="15" hidden="false" customHeight="false" outlineLevel="0" collapsed="false">
      <c r="A828" s="52" t="n">
        <v>45429</v>
      </c>
      <c r="B828" s="57" t="n">
        <v>0.00337</v>
      </c>
      <c r="C828" s="57" t="n">
        <v>0.00389</v>
      </c>
      <c r="D828" s="57" t="n">
        <v>0.00555</v>
      </c>
    </row>
    <row r="829" customFormat="false" ht="15" hidden="false" customHeight="false" outlineLevel="0" collapsed="false">
      <c r="A829" s="52" t="n">
        <v>45432</v>
      </c>
      <c r="B829" s="57" t="n">
        <v>0.00349</v>
      </c>
      <c r="C829" s="57" t="n">
        <v>0.00404</v>
      </c>
      <c r="D829" s="57" t="n">
        <v>0.00585</v>
      </c>
    </row>
    <row r="830" customFormat="false" ht="15" hidden="false" customHeight="false" outlineLevel="0" collapsed="false">
      <c r="A830" s="52" t="n">
        <v>45433</v>
      </c>
      <c r="B830" s="57" t="n">
        <v>0.00349</v>
      </c>
      <c r="C830" s="57" t="n">
        <v>0.00405</v>
      </c>
      <c r="D830" s="57" t="n">
        <v>0.00585</v>
      </c>
    </row>
    <row r="831" customFormat="false" ht="15" hidden="false" customHeight="false" outlineLevel="0" collapsed="false">
      <c r="A831" s="52" t="n">
        <v>45434</v>
      </c>
      <c r="B831" s="57" t="n">
        <v>0.00356</v>
      </c>
      <c r="C831" s="57" t="n">
        <v>0.00408</v>
      </c>
      <c r="D831" s="57" t="n">
        <v>0.00595</v>
      </c>
    </row>
    <row r="832" customFormat="false" ht="15" hidden="false" customHeight="false" outlineLevel="0" collapsed="false">
      <c r="A832" s="52" t="n">
        <v>45435</v>
      </c>
      <c r="B832" s="57" t="n">
        <v>0.00345</v>
      </c>
      <c r="C832" s="57" t="n">
        <v>0.00406</v>
      </c>
      <c r="D832" s="57" t="n">
        <v>0.00591</v>
      </c>
    </row>
    <row r="833" customFormat="false" ht="15" hidden="false" customHeight="false" outlineLevel="0" collapsed="false">
      <c r="A833" s="52" t="n">
        <v>45436</v>
      </c>
      <c r="B833" s="57" t="n">
        <v>0.00345</v>
      </c>
      <c r="C833" s="57" t="n">
        <v>0.00407</v>
      </c>
      <c r="D833" s="57" t="n">
        <v>0.00596</v>
      </c>
    </row>
    <row r="834" customFormat="false" ht="15" hidden="false" customHeight="false" outlineLevel="0" collapsed="false">
      <c r="A834" s="52" t="n">
        <v>45439</v>
      </c>
      <c r="B834" s="57" t="n">
        <v>0.00357</v>
      </c>
      <c r="C834" s="57" t="n">
        <v>0.00411</v>
      </c>
      <c r="D834" s="57" t="n">
        <v>0.00606</v>
      </c>
    </row>
    <row r="835" customFormat="false" ht="15" hidden="false" customHeight="false" outlineLevel="0" collapsed="false">
      <c r="A835" s="52" t="n">
        <v>45440</v>
      </c>
      <c r="B835" s="57" t="n">
        <v>0.00357</v>
      </c>
      <c r="C835" s="57" t="n">
        <v>0.00412</v>
      </c>
      <c r="D835" s="57" t="n">
        <v>0.00602</v>
      </c>
    </row>
    <row r="836" customFormat="false" ht="15" hidden="false" customHeight="false" outlineLevel="0" collapsed="false">
      <c r="A836" s="52" t="n">
        <v>45441</v>
      </c>
      <c r="B836" s="57" t="n">
        <v>0.00387</v>
      </c>
      <c r="C836" s="57" t="n">
        <v>0.00442</v>
      </c>
      <c r="D836" s="57" t="n">
        <v>0.00642</v>
      </c>
    </row>
    <row r="837" customFormat="false" ht="15" hidden="false" customHeight="false" outlineLevel="0" collapsed="false">
      <c r="A837" s="52" t="n">
        <v>45442</v>
      </c>
      <c r="B837" s="57" t="n">
        <v>0.00399</v>
      </c>
      <c r="C837" s="57" t="n">
        <v>0.0044</v>
      </c>
      <c r="D837" s="57" t="n">
        <v>0.00641</v>
      </c>
    </row>
    <row r="838" customFormat="false" ht="15" hidden="false" customHeight="false" outlineLevel="0" collapsed="false">
      <c r="A838" s="52" t="n">
        <v>45443</v>
      </c>
      <c r="B838" s="57" t="n">
        <v>0.00399</v>
      </c>
      <c r="C838" s="57" t="n">
        <v>0.0045</v>
      </c>
      <c r="D838" s="57" t="n">
        <v>0.00647</v>
      </c>
    </row>
    <row r="839" customFormat="false" ht="15" hidden="false" customHeight="false" outlineLevel="0" collapsed="false">
      <c r="A839" s="52" t="n">
        <v>45446</v>
      </c>
      <c r="B839" s="57" t="n">
        <v>0.00401</v>
      </c>
      <c r="C839" s="57" t="n">
        <v>0.00449</v>
      </c>
      <c r="D839" s="57" t="n">
        <v>0.0064</v>
      </c>
    </row>
    <row r="840" customFormat="false" ht="15" hidden="false" customHeight="false" outlineLevel="0" collapsed="false">
      <c r="A840" s="52" t="n">
        <v>45447</v>
      </c>
      <c r="B840" s="57" t="n">
        <v>0.00386</v>
      </c>
      <c r="C840" s="57" t="n">
        <v>0.00426</v>
      </c>
      <c r="D840" s="57" t="n">
        <v>0.0061</v>
      </c>
    </row>
    <row r="841" customFormat="false" ht="15" hidden="false" customHeight="false" outlineLevel="0" collapsed="false">
      <c r="A841" s="52" t="n">
        <v>45448</v>
      </c>
      <c r="B841" s="57" t="n">
        <v>0.00356</v>
      </c>
      <c r="C841" s="57" t="n">
        <v>0.00393</v>
      </c>
      <c r="D841" s="57" t="n">
        <v>0.00576</v>
      </c>
    </row>
    <row r="842" customFormat="false" ht="15" hidden="false" customHeight="false" outlineLevel="0" collapsed="false">
      <c r="A842" s="52" t="n">
        <v>45449</v>
      </c>
      <c r="B842" s="57" t="n">
        <v>0.00336</v>
      </c>
      <c r="C842" s="57" t="n">
        <v>0.00373</v>
      </c>
      <c r="D842" s="57" t="n">
        <v>0.00548</v>
      </c>
    </row>
    <row r="843" customFormat="false" ht="15" hidden="false" customHeight="false" outlineLevel="0" collapsed="false">
      <c r="A843" s="52" t="n">
        <v>45450</v>
      </c>
      <c r="B843" s="57" t="n">
        <v>0.00351</v>
      </c>
      <c r="C843" s="57" t="n">
        <v>0.00387</v>
      </c>
      <c r="D843" s="57" t="n">
        <v>0.00559</v>
      </c>
    </row>
    <row r="844" customFormat="false" ht="15" hidden="false" customHeight="false" outlineLevel="0" collapsed="false">
      <c r="A844" s="52" t="n">
        <v>45453</v>
      </c>
      <c r="B844" s="57" t="n">
        <v>0.00383</v>
      </c>
      <c r="C844" s="57" t="n">
        <v>0.00429</v>
      </c>
      <c r="D844" s="57" t="n">
        <v>0.00608</v>
      </c>
    </row>
    <row r="845" customFormat="false" ht="15" hidden="false" customHeight="false" outlineLevel="0" collapsed="false">
      <c r="A845" s="52" t="n">
        <v>45454</v>
      </c>
      <c r="B845" s="57" t="n">
        <v>0.00372</v>
      </c>
      <c r="C845" s="57" t="n">
        <v>0.00419</v>
      </c>
      <c r="D845" s="57" t="n">
        <v>0.00601</v>
      </c>
    </row>
    <row r="846" customFormat="false" ht="15" hidden="false" customHeight="false" outlineLevel="0" collapsed="false">
      <c r="A846" s="52" t="n">
        <v>45455</v>
      </c>
      <c r="B846" s="57" t="n">
        <v>0.00343</v>
      </c>
      <c r="C846" s="57" t="n">
        <v>0.00387</v>
      </c>
      <c r="D846" s="57" t="n">
        <v>0.00568</v>
      </c>
    </row>
    <row r="847" customFormat="false" ht="15" hidden="false" customHeight="false" outlineLevel="0" collapsed="false">
      <c r="A847" s="52" t="n">
        <v>45456</v>
      </c>
      <c r="B847" s="57" t="n">
        <v>0.00332</v>
      </c>
      <c r="C847" s="57" t="n">
        <v>0.00377</v>
      </c>
      <c r="D847" s="57" t="n">
        <v>0.00556</v>
      </c>
    </row>
    <row r="848" customFormat="false" ht="15" hidden="false" customHeight="false" outlineLevel="0" collapsed="false">
      <c r="A848" s="52" t="n">
        <v>45457</v>
      </c>
      <c r="B848" s="57" t="n">
        <v>0.00302</v>
      </c>
      <c r="C848" s="57" t="n">
        <v>0.00344</v>
      </c>
      <c r="D848" s="57" t="n">
        <v>0.00527</v>
      </c>
    </row>
    <row r="849" customFormat="false" ht="15" hidden="false" customHeight="false" outlineLevel="0" collapsed="false">
      <c r="A849" s="52" t="n">
        <v>45460</v>
      </c>
      <c r="B849" s="57" t="n">
        <v>0.00291</v>
      </c>
      <c r="C849" s="57" t="n">
        <v>0.00335</v>
      </c>
      <c r="D849" s="57" t="n">
        <v>0.00516</v>
      </c>
    </row>
    <row r="850" customFormat="false" ht="15" hidden="false" customHeight="false" outlineLevel="0" collapsed="false">
      <c r="A850" s="52" t="n">
        <v>45461</v>
      </c>
      <c r="B850" s="57" t="n">
        <v>0.00288</v>
      </c>
      <c r="C850" s="57" t="n">
        <v>0.00329</v>
      </c>
      <c r="D850" s="57" t="n">
        <v>0.00523</v>
      </c>
    </row>
    <row r="851" customFormat="false" ht="15" hidden="false" customHeight="false" outlineLevel="0" collapsed="false">
      <c r="A851" s="52" t="n">
        <v>45462</v>
      </c>
      <c r="B851" s="57" t="n">
        <v>0.00286</v>
      </c>
      <c r="C851" s="57" t="n">
        <v>0.0033</v>
      </c>
      <c r="D851" s="57" t="n">
        <v>0.00518</v>
      </c>
    </row>
    <row r="852" customFormat="false" ht="15" hidden="false" customHeight="false" outlineLevel="0" collapsed="false">
      <c r="A852" s="52" t="n">
        <v>45463</v>
      </c>
      <c r="B852" s="57" t="n">
        <v>0.00292</v>
      </c>
      <c r="C852" s="57" t="n">
        <v>0.00337</v>
      </c>
      <c r="D852" s="57" t="n">
        <v>0.00527</v>
      </c>
    </row>
    <row r="853" customFormat="false" ht="15" hidden="false" customHeight="false" outlineLevel="0" collapsed="false">
      <c r="A853" s="52" t="n">
        <v>45464</v>
      </c>
      <c r="B853" s="57" t="n">
        <v>0.00313</v>
      </c>
      <c r="C853" s="57" t="n">
        <v>0.00351</v>
      </c>
      <c r="D853" s="57" t="n">
        <v>0.00557</v>
      </c>
    </row>
    <row r="854" customFormat="false" ht="15" hidden="false" customHeight="false" outlineLevel="0" collapsed="false">
      <c r="A854" s="52" t="n">
        <v>45467</v>
      </c>
      <c r="B854" s="57" t="n">
        <v>0.00309</v>
      </c>
      <c r="C854" s="57" t="n">
        <v>0.00352</v>
      </c>
      <c r="D854" s="57" t="n">
        <v>0.00558</v>
      </c>
    </row>
    <row r="855" customFormat="false" ht="15" hidden="false" customHeight="false" outlineLevel="0" collapsed="false">
      <c r="A855" s="52" t="n">
        <v>45468</v>
      </c>
      <c r="B855" s="57" t="n">
        <v>0.00306</v>
      </c>
      <c r="C855" s="57" t="n">
        <v>0.0035</v>
      </c>
      <c r="D855" s="57" t="n">
        <v>0.00565</v>
      </c>
    </row>
    <row r="856" customFormat="false" ht="15" hidden="false" customHeight="false" outlineLevel="0" collapsed="false">
      <c r="A856" s="52" t="n">
        <v>45469</v>
      </c>
      <c r="B856" s="57" t="n">
        <v>0.00312</v>
      </c>
      <c r="C856" s="57" t="n">
        <v>0.00357</v>
      </c>
      <c r="D856" s="57" t="n">
        <v>0.00573</v>
      </c>
    </row>
    <row r="857" customFormat="false" ht="15" hidden="false" customHeight="false" outlineLevel="0" collapsed="false">
      <c r="A857" s="52" t="n">
        <v>45470</v>
      </c>
      <c r="B857" s="57" t="n">
        <v>0.00372</v>
      </c>
      <c r="C857" s="57" t="n">
        <v>0.00401</v>
      </c>
      <c r="D857" s="57" t="n">
        <v>0.00617</v>
      </c>
    </row>
    <row r="858" customFormat="false" ht="15" hidden="false" customHeight="false" outlineLevel="0" collapsed="false">
      <c r="A858" s="52" t="n">
        <v>45471</v>
      </c>
      <c r="B858" s="57" t="n">
        <v>0.00353</v>
      </c>
      <c r="C858" s="57" t="n">
        <v>0.00384</v>
      </c>
      <c r="D858" s="57" t="n">
        <v>0.00602</v>
      </c>
    </row>
    <row r="859" customFormat="false" ht="15" hidden="false" customHeight="false" outlineLevel="0" collapsed="false">
      <c r="A859" s="52" t="n">
        <v>45474</v>
      </c>
      <c r="B859" s="57" t="n">
        <v>0.0036</v>
      </c>
      <c r="C859" s="57" t="n">
        <v>0.0039</v>
      </c>
      <c r="D859" s="57" t="n">
        <v>0.00615</v>
      </c>
    </row>
    <row r="860" customFormat="false" ht="15" hidden="false" customHeight="false" outlineLevel="0" collapsed="false">
      <c r="A860" s="52" t="n">
        <v>45475</v>
      </c>
      <c r="B860" s="57" t="n">
        <v>0.00365</v>
      </c>
      <c r="C860" s="57" t="n">
        <v>0.00401</v>
      </c>
      <c r="D860" s="57" t="n">
        <v>0.0063</v>
      </c>
    </row>
    <row r="861" customFormat="false" ht="15" hidden="false" customHeight="false" outlineLevel="0" collapsed="false">
      <c r="A861" s="52" t="n">
        <v>45476</v>
      </c>
      <c r="B861" s="57" t="n">
        <v>0.0035</v>
      </c>
      <c r="C861" s="57" t="n">
        <v>0.00391</v>
      </c>
      <c r="D861" s="57" t="n">
        <v>0.00613</v>
      </c>
    </row>
    <row r="862" customFormat="false" ht="15" hidden="false" customHeight="false" outlineLevel="0" collapsed="false">
      <c r="A862" s="52" t="n">
        <v>45477</v>
      </c>
      <c r="B862" s="57" t="n">
        <v>0.0034</v>
      </c>
      <c r="C862" s="57" t="n">
        <v>0.00382</v>
      </c>
      <c r="D862" s="57" t="n">
        <v>0.00599</v>
      </c>
    </row>
    <row r="863" customFormat="false" ht="15" hidden="false" customHeight="false" outlineLevel="0" collapsed="false">
      <c r="A863" s="52" t="n">
        <v>45478</v>
      </c>
      <c r="B863" s="57" t="n">
        <v>0.00346</v>
      </c>
      <c r="C863" s="57" t="n">
        <v>0.00382</v>
      </c>
      <c r="D863" s="57" t="n">
        <v>0.00598</v>
      </c>
    </row>
    <row r="864" customFormat="false" ht="15" hidden="false" customHeight="false" outlineLevel="0" collapsed="false">
      <c r="A864" s="52" t="n">
        <v>45481</v>
      </c>
      <c r="B864" s="57" t="n">
        <v>0.00362</v>
      </c>
      <c r="C864" s="57" t="n">
        <v>0.00398</v>
      </c>
      <c r="D864" s="57" t="n">
        <v>0.00616</v>
      </c>
    </row>
    <row r="865" customFormat="false" ht="15" hidden="false" customHeight="false" outlineLevel="0" collapsed="false">
      <c r="A865" s="52" t="n">
        <v>45482</v>
      </c>
      <c r="B865" s="57" t="n">
        <v>0.00353</v>
      </c>
      <c r="C865" s="57" t="n">
        <v>0.00391</v>
      </c>
      <c r="D865" s="57" t="n">
        <v>0.0061</v>
      </c>
    </row>
    <row r="866" customFormat="false" ht="15" hidden="false" customHeight="false" outlineLevel="0" collapsed="false">
      <c r="A866" s="52" t="n">
        <v>45483</v>
      </c>
      <c r="B866" s="57" t="n">
        <v>0.00343</v>
      </c>
      <c r="C866" s="57" t="n">
        <v>0.00387</v>
      </c>
      <c r="D866" s="57" t="n">
        <v>0.00605</v>
      </c>
    </row>
    <row r="867" customFormat="false" ht="15" hidden="false" customHeight="false" outlineLevel="0" collapsed="false">
      <c r="A867" s="52" t="n">
        <v>45484</v>
      </c>
      <c r="B867" s="57" t="n">
        <v>0.00343</v>
      </c>
      <c r="C867" s="57" t="n">
        <v>0.00392</v>
      </c>
      <c r="D867" s="57" t="n">
        <v>0.00611</v>
      </c>
    </row>
    <row r="868" customFormat="false" ht="15" hidden="false" customHeight="false" outlineLevel="0" collapsed="false">
      <c r="A868" s="52" t="n">
        <v>45485</v>
      </c>
      <c r="B868" s="57" t="n">
        <v>0.00333</v>
      </c>
      <c r="C868" s="57" t="n">
        <v>0.00378</v>
      </c>
      <c r="D868" s="57" t="n">
        <v>0.00586</v>
      </c>
    </row>
    <row r="869" customFormat="false" ht="15" hidden="false" customHeight="false" outlineLevel="0" collapsed="false">
      <c r="A869" s="52" t="n">
        <v>45489</v>
      </c>
      <c r="B869" s="57" t="n">
        <v>0.0032</v>
      </c>
      <c r="C869" s="57" t="n">
        <v>0.00363</v>
      </c>
      <c r="D869" s="57" t="n">
        <v>0.00566</v>
      </c>
    </row>
    <row r="870" customFormat="false" ht="15" hidden="false" customHeight="false" outlineLevel="0" collapsed="false">
      <c r="A870" s="52" t="n">
        <v>45490</v>
      </c>
      <c r="B870" s="57" t="n">
        <v>0.0033</v>
      </c>
      <c r="C870" s="57" t="n">
        <v>0.00374</v>
      </c>
      <c r="D870" s="57" t="n">
        <v>0.00577</v>
      </c>
    </row>
    <row r="871" customFormat="false" ht="15" hidden="false" customHeight="false" outlineLevel="0" collapsed="false">
      <c r="A871" s="52" t="n">
        <v>45491</v>
      </c>
      <c r="B871" s="57" t="n">
        <v>0.00347</v>
      </c>
      <c r="C871" s="57" t="n">
        <v>0.00389</v>
      </c>
      <c r="D871" s="57" t="n">
        <v>0.00591</v>
      </c>
    </row>
    <row r="872" customFormat="false" ht="15" hidden="false" customHeight="false" outlineLevel="0" collapsed="false">
      <c r="A872" s="52" t="n">
        <v>45492</v>
      </c>
      <c r="B872" s="57" t="n">
        <v>0.00352</v>
      </c>
      <c r="C872" s="57" t="n">
        <v>0.00394</v>
      </c>
      <c r="D872" s="57" t="n">
        <v>0.00598</v>
      </c>
    </row>
    <row r="873" customFormat="false" ht="15" hidden="false" customHeight="false" outlineLevel="0" collapsed="false">
      <c r="A873" s="52" t="n">
        <v>45495</v>
      </c>
      <c r="B873" s="57" t="n">
        <v>0.00348</v>
      </c>
      <c r="C873" s="57" t="n">
        <v>0.00391</v>
      </c>
      <c r="D873" s="57" t="n">
        <v>0.00598</v>
      </c>
    </row>
    <row r="874" customFormat="false" ht="15" hidden="false" customHeight="false" outlineLevel="0" collapsed="false">
      <c r="A874" s="52" t="n">
        <v>45496</v>
      </c>
      <c r="B874" s="57" t="n">
        <v>0.00362</v>
      </c>
      <c r="C874" s="57" t="n">
        <v>0.00402</v>
      </c>
      <c r="D874" s="57" t="n">
        <v>0.00607</v>
      </c>
    </row>
    <row r="875" customFormat="false" ht="15" hidden="false" customHeight="false" outlineLevel="0" collapsed="false">
      <c r="A875" s="52" t="n">
        <v>45497</v>
      </c>
      <c r="B875" s="57" t="n">
        <v>0.00379</v>
      </c>
      <c r="C875" s="57" t="n">
        <v>0.00416</v>
      </c>
      <c r="D875" s="57" t="n">
        <v>0.00623</v>
      </c>
    </row>
    <row r="876" customFormat="false" ht="15" hidden="false" customHeight="false" outlineLevel="0" collapsed="false">
      <c r="A876" s="52" t="n">
        <v>45498</v>
      </c>
      <c r="B876" s="57" t="n">
        <v>0.00403</v>
      </c>
      <c r="C876" s="57" t="n">
        <v>0.00441</v>
      </c>
      <c r="D876" s="57" t="n">
        <v>0.00637</v>
      </c>
    </row>
    <row r="877" customFormat="false" ht="15" hidden="false" customHeight="false" outlineLevel="0" collapsed="false">
      <c r="A877" s="52" t="n">
        <v>45499</v>
      </c>
      <c r="B877" s="57" t="n">
        <v>0.00408</v>
      </c>
      <c r="C877" s="57" t="n">
        <v>0.00442</v>
      </c>
      <c r="D877" s="57" t="n">
        <v>0.00631</v>
      </c>
    </row>
    <row r="878" customFormat="false" ht="15" hidden="false" customHeight="false" outlineLevel="0" collapsed="false">
      <c r="A878" s="52" t="n">
        <v>45502</v>
      </c>
      <c r="B878" s="57" t="n">
        <v>0.00394</v>
      </c>
      <c r="C878" s="57" t="n">
        <v>0.00425</v>
      </c>
      <c r="D878" s="57" t="n">
        <v>0.00607</v>
      </c>
    </row>
    <row r="879" customFormat="false" ht="15" hidden="false" customHeight="false" outlineLevel="0" collapsed="false">
      <c r="A879" s="52" t="n">
        <v>45503</v>
      </c>
      <c r="B879" s="57" t="n">
        <v>0.00374</v>
      </c>
      <c r="C879" s="57" t="n">
        <v>0.0041</v>
      </c>
      <c r="D879" s="57" t="n">
        <v>0.00592</v>
      </c>
    </row>
    <row r="880" customFormat="false" ht="15" hidden="false" customHeight="false" outlineLevel="0" collapsed="false">
      <c r="A880" s="52" t="n">
        <v>45504</v>
      </c>
      <c r="B880" s="57" t="n">
        <v>0.0045</v>
      </c>
      <c r="C880" s="57" t="n">
        <v>0.0049</v>
      </c>
      <c r="D880" s="57" t="n">
        <v>0.00671</v>
      </c>
    </row>
    <row r="881" customFormat="false" ht="15" hidden="false" customHeight="false" outlineLevel="0" collapsed="false">
      <c r="A881" s="52" t="n">
        <v>45505</v>
      </c>
      <c r="B881" s="57" t="n">
        <v>0.0046</v>
      </c>
      <c r="C881" s="57" t="n">
        <v>0.00498</v>
      </c>
      <c r="D881" s="57" t="n">
        <v>0.00658</v>
      </c>
    </row>
    <row r="882" customFormat="false" ht="15" hidden="false" customHeight="false" outlineLevel="0" collapsed="false">
      <c r="A882" s="52" t="n">
        <v>45506</v>
      </c>
      <c r="B882" s="57" t="n">
        <v>0.0041</v>
      </c>
      <c r="C882" s="57" t="n">
        <v>0.00439</v>
      </c>
      <c r="D882" s="57" t="n">
        <v>0.00583</v>
      </c>
    </row>
    <row r="883" customFormat="false" ht="15" hidden="false" customHeight="false" outlineLevel="0" collapsed="false">
      <c r="A883" s="52" t="n">
        <v>45509</v>
      </c>
      <c r="B883" s="57" t="n">
        <v>0.00265</v>
      </c>
      <c r="C883" s="57" t="n">
        <v>0.00271</v>
      </c>
      <c r="D883" s="57" t="n">
        <v>0.0037</v>
      </c>
    </row>
    <row r="884" customFormat="false" ht="15" hidden="false" customHeight="false" outlineLevel="0" collapsed="false">
      <c r="A884" s="52" t="n">
        <v>45510</v>
      </c>
      <c r="B884" s="57" t="n">
        <v>0.0029</v>
      </c>
      <c r="C884" s="57" t="n">
        <v>0.00306</v>
      </c>
      <c r="D884" s="57" t="n">
        <v>0.00436</v>
      </c>
    </row>
    <row r="885" customFormat="false" ht="15" hidden="false" customHeight="false" outlineLevel="0" collapsed="false">
      <c r="A885" s="52" t="n">
        <v>45511</v>
      </c>
      <c r="B885" s="57" t="n">
        <v>0.0027</v>
      </c>
      <c r="C885" s="57" t="n">
        <v>0.0028</v>
      </c>
      <c r="D885" s="57" t="n">
        <v>0.00421</v>
      </c>
    </row>
    <row r="886" customFormat="false" ht="15" hidden="false" customHeight="false" outlineLevel="0" collapsed="false">
      <c r="A886" s="52" t="n">
        <v>45512</v>
      </c>
      <c r="B886" s="57" t="n">
        <v>0.00269</v>
      </c>
      <c r="C886" s="57" t="n">
        <v>0.00279</v>
      </c>
      <c r="D886" s="57" t="n">
        <v>0.00411</v>
      </c>
    </row>
    <row r="887" customFormat="false" ht="15" hidden="false" customHeight="false" outlineLevel="0" collapsed="false">
      <c r="A887" s="52" t="n">
        <v>45513</v>
      </c>
      <c r="B887" s="57" t="n">
        <v>0.00301</v>
      </c>
      <c r="C887" s="57" t="n">
        <v>0.00311</v>
      </c>
      <c r="D887" s="57" t="n">
        <v>0.00445</v>
      </c>
    </row>
    <row r="888" customFormat="false" ht="15" hidden="false" customHeight="false" outlineLevel="0" collapsed="false">
      <c r="A888" s="52" t="n">
        <v>45517</v>
      </c>
      <c r="B888" s="57" t="n">
        <v>0.003</v>
      </c>
      <c r="C888" s="57" t="n">
        <v>0.00311</v>
      </c>
      <c r="D888" s="57" t="n">
        <v>0.00444</v>
      </c>
    </row>
    <row r="889" customFormat="false" ht="15" hidden="false" customHeight="false" outlineLevel="0" collapsed="false">
      <c r="A889" s="52" t="n">
        <v>45518</v>
      </c>
      <c r="B889" s="57" t="n">
        <v>0.00296</v>
      </c>
      <c r="C889" s="57" t="n">
        <v>0.00306</v>
      </c>
      <c r="D889" s="57" t="n">
        <v>0.00431</v>
      </c>
    </row>
    <row r="890" customFormat="false" ht="15" hidden="false" customHeight="false" outlineLevel="0" collapsed="false">
      <c r="A890" s="52" t="n">
        <v>45519</v>
      </c>
      <c r="B890" s="57" t="n">
        <v>0.00321</v>
      </c>
      <c r="C890" s="57" t="n">
        <v>0.00333</v>
      </c>
      <c r="D890" s="57" t="n">
        <v>0.00451</v>
      </c>
    </row>
    <row r="891" customFormat="false" ht="15" hidden="false" customHeight="false" outlineLevel="0" collapsed="false">
      <c r="A891" s="52" t="n">
        <v>45520</v>
      </c>
      <c r="B891" s="57" t="n">
        <v>0.00357</v>
      </c>
      <c r="C891" s="57" t="n">
        <v>0.00375</v>
      </c>
      <c r="D891" s="57" t="n">
        <v>0.00494</v>
      </c>
    </row>
    <row r="892" customFormat="false" ht="15" hidden="false" customHeight="false" outlineLevel="0" collapsed="false">
      <c r="A892" s="52" t="n">
        <v>45523</v>
      </c>
      <c r="B892" s="57" t="n">
        <v>0.00374</v>
      </c>
      <c r="C892" s="57" t="n">
        <v>0.0039</v>
      </c>
      <c r="D892" s="57" t="n">
        <v>0.00509</v>
      </c>
    </row>
    <row r="893" customFormat="false" ht="15" hidden="false" customHeight="false" outlineLevel="0" collapsed="false">
      <c r="A893" s="52" t="n">
        <v>45524</v>
      </c>
      <c r="B893" s="57" t="n">
        <v>0.00363</v>
      </c>
      <c r="C893" s="57" t="n">
        <v>0.0038</v>
      </c>
      <c r="D893" s="57" t="n">
        <v>0.00499</v>
      </c>
    </row>
    <row r="894" customFormat="false" ht="15" hidden="false" customHeight="false" outlineLevel="0" collapsed="false">
      <c r="A894" s="52" t="n">
        <v>45525</v>
      </c>
      <c r="B894" s="57" t="n">
        <v>0.00352</v>
      </c>
      <c r="C894" s="57" t="n">
        <v>0.00367</v>
      </c>
      <c r="D894" s="57" t="n">
        <v>0.00481</v>
      </c>
    </row>
    <row r="895" customFormat="false" ht="15" hidden="false" customHeight="false" outlineLevel="0" collapsed="false">
      <c r="A895" s="52" t="n">
        <v>45526</v>
      </c>
      <c r="B895" s="57" t="n">
        <v>0.00363</v>
      </c>
      <c r="C895" s="57" t="n">
        <v>0.00378</v>
      </c>
      <c r="D895" s="57" t="n">
        <v>0.00491</v>
      </c>
    </row>
    <row r="896" customFormat="false" ht="15" hidden="false" customHeight="false" outlineLevel="0" collapsed="false">
      <c r="A896" s="52" t="n">
        <v>45527</v>
      </c>
      <c r="B896" s="57" t="n">
        <v>0.00372</v>
      </c>
      <c r="C896" s="57" t="n">
        <v>0.00387</v>
      </c>
      <c r="D896" s="57" t="n">
        <v>0.00507</v>
      </c>
    </row>
    <row r="897" customFormat="false" ht="15" hidden="false" customHeight="false" outlineLevel="0" collapsed="false">
      <c r="A897" s="52" t="n">
        <v>45530</v>
      </c>
      <c r="B897" s="57" t="n">
        <v>0.00364</v>
      </c>
      <c r="C897" s="57" t="n">
        <v>0.00376</v>
      </c>
      <c r="D897" s="57" t="n">
        <v>0.00497</v>
      </c>
    </row>
    <row r="898" customFormat="false" ht="15" hidden="false" customHeight="false" outlineLevel="0" collapsed="false">
      <c r="A898" s="52" t="n">
        <v>45531</v>
      </c>
      <c r="B898" s="57" t="n">
        <v>0.00367</v>
      </c>
      <c r="C898" s="57" t="n">
        <v>0.00377</v>
      </c>
      <c r="D898" s="57" t="n">
        <v>0.00504</v>
      </c>
    </row>
    <row r="899" customFormat="false" ht="15" hidden="false" customHeight="false" outlineLevel="0" collapsed="false">
      <c r="A899" s="52" t="n">
        <v>45532</v>
      </c>
      <c r="B899" s="57" t="n">
        <v>0.0038</v>
      </c>
      <c r="C899" s="57" t="n">
        <v>0.00387</v>
      </c>
      <c r="D899" s="57" t="n">
        <v>0.00512</v>
      </c>
    </row>
    <row r="900" customFormat="false" ht="15" hidden="false" customHeight="false" outlineLevel="0" collapsed="false">
      <c r="A900" s="52" t="n">
        <v>45533</v>
      </c>
      <c r="B900" s="57" t="n">
        <v>0.00368</v>
      </c>
      <c r="C900" s="57" t="n">
        <v>0.00377</v>
      </c>
      <c r="D900" s="57" t="n">
        <v>0.00503</v>
      </c>
    </row>
    <row r="901" customFormat="false" ht="15" hidden="false" customHeight="false" outlineLevel="0" collapsed="false">
      <c r="A901" s="52" t="n">
        <v>45534</v>
      </c>
      <c r="B901" s="57" t="n">
        <v>0.00363</v>
      </c>
      <c r="C901" s="57" t="n">
        <v>0.00378</v>
      </c>
      <c r="D901" s="57" t="n">
        <v>0.00502</v>
      </c>
    </row>
    <row r="902" customFormat="false" ht="15" hidden="false" customHeight="false" outlineLevel="0" collapsed="false">
      <c r="A902" s="52" t="n">
        <v>45537</v>
      </c>
      <c r="B902" s="57" t="n">
        <v>0.0037</v>
      </c>
      <c r="C902" s="57" t="n">
        <v>0.00383</v>
      </c>
      <c r="D902" s="57" t="n">
        <v>0.00518</v>
      </c>
    </row>
    <row r="903" customFormat="false" ht="15" hidden="false" customHeight="false" outlineLevel="0" collapsed="false">
      <c r="A903" s="52" t="n">
        <v>45538</v>
      </c>
      <c r="B903" s="57" t="n">
        <v>0.0039</v>
      </c>
      <c r="C903" s="57" t="n">
        <v>0.00402</v>
      </c>
      <c r="D903" s="57" t="n">
        <v>0.00536</v>
      </c>
    </row>
    <row r="904" customFormat="false" ht="15" hidden="false" customHeight="false" outlineLevel="0" collapsed="false">
      <c r="A904" s="52" t="n">
        <v>45539</v>
      </c>
      <c r="B904" s="57" t="n">
        <v>0.00375</v>
      </c>
      <c r="C904" s="57" t="n">
        <v>0.00389</v>
      </c>
      <c r="D904" s="57" t="n">
        <v>0.00512</v>
      </c>
    </row>
    <row r="905" customFormat="false" ht="15" hidden="false" customHeight="false" outlineLevel="0" collapsed="false">
      <c r="A905" s="52" t="n">
        <v>45540</v>
      </c>
      <c r="B905" s="57" t="n">
        <v>0.00375</v>
      </c>
      <c r="C905" s="57" t="n">
        <v>0.00387</v>
      </c>
      <c r="D905" s="57" t="n">
        <v>0.00507</v>
      </c>
    </row>
    <row r="906" customFormat="false" ht="15" hidden="false" customHeight="false" outlineLevel="0" collapsed="false">
      <c r="A906" s="52" t="n">
        <v>45541</v>
      </c>
      <c r="B906" s="57" t="n">
        <v>0.0038</v>
      </c>
      <c r="C906" s="57" t="n">
        <v>0.00387</v>
      </c>
      <c r="D906" s="57" t="n">
        <v>0.00499</v>
      </c>
    </row>
    <row r="907" customFormat="false" ht="15" hidden="false" customHeight="false" outlineLevel="0" collapsed="false">
      <c r="A907" s="52" t="n">
        <v>45544</v>
      </c>
      <c r="B907" s="57" t="n">
        <v>0.00396</v>
      </c>
      <c r="C907" s="57" t="n">
        <v>0.00408</v>
      </c>
      <c r="D907" s="57" t="n">
        <v>0.00521</v>
      </c>
    </row>
    <row r="908" customFormat="false" ht="15" hidden="false" customHeight="false" outlineLevel="0" collapsed="false">
      <c r="A908" s="52" t="n">
        <v>45545</v>
      </c>
      <c r="B908" s="57" t="n">
        <v>0.00396</v>
      </c>
      <c r="C908" s="57" t="n">
        <v>0.00409</v>
      </c>
      <c r="D908" s="57" t="n">
        <v>0.00528</v>
      </c>
    </row>
    <row r="909" customFormat="false" ht="15" hidden="false" customHeight="false" outlineLevel="0" collapsed="false">
      <c r="A909" s="52" t="n">
        <v>45546</v>
      </c>
      <c r="B909" s="57" t="n">
        <v>0.0038</v>
      </c>
      <c r="C909" s="57" t="n">
        <v>0.00389</v>
      </c>
      <c r="D909" s="57" t="n">
        <v>0.00498</v>
      </c>
    </row>
    <row r="910" customFormat="false" ht="15" hidden="false" customHeight="false" outlineLevel="0" collapsed="false">
      <c r="A910" s="52" t="n">
        <v>45547</v>
      </c>
      <c r="B910" s="57" t="n">
        <v>0.00391</v>
      </c>
      <c r="C910" s="57" t="n">
        <v>0.00399</v>
      </c>
      <c r="D910" s="57" t="n">
        <v>0.00513</v>
      </c>
    </row>
    <row r="911" customFormat="false" ht="15" hidden="false" customHeight="false" outlineLevel="0" collapsed="false">
      <c r="A911" s="52" t="n">
        <v>45548</v>
      </c>
      <c r="B911" s="57" t="n">
        <v>0.00392</v>
      </c>
      <c r="C911" s="57" t="n">
        <v>0.00396</v>
      </c>
      <c r="D911" s="57" t="n">
        <v>0.00503</v>
      </c>
    </row>
    <row r="912" customFormat="false" ht="15" hidden="false" customHeight="false" outlineLevel="0" collapsed="false">
      <c r="A912" s="52" t="n">
        <v>45552</v>
      </c>
      <c r="B912" s="57" t="n">
        <v>0.00387</v>
      </c>
      <c r="C912" s="57" t="n">
        <v>0.00388</v>
      </c>
      <c r="D912" s="57" t="n">
        <v>0.00494</v>
      </c>
    </row>
    <row r="913" customFormat="false" ht="15" hidden="false" customHeight="false" outlineLevel="0" collapsed="false">
      <c r="A913" s="52" t="n">
        <v>45553</v>
      </c>
      <c r="B913" s="57" t="n">
        <v>0.0038</v>
      </c>
      <c r="C913" s="57" t="n">
        <v>0.00384</v>
      </c>
      <c r="D913" s="57" t="n">
        <v>0.00484</v>
      </c>
    </row>
    <row r="914" customFormat="false" ht="15" hidden="false" customHeight="false" outlineLevel="0" collapsed="false">
      <c r="A914" s="52" t="n">
        <v>45554</v>
      </c>
      <c r="B914" s="57" t="n">
        <v>0.00389</v>
      </c>
      <c r="C914" s="57" t="n">
        <v>0.00392</v>
      </c>
      <c r="D914" s="57" t="n">
        <v>0.00498</v>
      </c>
    </row>
    <row r="915" customFormat="false" ht="15" hidden="false" customHeight="false" outlineLevel="0" collapsed="false">
      <c r="A915" s="52" t="n">
        <v>45555</v>
      </c>
      <c r="B915" s="57" t="n">
        <v>0.00395</v>
      </c>
      <c r="C915" s="57" t="n">
        <v>0.00399</v>
      </c>
      <c r="D915" s="57" t="n">
        <v>0.00515</v>
      </c>
    </row>
    <row r="916" customFormat="false" ht="15" hidden="false" customHeight="false" outlineLevel="0" collapsed="false">
      <c r="A916" s="52" t="n">
        <v>45559</v>
      </c>
      <c r="B916" s="57" t="n">
        <v>0.0035</v>
      </c>
      <c r="C916" s="57" t="n">
        <v>0.00356</v>
      </c>
      <c r="D916" s="57" t="n">
        <v>0.00469</v>
      </c>
    </row>
    <row r="917" customFormat="false" ht="15" hidden="false" customHeight="false" outlineLevel="0" collapsed="false">
      <c r="A917" s="52" t="n">
        <v>45560</v>
      </c>
      <c r="B917" s="57" t="n">
        <v>0.00355</v>
      </c>
      <c r="C917" s="57" t="n">
        <v>0.0036</v>
      </c>
      <c r="D917" s="57" t="n">
        <v>0.00473</v>
      </c>
    </row>
    <row r="918" customFormat="false" ht="15" hidden="false" customHeight="false" outlineLevel="0" collapsed="false">
      <c r="A918" s="52" t="n">
        <v>45561</v>
      </c>
      <c r="B918" s="57" t="n">
        <v>0.00349</v>
      </c>
      <c r="C918" s="57" t="n">
        <v>0.00346</v>
      </c>
      <c r="D918" s="57" t="n">
        <v>0.00474</v>
      </c>
    </row>
    <row r="919" customFormat="false" ht="15" hidden="false" customHeight="false" outlineLevel="0" collapsed="false">
      <c r="A919" s="52" t="n">
        <v>45562</v>
      </c>
      <c r="B919" s="57" t="n">
        <v>0.00323</v>
      </c>
      <c r="C919" s="57" t="n">
        <v>0.00323</v>
      </c>
      <c r="D919" s="57" t="n">
        <v>0.00449</v>
      </c>
    </row>
    <row r="920" customFormat="false" ht="15" hidden="false" customHeight="false" outlineLevel="0" collapsed="false">
      <c r="A920" s="52" t="n">
        <v>45565</v>
      </c>
      <c r="B920" s="57" t="n">
        <v>0.00394</v>
      </c>
      <c r="C920" s="57" t="n">
        <v>0.00385</v>
      </c>
      <c r="D920" s="57" t="n">
        <v>0.00508</v>
      </c>
    </row>
    <row r="921" customFormat="false" ht="15" hidden="false" customHeight="false" outlineLevel="0" collapsed="false">
      <c r="A921" s="52" t="n">
        <v>45566</v>
      </c>
      <c r="B921" s="57" t="n">
        <v>0.0039</v>
      </c>
      <c r="C921" s="57" t="n">
        <v>0.00382</v>
      </c>
      <c r="D921" s="57" t="n">
        <v>0.00508</v>
      </c>
    </row>
    <row r="922" customFormat="false" ht="15" hidden="false" customHeight="false" outlineLevel="0" collapsed="false">
      <c r="A922" s="52" t="n">
        <v>45567</v>
      </c>
      <c r="B922" s="57" t="n">
        <v>0.00365</v>
      </c>
      <c r="C922" s="57" t="n">
        <v>0.00365</v>
      </c>
      <c r="D922" s="57" t="n">
        <v>0.00489</v>
      </c>
    </row>
    <row r="923" customFormat="false" ht="15" hidden="false" customHeight="false" outlineLevel="0" collapsed="false">
      <c r="A923" s="52" t="n">
        <v>45568</v>
      </c>
      <c r="B923" s="57" t="n">
        <v>0.00365</v>
      </c>
      <c r="C923" s="57" t="n">
        <v>0.00366</v>
      </c>
      <c r="D923" s="57" t="n">
        <v>0.00489</v>
      </c>
    </row>
    <row r="924" customFormat="false" ht="15" hidden="false" customHeight="false" outlineLevel="0" collapsed="false">
      <c r="A924" s="52" t="n">
        <v>45569</v>
      </c>
      <c r="B924" s="57" t="n">
        <v>0.0037</v>
      </c>
      <c r="C924" s="57" t="n">
        <v>0.00373</v>
      </c>
      <c r="D924" s="57" t="n">
        <v>0.00506</v>
      </c>
    </row>
    <row r="925" customFormat="false" ht="15" hidden="false" customHeight="false" outlineLevel="0" collapsed="false">
      <c r="A925" s="52" t="n">
        <v>45572</v>
      </c>
      <c r="B925" s="57" t="n">
        <v>0.00407</v>
      </c>
      <c r="C925" s="57" t="n">
        <v>0.00412</v>
      </c>
      <c r="D925" s="57" t="n">
        <v>0.00555</v>
      </c>
    </row>
    <row r="926" customFormat="false" ht="15" hidden="false" customHeight="false" outlineLevel="0" collapsed="false">
      <c r="A926" s="52" t="n">
        <v>45573</v>
      </c>
      <c r="B926" s="57" t="n">
        <v>0.00402</v>
      </c>
      <c r="C926" s="57" t="n">
        <v>0.00413</v>
      </c>
      <c r="D926" s="57" t="n">
        <v>0.00554</v>
      </c>
    </row>
    <row r="927" customFormat="false" ht="15" hidden="false" customHeight="false" outlineLevel="0" collapsed="false">
      <c r="A927" s="52" t="n">
        <v>45574</v>
      </c>
      <c r="B927" s="57" t="n">
        <v>0.00402</v>
      </c>
      <c r="C927" s="57" t="n">
        <v>0.00413</v>
      </c>
      <c r="D927" s="57" t="n">
        <v>0.0056</v>
      </c>
    </row>
    <row r="928" customFormat="false" ht="15" hidden="false" customHeight="false" outlineLevel="0" collapsed="false">
      <c r="A928" s="52" t="n">
        <v>45575</v>
      </c>
      <c r="B928" s="57" t="n">
        <v>0.00412</v>
      </c>
      <c r="C928" s="57" t="n">
        <v>0.00418</v>
      </c>
      <c r="D928" s="57" t="n">
        <v>0.00588</v>
      </c>
    </row>
    <row r="929" customFormat="false" ht="15" hidden="false" customHeight="false" outlineLevel="0" collapsed="false">
      <c r="A929" s="52" t="n">
        <v>45576</v>
      </c>
      <c r="B929" s="57" t="n">
        <v>0.00412</v>
      </c>
      <c r="C929" s="57" t="n">
        <v>0.00417</v>
      </c>
      <c r="D929" s="57" t="n">
        <v>0.00579</v>
      </c>
    </row>
    <row r="930" customFormat="false" ht="15" hidden="false" customHeight="false" outlineLevel="0" collapsed="false">
      <c r="A930" s="52" t="n">
        <v>45580</v>
      </c>
      <c r="B930" s="57" t="n">
        <v>0.00423</v>
      </c>
      <c r="C930" s="57" t="n">
        <v>0.00429</v>
      </c>
      <c r="D930" s="57" t="n">
        <v>0.00595</v>
      </c>
    </row>
    <row r="931" customFormat="false" ht="15" hidden="false" customHeight="false" outlineLevel="0" collapsed="false">
      <c r="A931" s="52" t="n">
        <v>45581</v>
      </c>
      <c r="B931" s="57" t="n">
        <v>0.00423</v>
      </c>
      <c r="C931" s="57" t="n">
        <v>0.00428</v>
      </c>
      <c r="D931" s="57" t="n">
        <v>0.00581</v>
      </c>
    </row>
    <row r="932" customFormat="false" ht="15" hidden="false" customHeight="false" outlineLevel="0" collapsed="false">
      <c r="A932" s="52" t="n">
        <v>45582</v>
      </c>
      <c r="B932" s="57" t="n">
        <v>0.00434</v>
      </c>
      <c r="C932" s="57" t="n">
        <v>0.00437</v>
      </c>
      <c r="D932" s="57" t="n">
        <v>0.0059</v>
      </c>
    </row>
    <row r="933" customFormat="false" ht="15" hidden="false" customHeight="false" outlineLevel="0" collapsed="false">
      <c r="A933" s="52" t="n">
        <v>45583</v>
      </c>
      <c r="B933" s="57" t="n">
        <v>0.00438</v>
      </c>
      <c r="C933" s="57" t="n">
        <v>0.00445</v>
      </c>
      <c r="D933" s="57" t="n">
        <v>0.00589</v>
      </c>
    </row>
    <row r="934" customFormat="false" ht="15" hidden="false" customHeight="false" outlineLevel="0" collapsed="false">
      <c r="A934" s="52" t="n">
        <v>45586</v>
      </c>
      <c r="B934" s="57" t="n">
        <v>0.00433</v>
      </c>
      <c r="C934" s="57" t="n">
        <v>0.00439</v>
      </c>
      <c r="D934" s="57" t="n">
        <v>0.00581</v>
      </c>
    </row>
    <row r="935" customFormat="false" ht="15" hidden="false" customHeight="false" outlineLevel="0" collapsed="false">
      <c r="A935" s="52" t="n">
        <v>45587</v>
      </c>
      <c r="B935" s="57" t="n">
        <v>0.00454</v>
      </c>
      <c r="C935" s="57" t="n">
        <v>0.00454</v>
      </c>
      <c r="D935" s="57" t="n">
        <v>0.006</v>
      </c>
    </row>
    <row r="936" customFormat="false" ht="15" hidden="false" customHeight="false" outlineLevel="0" collapsed="false">
      <c r="A936" s="52" t="n">
        <v>45588</v>
      </c>
      <c r="B936" s="57" t="n">
        <v>0.00449</v>
      </c>
      <c r="C936" s="57" t="n">
        <v>0.00455</v>
      </c>
      <c r="D936" s="57" t="n">
        <v>0.00596</v>
      </c>
    </row>
    <row r="937" customFormat="false" ht="15" hidden="false" customHeight="false" outlineLevel="0" collapsed="false">
      <c r="A937" s="52" t="n">
        <v>45589</v>
      </c>
      <c r="B937" s="57" t="n">
        <v>0.00449</v>
      </c>
      <c r="C937" s="57" t="n">
        <v>0.00455</v>
      </c>
      <c r="D937" s="57" t="n">
        <v>0.00584</v>
      </c>
    </row>
    <row r="938" customFormat="false" ht="15" hidden="false" customHeight="false" outlineLevel="0" collapsed="false">
      <c r="A938" s="52" t="n">
        <v>45590</v>
      </c>
      <c r="B938" s="57" t="n">
        <v>0.00449</v>
      </c>
      <c r="C938" s="57" t="n">
        <v>0.00453</v>
      </c>
      <c r="D938" s="57" t="n">
        <v>0.0058</v>
      </c>
    </row>
    <row r="939" customFormat="false" ht="15" hidden="false" customHeight="false" outlineLevel="0" collapsed="false">
      <c r="A939" s="52" t="n">
        <v>45593</v>
      </c>
      <c r="B939" s="57" t="n">
        <v>0.00461</v>
      </c>
      <c r="C939" s="57" t="n">
        <v>0.00462</v>
      </c>
      <c r="D939" s="57" t="n">
        <v>0.00595</v>
      </c>
    </row>
    <row r="940" customFormat="false" ht="15" hidden="false" customHeight="false" outlineLevel="0" collapsed="false">
      <c r="A940" s="52" t="n">
        <v>45594</v>
      </c>
      <c r="B940" s="57" t="n">
        <v>0.00453</v>
      </c>
      <c r="C940" s="57" t="n">
        <v>0.00459</v>
      </c>
      <c r="D940" s="57" t="n">
        <v>0.00599</v>
      </c>
    </row>
    <row r="941" customFormat="false" ht="15" hidden="false" customHeight="false" outlineLevel="0" collapsed="false">
      <c r="A941" s="52" t="n">
        <v>45595</v>
      </c>
      <c r="B941" s="57" t="n">
        <v>0.00443</v>
      </c>
      <c r="C941" s="57" t="n">
        <v>0.00448</v>
      </c>
      <c r="D941" s="57" t="n">
        <v>0.00585</v>
      </c>
    </row>
    <row r="942" customFormat="false" ht="15" hidden="false" customHeight="false" outlineLevel="0" collapsed="false">
      <c r="A942" s="52" t="n">
        <v>45596</v>
      </c>
      <c r="B942" s="57" t="n">
        <v>0.00434</v>
      </c>
      <c r="C942" s="57" t="n">
        <v>0.00438</v>
      </c>
      <c r="D942" s="57" t="n">
        <v>0.00571</v>
      </c>
    </row>
    <row r="943" customFormat="false" ht="15" hidden="false" customHeight="false" outlineLevel="0" collapsed="false">
      <c r="A943" s="52" t="n">
        <v>45597</v>
      </c>
      <c r="B943" s="57" t="n">
        <v>0.00465</v>
      </c>
      <c r="C943" s="57" t="n">
        <v>0.00469</v>
      </c>
      <c r="D943" s="57" t="n">
        <v>0.00585</v>
      </c>
    </row>
    <row r="944" customFormat="false" ht="15" hidden="false" customHeight="false" outlineLevel="0" collapsed="false">
      <c r="A944" s="52" t="n">
        <v>45601</v>
      </c>
      <c r="B944" s="57" t="n">
        <v>0.00455</v>
      </c>
      <c r="C944" s="57" t="n">
        <v>0.00459</v>
      </c>
      <c r="D944" s="57" t="n">
        <v>0.00575</v>
      </c>
    </row>
    <row r="945" customFormat="false" ht="15" hidden="false" customHeight="false" outlineLevel="0" collapsed="false">
      <c r="A945" s="52" t="n">
        <v>45602</v>
      </c>
      <c r="B945" s="57" t="n">
        <v>0.0048</v>
      </c>
      <c r="C945" s="57" t="n">
        <v>0.00493</v>
      </c>
      <c r="D945" s="57" t="n">
        <v>0.00615</v>
      </c>
    </row>
    <row r="946" customFormat="false" ht="15" hidden="false" customHeight="false" outlineLevel="0" collapsed="false">
      <c r="A946" s="52" t="n">
        <v>45603</v>
      </c>
      <c r="B946" s="57" t="n">
        <v>0.00501</v>
      </c>
      <c r="C946" s="57" t="n">
        <v>0.00517</v>
      </c>
      <c r="D946" s="57" t="n">
        <v>0.00644</v>
      </c>
    </row>
    <row r="947" customFormat="false" ht="15" hidden="false" customHeight="false" outlineLevel="0" collapsed="false">
      <c r="A947" s="52" t="n">
        <v>45604</v>
      </c>
      <c r="B947" s="57" t="n">
        <v>0.00501</v>
      </c>
      <c r="C947" s="57" t="n">
        <v>0.00515</v>
      </c>
      <c r="D947" s="57" t="n">
        <v>0.00644</v>
      </c>
    </row>
    <row r="948" customFormat="false" ht="15" hidden="false" customHeight="false" outlineLevel="0" collapsed="false">
      <c r="A948" s="52" t="n">
        <v>45607</v>
      </c>
      <c r="B948" s="57" t="n">
        <v>0.00501</v>
      </c>
      <c r="C948" s="57" t="n">
        <v>0.00512</v>
      </c>
      <c r="D948" s="57" t="n">
        <v>0.00644</v>
      </c>
    </row>
    <row r="949" customFormat="false" ht="15" hidden="false" customHeight="false" outlineLevel="0" collapsed="false">
      <c r="A949" s="52" t="n">
        <v>45608</v>
      </c>
      <c r="B949" s="57" t="n">
        <v>0.00501</v>
      </c>
      <c r="C949" s="57" t="n">
        <v>0.00517</v>
      </c>
      <c r="D949" s="57" t="n">
        <v>0.00653</v>
      </c>
    </row>
    <row r="950" customFormat="false" ht="15" hidden="false" customHeight="false" outlineLevel="0" collapsed="false">
      <c r="A950" s="52" t="n">
        <v>45609</v>
      </c>
      <c r="B950" s="57" t="n">
        <v>0.00527</v>
      </c>
      <c r="C950" s="57" t="n">
        <v>0.00543</v>
      </c>
      <c r="D950" s="57" t="n">
        <v>0.00689</v>
      </c>
    </row>
    <row r="951" customFormat="false" ht="15" hidden="false" customHeight="false" outlineLevel="0" collapsed="false">
      <c r="A951" s="52" t="n">
        <v>45610</v>
      </c>
      <c r="B951" s="57" t="n">
        <v>0.00532</v>
      </c>
      <c r="C951" s="57" t="n">
        <v>0.00553</v>
      </c>
      <c r="D951" s="57" t="n">
        <v>0.00695</v>
      </c>
    </row>
    <row r="952" customFormat="false" ht="15" hidden="false" customHeight="false" outlineLevel="0" collapsed="false">
      <c r="A952" s="52" t="n">
        <v>45611</v>
      </c>
      <c r="B952" s="57" t="n">
        <v>0.00552</v>
      </c>
      <c r="C952" s="57" t="n">
        <v>0.00567</v>
      </c>
      <c r="D952" s="57" t="n">
        <v>0.00712</v>
      </c>
    </row>
    <row r="953" customFormat="false" ht="15" hidden="false" customHeight="false" outlineLevel="0" collapsed="false">
      <c r="A953" s="52" t="n">
        <v>45614</v>
      </c>
      <c r="B953" s="57" t="n">
        <v>0.00553</v>
      </c>
      <c r="C953" s="57" t="n">
        <v>0.00568</v>
      </c>
      <c r="D953" s="57" t="n">
        <v>0.00706</v>
      </c>
    </row>
    <row r="954" customFormat="false" ht="15" hidden="false" customHeight="false" outlineLevel="0" collapsed="false">
      <c r="A954" s="52" t="n">
        <v>45615</v>
      </c>
      <c r="B954" s="57" t="n">
        <v>0.00554</v>
      </c>
      <c r="C954" s="57" t="n">
        <v>0.00572</v>
      </c>
      <c r="D954" s="57" t="n">
        <v>0.0071</v>
      </c>
    </row>
    <row r="955" customFormat="false" ht="15" hidden="false" customHeight="false" outlineLevel="0" collapsed="false">
      <c r="A955" s="52" t="n">
        <v>45616</v>
      </c>
      <c r="B955" s="57" t="n">
        <v>0.00554</v>
      </c>
      <c r="C955" s="57" t="n">
        <v>0.00573</v>
      </c>
      <c r="D955" s="57" t="n">
        <v>0.00715</v>
      </c>
    </row>
    <row r="956" customFormat="false" ht="15" hidden="false" customHeight="false" outlineLevel="0" collapsed="false">
      <c r="A956" s="52" t="n">
        <v>45617</v>
      </c>
      <c r="B956" s="57" t="n">
        <v>0.0058</v>
      </c>
      <c r="C956" s="57" t="n">
        <v>0.00603</v>
      </c>
      <c r="D956" s="57" t="n">
        <v>0.0075</v>
      </c>
    </row>
    <row r="957" customFormat="false" ht="15" hidden="false" customHeight="false" outlineLevel="0" collapsed="false">
      <c r="A957" s="52" t="n">
        <v>45618</v>
      </c>
      <c r="B957" s="57" t="n">
        <v>0.0059</v>
      </c>
      <c r="C957" s="57" t="n">
        <v>0.00611</v>
      </c>
      <c r="D957" s="57" t="n">
        <v>0.00745</v>
      </c>
    </row>
    <row r="958" customFormat="false" ht="15" hidden="false" customHeight="false" outlineLevel="0" collapsed="false">
      <c r="A958" s="52" t="n">
        <v>45621</v>
      </c>
      <c r="B958" s="57" t="n">
        <v>0.0059</v>
      </c>
      <c r="C958" s="57" t="n">
        <v>0.00609</v>
      </c>
      <c r="D958" s="57" t="n">
        <v>0.0074</v>
      </c>
    </row>
    <row r="959" customFormat="false" ht="15" hidden="false" customHeight="false" outlineLevel="0" collapsed="false">
      <c r="A959" s="52" t="n">
        <v>45622</v>
      </c>
      <c r="B959" s="57" t="n">
        <v>0.00592</v>
      </c>
      <c r="C959" s="57" t="n">
        <v>0.0061</v>
      </c>
      <c r="D959" s="57" t="n">
        <v>0.00733</v>
      </c>
    </row>
    <row r="960" customFormat="false" ht="15" hidden="false" customHeight="false" outlineLevel="0" collapsed="false">
      <c r="A960" s="52" t="n">
        <v>45623</v>
      </c>
      <c r="B960" s="57" t="n">
        <v>0.00596</v>
      </c>
      <c r="C960" s="57" t="n">
        <v>0.00615</v>
      </c>
      <c r="D960" s="57" t="n">
        <v>0.00741</v>
      </c>
    </row>
    <row r="961" customFormat="false" ht="15" hidden="false" customHeight="false" outlineLevel="0" collapsed="false">
      <c r="A961" s="52" t="n">
        <v>45624</v>
      </c>
      <c r="B961" s="57" t="n">
        <v>0.00581</v>
      </c>
      <c r="C961" s="57" t="n">
        <v>0.00601</v>
      </c>
      <c r="D961" s="57" t="n">
        <v>0.00727</v>
      </c>
    </row>
    <row r="962" customFormat="false" ht="15" hidden="false" customHeight="false" outlineLevel="0" collapsed="false">
      <c r="A962" s="52" t="n">
        <v>45625</v>
      </c>
      <c r="B962" s="57" t="n">
        <v>0.00599</v>
      </c>
      <c r="C962" s="57" t="n">
        <v>0.00608</v>
      </c>
      <c r="D962" s="57" t="n">
        <v>0.00728</v>
      </c>
    </row>
    <row r="963" customFormat="false" ht="15" hidden="false" customHeight="false" outlineLevel="0" collapsed="false">
      <c r="A963" s="52" t="n">
        <v>45628</v>
      </c>
      <c r="B963" s="57" t="n">
        <v>0.0062</v>
      </c>
      <c r="C963" s="57" t="n">
        <v>0.00632</v>
      </c>
      <c r="D963" s="57" t="n">
        <v>0.00751</v>
      </c>
    </row>
    <row r="964" customFormat="false" ht="15" hidden="false" customHeight="false" outlineLevel="0" collapsed="false">
      <c r="A964" s="52" t="n">
        <v>45629</v>
      </c>
      <c r="B964" s="57" t="n">
        <v>0.0061</v>
      </c>
      <c r="C964" s="57" t="n">
        <v>0.00626</v>
      </c>
      <c r="D964" s="57" t="n">
        <v>0.00747</v>
      </c>
    </row>
    <row r="965" customFormat="false" ht="15" hidden="false" customHeight="false" outlineLevel="0" collapsed="false">
      <c r="A965" s="52" t="n">
        <v>45630</v>
      </c>
      <c r="B965" s="57" t="n">
        <v>0.00585</v>
      </c>
      <c r="C965" s="57" t="n">
        <v>0.006</v>
      </c>
      <c r="D965" s="57" t="n">
        <v>0.00716</v>
      </c>
    </row>
    <row r="966" customFormat="false" ht="15" hidden="false" customHeight="false" outlineLevel="0" collapsed="false">
      <c r="A966" s="52" t="n">
        <v>45631</v>
      </c>
      <c r="B966" s="57" t="n">
        <v>0.006</v>
      </c>
      <c r="C966" s="57" t="n">
        <v>0.00613</v>
      </c>
      <c r="D966" s="57" t="n">
        <v>0.00736</v>
      </c>
    </row>
    <row r="967" customFormat="false" ht="15" hidden="false" customHeight="false" outlineLevel="0" collapsed="false">
      <c r="A967" s="52" t="n">
        <v>45632</v>
      </c>
      <c r="B967" s="57" t="n">
        <v>0.0059</v>
      </c>
      <c r="C967" s="57" t="n">
        <v>0.00606</v>
      </c>
      <c r="D967" s="57" t="n">
        <v>0.00725</v>
      </c>
    </row>
    <row r="968" customFormat="false" ht="15" hidden="false" customHeight="false" outlineLevel="0" collapsed="false">
      <c r="A968" s="52" t="n">
        <v>45635</v>
      </c>
      <c r="B968" s="57" t="n">
        <v>0.00575</v>
      </c>
      <c r="C968" s="57" t="n">
        <v>0.00594</v>
      </c>
      <c r="D968" s="57" t="n">
        <v>0.00714</v>
      </c>
    </row>
    <row r="969" customFormat="false" ht="15" hidden="false" customHeight="false" outlineLevel="0" collapsed="false">
      <c r="A969" s="52" t="n">
        <v>45636</v>
      </c>
      <c r="B969" s="57" t="n">
        <v>0.00585</v>
      </c>
      <c r="C969" s="57" t="n">
        <v>0.00609</v>
      </c>
      <c r="D969" s="57" t="n">
        <v>0.00728</v>
      </c>
    </row>
    <row r="970" customFormat="false" ht="15" hidden="false" customHeight="false" outlineLevel="0" collapsed="false">
      <c r="A970" s="52" t="n">
        <v>45637</v>
      </c>
      <c r="B970" s="57" t="n">
        <v>0.00591</v>
      </c>
      <c r="C970" s="57" t="n">
        <v>0.00612</v>
      </c>
      <c r="D970" s="57" t="n">
        <v>0.00736</v>
      </c>
    </row>
    <row r="971" customFormat="false" ht="15" hidden="false" customHeight="false" outlineLevel="0" collapsed="false">
      <c r="A971" s="52" t="n">
        <v>45638</v>
      </c>
      <c r="B971" s="57" t="n">
        <v>0.00579</v>
      </c>
      <c r="C971" s="57" t="n">
        <v>0.00599</v>
      </c>
      <c r="D971" s="57" t="n">
        <v>0.00717</v>
      </c>
    </row>
    <row r="972" customFormat="false" ht="15" hidden="false" customHeight="false" outlineLevel="0" collapsed="false">
      <c r="A972" s="52" t="n">
        <v>45639</v>
      </c>
      <c r="B972" s="57" t="n">
        <v>0.00564</v>
      </c>
      <c r="C972" s="57" t="n">
        <v>0.00573</v>
      </c>
      <c r="D972" s="57" t="n">
        <v>0.00697</v>
      </c>
    </row>
    <row r="973" customFormat="false" ht="15" hidden="false" customHeight="false" outlineLevel="0" collapsed="false">
      <c r="A973" s="52" t="n">
        <v>45642</v>
      </c>
      <c r="B973" s="57" t="n">
        <v>0.00585</v>
      </c>
      <c r="C973" s="57" t="n">
        <v>0.00591</v>
      </c>
      <c r="D973" s="57" t="n">
        <v>0.00722</v>
      </c>
    </row>
    <row r="974" customFormat="false" ht="15" hidden="false" customHeight="false" outlineLevel="0" collapsed="false">
      <c r="A974" s="52" t="n">
        <v>45643</v>
      </c>
      <c r="B974" s="57" t="n">
        <v>0.00595</v>
      </c>
      <c r="C974" s="57" t="n">
        <v>0.00598</v>
      </c>
      <c r="D974" s="57" t="n">
        <v>0.00736</v>
      </c>
    </row>
    <row r="975" customFormat="false" ht="15" hidden="false" customHeight="false" outlineLevel="0" collapsed="false">
      <c r="A975" s="52" t="n">
        <v>45644</v>
      </c>
      <c r="B975" s="57" t="n">
        <v>0.00589</v>
      </c>
      <c r="C975" s="57" t="n">
        <v>0.00589</v>
      </c>
      <c r="D975" s="57" t="n">
        <v>0.00721</v>
      </c>
    </row>
    <row r="976" customFormat="false" ht="15" hidden="false" customHeight="false" outlineLevel="0" collapsed="false">
      <c r="A976" s="52" t="n">
        <v>45645</v>
      </c>
      <c r="B976" s="57" t="n">
        <v>0.00606</v>
      </c>
      <c r="C976" s="57" t="n">
        <v>0.00609</v>
      </c>
      <c r="D976" s="57" t="n">
        <v>0.00747</v>
      </c>
    </row>
    <row r="977" customFormat="false" ht="15" hidden="false" customHeight="false" outlineLevel="0" collapsed="false">
      <c r="A977" s="52" t="n">
        <v>45646</v>
      </c>
      <c r="B977" s="57" t="n">
        <v>0.00576</v>
      </c>
      <c r="C977" s="57" t="n">
        <v>0.00573</v>
      </c>
      <c r="D977" s="57" t="n">
        <v>0.00706</v>
      </c>
    </row>
    <row r="978" customFormat="false" ht="15" hidden="false" customHeight="false" outlineLevel="0" collapsed="false">
      <c r="A978" s="52" t="n">
        <v>45649</v>
      </c>
      <c r="B978" s="57" t="n">
        <v>0.00588</v>
      </c>
      <c r="C978" s="57" t="n">
        <v>0.00584</v>
      </c>
      <c r="D978" s="57" t="n">
        <v>0.00725</v>
      </c>
    </row>
    <row r="979" customFormat="false" ht="15" hidden="false" customHeight="false" outlineLevel="0" collapsed="false">
      <c r="A979" s="52" t="n">
        <v>45650</v>
      </c>
      <c r="B979" s="57" t="n">
        <v>0.00588</v>
      </c>
      <c r="C979" s="57" t="n">
        <v>0.00584</v>
      </c>
      <c r="D979" s="57" t="n">
        <v>0.00733</v>
      </c>
    </row>
    <row r="980" customFormat="false" ht="15" hidden="false" customHeight="false" outlineLevel="0" collapsed="false">
      <c r="A980" s="52" t="n">
        <v>45651</v>
      </c>
      <c r="B980" s="57" t="n">
        <v>0.00588</v>
      </c>
      <c r="C980" s="57" t="n">
        <v>0.00585</v>
      </c>
      <c r="D980" s="57" t="n">
        <v>0.00726</v>
      </c>
    </row>
    <row r="981" customFormat="false" ht="15" hidden="false" customHeight="false" outlineLevel="0" collapsed="false">
      <c r="A981" s="52" t="n">
        <v>45652</v>
      </c>
      <c r="B981" s="57" t="n">
        <v>0.00602</v>
      </c>
      <c r="C981" s="57" t="n">
        <v>0.00599</v>
      </c>
      <c r="D981" s="57" t="n">
        <v>0.00746</v>
      </c>
    </row>
    <row r="982" customFormat="false" ht="15" hidden="false" customHeight="false" outlineLevel="0" collapsed="false">
      <c r="A982" s="52" t="n">
        <v>45653</v>
      </c>
      <c r="B982" s="57" t="n">
        <v>0.00602</v>
      </c>
      <c r="C982" s="57" t="n">
        <v>0.00606</v>
      </c>
      <c r="D982" s="57" t="n">
        <v>0.0076</v>
      </c>
    </row>
    <row r="983" customFormat="false" ht="15" hidden="false" customHeight="false" outlineLevel="0" collapsed="false">
      <c r="A983" s="52" t="n">
        <v>45656</v>
      </c>
      <c r="B983" s="57" t="n">
        <v>0.00599</v>
      </c>
      <c r="C983" s="57" t="n">
        <v>0.00604</v>
      </c>
      <c r="D983" s="57" t="n">
        <v>0.00743</v>
      </c>
    </row>
    <row r="984" customFormat="false" ht="15" hidden="false" customHeight="false" outlineLevel="0" collapsed="false">
      <c r="A984" s="52" t="n">
        <v>45663</v>
      </c>
      <c r="B984" s="57" t="n">
        <v>0.00626</v>
      </c>
      <c r="C984" s="57" t="n">
        <v>0.00638</v>
      </c>
      <c r="D984" s="57" t="n">
        <v>0.00791</v>
      </c>
    </row>
    <row r="985" customFormat="false" ht="15" hidden="false" customHeight="false" outlineLevel="0" collapsed="false">
      <c r="A985" s="52" t="n">
        <v>45664</v>
      </c>
      <c r="B985" s="57" t="n">
        <v>0.00632</v>
      </c>
      <c r="C985" s="57" t="n">
        <v>0.00646</v>
      </c>
      <c r="D985" s="57" t="n">
        <v>0.00794</v>
      </c>
    </row>
    <row r="986" customFormat="false" ht="15" hidden="false" customHeight="false" outlineLevel="0" collapsed="false">
      <c r="A986" s="52" t="n">
        <v>45665</v>
      </c>
      <c r="B986" s="57" t="n">
        <v>0.00648</v>
      </c>
      <c r="C986" s="57" t="n">
        <v>0.00667</v>
      </c>
      <c r="D986" s="57" t="n">
        <v>0.00821</v>
      </c>
    </row>
    <row r="987" customFormat="false" ht="15" hidden="false" customHeight="false" outlineLevel="0" collapsed="false">
      <c r="A987" s="52" t="n">
        <v>45666</v>
      </c>
      <c r="B987" s="57" t="n">
        <v>0.00643</v>
      </c>
      <c r="C987" s="57" t="n">
        <v>0.0066</v>
      </c>
      <c r="D987" s="57" t="n">
        <v>0.00816</v>
      </c>
    </row>
    <row r="988" customFormat="false" ht="15" hidden="false" customHeight="false" outlineLevel="0" collapsed="false">
      <c r="A988" s="52" t="n">
        <v>45667</v>
      </c>
      <c r="B988" s="57" t="n">
        <v>0.00649</v>
      </c>
      <c r="C988" s="57" t="n">
        <v>0.00675</v>
      </c>
      <c r="D988" s="57" t="n">
        <v>0.00832</v>
      </c>
    </row>
    <row r="989" customFormat="false" ht="15" hidden="false" customHeight="false" outlineLevel="0" collapsed="false">
      <c r="A989" s="52" t="n">
        <v>45671</v>
      </c>
      <c r="B989" s="57" t="n">
        <v>0.00687</v>
      </c>
      <c r="C989" s="57" t="n">
        <v>0.00711</v>
      </c>
      <c r="D989" s="57" t="n">
        <v>0.00874</v>
      </c>
    </row>
    <row r="990" customFormat="false" ht="15" hidden="false" customHeight="false" outlineLevel="0" collapsed="false">
      <c r="A990" s="52" t="n">
        <v>45672</v>
      </c>
      <c r="B990" s="57" t="n">
        <v>0.00707</v>
      </c>
      <c r="C990" s="57" t="n">
        <v>0.00733</v>
      </c>
      <c r="D990" s="57" t="n">
        <v>0.00894</v>
      </c>
    </row>
    <row r="991" customFormat="false" ht="15" hidden="false" customHeight="false" outlineLevel="0" collapsed="false">
      <c r="A991" s="52" t="n">
        <v>45673</v>
      </c>
      <c r="B991" s="57" t="n">
        <v>0.00698</v>
      </c>
      <c r="C991" s="57" t="n">
        <v>0.00713</v>
      </c>
      <c r="D991" s="57" t="n">
        <v>0.00869</v>
      </c>
    </row>
    <row r="992" customFormat="false" ht="15" hidden="false" customHeight="false" outlineLevel="0" collapsed="false">
      <c r="A992" s="52" t="n">
        <v>45674</v>
      </c>
      <c r="B992" s="57" t="n">
        <v>0.00693</v>
      </c>
      <c r="C992" s="57" t="n">
        <v>0.00706</v>
      </c>
      <c r="D992" s="57" t="n">
        <v>0.00865</v>
      </c>
    </row>
    <row r="993" customFormat="false" ht="15" hidden="false" customHeight="false" outlineLevel="0" collapsed="false">
      <c r="A993" s="52" t="n">
        <v>45677</v>
      </c>
      <c r="B993" s="57" t="n">
        <v>0.00683</v>
      </c>
      <c r="C993" s="57" t="n">
        <v>0.00698</v>
      </c>
      <c r="D993" s="57" t="n">
        <v>0.00855</v>
      </c>
    </row>
    <row r="994" customFormat="false" ht="15" hidden="false" customHeight="false" outlineLevel="0" collapsed="false">
      <c r="A994" s="52" t="n">
        <v>45678</v>
      </c>
      <c r="B994" s="57" t="n">
        <v>0.00677</v>
      </c>
      <c r="C994" s="57" t="n">
        <v>0.00694</v>
      </c>
      <c r="D994" s="57" t="n">
        <v>0.00851</v>
      </c>
    </row>
    <row r="995" customFormat="false" ht="15" hidden="false" customHeight="false" outlineLevel="0" collapsed="false">
      <c r="A995" s="52" t="n">
        <v>45679</v>
      </c>
      <c r="B995" s="57" t="n">
        <v>0.00698</v>
      </c>
      <c r="C995" s="57" t="n">
        <v>0.0072</v>
      </c>
      <c r="D995" s="57" t="n">
        <v>0.00874</v>
      </c>
    </row>
    <row r="996" customFormat="false" ht="15" hidden="false" customHeight="false" outlineLevel="0" collapsed="false">
      <c r="A996" s="52" t="n">
        <v>45680</v>
      </c>
      <c r="B996" s="57" t="n">
        <v>0.00704</v>
      </c>
      <c r="C996" s="57" t="n">
        <v>0.00724</v>
      </c>
      <c r="D996" s="57" t="n">
        <v>0.0088</v>
      </c>
    </row>
    <row r="997" customFormat="false" ht="15" hidden="false" customHeight="false" outlineLevel="0" collapsed="false">
      <c r="A997" s="52" t="n">
        <v>45681</v>
      </c>
      <c r="B997" s="57" t="n">
        <v>0.00718</v>
      </c>
      <c r="C997" s="57" t="n">
        <v>0.00751</v>
      </c>
      <c r="D997" s="57" t="n">
        <v>0.0091</v>
      </c>
    </row>
    <row r="998" customFormat="false" ht="15" hidden="false" customHeight="false" outlineLevel="0" collapsed="false">
      <c r="A998" s="52" t="n">
        <v>45684</v>
      </c>
      <c r="B998" s="57" t="n">
        <v>0.00705</v>
      </c>
      <c r="C998" s="57" t="n">
        <v>0.00735</v>
      </c>
      <c r="D998" s="57" t="n">
        <v>0.00888</v>
      </c>
    </row>
    <row r="999" customFormat="false" ht="15" hidden="false" customHeight="false" outlineLevel="0" collapsed="false">
      <c r="A999" s="52" t="n">
        <v>45685</v>
      </c>
      <c r="B999" s="57" t="n">
        <v>0.00695</v>
      </c>
      <c r="C999" s="57" t="n">
        <v>0.00724</v>
      </c>
      <c r="D999" s="57" t="n">
        <v>0.00865</v>
      </c>
    </row>
    <row r="1000" customFormat="false" ht="15" hidden="false" customHeight="false" outlineLevel="0" collapsed="false">
      <c r="A1000" s="52" t="n">
        <v>45686</v>
      </c>
      <c r="B1000" s="57" t="n">
        <v>0.00704</v>
      </c>
      <c r="C1000" s="57" t="n">
        <v>0.00735</v>
      </c>
      <c r="D1000" s="57" t="n">
        <v>0.00868</v>
      </c>
    </row>
    <row r="1001" customFormat="false" ht="15" hidden="false" customHeight="false" outlineLevel="0" collapsed="false">
      <c r="A1001" s="52" t="n">
        <v>45687</v>
      </c>
      <c r="B1001" s="57" t="n">
        <v>0.00718</v>
      </c>
      <c r="C1001" s="57" t="n">
        <v>0.00746</v>
      </c>
      <c r="D1001" s="57" t="n">
        <v>0.00883</v>
      </c>
    </row>
    <row r="1002" customFormat="false" ht="15" hidden="false" customHeight="false" outlineLevel="0" collapsed="false">
      <c r="A1002" s="52" t="n">
        <v>45688</v>
      </c>
      <c r="B1002" s="57" t="n">
        <v>0.00729</v>
      </c>
      <c r="C1002" s="57" t="n">
        <v>0.00754</v>
      </c>
      <c r="D1002" s="57" t="n">
        <v>0.00909</v>
      </c>
    </row>
    <row r="1003" customFormat="false" ht="15" hidden="false" customHeight="false" outlineLevel="0" collapsed="false">
      <c r="A1003" s="52" t="n">
        <v>45691</v>
      </c>
      <c r="B1003" s="57" t="n">
        <v>0.0072</v>
      </c>
      <c r="C1003" s="57" t="n">
        <v>0.00745</v>
      </c>
      <c r="D1003" s="57" t="n">
        <v>0.00899</v>
      </c>
    </row>
    <row r="1004" customFormat="false" ht="15" hidden="false" customHeight="false" outlineLevel="0" collapsed="false">
      <c r="A1004" s="52" t="n">
        <v>45692</v>
      </c>
      <c r="B1004" s="57" t="n">
        <v>0.00741</v>
      </c>
      <c r="C1004" s="57" t="n">
        <v>0.00764</v>
      </c>
      <c r="D1004" s="57" t="n">
        <v>0.0093</v>
      </c>
    </row>
    <row r="1005" customFormat="false" ht="15" hidden="false" customHeight="false" outlineLevel="0" collapsed="false">
      <c r="A1005" s="52" t="n">
        <v>45693</v>
      </c>
      <c r="B1005" s="57" t="n">
        <v>0.00756</v>
      </c>
      <c r="C1005" s="57" t="n">
        <v>0.00778</v>
      </c>
      <c r="D1005" s="57" t="n">
        <v>0.00945</v>
      </c>
    </row>
    <row r="1006" customFormat="false" ht="15" hidden="false" customHeight="false" outlineLevel="0" collapsed="false">
      <c r="A1006" s="52" t="n">
        <v>45694</v>
      </c>
      <c r="B1006" s="57" t="n">
        <v>0.00762</v>
      </c>
      <c r="C1006" s="57" t="n">
        <v>0.00784</v>
      </c>
      <c r="D1006" s="57" t="n">
        <v>0.0094</v>
      </c>
    </row>
    <row r="1007" customFormat="false" ht="15" hidden="false" customHeight="false" outlineLevel="0" collapsed="false">
      <c r="A1007" s="52" t="n">
        <v>45695</v>
      </c>
      <c r="B1007" s="57" t="n">
        <v>0.00798</v>
      </c>
      <c r="C1007" s="57" t="n">
        <v>0.00828</v>
      </c>
      <c r="D1007" s="57" t="n">
        <v>0.00987</v>
      </c>
    </row>
    <row r="1008" customFormat="false" ht="15" hidden="false" customHeight="false" outlineLevel="0" collapsed="false">
      <c r="A1008" s="52" t="n">
        <v>45698</v>
      </c>
      <c r="B1008" s="57" t="n">
        <v>0.00798</v>
      </c>
      <c r="C1008" s="57" t="n">
        <v>0.00829</v>
      </c>
      <c r="D1008" s="57" t="n">
        <v>0.00988</v>
      </c>
    </row>
    <row r="1009" customFormat="false" ht="15" hidden="false" customHeight="false" outlineLevel="0" collapsed="false">
      <c r="A1009" s="52" t="n">
        <v>45700</v>
      </c>
      <c r="B1009" s="57" t="n">
        <v>0.00799</v>
      </c>
      <c r="C1009" s="57" t="n">
        <v>0.00831</v>
      </c>
      <c r="D1009" s="57" t="n">
        <v>0.01005</v>
      </c>
    </row>
    <row r="1010" customFormat="false" ht="15" hidden="false" customHeight="false" outlineLevel="0" collapsed="false">
      <c r="A1010" s="52" t="n">
        <v>45701</v>
      </c>
      <c r="B1010" s="57" t="n">
        <v>0.00794</v>
      </c>
      <c r="C1010" s="57" t="n">
        <v>0.00829</v>
      </c>
      <c r="D1010" s="57" t="n">
        <v>0.01006</v>
      </c>
    </row>
    <row r="1011" customFormat="false" ht="15" hidden="false" customHeight="false" outlineLevel="0" collapsed="false">
      <c r="A1011" s="52" t="n">
        <v>45702</v>
      </c>
      <c r="B1011" s="57" t="n">
        <v>0.00794</v>
      </c>
      <c r="C1011" s="57" t="n">
        <v>0.00834</v>
      </c>
      <c r="D1011" s="57" t="n">
        <v>0.01013</v>
      </c>
    </row>
    <row r="1012" customFormat="false" ht="15" hidden="false" customHeight="false" outlineLevel="0" collapsed="false">
      <c r="A1012" s="52" t="n">
        <v>45705</v>
      </c>
      <c r="B1012" s="57" t="n">
        <v>0.00809</v>
      </c>
      <c r="C1012" s="57" t="n">
        <v>0.00865</v>
      </c>
      <c r="D1012" s="57" t="n">
        <v>0.01057</v>
      </c>
    </row>
    <row r="1013" customFormat="false" ht="15" hidden="false" customHeight="false" outlineLevel="0" collapsed="false">
      <c r="A1013" s="52" t="n">
        <v>45706</v>
      </c>
      <c r="B1013" s="57" t="n">
        <v>0.00827</v>
      </c>
      <c r="C1013" s="57" t="n">
        <v>0.00883</v>
      </c>
      <c r="D1013" s="57" t="n">
        <v>0.01093</v>
      </c>
    </row>
    <row r="1014" customFormat="false" ht="15" hidden="false" customHeight="false" outlineLevel="0" collapsed="false">
      <c r="A1014" s="52" t="n">
        <v>45707</v>
      </c>
      <c r="B1014" s="57" t="n">
        <v>0.0082</v>
      </c>
      <c r="C1014" s="57" t="n">
        <v>0.00883</v>
      </c>
      <c r="D1014" s="57" t="n">
        <v>0.01083</v>
      </c>
    </row>
    <row r="1015" customFormat="false" ht="15" hidden="false" customHeight="false" outlineLevel="0" collapsed="false">
      <c r="A1015" s="52" t="n">
        <v>45708</v>
      </c>
      <c r="B1015" s="57" t="n">
        <v>0.00821</v>
      </c>
      <c r="C1015" s="57" t="n">
        <v>0.00889</v>
      </c>
      <c r="D1015" s="57" t="n">
        <v>0.01087</v>
      </c>
    </row>
    <row r="1016" customFormat="false" ht="15" hidden="false" customHeight="false" outlineLevel="0" collapsed="false">
      <c r="A1016" s="52" t="n">
        <v>45709</v>
      </c>
      <c r="B1016" s="57" t="n">
        <v>0.00818</v>
      </c>
      <c r="C1016" s="57" t="n">
        <v>0.00881</v>
      </c>
      <c r="D1016" s="57" t="n">
        <v>0.01063</v>
      </c>
    </row>
    <row r="1017" customFormat="false" ht="15" hidden="false" customHeight="false" outlineLevel="0" collapsed="false">
      <c r="A1017" s="52" t="n">
        <v>45713</v>
      </c>
      <c r="B1017" s="57" t="n">
        <v>0.00803</v>
      </c>
      <c r="C1017" s="57" t="n">
        <v>0.00864</v>
      </c>
      <c r="D1017" s="57" t="n">
        <v>0.01038</v>
      </c>
    </row>
    <row r="1018" customFormat="false" ht="15" hidden="false" customHeight="false" outlineLevel="0" collapsed="false">
      <c r="A1018" s="52" t="n">
        <v>45714</v>
      </c>
      <c r="B1018" s="57" t="n">
        <v>0.00801</v>
      </c>
      <c r="C1018" s="57" t="n">
        <v>0.00859</v>
      </c>
      <c r="D1018" s="57" t="n">
        <v>0.01022</v>
      </c>
    </row>
    <row r="1019" customFormat="false" ht="15" hidden="false" customHeight="false" outlineLevel="0" collapsed="false">
      <c r="A1019" s="52" t="n">
        <v>45715</v>
      </c>
      <c r="B1019" s="57" t="n">
        <v>0.00826</v>
      </c>
      <c r="C1019" s="57" t="n">
        <v>0.00878</v>
      </c>
      <c r="D1019" s="57" t="n">
        <v>0.01043</v>
      </c>
    </row>
    <row r="1020" customFormat="false" ht="15" hidden="false" customHeight="false" outlineLevel="0" collapsed="false">
      <c r="A1020" s="52" t="n">
        <v>45716</v>
      </c>
      <c r="B1020" s="57" t="n">
        <v>0.00806</v>
      </c>
      <c r="C1020" s="57" t="n">
        <v>0.00854</v>
      </c>
      <c r="D1020" s="57" t="n">
        <v>0.01007</v>
      </c>
    </row>
    <row r="1021" customFormat="false" ht="15" hidden="false" customHeight="false" outlineLevel="0" collapsed="false">
      <c r="A1021" s="52" t="n">
        <v>45719</v>
      </c>
      <c r="B1021" s="57" t="n">
        <v>0.00825</v>
      </c>
      <c r="C1021" s="57" t="n">
        <v>0.00883</v>
      </c>
      <c r="D1021" s="57" t="n">
        <v>0.0105</v>
      </c>
    </row>
    <row r="1022" customFormat="false" ht="15" hidden="false" customHeight="false" outlineLevel="0" collapsed="false">
      <c r="A1022" s="52" t="n">
        <v>45720</v>
      </c>
      <c r="B1022" s="57" t="n">
        <v>0.00831</v>
      </c>
      <c r="C1022" s="57" t="n">
        <v>0.0089</v>
      </c>
      <c r="D1022" s="57" t="n">
        <v>0.01069</v>
      </c>
    </row>
    <row r="1023" customFormat="false" ht="15" hidden="false" customHeight="false" outlineLevel="0" collapsed="false">
      <c r="A1023" s="52" t="n">
        <v>45721</v>
      </c>
      <c r="B1023" s="57" t="n">
        <v>0.00831</v>
      </c>
      <c r="C1023" s="57" t="n">
        <v>0.00895</v>
      </c>
      <c r="D1023" s="57" t="n">
        <v>0.01076</v>
      </c>
    </row>
    <row r="1024" customFormat="false" ht="15" hidden="false" customHeight="false" outlineLevel="0" collapsed="false">
      <c r="A1024" s="52" t="n">
        <v>45722</v>
      </c>
      <c r="B1024" s="57" t="n">
        <v>0.00852</v>
      </c>
      <c r="C1024" s="57" t="n">
        <v>0.00925</v>
      </c>
      <c r="D1024" s="57" t="n">
        <v>0.01132</v>
      </c>
    </row>
    <row r="1025" customFormat="false" ht="15" hidden="false" customHeight="false" outlineLevel="0" collapsed="false">
      <c r="A1025" s="52" t="n">
        <v>45723</v>
      </c>
      <c r="B1025" s="57" t="n">
        <v>0.00848</v>
      </c>
      <c r="C1025" s="57" t="n">
        <v>0.00929</v>
      </c>
      <c r="D1025" s="57" t="n">
        <v>0.01127</v>
      </c>
    </row>
    <row r="1026" customFormat="false" ht="15" hidden="false" customHeight="false" outlineLevel="0" collapsed="false">
      <c r="A1026" s="52" t="n">
        <v>45726</v>
      </c>
      <c r="B1026" s="57" t="n">
        <v>0.00875</v>
      </c>
      <c r="C1026" s="57" t="n">
        <v>0.0096</v>
      </c>
      <c r="D1026" s="57" t="n">
        <v>0.01174</v>
      </c>
    </row>
    <row r="1027" customFormat="false" ht="15" hidden="false" customHeight="false" outlineLevel="0" collapsed="false">
      <c r="A1027" s="52" t="n">
        <v>45727</v>
      </c>
      <c r="B1027" s="57" t="n">
        <v>0.00834</v>
      </c>
      <c r="C1027" s="57" t="n">
        <v>0.00917</v>
      </c>
      <c r="D1027" s="57" t="n">
        <v>0.01115</v>
      </c>
    </row>
    <row r="1028" customFormat="false" ht="15" hidden="false" customHeight="false" outlineLevel="0" collapsed="false">
      <c r="A1028" s="52" t="n">
        <v>45728</v>
      </c>
      <c r="B1028" s="57" t="n">
        <v>0.0085</v>
      </c>
      <c r="C1028" s="57" t="n">
        <v>0.00931</v>
      </c>
      <c r="D1028" s="57" t="n">
        <v>0.0114</v>
      </c>
    </row>
    <row r="1029" customFormat="false" ht="15" hidden="false" customHeight="false" outlineLevel="0" collapsed="false">
      <c r="A1029" s="52" t="n">
        <v>45729</v>
      </c>
      <c r="B1029" s="57" t="n">
        <v>0.00861</v>
      </c>
      <c r="C1029" s="57" t="n">
        <v>0.00945</v>
      </c>
      <c r="D1029" s="57" t="n">
        <v>0.0116</v>
      </c>
    </row>
    <row r="1030" customFormat="false" ht="15" hidden="false" customHeight="false" outlineLevel="0" collapsed="false">
      <c r="A1030" s="52" t="n">
        <v>45730</v>
      </c>
      <c r="B1030" s="57" t="n">
        <v>0.0084</v>
      </c>
      <c r="C1030" s="57" t="n">
        <v>0.00923</v>
      </c>
      <c r="D1030" s="57" t="n">
        <v>0.01131</v>
      </c>
    </row>
    <row r="1031" customFormat="false" ht="15" hidden="false" customHeight="false" outlineLevel="0" collapsed="false">
      <c r="A1031" s="52" t="n">
        <v>45733</v>
      </c>
      <c r="B1031" s="57" t="n">
        <v>0.00811</v>
      </c>
      <c r="C1031" s="57" t="n">
        <v>0.00898</v>
      </c>
      <c r="D1031" s="57" t="n">
        <v>0.01107</v>
      </c>
    </row>
    <row r="1032" customFormat="false" ht="15" hidden="false" customHeight="false" outlineLevel="0" collapsed="false">
      <c r="A1032" s="52" t="n">
        <v>45734</v>
      </c>
      <c r="B1032" s="57" t="n">
        <v>0.00815</v>
      </c>
      <c r="C1032" s="57" t="n">
        <v>0.00899</v>
      </c>
      <c r="D1032" s="57" t="n">
        <v>0.01106</v>
      </c>
    </row>
    <row r="1033" customFormat="false" ht="15" hidden="false" customHeight="false" outlineLevel="0" collapsed="false">
      <c r="A1033" s="52" t="n">
        <v>45735</v>
      </c>
      <c r="B1033" s="57" t="n">
        <v>0.00842</v>
      </c>
      <c r="C1033" s="57" t="n">
        <v>0.00914</v>
      </c>
      <c r="D1033" s="57" t="n">
        <v>0.01124</v>
      </c>
    </row>
    <row r="1034" customFormat="false" ht="15" hidden="false" customHeight="false" outlineLevel="0" collapsed="false">
      <c r="A1034" s="52" t="n">
        <v>45737</v>
      </c>
      <c r="B1034" s="57" t="n">
        <v>0.00854</v>
      </c>
      <c r="C1034" s="57" t="n">
        <v>0.00922</v>
      </c>
      <c r="D1034" s="57" t="n">
        <v>0.01134</v>
      </c>
    </row>
    <row r="1035" customFormat="false" ht="15" hidden="false" customHeight="false" outlineLevel="0" collapsed="false">
      <c r="A1035" s="52" t="n">
        <v>45740</v>
      </c>
      <c r="B1035" s="57" t="n">
        <v>0.00871</v>
      </c>
      <c r="C1035" s="57" t="n">
        <v>0.00935</v>
      </c>
      <c r="D1035" s="57" t="n">
        <v>0.01149</v>
      </c>
    </row>
    <row r="1036" customFormat="false" ht="15" hidden="false" customHeight="false" outlineLevel="0" collapsed="false">
      <c r="A1036" s="52" t="n">
        <v>45741</v>
      </c>
      <c r="B1036" s="57" t="n">
        <v>0.00887</v>
      </c>
      <c r="C1036" s="57" t="n">
        <v>0.00957</v>
      </c>
      <c r="D1036" s="57" t="n">
        <v>0.01186</v>
      </c>
    </row>
    <row r="1037" customFormat="false" ht="15" hidden="false" customHeight="false" outlineLevel="0" collapsed="false">
      <c r="A1037" s="52" t="n">
        <v>45742</v>
      </c>
      <c r="B1037" s="57" t="n">
        <v>0.00892</v>
      </c>
      <c r="C1037" s="57" t="n">
        <v>0.00955</v>
      </c>
      <c r="D1037" s="57" t="n">
        <v>0.01197</v>
      </c>
    </row>
    <row r="1038" customFormat="false" ht="15" hidden="false" customHeight="false" outlineLevel="0" collapsed="false">
      <c r="A1038" s="52" t="n">
        <v>45743</v>
      </c>
      <c r="B1038" s="57" t="n">
        <v>0.00893</v>
      </c>
      <c r="C1038" s="57" t="n">
        <v>0.0096</v>
      </c>
      <c r="D1038" s="57" t="n">
        <v>0.01194</v>
      </c>
    </row>
    <row r="1039" customFormat="false" ht="15" hidden="false" customHeight="false" outlineLevel="0" collapsed="false">
      <c r="A1039" s="52" t="n">
        <v>45744</v>
      </c>
      <c r="B1039" s="57" t="n">
        <v>0.00877</v>
      </c>
      <c r="C1039" s="57" t="n">
        <v>0.0094</v>
      </c>
      <c r="D1039" s="57" t="n">
        <v>0.01167</v>
      </c>
    </row>
    <row r="1040" customFormat="false" ht="15" hidden="false" customHeight="false" outlineLevel="0" collapsed="false">
      <c r="A1040" s="52" t="n">
        <v>45747</v>
      </c>
      <c r="B1040" s="57" t="n">
        <v>0.00854</v>
      </c>
      <c r="C1040" s="57" t="n">
        <v>0.00887</v>
      </c>
      <c r="D1040" s="57" t="n">
        <v>0.01113</v>
      </c>
    </row>
    <row r="1041" customFormat="false" ht="15" hidden="false" customHeight="false" outlineLevel="0" collapsed="false">
      <c r="A1041" s="52" t="n">
        <v>45748</v>
      </c>
      <c r="B1041" s="57" t="n">
        <v>0.00855</v>
      </c>
      <c r="C1041" s="57" t="n">
        <v>0.00901</v>
      </c>
      <c r="D1041" s="57" t="n">
        <v>0.01122</v>
      </c>
    </row>
    <row r="1042" customFormat="false" ht="15" hidden="false" customHeight="false" outlineLevel="0" collapsed="false">
      <c r="A1042" s="52" t="n">
        <v>45749</v>
      </c>
      <c r="B1042" s="57" t="n">
        <v>0.00834</v>
      </c>
      <c r="C1042" s="57" t="n">
        <v>0.00885</v>
      </c>
      <c r="D1042" s="57" t="n">
        <v>0.01092</v>
      </c>
    </row>
    <row r="1043" customFormat="false" ht="15" hidden="false" customHeight="false" outlineLevel="0" collapsed="false">
      <c r="A1043" s="52" t="n">
        <v>45750</v>
      </c>
      <c r="B1043" s="57" t="n">
        <v>0.00754</v>
      </c>
      <c r="C1043" s="57" t="n">
        <v>0.00803</v>
      </c>
      <c r="D1043" s="57" t="n">
        <v>0.00987</v>
      </c>
    </row>
    <row r="1044" customFormat="false" ht="15" hidden="false" customHeight="false" outlineLevel="0" collapsed="false">
      <c r="A1044" s="52" t="n">
        <v>45751</v>
      </c>
      <c r="B1044" s="57" t="n">
        <v>0.00612</v>
      </c>
      <c r="C1044" s="57" t="n">
        <v>0.0065</v>
      </c>
      <c r="D1044" s="57" t="n">
        <v>0.00797</v>
      </c>
    </row>
    <row r="1045" customFormat="false" ht="15" hidden="false" customHeight="false" outlineLevel="0" collapsed="false">
      <c r="A1045" s="52" t="n">
        <v>45754</v>
      </c>
      <c r="B1045" s="57" t="n">
        <v>0.00586</v>
      </c>
      <c r="C1045" s="57" t="n">
        <v>0.00621</v>
      </c>
      <c r="D1045" s="57" t="n">
        <v>0.00761</v>
      </c>
    </row>
    <row r="1046" customFormat="false" ht="15" hidden="false" customHeight="false" outlineLevel="0" collapsed="false">
      <c r="A1046" s="52" t="n">
        <v>45755</v>
      </c>
      <c r="B1046" s="57" t="n">
        <v>0.00647</v>
      </c>
      <c r="C1046" s="57" t="n">
        <v>0.00692</v>
      </c>
      <c r="D1046" s="57" t="n">
        <v>0.00869</v>
      </c>
    </row>
    <row r="1047" customFormat="false" ht="15" hidden="false" customHeight="false" outlineLevel="0" collapsed="false">
      <c r="A1047" s="52" t="n">
        <v>45756</v>
      </c>
      <c r="B1047" s="57" t="n">
        <v>0.00611</v>
      </c>
      <c r="C1047" s="57" t="n">
        <v>0.00661</v>
      </c>
      <c r="D1047" s="57" t="n">
        <v>0.00853</v>
      </c>
    </row>
    <row r="1048" customFormat="false" ht="15" hidden="false" customHeight="false" outlineLevel="0" collapsed="false">
      <c r="A1048" s="52" t="n">
        <v>45757</v>
      </c>
      <c r="B1048" s="57" t="n">
        <v>0.00676</v>
      </c>
      <c r="C1048" s="57" t="n">
        <v>0.00728</v>
      </c>
      <c r="D1048" s="57" t="n">
        <v>0.00931</v>
      </c>
    </row>
    <row r="1049" customFormat="false" ht="15" hidden="false" customHeight="false" outlineLevel="0" collapsed="false">
      <c r="A1049" s="52" t="n">
        <v>45758</v>
      </c>
      <c r="B1049" s="57" t="n">
        <v>0.00611</v>
      </c>
      <c r="C1049" s="57" t="n">
        <v>0.00656</v>
      </c>
      <c r="D1049" s="57" t="n">
        <v>0.00844</v>
      </c>
    </row>
    <row r="1050" customFormat="false" ht="15" hidden="false" customHeight="false" outlineLevel="0" collapsed="false">
      <c r="A1050" s="52" t="n">
        <v>45761</v>
      </c>
      <c r="B1050" s="57" t="n">
        <v>0.00589</v>
      </c>
      <c r="C1050" s="57" t="n">
        <v>0.00634</v>
      </c>
      <c r="D1050" s="57" t="n">
        <v>0.00817</v>
      </c>
    </row>
    <row r="1051" customFormat="false" ht="15" hidden="false" customHeight="false" outlineLevel="0" collapsed="false">
      <c r="A1051" s="52" t="n">
        <v>45762</v>
      </c>
      <c r="B1051" s="57" t="n">
        <v>0.00646</v>
      </c>
      <c r="C1051" s="57" t="n">
        <v>0.00697</v>
      </c>
      <c r="D1051" s="57" t="n">
        <v>0.00885</v>
      </c>
    </row>
    <row r="1052" customFormat="false" ht="15" hidden="false" customHeight="false" outlineLevel="0" collapsed="false">
      <c r="A1052" s="52" t="n">
        <v>45763</v>
      </c>
      <c r="B1052" s="57" t="n">
        <v>0.00615</v>
      </c>
      <c r="C1052" s="57" t="n">
        <v>0.00666</v>
      </c>
      <c r="D1052" s="57" t="n">
        <v>0.00842</v>
      </c>
    </row>
    <row r="1053" customFormat="false" ht="15" hidden="false" customHeight="false" outlineLevel="0" collapsed="false">
      <c r="A1053" s="52" t="n">
        <v>45764</v>
      </c>
      <c r="B1053" s="57" t="n">
        <v>0.0065</v>
      </c>
      <c r="C1053" s="57" t="n">
        <v>0.00697</v>
      </c>
      <c r="D1053" s="57" t="n">
        <v>0.00867</v>
      </c>
    </row>
    <row r="1054" customFormat="false" ht="15" hidden="false" customHeight="false" outlineLevel="0" collapsed="false">
      <c r="A1054" s="52" t="n">
        <v>45765</v>
      </c>
      <c r="B1054" s="57" t="n">
        <v>0.00636</v>
      </c>
      <c r="C1054" s="57" t="n">
        <v>0.00682</v>
      </c>
      <c r="D1054" s="57" t="n">
        <v>0.00844</v>
      </c>
    </row>
    <row r="1055" customFormat="false" ht="15" hidden="false" customHeight="false" outlineLevel="0" collapsed="false">
      <c r="A1055" s="52" t="n">
        <v>45768</v>
      </c>
      <c r="B1055" s="57" t="n">
        <v>0.00649</v>
      </c>
      <c r="C1055" s="57" t="n">
        <v>0.00688</v>
      </c>
      <c r="D1055" s="57" t="n">
        <v>0.00848</v>
      </c>
    </row>
    <row r="1056" customFormat="false" ht="15" hidden="false" customHeight="false" outlineLevel="0" collapsed="false">
      <c r="A1056" s="52" t="n">
        <v>45769</v>
      </c>
      <c r="B1056" s="57" t="n">
        <v>0.0067</v>
      </c>
      <c r="C1056" s="57" t="n">
        <v>0.00716</v>
      </c>
      <c r="D1056" s="57" t="n">
        <v>0.00878</v>
      </c>
    </row>
    <row r="1057" customFormat="false" ht="15" hidden="false" customHeight="false" outlineLevel="0" collapsed="false">
      <c r="A1057" s="52" t="n">
        <v>45770</v>
      </c>
      <c r="B1057" s="57" t="n">
        <v>0.00684</v>
      </c>
      <c r="C1057" s="57" t="n">
        <v>0.0074</v>
      </c>
      <c r="D1057" s="57" t="n">
        <v>0.00906</v>
      </c>
    </row>
    <row r="1058" customFormat="false" ht="15" hidden="false" customHeight="false" outlineLevel="0" collapsed="false">
      <c r="A1058" s="52" t="n">
        <v>45771</v>
      </c>
      <c r="B1058" s="57" t="n">
        <v>0.00679</v>
      </c>
      <c r="C1058" s="57" t="n">
        <v>0.00723</v>
      </c>
      <c r="D1058" s="57" t="n">
        <v>0.00884</v>
      </c>
    </row>
    <row r="1059" customFormat="false" ht="15" hidden="false" customHeight="false" outlineLevel="0" collapsed="false">
      <c r="A1059" s="52" t="n">
        <v>45772</v>
      </c>
      <c r="B1059" s="57" t="n">
        <v>0.00689</v>
      </c>
      <c r="C1059" s="57" t="n">
        <v>0.00734</v>
      </c>
      <c r="D1059" s="57" t="n">
        <v>0.00903</v>
      </c>
    </row>
    <row r="1060" customFormat="false" ht="15" hidden="false" customHeight="false" outlineLevel="0" collapsed="false">
      <c r="A1060" s="52" t="n">
        <v>45775</v>
      </c>
      <c r="B1060" s="57" t="n">
        <v>0.00686</v>
      </c>
      <c r="C1060" s="57" t="n">
        <v>0.00729</v>
      </c>
      <c r="D1060" s="57" t="n">
        <v>0.00898</v>
      </c>
    </row>
    <row r="1061" customFormat="false" ht="15" hidden="false" customHeight="false" outlineLevel="0" collapsed="false">
      <c r="A1061" s="52" t="n">
        <v>45777</v>
      </c>
      <c r="B1061" s="57" t="n">
        <v>0.00676</v>
      </c>
      <c r="C1061" s="57" t="n">
        <v>0.0072</v>
      </c>
      <c r="D1061" s="57" t="n">
        <v>0.00888</v>
      </c>
    </row>
    <row r="1062" customFormat="false" ht="15" hidden="false" customHeight="false" outlineLevel="0" collapsed="false">
      <c r="A1062" s="52" t="n">
        <v>45778</v>
      </c>
      <c r="B1062" s="57" t="n">
        <v>0.00629</v>
      </c>
      <c r="C1062" s="57" t="n">
        <v>0.00675</v>
      </c>
      <c r="D1062" s="57" t="n">
        <v>0.00844</v>
      </c>
    </row>
    <row r="1063" customFormat="false" ht="15" hidden="false" customHeight="false" outlineLevel="0" collapsed="false">
      <c r="A1063" s="52" t="n">
        <v>45779</v>
      </c>
      <c r="B1063" s="57" t="n">
        <v>0.00609</v>
      </c>
      <c r="C1063" s="57" t="n">
        <v>0.00659</v>
      </c>
      <c r="D1063" s="57" t="n">
        <v>0.0083</v>
      </c>
    </row>
    <row r="1064" customFormat="false" ht="15" hidden="false" customHeight="false" outlineLevel="0" collapsed="false">
      <c r="A1064" s="52" t="n">
        <v>45784</v>
      </c>
      <c r="B1064" s="57" t="n">
        <v>0.00609</v>
      </c>
      <c r="C1064" s="57" t="n">
        <v>0.00669</v>
      </c>
      <c r="D1064" s="57" t="n">
        <v>0.0085</v>
      </c>
    </row>
    <row r="1065" customFormat="false" ht="15" hidden="false" customHeight="false" outlineLevel="0" collapsed="false">
      <c r="A1065" s="52" t="n">
        <v>45785</v>
      </c>
      <c r="B1065" s="57" t="n">
        <v>0.00619</v>
      </c>
      <c r="C1065" s="57" t="n">
        <v>0.00683</v>
      </c>
      <c r="D1065" s="57" t="n">
        <v>0.00871</v>
      </c>
    </row>
    <row r="1066" customFormat="false" ht="15" hidden="false" customHeight="false" outlineLevel="0" collapsed="false">
      <c r="A1066" s="52" t="n">
        <v>45786</v>
      </c>
      <c r="B1066" s="57" t="n">
        <v>0.00634</v>
      </c>
      <c r="C1066" s="57" t="n">
        <v>0.00698</v>
      </c>
      <c r="D1066" s="57" t="n">
        <v>0.00891</v>
      </c>
    </row>
    <row r="1067" customFormat="false" ht="15" hidden="false" customHeight="false" outlineLevel="0" collapsed="false">
      <c r="A1067" s="52" t="n">
        <v>45789</v>
      </c>
      <c r="B1067" s="57" t="n">
        <v>0.0066</v>
      </c>
      <c r="C1067" s="57" t="n">
        <v>0.00727</v>
      </c>
      <c r="D1067" s="57" t="n">
        <v>0.00922</v>
      </c>
    </row>
    <row r="1068" customFormat="false" ht="15" hidden="false" customHeight="false" outlineLevel="0" collapsed="false">
      <c r="A1068" s="52" t="n">
        <v>45790</v>
      </c>
      <c r="B1068" s="57" t="n">
        <v>0.00718</v>
      </c>
      <c r="C1068" s="57" t="n">
        <v>0.0079</v>
      </c>
      <c r="D1068" s="57" t="n">
        <v>0.00989</v>
      </c>
    </row>
    <row r="1069" customFormat="false" ht="15" hidden="false" customHeight="false" outlineLevel="0" collapsed="false">
      <c r="A1069" s="52" t="n">
        <v>45791</v>
      </c>
      <c r="B1069" s="57" t="n">
        <v>0.00706</v>
      </c>
      <c r="C1069" s="57" t="n">
        <v>0.0078</v>
      </c>
      <c r="D1069" s="57" t="n">
        <v>0.00977</v>
      </c>
    </row>
    <row r="1070" customFormat="false" ht="15" hidden="false" customHeight="false" outlineLevel="0" collapsed="false">
      <c r="A1070" s="52" t="n">
        <v>45792</v>
      </c>
      <c r="B1070" s="57" t="n">
        <v>0.00717</v>
      </c>
      <c r="C1070" s="57" t="n">
        <v>0.00797</v>
      </c>
      <c r="D1070" s="57" t="n">
        <v>0.0101</v>
      </c>
    </row>
    <row r="1071" customFormat="false" ht="15" hidden="false" customHeight="false" outlineLevel="0" collapsed="false">
      <c r="A1071" s="52" t="n">
        <v>45793</v>
      </c>
      <c r="B1071" s="57" t="n">
        <v>0.00707</v>
      </c>
      <c r="C1071" s="57" t="n">
        <v>0.00782</v>
      </c>
      <c r="D1071" s="57" t="n">
        <v>0.00992</v>
      </c>
    </row>
    <row r="1072" customFormat="false" ht="15" hidden="false" customHeight="false" outlineLevel="0" collapsed="false">
      <c r="A1072" s="52" t="n">
        <v>45796</v>
      </c>
      <c r="B1072" s="57" t="n">
        <v>0.00718</v>
      </c>
      <c r="C1072" s="57" t="n">
        <v>0.00798</v>
      </c>
      <c r="D1072" s="57" t="n">
        <v>0.01007</v>
      </c>
    </row>
    <row r="1073" customFormat="false" ht="15" hidden="false" customHeight="false" outlineLevel="0" collapsed="false">
      <c r="A1073" s="52" t="n">
        <v>45797</v>
      </c>
      <c r="B1073" s="57" t="n">
        <v>0.00728</v>
      </c>
      <c r="C1073" s="57" t="n">
        <v>0.00807</v>
      </c>
      <c r="D1073" s="57" t="n">
        <v>0.01018</v>
      </c>
    </row>
    <row r="1074" customFormat="false" ht="15" hidden="false" customHeight="false" outlineLevel="0" collapsed="false">
      <c r="A1074" s="52" t="n">
        <v>45798</v>
      </c>
      <c r="B1074" s="57" t="n">
        <v>0.0072</v>
      </c>
      <c r="C1074" s="57" t="n">
        <v>0.00798</v>
      </c>
      <c r="D1074" s="57" t="n">
        <v>0.01008</v>
      </c>
    </row>
    <row r="1075" customFormat="false" ht="15" hidden="false" customHeight="false" outlineLevel="0" collapsed="false">
      <c r="A1075" s="52" t="n">
        <v>45799</v>
      </c>
      <c r="B1075" s="57" t="n">
        <v>0.00737</v>
      </c>
      <c r="C1075" s="57" t="n">
        <v>0.00816</v>
      </c>
      <c r="D1075" s="57" t="n">
        <v>0.01045</v>
      </c>
    </row>
    <row r="1076" customFormat="false" ht="15" hidden="false" customHeight="false" outlineLevel="0" collapsed="false">
      <c r="A1076" s="52" t="n">
        <v>45800</v>
      </c>
      <c r="B1076" s="57" t="n">
        <v>0.00731</v>
      </c>
      <c r="C1076" s="57" t="n">
        <v>0.0082</v>
      </c>
      <c r="D1076" s="57" t="n">
        <v>0.01044</v>
      </c>
    </row>
    <row r="1077" customFormat="false" ht="15" hidden="false" customHeight="false" outlineLevel="0" collapsed="false">
      <c r="A1077" s="52" t="n">
        <v>45803</v>
      </c>
      <c r="B1077" s="57" t="n">
        <v>0.00728</v>
      </c>
      <c r="C1077" s="57" t="n">
        <v>0.00808</v>
      </c>
      <c r="D1077" s="57" t="n">
        <v>0.01023</v>
      </c>
    </row>
    <row r="1078" customFormat="false" ht="15" hidden="false" customHeight="false" outlineLevel="0" collapsed="false">
      <c r="A1078" s="52" t="n">
        <v>45804</v>
      </c>
      <c r="B1078" s="57" t="n">
        <v>0.00739</v>
      </c>
      <c r="C1078" s="57" t="n">
        <v>0.00811</v>
      </c>
      <c r="D1078" s="57" t="n">
        <v>0.01012</v>
      </c>
    </row>
    <row r="1079" customFormat="false" ht="15" hidden="false" customHeight="false" outlineLevel="0" collapsed="false">
      <c r="A1079" s="52" t="n">
        <v>45805</v>
      </c>
      <c r="B1079" s="57" t="n">
        <v>0.00753</v>
      </c>
      <c r="C1079" s="57" t="n">
        <v>0.0083</v>
      </c>
      <c r="D1079" s="57" t="n">
        <v>0.01054</v>
      </c>
    </row>
    <row r="1080" customFormat="false" ht="15" hidden="false" customHeight="false" outlineLevel="0" collapsed="false">
      <c r="A1080" s="52" t="n">
        <v>45806</v>
      </c>
      <c r="B1080" s="57" t="n">
        <v>0.00758</v>
      </c>
      <c r="C1080" s="57" t="n">
        <v>0.00829</v>
      </c>
      <c r="D1080" s="57" t="n">
        <v>0.01043</v>
      </c>
    </row>
    <row r="1081" customFormat="false" ht="15" hidden="false" customHeight="false" outlineLevel="0" collapsed="false">
      <c r="A1081" s="52" t="n">
        <v>45807</v>
      </c>
      <c r="B1081" s="57" t="n">
        <v>0.0075</v>
      </c>
      <c r="C1081" s="57" t="n">
        <v>0.0081</v>
      </c>
      <c r="D1081" s="57" t="n">
        <v>0.01029</v>
      </c>
    </row>
    <row r="1082" customFormat="false" ht="15" hidden="false" customHeight="false" outlineLevel="0" collapsed="false">
      <c r="A1082" s="52" t="n">
        <v>45810</v>
      </c>
      <c r="B1082" s="57" t="n">
        <v>0.00755</v>
      </c>
      <c r="C1082" s="57" t="n">
        <v>0.00821</v>
      </c>
      <c r="D1082" s="57" t="n">
        <v>0.01043</v>
      </c>
    </row>
    <row r="1083" customFormat="false" ht="15" hidden="false" customHeight="false" outlineLevel="0" collapsed="false">
      <c r="A1083" s="52" t="n">
        <v>45811</v>
      </c>
      <c r="B1083" s="57" t="n">
        <v>0.00755</v>
      </c>
      <c r="C1083" s="57" t="n">
        <v>0.00816</v>
      </c>
      <c r="D1083" s="57" t="n">
        <v>0.01035</v>
      </c>
    </row>
    <row r="1084" customFormat="false" ht="15" hidden="false" customHeight="false" outlineLevel="0" collapsed="false">
      <c r="A1084" s="52" t="n">
        <v>45812</v>
      </c>
      <c r="B1084" s="57" t="n">
        <v>0.00765</v>
      </c>
      <c r="C1084" s="57" t="n">
        <v>0.00829</v>
      </c>
      <c r="D1084" s="57" t="n">
        <v>0.01055</v>
      </c>
    </row>
    <row r="1085" customFormat="false" ht="15" hidden="false" customHeight="false" outlineLevel="0" collapsed="false">
      <c r="A1085" s="52" t="n">
        <v>45813</v>
      </c>
      <c r="B1085" s="57" t="n">
        <v>0.00755</v>
      </c>
      <c r="C1085" s="57" t="n">
        <v>0.00813</v>
      </c>
      <c r="D1085" s="57" t="n">
        <v>0.0102</v>
      </c>
    </row>
    <row r="1086" customFormat="false" ht="15" hidden="false" customHeight="false" outlineLevel="0" collapsed="false">
      <c r="A1086" s="52" t="n">
        <v>45814</v>
      </c>
      <c r="B1086" s="57" t="n">
        <v>0.0076</v>
      </c>
      <c r="C1086" s="57" t="n">
        <v>0.00817</v>
      </c>
      <c r="D1086" s="57" t="n">
        <v>0.01023</v>
      </c>
    </row>
    <row r="1087" customFormat="false" ht="15" hidden="false" customHeight="false" outlineLevel="0" collapsed="false">
      <c r="A1087" s="52" t="n">
        <v>45817</v>
      </c>
      <c r="B1087" s="57" t="n">
        <v>0.00775</v>
      </c>
      <c r="C1087" s="57" t="n">
        <v>0.00833</v>
      </c>
      <c r="D1087" s="57" t="n">
        <v>0.01043</v>
      </c>
    </row>
    <row r="1088" customFormat="false" ht="15" hidden="false" customHeight="false" outlineLevel="0" collapsed="false">
      <c r="A1088" s="52" t="n">
        <v>45818</v>
      </c>
      <c r="B1088" s="57" t="n">
        <v>0.00771</v>
      </c>
      <c r="C1088" s="57" t="n">
        <v>0.00833</v>
      </c>
      <c r="D1088" s="57" t="n">
        <v>0.01045</v>
      </c>
    </row>
    <row r="1089" customFormat="false" ht="15" hidden="false" customHeight="false" outlineLevel="0" collapsed="false">
      <c r="A1089" s="52" t="n">
        <v>45819</v>
      </c>
      <c r="B1089" s="57" t="n">
        <v>0.00756</v>
      </c>
      <c r="C1089" s="57" t="n">
        <v>0.00824</v>
      </c>
      <c r="D1089" s="57" t="n">
        <v>0.01029</v>
      </c>
    </row>
    <row r="1090" customFormat="false" ht="15" hidden="false" customHeight="false" outlineLevel="0" collapsed="false">
      <c r="A1090" s="52" t="n">
        <v>45820</v>
      </c>
      <c r="B1090" s="57" t="n">
        <v>0.00756</v>
      </c>
      <c r="C1090" s="57" t="n">
        <v>0.00818</v>
      </c>
      <c r="D1090" s="57" t="n">
        <v>0.01024</v>
      </c>
    </row>
    <row r="1091" customFormat="false" ht="15" hidden="false" customHeight="false" outlineLevel="0" collapsed="false">
      <c r="A1091" s="52" t="n">
        <v>45821</v>
      </c>
      <c r="B1091" s="57" t="n">
        <v>0.00736</v>
      </c>
      <c r="C1091" s="57" t="n">
        <v>0.00785</v>
      </c>
      <c r="D1091" s="57" t="n">
        <v>0.00979</v>
      </c>
    </row>
    <row r="1092" customFormat="false" ht="15" hidden="false" customHeight="false" outlineLevel="0" collapsed="false">
      <c r="A1092" s="52" t="n">
        <v>45824</v>
      </c>
      <c r="B1092" s="57" t="n">
        <v>0.00758</v>
      </c>
      <c r="C1092" s="57" t="n">
        <v>0.00821</v>
      </c>
      <c r="D1092" s="57" t="n">
        <v>0.01025</v>
      </c>
    </row>
    <row r="1093" customFormat="false" ht="15" hidden="false" customHeight="false" outlineLevel="0" collapsed="false">
      <c r="A1093" s="52" t="n">
        <v>45825</v>
      </c>
      <c r="B1093" s="57" t="n">
        <v>0.00769</v>
      </c>
      <c r="C1093" s="57" t="n">
        <v>0.00829</v>
      </c>
      <c r="D1093" s="57" t="n">
        <v>0.01047</v>
      </c>
    </row>
    <row r="1094" customFormat="false" ht="15" hidden="false" customHeight="false" outlineLevel="0" collapsed="false">
      <c r="A1094" s="52" t="n">
        <v>45826</v>
      </c>
      <c r="B1094" s="57" t="n">
        <v>0.00755</v>
      </c>
      <c r="C1094" s="57" t="n">
        <v>0.00809</v>
      </c>
      <c r="D1094" s="57" t="n">
        <v>0.01022</v>
      </c>
    </row>
    <row r="1095" customFormat="false" ht="15" hidden="false" customHeight="false" outlineLevel="0" collapsed="false">
      <c r="A1095" s="52" t="n">
        <v>45827</v>
      </c>
      <c r="B1095" s="57" t="n">
        <v>0.00728</v>
      </c>
      <c r="C1095" s="57" t="n">
        <v>0.00773</v>
      </c>
      <c r="D1095" s="57" t="n">
        <v>0.00973</v>
      </c>
    </row>
    <row r="1096" customFormat="false" ht="15" hidden="false" customHeight="false" outlineLevel="0" collapsed="false">
      <c r="A1096" s="52" t="n">
        <v>45828</v>
      </c>
      <c r="B1096" s="57" t="n">
        <v>0.00728</v>
      </c>
      <c r="C1096" s="57" t="n">
        <v>0.00773</v>
      </c>
      <c r="D1096" s="57" t="n">
        <v>0.00965</v>
      </c>
    </row>
    <row r="1097" customFormat="false" ht="15" hidden="false" customHeight="false" outlineLevel="0" collapsed="false">
      <c r="A1097" s="52" t="n">
        <v>45831</v>
      </c>
      <c r="B1097" s="57" t="n">
        <v>0.00738</v>
      </c>
      <c r="C1097" s="57" t="n">
        <v>0.00782</v>
      </c>
      <c r="D1097" s="57" t="n">
        <v>0.00981</v>
      </c>
    </row>
    <row r="1098" customFormat="false" ht="15" hidden="false" customHeight="false" outlineLevel="0" collapsed="false">
      <c r="A1098" s="52" t="n">
        <v>45832</v>
      </c>
      <c r="B1098" s="57" t="n">
        <v>0.00738</v>
      </c>
      <c r="C1098" s="57" t="n">
        <v>0.00782</v>
      </c>
      <c r="D1098" s="57" t="n">
        <v>0.00981</v>
      </c>
    </row>
    <row r="1099" customFormat="false" ht="15" hidden="false" customHeight="false" outlineLevel="0" collapsed="false">
      <c r="A1099" s="52" t="n">
        <v>45833</v>
      </c>
      <c r="B1099" s="57" t="n">
        <v>0.00724</v>
      </c>
      <c r="C1099" s="57" t="n">
        <v>0.00773</v>
      </c>
      <c r="D1099" s="57" t="n">
        <v>0.00967</v>
      </c>
    </row>
    <row r="1100" customFormat="false" ht="15" hidden="false" customHeight="false" outlineLevel="0" collapsed="false">
      <c r="A1100" s="52" t="n">
        <v>45834</v>
      </c>
      <c r="B1100" s="57" t="n">
        <v>0.00735</v>
      </c>
      <c r="C1100" s="57" t="n">
        <v>0.00784</v>
      </c>
      <c r="D1100" s="57" t="n">
        <v>0.00986</v>
      </c>
    </row>
    <row r="1101" customFormat="false" ht="15" hidden="false" customHeight="false" outlineLevel="0" collapsed="false">
      <c r="A1101" s="52" t="n">
        <v>45835</v>
      </c>
      <c r="B1101" s="57" t="n">
        <v>0.0074</v>
      </c>
      <c r="C1101" s="57" t="n">
        <v>0.00785</v>
      </c>
      <c r="D1101" s="57" t="n">
        <v>0.00994</v>
      </c>
    </row>
    <row r="1102" customFormat="false" ht="15" hidden="false" customHeight="false" outlineLevel="0" collapsed="false">
      <c r="A1102" s="52" t="n">
        <v>45838</v>
      </c>
      <c r="B1102" s="57" t="n">
        <v>0.00746</v>
      </c>
      <c r="C1102" s="57" t="n">
        <v>0.0079</v>
      </c>
      <c r="D1102" s="57" t="n">
        <v>0.00999</v>
      </c>
    </row>
    <row r="1103" customFormat="false" ht="15" hidden="false" customHeight="false" outlineLevel="0" collapsed="false">
      <c r="A1103" s="52" t="n">
        <v>45839</v>
      </c>
      <c r="B1103" s="57" t="n">
        <v>0.00735</v>
      </c>
      <c r="C1103" s="57" t="n">
        <v>0.0078</v>
      </c>
      <c r="D1103" s="57" t="n">
        <v>0.00986</v>
      </c>
    </row>
    <row r="1104" customFormat="false" ht="15" hidden="false" customHeight="false" outlineLevel="0" collapsed="false">
      <c r="A1104" s="52" t="n">
        <v>45840</v>
      </c>
      <c r="B1104" s="57" t="n">
        <v>0.00741</v>
      </c>
      <c r="C1104" s="57" t="n">
        <v>0.00785</v>
      </c>
      <c r="D1104" s="57" t="n">
        <v>0.00992</v>
      </c>
    </row>
    <row r="1105" customFormat="false" ht="15" hidden="false" customHeight="false" outlineLevel="0" collapsed="false">
      <c r="A1105" s="52" t="n">
        <v>45841</v>
      </c>
      <c r="B1105" s="57" t="n">
        <v>0.00746</v>
      </c>
      <c r="C1105" s="57" t="n">
        <v>0.00796</v>
      </c>
      <c r="D1105" s="57" t="n">
        <v>0.01009</v>
      </c>
    </row>
    <row r="1106" customFormat="false" ht="15" hidden="false" customHeight="false" outlineLevel="0" collapsed="false">
      <c r="A1106" s="52" t="n">
        <v>45842</v>
      </c>
      <c r="B1106" s="57" t="n">
        <v>0.00736</v>
      </c>
      <c r="C1106" s="57" t="n">
        <v>0.00786</v>
      </c>
      <c r="D1106" s="57" t="n">
        <v>0.00992</v>
      </c>
    </row>
    <row r="1107" customFormat="false" ht="15" hidden="false" customHeight="false" outlineLevel="0" collapsed="false">
      <c r="A1107" s="52" t="n">
        <v>45845</v>
      </c>
      <c r="B1107" s="57" t="n">
        <v>0.00732</v>
      </c>
      <c r="C1107" s="57" t="n">
        <v>0.00782</v>
      </c>
      <c r="D1107" s="57" t="n">
        <v>0.00993</v>
      </c>
    </row>
    <row r="1108" customFormat="false" ht="15" hidden="false" customHeight="false" outlineLevel="0" collapsed="false">
      <c r="A1108" s="52" t="n">
        <v>45846</v>
      </c>
      <c r="B1108" s="57" t="n">
        <v>0.00733</v>
      </c>
      <c r="C1108" s="57" t="n">
        <v>0.00786</v>
      </c>
      <c r="D1108" s="57" t="n">
        <v>0.01009</v>
      </c>
    </row>
    <row r="1109" customFormat="false" ht="15" hidden="false" customHeight="false" outlineLevel="0" collapsed="false">
      <c r="A1109" s="52" t="n">
        <v>45847</v>
      </c>
      <c r="B1109" s="57" t="n">
        <v>0.00754</v>
      </c>
      <c r="C1109" s="57" t="n">
        <v>0.00807</v>
      </c>
      <c r="D1109" s="57" t="n">
        <v>0.01029</v>
      </c>
    </row>
    <row r="1110" customFormat="false" ht="15" hidden="false" customHeight="false" outlineLevel="0" collapsed="false">
      <c r="A1110" s="52" t="n">
        <v>45848</v>
      </c>
      <c r="B1110" s="57" t="n">
        <v>0.0076</v>
      </c>
      <c r="C1110" s="57" t="n">
        <v>0.00811</v>
      </c>
      <c r="D1110" s="57" t="n">
        <v>0.01025</v>
      </c>
    </row>
    <row r="1111" customFormat="false" ht="15" hidden="false" customHeight="false" outlineLevel="0" collapsed="false">
      <c r="A1111" s="52" t="n">
        <v>45849</v>
      </c>
      <c r="B1111" s="57" t="n">
        <v>0.00764</v>
      </c>
      <c r="C1111" s="57" t="n">
        <v>0.00816</v>
      </c>
      <c r="D1111" s="57" t="n">
        <v>0.01035</v>
      </c>
    </row>
    <row r="1112" customFormat="false" ht="15" hidden="false" customHeight="false" outlineLevel="0" collapsed="false">
      <c r="A1112" s="52" t="n">
        <v>45852</v>
      </c>
      <c r="B1112" s="57" t="n">
        <v>0.00781</v>
      </c>
      <c r="C1112" s="57" t="n">
        <v>0.00842</v>
      </c>
      <c r="D1112" s="57" t="n">
        <v>0.01074</v>
      </c>
    </row>
    <row r="1113" customFormat="false" ht="15" hidden="false" customHeight="false" outlineLevel="0" collapsed="false">
      <c r="A1113" s="52" t="n">
        <v>45853</v>
      </c>
      <c r="B1113" s="57" t="n">
        <v>0.00792</v>
      </c>
      <c r="C1113" s="57" t="n">
        <v>0.00853</v>
      </c>
      <c r="D1113" s="57" t="n">
        <v>0.01085</v>
      </c>
    </row>
    <row r="1114" customFormat="false" ht="15" hidden="false" customHeight="false" outlineLevel="0" collapsed="false">
      <c r="A1114" s="52" t="n">
        <v>45854</v>
      </c>
      <c r="B1114" s="57" t="n">
        <v>0.00793</v>
      </c>
      <c r="C1114" s="57" t="n">
        <v>0.00853</v>
      </c>
      <c r="D1114" s="57" t="n">
        <v>0.01085</v>
      </c>
    </row>
    <row r="1115" customFormat="false" ht="15" hidden="false" customHeight="false" outlineLevel="0" collapsed="false">
      <c r="A1115" s="52" t="n">
        <v>45855</v>
      </c>
      <c r="B1115" s="57" t="n">
        <v>0.00788</v>
      </c>
      <c r="C1115" s="57" t="n">
        <v>0.00847</v>
      </c>
      <c r="D1115" s="57" t="n">
        <v>0.01081</v>
      </c>
    </row>
    <row r="1116" customFormat="false" ht="15" hidden="false" customHeight="false" outlineLevel="0" collapsed="false">
      <c r="A1116" s="52" t="n">
        <v>45856</v>
      </c>
      <c r="B1116" s="57" t="n">
        <v>0.00772</v>
      </c>
      <c r="C1116" s="57" t="n">
        <v>0.00829</v>
      </c>
      <c r="D1116" s="57" t="n">
        <v>0.01046</v>
      </c>
    </row>
    <row r="1117" customFormat="false" ht="15" hidden="false" customHeight="false" outlineLevel="0" collapsed="false">
      <c r="A1117" s="52" t="n">
        <v>45860</v>
      </c>
      <c r="B1117" s="57" t="n">
        <v>0.0076</v>
      </c>
      <c r="C1117" s="57" t="n">
        <v>0.00817</v>
      </c>
      <c r="D1117" s="57" t="n">
        <v>0.01027</v>
      </c>
    </row>
    <row r="1118" customFormat="false" ht="15" hidden="false" customHeight="false" outlineLevel="0" collapsed="false">
      <c r="A1118" s="52" t="n">
        <v>45861</v>
      </c>
      <c r="B1118" s="57" t="n">
        <v>0.00838</v>
      </c>
      <c r="C1118" s="57" t="n">
        <v>0.00897</v>
      </c>
      <c r="D1118" s="57" t="n">
        <v>0.01125</v>
      </c>
    </row>
    <row r="1119" customFormat="false" ht="15" hidden="false" customHeight="false" outlineLevel="0" collapsed="false">
      <c r="A1119" s="52" t="n">
        <v>45862</v>
      </c>
      <c r="B1119" s="57" t="n">
        <v>0.00854</v>
      </c>
      <c r="C1119" s="57" t="n">
        <v>0.00909</v>
      </c>
      <c r="D1119" s="57" t="n">
        <v>0.0114</v>
      </c>
    </row>
    <row r="1120" customFormat="false" ht="15" hidden="false" customHeight="false" outlineLevel="0" collapsed="false">
      <c r="A1120" s="52" t="n">
        <v>45863</v>
      </c>
      <c r="B1120" s="57" t="n">
        <v>0.00863</v>
      </c>
      <c r="C1120" s="57" t="n">
        <v>0.00921</v>
      </c>
      <c r="D1120" s="57" t="n">
        <v>0.01155</v>
      </c>
    </row>
    <row r="1121" customFormat="false" ht="15" hidden="false" customHeight="false" outlineLevel="0" collapsed="false">
      <c r="A1121" s="52" t="n">
        <v>45866</v>
      </c>
      <c r="B1121" s="57" t="n">
        <v>0.00849</v>
      </c>
      <c r="C1121" s="57" t="n">
        <v>0.00905</v>
      </c>
      <c r="D1121" s="57" t="n">
        <v>0.01122</v>
      </c>
    </row>
    <row r="1122" customFormat="false" ht="15" hidden="false" customHeight="false" outlineLevel="0" collapsed="false">
      <c r="A1122" s="52" t="n">
        <v>45867</v>
      </c>
      <c r="B1122" s="57" t="n">
        <v>0.00835</v>
      </c>
      <c r="C1122" s="57" t="n">
        <v>0.00895</v>
      </c>
      <c r="D1122" s="57" t="n">
        <v>0.01108</v>
      </c>
    </row>
    <row r="1123" customFormat="false" ht="15" hidden="false" customHeight="false" outlineLevel="0" collapsed="false">
      <c r="A1123" s="52" t="n">
        <v>45868</v>
      </c>
      <c r="B1123" s="57" t="n">
        <v>0.00826</v>
      </c>
      <c r="C1123" s="57" t="n">
        <v>0.00886</v>
      </c>
      <c r="D1123" s="57" t="n">
        <v>0.01097</v>
      </c>
    </row>
    <row r="1124" customFormat="false" ht="15" hidden="false" customHeight="false" outlineLevel="0" collapsed="false">
      <c r="A1124" s="52" t="n">
        <v>45869</v>
      </c>
      <c r="B1124" s="57" t="n">
        <v>0.00826</v>
      </c>
      <c r="C1124" s="57" t="n">
        <v>0.00886</v>
      </c>
      <c r="D1124" s="57" t="n">
        <v>0.01097</v>
      </c>
    </row>
    <row r="1125" customFormat="false" ht="15" hidden="false" customHeight="false" outlineLevel="0" collapsed="false">
      <c r="A1125" s="52" t="n">
        <v>45870</v>
      </c>
      <c r="B1125" s="57" t="n">
        <v>0.00814</v>
      </c>
      <c r="C1125" s="57" t="n">
        <v>0.00877</v>
      </c>
      <c r="D1125" s="57" t="n">
        <v>0.01089</v>
      </c>
    </row>
    <row r="1126" customFormat="false" ht="15" hidden="false" customHeight="false" outlineLevel="0" collapsed="false">
      <c r="A1126" s="52" t="n">
        <v>45873</v>
      </c>
      <c r="B1126" s="57" t="n">
        <v>0.00764</v>
      </c>
      <c r="C1126" s="57" t="n">
        <v>0.00826</v>
      </c>
      <c r="D1126" s="57" t="n">
        <v>0.01035</v>
      </c>
    </row>
    <row r="1127" customFormat="false" ht="15" hidden="false" customHeight="false" outlineLevel="0" collapsed="false">
      <c r="A1127" s="52" t="n">
        <v>45874</v>
      </c>
      <c r="B1127" s="57" t="n">
        <v>0.00754</v>
      </c>
      <c r="C1127" s="57" t="n">
        <v>0.00812</v>
      </c>
      <c r="D1127" s="57" t="n">
        <v>0.01016</v>
      </c>
    </row>
    <row r="1128" customFormat="false" ht="15" hidden="false" customHeight="false" outlineLevel="0" collapsed="false">
      <c r="A1128" s="52" t="n">
        <v>45875</v>
      </c>
      <c r="B1128" s="57" t="n">
        <v>0.00774</v>
      </c>
      <c r="C1128" s="57" t="n">
        <v>0.00835</v>
      </c>
      <c r="D1128" s="57" t="n">
        <v>0.01034</v>
      </c>
    </row>
    <row r="1129" customFormat="false" ht="15" hidden="false" customHeight="false" outlineLevel="0" collapsed="false">
      <c r="A1129" s="52" t="n">
        <v>45876</v>
      </c>
      <c r="B1129" s="57" t="n">
        <v>0.0077</v>
      </c>
      <c r="C1129" s="57" t="n">
        <v>0.0083</v>
      </c>
      <c r="D1129" s="57" t="n">
        <v>0.01034</v>
      </c>
    </row>
    <row r="1130" customFormat="false" ht="15" hidden="false" customHeight="false" outlineLevel="0" collapsed="false">
      <c r="A1130" s="52" t="n">
        <v>45877</v>
      </c>
      <c r="B1130" s="57" t="n">
        <v>0.0077</v>
      </c>
      <c r="C1130" s="57" t="n">
        <v>0.00842</v>
      </c>
      <c r="D1130" s="57" t="n">
        <v>0.01045</v>
      </c>
    </row>
    <row r="1131" customFormat="false" ht="15" hidden="false" customHeight="false" outlineLevel="0" collapsed="false">
      <c r="A1131" s="52" t="n">
        <v>45881</v>
      </c>
      <c r="B1131" s="57" t="n">
        <v>0.00775</v>
      </c>
      <c r="C1131" s="57" t="n">
        <v>0.0085</v>
      </c>
      <c r="D1131" s="57" t="n">
        <v>0.01051</v>
      </c>
    </row>
    <row r="1132" customFormat="false" ht="15" hidden="false" customHeight="false" outlineLevel="0" collapsed="false">
      <c r="A1132" s="52" t="n">
        <v>45882</v>
      </c>
      <c r="B1132" s="57" t="n">
        <v>0.00785</v>
      </c>
      <c r="C1132" s="57" t="n">
        <v>0.00868</v>
      </c>
      <c r="D1132" s="57" t="n">
        <v>0.01074</v>
      </c>
    </row>
    <row r="1133" customFormat="false" ht="15" hidden="false" customHeight="false" outlineLevel="0" collapsed="false">
      <c r="A1133" s="52" t="n">
        <v>45883</v>
      </c>
      <c r="B1133" s="57" t="n">
        <v>0.00822</v>
      </c>
      <c r="C1133" s="57" t="n">
        <v>0.00901</v>
      </c>
      <c r="D1133" s="57" t="n">
        <v>0.01114</v>
      </c>
    </row>
    <row r="1134" customFormat="false" ht="15" hidden="false" customHeight="false" outlineLevel="0" collapsed="false">
      <c r="A1134" s="52" t="n">
        <v>45884</v>
      </c>
      <c r="B1134" s="57" t="n">
        <v>0.00826</v>
      </c>
      <c r="C1134" s="57" t="n">
        <v>0.00913</v>
      </c>
      <c r="D1134" s="57" t="n">
        <v>0.0112</v>
      </c>
    </row>
    <row r="1135" customFormat="false" ht="15" hidden="false" customHeight="false" outlineLevel="0" collapsed="false">
      <c r="A1135" s="52" t="n">
        <v>45887</v>
      </c>
      <c r="B1135" s="57" t="n">
        <v>0.00833</v>
      </c>
      <c r="C1135" s="57" t="n">
        <v>0.00919</v>
      </c>
      <c r="D1135" s="57" t="n">
        <v>0.01124</v>
      </c>
    </row>
    <row r="1136" customFormat="false" ht="15" hidden="false" customHeight="false" outlineLevel="0" collapsed="false">
      <c r="A1136" s="52" t="n">
        <v>45888</v>
      </c>
      <c r="B1136" s="57" t="n">
        <v>0.00849</v>
      </c>
      <c r="C1136" s="57" t="n">
        <v>0.00933</v>
      </c>
      <c r="D1136" s="57" t="n">
        <v>0.01144</v>
      </c>
    </row>
    <row r="1137" customFormat="false" ht="15" hidden="false" customHeight="false" outlineLevel="0" collapsed="false">
      <c r="A1137" s="52" t="n">
        <v>45889</v>
      </c>
      <c r="B1137" s="57" t="n">
        <v>0.00858</v>
      </c>
      <c r="C1137" s="57" t="n">
        <v>0.00943</v>
      </c>
      <c r="D1137" s="57" t="n">
        <v>0.01155</v>
      </c>
    </row>
    <row r="1138" customFormat="false" ht="15" hidden="false" customHeight="false" outlineLevel="0" collapsed="false">
      <c r="A1138" s="52" t="n">
        <v>45890</v>
      </c>
      <c r="B1138" s="57" t="n">
        <v>0.00862</v>
      </c>
      <c r="C1138" s="57" t="n">
        <v>0.00949</v>
      </c>
      <c r="D1138" s="57" t="n">
        <v>0.01159</v>
      </c>
    </row>
    <row r="1139" customFormat="false" ht="15" hidden="false" customHeight="false" outlineLevel="0" collapsed="false">
      <c r="A1139" s="52" t="n">
        <v>45891</v>
      </c>
      <c r="B1139" s="57" t="n">
        <v>0.00873</v>
      </c>
      <c r="C1139" s="57" t="n">
        <v>0.00956</v>
      </c>
      <c r="D1139" s="57" t="n">
        <v>0.01164</v>
      </c>
    </row>
    <row r="1140" customFormat="false" ht="15" hidden="false" customHeight="false" outlineLevel="0" collapsed="false">
      <c r="A1140" s="52" t="n">
        <v>45894</v>
      </c>
      <c r="B1140" s="57" t="n">
        <v>0.00869</v>
      </c>
      <c r="C1140" s="57" t="n">
        <v>0.00955</v>
      </c>
      <c r="D1140" s="57" t="n">
        <v>0.01165</v>
      </c>
    </row>
    <row r="1141" customFormat="false" ht="15" hidden="false" customHeight="false" outlineLevel="0" collapsed="false">
      <c r="A1141" s="52" t="n">
        <v>45895</v>
      </c>
      <c r="B1141" s="57" t="n">
        <v>0.00874</v>
      </c>
      <c r="C1141" s="57" t="n">
        <v>0.00963</v>
      </c>
      <c r="D1141" s="57" t="n">
        <v>0.01166</v>
      </c>
    </row>
    <row r="1142" customFormat="false" ht="15" hidden="false" customHeight="false" outlineLevel="0" collapsed="false">
      <c r="A1142" s="52" t="n">
        <v>45896</v>
      </c>
      <c r="B1142" s="57" t="n">
        <v>0.00869</v>
      </c>
      <c r="C1142" s="57" t="n">
        <v>0.00957</v>
      </c>
      <c r="D1142" s="57" t="n">
        <v>0.0117</v>
      </c>
    </row>
    <row r="1143" customFormat="false" ht="15" hidden="false" customHeight="false" outlineLevel="0" collapsed="false">
      <c r="A1143" s="52" t="n">
        <v>45897</v>
      </c>
      <c r="B1143" s="57" t="n">
        <v>0.00871</v>
      </c>
      <c r="C1143" s="57" t="n">
        <v>0.00954</v>
      </c>
      <c r="D1143" s="57" t="n">
        <v>0.01167</v>
      </c>
    </row>
    <row r="1144" customFormat="false" ht="15" hidden="false" customHeight="false" outlineLevel="0" collapsed="false">
      <c r="A1144" s="52" t="n">
        <v>45898</v>
      </c>
      <c r="B1144" s="57" t="n">
        <v>0.00871</v>
      </c>
      <c r="C1144" s="57" t="n">
        <v>0.00951</v>
      </c>
      <c r="D1144" s="57" t="n">
        <v>0.01162</v>
      </c>
    </row>
    <row r="1145" customFormat="false" ht="15" hidden="false" customHeight="false" outlineLevel="0" collapsed="false">
      <c r="A1145" s="52" t="n">
        <v>45901</v>
      </c>
      <c r="B1145" s="57" t="n">
        <v>0.0088</v>
      </c>
      <c r="C1145" s="57" t="n">
        <v>0.00963</v>
      </c>
      <c r="D1145" s="57" t="n">
        <v>0.01178</v>
      </c>
    </row>
    <row r="1146" customFormat="false" ht="15" hidden="false" customHeight="false" outlineLevel="0" collapsed="false">
      <c r="A1146" s="52" t="n">
        <v>45902</v>
      </c>
      <c r="B1146" s="57" t="n">
        <v>0.0087</v>
      </c>
      <c r="C1146" s="57" t="n">
        <v>0.00947</v>
      </c>
      <c r="D1146" s="57" t="n">
        <v>0.01157</v>
      </c>
    </row>
    <row r="1147" customFormat="false" ht="15" hidden="false" customHeight="false" outlineLevel="0" collapsed="false">
      <c r="A1147" s="52" t="n">
        <v>45903</v>
      </c>
      <c r="B1147" s="57" t="n">
        <v>0.0087</v>
      </c>
      <c r="C1147" s="57" t="n">
        <v>0.00954</v>
      </c>
      <c r="D1147" s="57" t="n">
        <v>0.01169</v>
      </c>
    </row>
    <row r="1148" customFormat="false" ht="15" hidden="false" customHeight="false" outlineLevel="0" collapsed="false">
      <c r="A1148" s="52" t="n">
        <v>45904</v>
      </c>
      <c r="B1148" s="57" t="n">
        <v>0.00855</v>
      </c>
      <c r="C1148" s="57" t="n">
        <v>0.00938</v>
      </c>
      <c r="D1148" s="57" t="n">
        <v>0.0115</v>
      </c>
    </row>
    <row r="1149" customFormat="false" ht="15" hidden="false" customHeight="false" outlineLevel="0" collapsed="false">
      <c r="A1149" s="52" t="n">
        <v>45905</v>
      </c>
      <c r="B1149" s="57" t="n">
        <v>0.00841</v>
      </c>
      <c r="C1149" s="57" t="n">
        <v>0.00923</v>
      </c>
      <c r="D1149" s="57" t="n">
        <v>0.01119</v>
      </c>
    </row>
    <row r="1150" customFormat="false" ht="15" hidden="false" customHeight="false" outlineLevel="0" collapsed="false">
      <c r="A1150" s="52" t="n">
        <v>45908</v>
      </c>
      <c r="B1150" s="57" t="n">
        <v>0.00831</v>
      </c>
      <c r="C1150" s="57" t="n">
        <v>0.00915</v>
      </c>
      <c r="D1150" s="57" t="n">
        <v>0.01111</v>
      </c>
    </row>
    <row r="1151" customFormat="false" ht="15" hidden="false" customHeight="false" outlineLevel="0" collapsed="false">
      <c r="A1151" s="52" t="n">
        <v>45909</v>
      </c>
      <c r="B1151" s="57" t="n">
        <v>0.00842</v>
      </c>
      <c r="C1151" s="57" t="n">
        <v>0.00916</v>
      </c>
      <c r="D1151" s="57" t="n">
        <v>0.0111</v>
      </c>
    </row>
    <row r="1152" customFormat="false" ht="15" hidden="false" customHeight="false" outlineLevel="0" collapsed="false">
      <c r="A1152" s="52" t="n">
        <v>45910</v>
      </c>
      <c r="B1152" s="57" t="n">
        <v>0.00857</v>
      </c>
      <c r="C1152" s="57" t="n">
        <v>0.0093</v>
      </c>
      <c r="D1152" s="57" t="n">
        <v>0.01125</v>
      </c>
    </row>
    <row r="1153" customFormat="false" ht="15" hidden="false" customHeight="false" outlineLevel="0" collapsed="false">
      <c r="A1153" s="52" t="n">
        <v>45911</v>
      </c>
      <c r="B1153" s="57" t="n">
        <v>0.00862</v>
      </c>
      <c r="C1153" s="57" t="n">
        <v>0.00938</v>
      </c>
      <c r="D1153" s="57" t="n">
        <v>0.01134</v>
      </c>
    </row>
    <row r="1154" customFormat="false" ht="15" hidden="false" customHeight="false" outlineLevel="0" collapsed="false">
      <c r="A1154" s="52" t="n">
        <v>45912</v>
      </c>
      <c r="B1154" s="57" t="n">
        <v>0.00873</v>
      </c>
      <c r="C1154" s="57" t="n">
        <v>0.00949</v>
      </c>
      <c r="D1154" s="57" t="n">
        <v>0.01156</v>
      </c>
    </row>
    <row r="1155" customFormat="false" ht="15" hidden="false" customHeight="false" outlineLevel="0" collapsed="false">
      <c r="A1155" s="52" t="n">
        <v>45916</v>
      </c>
      <c r="B1155" s="57" t="n">
        <v>0.00884</v>
      </c>
      <c r="C1155" s="57" t="n">
        <v>0.00959</v>
      </c>
      <c r="D1155" s="57" t="n">
        <v>0.01171</v>
      </c>
    </row>
    <row r="1156" customFormat="false" ht="15" hidden="false" customHeight="false" outlineLevel="0" collapsed="false">
      <c r="A1156" s="52" t="n">
        <v>45917</v>
      </c>
      <c r="B1156" s="57" t="n">
        <v>0.00883</v>
      </c>
      <c r="C1156" s="57" t="n">
        <v>0.00956</v>
      </c>
      <c r="D1156" s="57" t="n">
        <v>0.01161</v>
      </c>
    </row>
    <row r="1157" customFormat="false" ht="15" hidden="false" customHeight="false" outlineLevel="0" collapsed="false">
      <c r="A1157" s="52" t="n">
        <v>45918</v>
      </c>
      <c r="B1157" s="57" t="n">
        <v>0.00888</v>
      </c>
      <c r="C1157" s="57" t="n">
        <v>0.00957</v>
      </c>
      <c r="D1157" s="57" t="n">
        <v>0.0117</v>
      </c>
    </row>
    <row r="1158" customFormat="false" ht="15" hidden="false" customHeight="false" outlineLevel="0" collapsed="false">
      <c r="A1158" s="52" t="n">
        <v>45919</v>
      </c>
      <c r="B1158" s="57" t="n">
        <v>0.00918</v>
      </c>
      <c r="C1158" s="57" t="n">
        <v>0.00992</v>
      </c>
      <c r="D1158" s="57" t="n">
        <v>0.01214</v>
      </c>
    </row>
    <row r="1159" customFormat="false" ht="15" hidden="false" customHeight="false" outlineLevel="0" collapsed="false">
      <c r="A1159" s="52" t="n">
        <v>45922</v>
      </c>
      <c r="B1159" s="57" t="n">
        <v>0.00935</v>
      </c>
      <c r="C1159" s="57" t="n">
        <v>0.01013</v>
      </c>
      <c r="D1159" s="57" t="n">
        <v>0.01244</v>
      </c>
    </row>
    <row r="1160" customFormat="false" ht="15" hidden="false" customHeight="false" outlineLevel="0" collapsed="false">
      <c r="A1160" s="52" t="n">
        <v>45924</v>
      </c>
      <c r="B1160" s="57" t="n">
        <v>0.00932</v>
      </c>
      <c r="C1160" s="57" t="n">
        <v>0.01011</v>
      </c>
      <c r="D1160" s="57" t="n">
        <v>0.01239</v>
      </c>
    </row>
    <row r="1161" customFormat="false" ht="15" hidden="false" customHeight="false" outlineLevel="0" collapsed="false">
      <c r="A1161" s="52" t="n">
        <v>45925</v>
      </c>
      <c r="B1161" s="57" t="n">
        <v>0.00936</v>
      </c>
      <c r="C1161" s="57" t="n">
        <v>0.01019</v>
      </c>
      <c r="D1161" s="57" t="n">
        <v>0.0125</v>
      </c>
    </row>
    <row r="1162" customFormat="false" ht="15" hidden="false" customHeight="false" outlineLevel="0" collapsed="false">
      <c r="A1162" s="52" t="n">
        <v>45926</v>
      </c>
      <c r="B1162" s="57" t="n">
        <v>0.00931</v>
      </c>
      <c r="C1162" s="57" t="n">
        <v>0.01019</v>
      </c>
      <c r="D1162" s="57" t="n">
        <v>0.01245</v>
      </c>
    </row>
    <row r="1163" customFormat="false" ht="15" hidden="false" customHeight="false" outlineLevel="0" collapsed="false">
      <c r="A1163" s="52" t="n">
        <v>45929</v>
      </c>
      <c r="B1163" s="57" t="n">
        <v>0.00931</v>
      </c>
      <c r="C1163" s="57" t="n">
        <v>0.01022</v>
      </c>
      <c r="D1163" s="57" t="n">
        <v>0.01241</v>
      </c>
    </row>
    <row r="1164" customFormat="false" ht="15" hidden="false" customHeight="false" outlineLevel="0" collapsed="false">
      <c r="A1164" s="52" t="n">
        <v>45930</v>
      </c>
      <c r="B1164" s="57" t="n">
        <v>0.00958</v>
      </c>
      <c r="C1164" s="57" t="n">
        <v>0.01029</v>
      </c>
      <c r="D1164" s="57" t="n">
        <v>0.01244</v>
      </c>
    </row>
    <row r="1165" customFormat="false" ht="15" hidden="false" customHeight="false" outlineLevel="0" collapsed="false">
      <c r="A1165" s="52" t="n">
        <v>45931</v>
      </c>
      <c r="B1165" s="57" t="n">
        <v>0.00954</v>
      </c>
      <c r="C1165" s="57" t="n">
        <v>0.01027</v>
      </c>
      <c r="D1165" s="57" t="n">
        <v>0.01248</v>
      </c>
    </row>
    <row r="1166" customFormat="false" ht="15" hidden="false" customHeight="false" outlineLevel="0" collapsed="false">
      <c r="A1166" s="52" t="n">
        <v>45932</v>
      </c>
      <c r="B1166" s="57" t="n">
        <v>0.00955</v>
      </c>
      <c r="C1166" s="57" t="n">
        <v>0.01022</v>
      </c>
      <c r="D1166" s="57" t="n">
        <v>0.01257</v>
      </c>
    </row>
    <row r="1167" customFormat="false" ht="15" hidden="false" customHeight="false" outlineLevel="0" collapsed="false">
      <c r="A1167" s="52" t="n">
        <v>45933</v>
      </c>
      <c r="B1167" s="57" t="n">
        <v>0.00945</v>
      </c>
      <c r="C1167" s="57" t="n">
        <v>0.01012</v>
      </c>
      <c r="D1167" s="57" t="n">
        <v>0.01241</v>
      </c>
    </row>
    <row r="1168" customFormat="false" ht="15" hidden="false" customHeight="false" outlineLevel="0" collapsed="false">
      <c r="A1168" s="52" t="n">
        <v>45936</v>
      </c>
      <c r="B1168" s="57" t="n">
        <v>0.00899</v>
      </c>
      <c r="C1168" s="57" t="n">
        <v>0.0098</v>
      </c>
      <c r="D1168" s="57" t="n">
        <v>0.01217</v>
      </c>
    </row>
    <row r="1169" customFormat="false" ht="15" hidden="false" customHeight="false" outlineLevel="0" collapsed="false">
      <c r="A1169" s="52" t="n">
        <v>45937</v>
      </c>
      <c r="B1169" s="57" t="n">
        <v>0.00909</v>
      </c>
      <c r="C1169" s="57" t="n">
        <v>0.00995</v>
      </c>
      <c r="D1169" s="57" t="n">
        <v>0.0123</v>
      </c>
    </row>
    <row r="1170" customFormat="false" ht="15" hidden="false" customHeight="false" outlineLevel="0" collapsed="false">
      <c r="A1170" s="52" t="n">
        <v>45938</v>
      </c>
      <c r="B1170" s="57" t="n">
        <v>0.0093</v>
      </c>
      <c r="C1170" s="57" t="n">
        <v>0.01014</v>
      </c>
      <c r="D1170" s="57" t="n">
        <v>0.01252</v>
      </c>
    </row>
    <row r="1171" customFormat="false" ht="15" hidden="false" customHeight="false" outlineLevel="0" collapsed="false">
      <c r="A1171" s="52" t="n">
        <v>45939</v>
      </c>
      <c r="B1171" s="57" t="n">
        <v>0.0093</v>
      </c>
      <c r="C1171" s="57" t="n">
        <v>0.0101</v>
      </c>
      <c r="D1171" s="57" t="n">
        <v>0.01243</v>
      </c>
    </row>
    <row r="1172" customFormat="false" ht="15" hidden="false" customHeight="false" outlineLevel="0" collapsed="false">
      <c r="A1172" s="52" t="n">
        <v>45940</v>
      </c>
      <c r="B1172" s="57" t="n">
        <v>0.00925</v>
      </c>
      <c r="C1172" s="57" t="n">
        <v>0.01004</v>
      </c>
      <c r="D1172" s="57" t="n">
        <v>0.01231</v>
      </c>
    </row>
    <row r="1173" customFormat="false" ht="15" hidden="false" customHeight="false" outlineLevel="0" collapsed="false">
      <c r="A1173" s="52" t="n">
        <v>45944</v>
      </c>
      <c r="B1173" s="57" t="n">
        <v>0.00895</v>
      </c>
      <c r="C1173" s="57" t="n">
        <v>0.00976</v>
      </c>
      <c r="D1173" s="57" t="n">
        <v>0.01195</v>
      </c>
    </row>
    <row r="1174" customFormat="false" ht="15" hidden="false" customHeight="false" outlineLevel="0" collapsed="false">
      <c r="A1174" s="52" t="n">
        <v>45945</v>
      </c>
      <c r="B1174" s="57" t="n">
        <v>0.009</v>
      </c>
      <c r="C1174" s="57" t="n">
        <v>0.00981</v>
      </c>
      <c r="D1174" s="57" t="n">
        <v>0.01199</v>
      </c>
    </row>
    <row r="1175" customFormat="false" ht="15" hidden="false" customHeight="false" outlineLevel="0" collapsed="false">
      <c r="A1175" s="52" t="n">
        <v>45946</v>
      </c>
      <c r="B1175" s="57" t="n">
        <v>0.0092</v>
      </c>
      <c r="C1175" s="57" t="n">
        <v>0.00999</v>
      </c>
      <c r="D1175" s="57" t="n">
        <v>0.01214</v>
      </c>
    </row>
    <row r="1176" customFormat="false" ht="15" hidden="false" customHeight="false" outlineLevel="0" collapsed="false">
      <c r="A1176" s="52" t="n">
        <v>45947</v>
      </c>
      <c r="B1176" s="57" t="n">
        <v>0.00909</v>
      </c>
      <c r="C1176" s="57" t="n">
        <v>0.00987</v>
      </c>
      <c r="D1176" s="57" t="n">
        <v>0.01199</v>
      </c>
    </row>
    <row r="1177" customFormat="false" ht="15" hidden="false" customHeight="false" outlineLevel="0" collapsed="false">
      <c r="A1177" s="52" t="n">
        <v>45950</v>
      </c>
      <c r="B1177" s="57" t="n">
        <v>0.0095</v>
      </c>
      <c r="C1177" s="57" t="n">
        <v>0.01029</v>
      </c>
      <c r="D1177" s="57" t="n">
        <v>0.01248</v>
      </c>
    </row>
    <row r="1178" customFormat="false" ht="15" hidden="false" customHeight="false" outlineLevel="0" collapsed="false">
      <c r="A1178" s="52" t="n">
        <v>45951</v>
      </c>
      <c r="B1178" s="57" t="n">
        <v>0.0094</v>
      </c>
      <c r="C1178" s="57" t="n">
        <v>0.01015</v>
      </c>
      <c r="D1178" s="57" t="n">
        <v>0.01233</v>
      </c>
    </row>
    <row r="1179" customFormat="false" ht="15" hidden="false" customHeight="false" outlineLevel="0" collapsed="false">
      <c r="A1179" s="52" t="n">
        <v>45952</v>
      </c>
      <c r="B1179" s="57" t="n">
        <v>0.00929</v>
      </c>
      <c r="C1179" s="57" t="n">
        <v>0.01009</v>
      </c>
      <c r="D1179" s="57" t="n">
        <v>0.01225</v>
      </c>
    </row>
    <row r="1180" customFormat="false" ht="15" hidden="false" customHeight="false" outlineLevel="0" collapsed="false">
      <c r="A1180" s="52" t="n">
        <v>45953</v>
      </c>
      <c r="B1180" s="57" t="n">
        <v>0.00933</v>
      </c>
      <c r="C1180" s="57" t="n">
        <v>0.01012</v>
      </c>
      <c r="D1180" s="57" t="n">
        <v>0.01229</v>
      </c>
    </row>
    <row r="1181" customFormat="false" ht="15" hidden="false" customHeight="false" outlineLevel="0" collapsed="false">
      <c r="A1181" s="52" t="n">
        <v>45954</v>
      </c>
      <c r="B1181" s="57" t="n">
        <v>0.00932</v>
      </c>
      <c r="C1181" s="57" t="n">
        <v>0.01011</v>
      </c>
      <c r="D1181" s="57" t="n">
        <v>0.01229</v>
      </c>
    </row>
    <row r="1182" customFormat="false" ht="15" hidden="false" customHeight="false" outlineLevel="0" collapsed="false">
      <c r="A1182" s="52" t="n">
        <v>45957</v>
      </c>
      <c r="B1182" s="57" t="n">
        <v>0.00943</v>
      </c>
      <c r="C1182" s="57" t="n">
        <v>0.01017</v>
      </c>
      <c r="D1182" s="57" t="n">
        <v>0.01242</v>
      </c>
    </row>
    <row r="1183" customFormat="false" ht="15" hidden="false" customHeight="false" outlineLevel="0" collapsed="false">
      <c r="A1183" s="52" t="n">
        <v>45958</v>
      </c>
      <c r="B1183" s="57" t="n">
        <v>0.0094</v>
      </c>
      <c r="C1183" s="57" t="n">
        <v>0.01006</v>
      </c>
      <c r="D1183" s="57" t="n">
        <v>0.01226</v>
      </c>
    </row>
    <row r="1184" customFormat="false" ht="15" hidden="false" customHeight="false" outlineLevel="0" collapsed="false">
      <c r="A1184" s="52" t="n">
        <v>45959</v>
      </c>
      <c r="B1184" s="57" t="n">
        <v>0.00943</v>
      </c>
      <c r="C1184" s="57" t="n">
        <v>0.01014</v>
      </c>
      <c r="D1184" s="57" t="n">
        <v>0.01237</v>
      </c>
    </row>
    <row r="1185" customFormat="false" ht="15" hidden="false" customHeight="false" outlineLevel="0" collapsed="false">
      <c r="A1185" s="52" t="n">
        <v>45960</v>
      </c>
      <c r="B1185" s="57" t="n">
        <v>0.00929</v>
      </c>
      <c r="C1185" s="57" t="n">
        <v>0.01004</v>
      </c>
      <c r="D1185" s="57" t="n">
        <v>0.01222</v>
      </c>
    </row>
    <row r="1186" customFormat="false" ht="15" hidden="false" customHeight="false" outlineLevel="0" collapsed="false">
      <c r="A1186" s="52" t="n">
        <v>45961</v>
      </c>
      <c r="B1186" s="57" t="n">
        <v>0.00928</v>
      </c>
      <c r="C1186" s="57" t="n">
        <v>0.00994</v>
      </c>
      <c r="D1186" s="57" t="n">
        <v>0.01235</v>
      </c>
    </row>
    <row r="1187" customFormat="false" ht="15" hidden="false" customHeight="false" outlineLevel="0" collapsed="false">
      <c r="A1187" s="52" t="n">
        <v>45965</v>
      </c>
      <c r="B1187" s="57" t="n">
        <v>0.00945</v>
      </c>
      <c r="C1187" s="57" t="n">
        <v>0.01017</v>
      </c>
      <c r="D1187" s="57" t="n">
        <v>0.01253</v>
      </c>
    </row>
    <row r="1188" customFormat="false" ht="15" hidden="false" customHeight="false" outlineLevel="0" collapsed="false">
      <c r="A1188" s="52" t="n">
        <v>45966</v>
      </c>
      <c r="B1188" s="57" t="n">
        <v>0.0093</v>
      </c>
      <c r="C1188" s="57" t="n">
        <v>0.01002</v>
      </c>
      <c r="D1188" s="57" t="n">
        <v>0.01234</v>
      </c>
    </row>
    <row r="1189" customFormat="false" ht="15" hidden="false" customHeight="false" outlineLevel="0" collapsed="false">
      <c r="A1189" s="52" t="n">
        <v>45967</v>
      </c>
      <c r="B1189" s="57" t="n">
        <v>0.00941</v>
      </c>
      <c r="C1189" s="57" t="n">
        <v>0.01017</v>
      </c>
      <c r="D1189" s="57" t="n">
        <v>0.01253</v>
      </c>
    </row>
    <row r="1190" customFormat="false" ht="15" hidden="false" customHeight="false" outlineLevel="0" collapsed="false">
      <c r="A1190" s="52" t="n">
        <v>45968</v>
      </c>
      <c r="B1190" s="57" t="n">
        <v>0.00941</v>
      </c>
      <c r="C1190" s="57" t="n">
        <v>0.01018</v>
      </c>
      <c r="D1190" s="57" t="n">
        <v>0.01257</v>
      </c>
    </row>
    <row r="1191" customFormat="false" ht="15" hidden="false" customHeight="false" outlineLevel="0" collapsed="false">
      <c r="A1191" s="52" t="n">
        <v>45971</v>
      </c>
      <c r="B1191" s="57" t="n">
        <v>0.00948</v>
      </c>
      <c r="C1191" s="57" t="n">
        <v>0.0103</v>
      </c>
      <c r="D1191" s="57" t="n">
        <v>0.01272</v>
      </c>
    </row>
    <row r="1192" customFormat="false" ht="15" hidden="false" customHeight="false" outlineLevel="0" collapsed="false">
      <c r="A1192" s="52" t="n">
        <v>45972</v>
      </c>
      <c r="B1192" s="57" t="n">
        <v>0.00937</v>
      </c>
      <c r="C1192" s="57" t="n">
        <v>0.01018</v>
      </c>
      <c r="D1192" s="57" t="n">
        <v>0.01258</v>
      </c>
    </row>
    <row r="1193" customFormat="false" ht="15" hidden="false" customHeight="false" outlineLevel="0" collapsed="false">
      <c r="A1193" s="52" t="n">
        <v>45973</v>
      </c>
      <c r="B1193" s="57" t="n">
        <v>0.00942</v>
      </c>
      <c r="C1193" s="57" t="n">
        <v>0.01017</v>
      </c>
      <c r="D1193" s="57" t="n">
        <v>0.01258</v>
      </c>
    </row>
    <row r="1194" customFormat="false" ht="15" hidden="false" customHeight="false" outlineLevel="0" collapsed="false">
      <c r="A1194" s="52" t="n">
        <v>45974</v>
      </c>
      <c r="B1194" s="57" t="n">
        <v>0.00932</v>
      </c>
      <c r="C1194" s="57" t="n">
        <v>0.01017</v>
      </c>
      <c r="D1194" s="57" t="n">
        <v>0.01254</v>
      </c>
    </row>
    <row r="1195" customFormat="false" ht="15" hidden="false" customHeight="false" outlineLevel="0" collapsed="false">
      <c r="A1195" s="52" t="n">
        <v>45975</v>
      </c>
      <c r="B1195" s="57" t="n">
        <v>0.00932</v>
      </c>
      <c r="C1195" s="57" t="n">
        <v>0.01018</v>
      </c>
      <c r="D1195" s="57" t="n">
        <v>0.01259</v>
      </c>
    </row>
    <row r="1196" customFormat="false" ht="15" hidden="false" customHeight="false" outlineLevel="0" collapsed="false">
      <c r="A1196" s="52" t="n">
        <v>45978</v>
      </c>
      <c r="B1196" s="57" t="n">
        <v>0.00938</v>
      </c>
      <c r="C1196" s="57" t="n">
        <v>0.01024</v>
      </c>
      <c r="D1196" s="57" t="n">
        <v>0.0127</v>
      </c>
    </row>
    <row r="1197" customFormat="false" ht="15" hidden="false" customHeight="false" outlineLevel="0" collapsed="false">
      <c r="A1197" s="52" t="n">
        <v>45979</v>
      </c>
      <c r="B1197" s="57" t="n">
        <v>0.00928</v>
      </c>
      <c r="C1197" s="57" t="n">
        <v>0.01019</v>
      </c>
      <c r="D1197" s="57" t="n">
        <v>0.01265</v>
      </c>
    </row>
    <row r="1198" customFormat="false" ht="15" hidden="false" customHeight="false" outlineLevel="0" collapsed="false">
      <c r="A1198" s="52" t="n">
        <v>45980</v>
      </c>
      <c r="B1198" s="57" t="n">
        <v>0.00934</v>
      </c>
      <c r="C1198" s="57" t="n">
        <v>0.01023</v>
      </c>
      <c r="D1198" s="57" t="n">
        <v>0.01275</v>
      </c>
    </row>
    <row r="1199" customFormat="false" ht="15" hidden="false" customHeight="false" outlineLevel="0" collapsed="false">
      <c r="A1199" s="52" t="n">
        <v>45981</v>
      </c>
      <c r="B1199" s="57" t="n">
        <v>0.00965</v>
      </c>
      <c r="C1199" s="57" t="n">
        <v>0.01068</v>
      </c>
      <c r="D1199" s="57" t="n">
        <v>0.01335</v>
      </c>
    </row>
    <row r="1200" customFormat="false" ht="15" hidden="false" customHeight="false" outlineLevel="0" collapsed="false">
      <c r="A1200" s="52" t="n">
        <v>45982</v>
      </c>
      <c r="B1200" s="57" t="n">
        <v>0.00959</v>
      </c>
      <c r="C1200" s="57" t="n">
        <v>0.01058</v>
      </c>
      <c r="D1200" s="57" t="n">
        <v>0.01324</v>
      </c>
    </row>
    <row r="1201" customFormat="false" ht="15" hidden="false" customHeight="false" outlineLevel="0" collapsed="false">
      <c r="A1201" s="52" t="n">
        <v>45986</v>
      </c>
      <c r="B1201" s="57" t="n">
        <v>0.00975</v>
      </c>
      <c r="C1201" s="57" t="n">
        <v>0.0108</v>
      </c>
      <c r="D1201" s="57" t="n">
        <v>0.01344</v>
      </c>
    </row>
    <row r="1202" customFormat="false" ht="15" hidden="false" customHeight="false" outlineLevel="0" collapsed="false">
      <c r="A1202" s="52" t="n">
        <v>45987</v>
      </c>
      <c r="B1202" s="57" t="n">
        <v>0.00985</v>
      </c>
      <c r="C1202" s="57" t="n">
        <v>0.01084</v>
      </c>
      <c r="D1202" s="57" t="n">
        <v>0.01349</v>
      </c>
    </row>
    <row r="1203" customFormat="false" ht="15" hidden="false" customHeight="false" outlineLevel="0" collapsed="false">
      <c r="A1203" s="52" t="n">
        <v>45988</v>
      </c>
      <c r="B1203" s="57" t="n">
        <v>0.00977</v>
      </c>
      <c r="C1203" s="57" t="n">
        <v>0.01075</v>
      </c>
      <c r="D1203" s="57" t="n">
        <v>0.01332</v>
      </c>
    </row>
    <row r="1204" customFormat="false" ht="15" hidden="false" customHeight="false" outlineLevel="0" collapsed="false">
      <c r="A1204" s="52" t="n">
        <v>45989</v>
      </c>
      <c r="B1204" s="57" t="n">
        <v>0.00992</v>
      </c>
      <c r="C1204" s="57" t="n">
        <v>0.01076</v>
      </c>
      <c r="D1204" s="57" t="n">
        <v>0.01326</v>
      </c>
    </row>
    <row r="1205" customFormat="false" ht="15" hidden="false" customHeight="false" outlineLevel="0" collapsed="false">
      <c r="A1205" s="52" t="n">
        <v>45992</v>
      </c>
      <c r="B1205" s="57" t="n">
        <v>0.0102</v>
      </c>
      <c r="C1205" s="57" t="n">
        <v>0.01122</v>
      </c>
      <c r="D1205" s="57" t="n">
        <v>0.01397</v>
      </c>
    </row>
    <row r="1206" customFormat="false" ht="15" hidden="false" customHeight="false" outlineLevel="0" collapsed="false">
      <c r="A1206" s="52" t="n">
        <v>45993</v>
      </c>
      <c r="B1206" s="57" t="n">
        <v>0.01005</v>
      </c>
      <c r="C1206" s="57" t="n">
        <v>0.01107</v>
      </c>
      <c r="D1206" s="57" t="n">
        <v>0.01382</v>
      </c>
    </row>
    <row r="1207" customFormat="false" ht="15" hidden="false" customHeight="false" outlineLevel="0" collapsed="false">
      <c r="A1207" s="52" t="n">
        <v>45994</v>
      </c>
      <c r="B1207" s="57" t="n">
        <v>0.01016</v>
      </c>
      <c r="C1207" s="57" t="n">
        <v>0.01121</v>
      </c>
      <c r="D1207" s="57" t="n">
        <v>0.014</v>
      </c>
    </row>
    <row r="1208" customFormat="false" ht="15" hidden="false" customHeight="false" outlineLevel="0" collapsed="false">
      <c r="A1208" s="52" t="n">
        <v>45995</v>
      </c>
      <c r="B1208" s="57" t="n">
        <v>0.01021</v>
      </c>
      <c r="C1208" s="57" t="n">
        <v>0.01136</v>
      </c>
      <c r="D1208" s="57" t="n">
        <v>0.01425</v>
      </c>
    </row>
    <row r="1209" customFormat="false" ht="15" hidden="false" customHeight="false" outlineLevel="0" collapsed="false">
      <c r="A1209" s="52" t="n">
        <v>45996</v>
      </c>
      <c r="B1209" s="57" t="n">
        <v>0.01052</v>
      </c>
      <c r="C1209" s="57" t="n">
        <v>0.01161</v>
      </c>
      <c r="D1209" s="57" t="n">
        <v>0.0145</v>
      </c>
    </row>
    <row r="1210" customFormat="false" ht="15" hidden="false" customHeight="false" outlineLevel="0" collapsed="false">
      <c r="A1210" s="52" t="n">
        <v>45999</v>
      </c>
      <c r="B1210" s="57" t="n">
        <v>0.01063</v>
      </c>
      <c r="C1210" s="57" t="n">
        <v>0.01175</v>
      </c>
      <c r="D1210" s="57" t="n">
        <v>0.01462</v>
      </c>
    </row>
    <row r="1211" customFormat="false" ht="15" hidden="false" customHeight="false" outlineLevel="0" collapsed="false">
      <c r="A1211" s="52" t="n">
        <v>46000</v>
      </c>
      <c r="B1211" s="57" t="n">
        <v>0.01069</v>
      </c>
      <c r="C1211" s="57" t="n">
        <v>0.01176</v>
      </c>
      <c r="D1211" s="57" t="n">
        <v>0.01457</v>
      </c>
    </row>
    <row r="1212" customFormat="false" ht="15" hidden="false" customHeight="false" outlineLevel="0" collapsed="false">
      <c r="A1212" s="52" t="n">
        <v>46001</v>
      </c>
      <c r="B1212" s="57" t="n">
        <v>0.01074</v>
      </c>
      <c r="C1212" s="57" t="n">
        <v>0.01178</v>
      </c>
      <c r="D1212" s="57" t="n">
        <v>0.01462</v>
      </c>
    </row>
    <row r="1213" customFormat="false" ht="15" hidden="false" customHeight="false" outlineLevel="0" collapsed="false">
      <c r="A1213" s="52" t="n">
        <v>46002</v>
      </c>
      <c r="B1213" s="57" t="n">
        <v>0.01054</v>
      </c>
      <c r="C1213" s="57" t="n">
        <v>0.01155</v>
      </c>
      <c r="D1213" s="57" t="n">
        <v>0.01439</v>
      </c>
    </row>
    <row r="1214" customFormat="false" ht="15" hidden="false" customHeight="false" outlineLevel="0" collapsed="false">
      <c r="A1214" s="52" t="n">
        <v>46003</v>
      </c>
      <c r="B1214" s="57" t="n">
        <v>0.0107</v>
      </c>
      <c r="C1214" s="57" t="n">
        <v>0.01166</v>
      </c>
      <c r="D1214" s="57" t="n">
        <v>0.01456</v>
      </c>
    </row>
    <row r="1215" customFormat="false" ht="15" hidden="false" customHeight="false" outlineLevel="0" collapsed="false">
      <c r="A1215" s="52" t="n">
        <v>46006</v>
      </c>
      <c r="B1215" s="57" t="n">
        <v>0.01071</v>
      </c>
      <c r="C1215" s="57" t="n">
        <v>0.01163</v>
      </c>
      <c r="D1215" s="57" t="n">
        <v>0.01452</v>
      </c>
    </row>
    <row r="1216" customFormat="false" ht="15" hidden="false" customHeight="false" outlineLevel="0" collapsed="false">
      <c r="A1216" s="52" t="n">
        <v>46007</v>
      </c>
      <c r="B1216" s="57" t="n">
        <v>0.01067</v>
      </c>
      <c r="C1216" s="57" t="n">
        <v>0.01157</v>
      </c>
      <c r="D1216" s="57" t="n">
        <v>0.01452</v>
      </c>
    </row>
    <row r="1217" customFormat="false" ht="15" hidden="false" customHeight="false" outlineLevel="0" collapsed="false">
      <c r="A1217" s="52" t="n">
        <v>46008</v>
      </c>
      <c r="B1217" s="57" t="n">
        <v>0.01077</v>
      </c>
      <c r="C1217" s="57" t="n">
        <v>0.01168</v>
      </c>
      <c r="D1217" s="57" t="n">
        <v>0.01462</v>
      </c>
    </row>
    <row r="1218" customFormat="false" ht="15" hidden="false" customHeight="false" outlineLevel="0" collapsed="false">
      <c r="A1218" s="52" t="n">
        <v>46009</v>
      </c>
      <c r="B1218" s="57" t="n">
        <v>0.01073</v>
      </c>
      <c r="C1218" s="57" t="n">
        <v>0.01163</v>
      </c>
      <c r="D1218" s="57" t="n">
        <v>0.01454</v>
      </c>
    </row>
    <row r="1219" customFormat="false" ht="15" hidden="false" customHeight="false" outlineLevel="0" collapsed="false">
      <c r="A1219" s="52" t="n">
        <v>46010</v>
      </c>
      <c r="B1219" s="57" t="n">
        <v>0.01101</v>
      </c>
      <c r="C1219" s="57" t="n">
        <v>0.01198</v>
      </c>
      <c r="D1219" s="57" t="n">
        <v>0.01506</v>
      </c>
    </row>
    <row r="1220" customFormat="false" ht="15" hidden="false" customHeight="false" outlineLevel="0" collapsed="false">
      <c r="A1220" s="52" t="n">
        <v>46013</v>
      </c>
      <c r="B1220" s="57" t="n">
        <v>0.01129</v>
      </c>
      <c r="C1220" s="57" t="n">
        <v>0.01244</v>
      </c>
      <c r="D1220" s="57" t="n">
        <v>0.01558</v>
      </c>
    </row>
    <row r="1221" customFormat="false" ht="15" hidden="false" customHeight="false" outlineLevel="0" collapsed="false">
      <c r="A1221" s="52" t="n">
        <v>46014</v>
      </c>
      <c r="B1221" s="57" t="n">
        <v>0.01111</v>
      </c>
      <c r="C1221" s="57" t="n">
        <v>0.01217</v>
      </c>
      <c r="D1221" s="57" t="n">
        <v>0.01515</v>
      </c>
    </row>
    <row r="1222" customFormat="false" ht="15" hidden="false" customHeight="false" outlineLevel="0" collapsed="false">
      <c r="A1222" s="52" t="n">
        <v>46015</v>
      </c>
      <c r="B1222" s="57" t="n">
        <v>0.01111</v>
      </c>
      <c r="C1222" s="57" t="n">
        <v>0.01221</v>
      </c>
      <c r="D1222" s="57" t="n">
        <v>0.01515</v>
      </c>
    </row>
    <row r="1223" customFormat="false" ht="15" hidden="false" customHeight="false" outlineLevel="0" collapsed="false">
      <c r="A1223" s="52" t="n">
        <v>46016</v>
      </c>
      <c r="B1223" s="57" t="n">
        <v>0.01147</v>
      </c>
      <c r="C1223" s="57" t="n">
        <v>0.01254</v>
      </c>
      <c r="D1223" s="57" t="n">
        <v>0.01544</v>
      </c>
    </row>
    <row r="1224" customFormat="false" ht="15" hidden="false" customHeight="false" outlineLevel="0" collapsed="false">
      <c r="A1224" s="52" t="n">
        <v>46017</v>
      </c>
      <c r="B1224" s="57" t="n">
        <v>0.01141</v>
      </c>
      <c r="C1224" s="57" t="n">
        <v>0.01255</v>
      </c>
      <c r="D1224" s="57" t="n">
        <v>0.01539</v>
      </c>
    </row>
    <row r="1225" customFormat="false" ht="15" hidden="false" customHeight="false" outlineLevel="0" collapsed="false">
      <c r="A1225" s="52" t="n">
        <v>46020</v>
      </c>
      <c r="B1225" s="57" t="n">
        <v>0.0115</v>
      </c>
      <c r="C1225" s="57" t="n">
        <v>0.01266</v>
      </c>
      <c r="D1225" s="57" t="n">
        <v>0.01549</v>
      </c>
    </row>
    <row r="1226" customFormat="false" ht="15" hidden="false" customHeight="false" outlineLevel="0" collapsed="false">
      <c r="A1226" s="52" t="n">
        <v>46021</v>
      </c>
      <c r="B1226" s="57" t="n">
        <v>0.01167</v>
      </c>
      <c r="C1226" s="57" t="n">
        <v>0.01282</v>
      </c>
      <c r="D1226" s="57" t="n">
        <v>0.01567</v>
      </c>
    </row>
    <row r="1227" customFormat="false" ht="15" hidden="false" customHeight="false" outlineLevel="0" collapsed="false">
      <c r="A1227" s="52" t="n">
        <v>46027</v>
      </c>
      <c r="B1227" s="57" t="n">
        <v>0.01194</v>
      </c>
      <c r="C1227" s="57" t="n">
        <v>0.01325</v>
      </c>
      <c r="D1227" s="57" t="n">
        <v>0.0162</v>
      </c>
    </row>
    <row r="1228" customFormat="false" ht="15" hidden="false" customHeight="false" outlineLevel="0" collapsed="false">
      <c r="A1228" s="52" t="n">
        <v>46028</v>
      </c>
      <c r="B1228" s="57" t="n">
        <v>0.01185</v>
      </c>
      <c r="C1228" s="57" t="n">
        <v>0.0132</v>
      </c>
      <c r="D1228" s="57" t="n">
        <v>0.01615</v>
      </c>
    </row>
    <row r="1229" customFormat="false" ht="15" hidden="false" customHeight="false" outlineLevel="0" collapsed="false">
      <c r="A1229" s="52" t="n">
        <v>46029</v>
      </c>
      <c r="B1229" s="57" t="n">
        <v>0.0117</v>
      </c>
      <c r="C1229" s="57" t="n">
        <v>0.01311</v>
      </c>
      <c r="D1229" s="57" t="n">
        <v>0.01605</v>
      </c>
    </row>
    <row r="1230" customFormat="false" ht="15" hidden="false" customHeight="false" outlineLevel="0" collapsed="false">
      <c r="A1230" s="52" t="n">
        <v>46030</v>
      </c>
      <c r="B1230" s="57" t="n">
        <v>0.01129</v>
      </c>
      <c r="C1230" s="57" t="n">
        <v>0.01269</v>
      </c>
      <c r="D1230" s="57" t="n">
        <v>0.01554</v>
      </c>
    </row>
    <row r="1231" customFormat="false" ht="15" hidden="false" customHeight="false" outlineLevel="0" collapsed="false">
      <c r="A1231" s="52" t="n">
        <v>46031</v>
      </c>
      <c r="B1231" s="57" t="n">
        <v>0.01151</v>
      </c>
      <c r="C1231" s="57" t="n">
        <v>0.01292</v>
      </c>
      <c r="D1231" s="57" t="n">
        <v>0.0158</v>
      </c>
    </row>
    <row r="1232" customFormat="false" ht="15" hidden="false" customHeight="false" outlineLevel="0" collapsed="false">
      <c r="A1232" s="52" t="n">
        <v>46035</v>
      </c>
      <c r="B1232" s="57" t="n">
        <v>0.01164</v>
      </c>
      <c r="C1232" s="57" t="n">
        <v>0.01319</v>
      </c>
      <c r="D1232" s="57" t="n">
        <v>0.01626</v>
      </c>
    </row>
    <row r="1233" customFormat="false" ht="15" hidden="false" customHeight="false" outlineLevel="0" collapsed="false">
      <c r="A1233" s="52" t="n">
        <v>46036</v>
      </c>
      <c r="B1233" s="57" t="n">
        <v>0.01186</v>
      </c>
      <c r="C1233" s="57" t="n">
        <v>0.01338</v>
      </c>
      <c r="D1233" s="57" t="n">
        <v>0.01647</v>
      </c>
    </row>
    <row r="1234" customFormat="false" ht="15" hidden="false" customHeight="false" outlineLevel="0" collapsed="false">
      <c r="A1234" s="52" t="n">
        <v>46037</v>
      </c>
      <c r="B1234" s="57" t="n">
        <v>0.0119</v>
      </c>
      <c r="C1234" s="57" t="n">
        <v>0.01336</v>
      </c>
      <c r="D1234" s="57" t="n">
        <v>0.01636</v>
      </c>
    </row>
    <row r="1235" customFormat="false" ht="15" hidden="false" customHeight="false" outlineLevel="0" collapsed="false">
      <c r="A1235" s="52" t="n">
        <v>46038</v>
      </c>
      <c r="B1235" s="57" t="n">
        <v>0.01205</v>
      </c>
      <c r="C1235" s="57" t="n">
        <v>0.01355</v>
      </c>
      <c r="D1235" s="57" t="n">
        <v>0.01647</v>
      </c>
    </row>
    <row r="1236" customFormat="false" ht="15" hidden="false" customHeight="false" outlineLevel="0" collapsed="false">
      <c r="A1236" s="52" t="n">
        <v>46041</v>
      </c>
      <c r="B1236" s="57" t="n">
        <v>0.0123</v>
      </c>
      <c r="C1236" s="57" t="n">
        <v>0.01382</v>
      </c>
      <c r="D1236" s="57" t="n">
        <v>0.01691</v>
      </c>
    </row>
    <row r="1237" customFormat="false" ht="15" hidden="false" customHeight="false" outlineLevel="0" collapsed="false">
      <c r="A1237" s="52" t="n">
        <v>46042</v>
      </c>
      <c r="B1237" s="57" t="n">
        <v>0.0122</v>
      </c>
      <c r="C1237" s="57" t="n">
        <v>0.01381</v>
      </c>
      <c r="D1237" s="57" t="n">
        <v>0.01703</v>
      </c>
    </row>
    <row r="1238" customFormat="false" ht="15" hidden="false" customHeight="false" outlineLevel="0" collapsed="false">
      <c r="A1238" s="52" t="n">
        <v>46043</v>
      </c>
      <c r="B1238" s="57" t="n">
        <v>0.01235</v>
      </c>
      <c r="C1238" s="57" t="n">
        <v>0.01386</v>
      </c>
      <c r="D1238" s="57" t="n">
        <v>0.01687</v>
      </c>
    </row>
    <row r="1239" customFormat="false" ht="15" hidden="false" customHeight="false" outlineLevel="0" collapsed="false">
      <c r="A1239" s="52" t="n">
        <v>46044</v>
      </c>
      <c r="B1239" s="57" t="n">
        <v>0.01224</v>
      </c>
      <c r="C1239" s="57" t="n">
        <v>0.0137</v>
      </c>
      <c r="D1239" s="57" t="n">
        <v>0.01668</v>
      </c>
    </row>
    <row r="1240" customFormat="false" ht="15" hidden="false" customHeight="false" outlineLevel="0" collapsed="false">
      <c r="A1240" s="52" t="n">
        <v>46045</v>
      </c>
      <c r="B1240" s="57" t="n">
        <v>0.01262</v>
      </c>
      <c r="C1240" s="57" t="n">
        <v>0.014</v>
      </c>
      <c r="D1240" s="57" t="n">
        <v>0.01696</v>
      </c>
    </row>
    <row r="1241" customFormat="false" ht="15" hidden="false" customHeight="false" outlineLevel="0" collapsed="false">
      <c r="A1241" s="52" t="n">
        <v>46048</v>
      </c>
      <c r="B1241" s="57" t="n">
        <v>0.01277</v>
      </c>
      <c r="C1241" s="57" t="n">
        <v>0.01412</v>
      </c>
      <c r="D1241" s="57" t="n">
        <v>0.01692</v>
      </c>
    </row>
    <row r="1242" customFormat="false" ht="15" hidden="false" customHeight="false" outlineLevel="0" collapsed="false">
      <c r="A1242" s="52" t="n">
        <v>46049</v>
      </c>
      <c r="B1242" s="57" t="n">
        <v>0.01284</v>
      </c>
      <c r="C1242" s="57" t="n">
        <v>0.01426</v>
      </c>
      <c r="D1242" s="57" t="n">
        <v>0.01717</v>
      </c>
    </row>
    <row r="1243" customFormat="false" ht="15" hidden="false" customHeight="false" outlineLevel="0" collapsed="false">
      <c r="A1243" s="52" t="n">
        <v>46050</v>
      </c>
      <c r="B1243" s="57" t="n">
        <v>0.01257</v>
      </c>
      <c r="C1243" s="57" t="n">
        <v>0.01391</v>
      </c>
      <c r="D1243" s="57" t="n">
        <v>0.01672</v>
      </c>
    </row>
    <row r="1244" customFormat="false" ht="15" hidden="false" customHeight="false" outlineLevel="0" collapsed="false">
      <c r="A1244" s="52" t="n">
        <v>46051</v>
      </c>
      <c r="B1244" s="57" t="n">
        <v>0.01264</v>
      </c>
      <c r="C1244" s="57" t="n">
        <v>0.01399</v>
      </c>
      <c r="D1244" s="57" t="n">
        <v>0.01684</v>
      </c>
    </row>
    <row r="1245" customFormat="false" ht="15" hidden="false" customHeight="false" outlineLevel="0" collapsed="false">
      <c r="A1245" s="52" t="n">
        <v>46052</v>
      </c>
      <c r="B1245" s="57" t="n">
        <v>0.01251</v>
      </c>
      <c r="C1245" s="57" t="n">
        <v>0.01381</v>
      </c>
      <c r="D1245" s="57" t="n">
        <v>0.01666</v>
      </c>
    </row>
    <row r="1246" customFormat="false" ht="15" hidden="false" customHeight="false" outlineLevel="0" collapsed="false">
      <c r="A1246" s="52" t="n">
        <v>46055</v>
      </c>
      <c r="B1246" s="57" t="n">
        <v>0.01265</v>
      </c>
      <c r="C1246" s="57" t="n">
        <v>0.01386</v>
      </c>
      <c r="D1246" s="57" t="n">
        <v>0.01659</v>
      </c>
    </row>
    <row r="1247" customFormat="false" ht="15" hidden="false" customHeight="false" outlineLevel="0" collapsed="false">
      <c r="A1247" s="52" t="n">
        <v>46056</v>
      </c>
      <c r="B1247" s="57" t="n">
        <v>0.01286</v>
      </c>
      <c r="C1247" s="57" t="n">
        <v>0.01408</v>
      </c>
      <c r="D1247" s="57" t="n">
        <v>0.01693</v>
      </c>
    </row>
    <row r="1248" customFormat="false" ht="15" hidden="false" customHeight="false" outlineLevel="0" collapsed="false">
      <c r="A1248" s="52" t="n">
        <v>46057</v>
      </c>
      <c r="B1248" s="57" t="n">
        <v>0.01276</v>
      </c>
      <c r="C1248" s="57" t="n">
        <v>0.01401</v>
      </c>
      <c r="D1248" s="57" t="n">
        <v>0.01687</v>
      </c>
    </row>
    <row r="1249" customFormat="false" ht="15" hidden="false" customHeight="false" outlineLevel="0" collapsed="false">
      <c r="A1249" s="52" t="n">
        <v>46058</v>
      </c>
      <c r="B1249" s="57" t="n">
        <v>0.01276</v>
      </c>
      <c r="C1249" s="57" t="n">
        <v>0.01404</v>
      </c>
      <c r="D1249" s="57" t="n">
        <v>0.01693</v>
      </c>
    </row>
    <row r="1250" customFormat="false" ht="15" hidden="false" customHeight="false" outlineLevel="0" collapsed="false">
      <c r="A1250" s="52" t="n">
        <v>46059</v>
      </c>
      <c r="B1250" s="57" t="n">
        <v>0.01281</v>
      </c>
      <c r="C1250" s="57" t="n">
        <v>0.01404</v>
      </c>
      <c r="D1250" s="57" t="n">
        <v>0.01697</v>
      </c>
    </row>
    <row r="1251" customFormat="false" ht="15" hidden="false" customHeight="false" outlineLevel="0" collapsed="false">
      <c r="A1251" s="52" t="n">
        <v>46062</v>
      </c>
      <c r="B1251" s="57" t="n">
        <v>0.01313</v>
      </c>
      <c r="C1251" s="57" t="n">
        <v>0.01443</v>
      </c>
      <c r="D1251" s="57" t="n">
        <v>0.01751</v>
      </c>
    </row>
    <row r="1252" customFormat="false" ht="15" hidden="false" customHeight="false" outlineLevel="0" collapsed="false">
      <c r="A1252" s="52" t="n">
        <v>46063</v>
      </c>
      <c r="B1252" s="57" t="n">
        <v>0.01303</v>
      </c>
      <c r="C1252" s="57" t="n">
        <v>0.01423</v>
      </c>
      <c r="D1252" s="57" t="n">
        <v>0.01712</v>
      </c>
    </row>
    <row r="1253" customFormat="false" ht="15" hidden="false" customHeight="false" outlineLevel="0" collapsed="false">
      <c r="A1253" s="52" t="n">
        <v>46065</v>
      </c>
      <c r="B1253" s="57" t="n">
        <v>0.01305</v>
      </c>
      <c r="C1253" s="57" t="n">
        <v>0.01425</v>
      </c>
      <c r="D1253" s="57" t="n">
        <v>0.01713</v>
      </c>
    </row>
    <row r="1254" customFormat="false" ht="15" hidden="false" customHeight="false" outlineLevel="0" collapsed="false">
      <c r="A1254" s="52" t="n">
        <v>46066</v>
      </c>
      <c r="B1254" s="57" t="n">
        <v>0.01289</v>
      </c>
      <c r="C1254" s="57" t="n">
        <v>0.01408</v>
      </c>
      <c r="D1254" s="57" t="n">
        <v>0.01692</v>
      </c>
    </row>
    <row r="1255" customFormat="false" ht="15" hidden="false" customHeight="false" outlineLevel="0" collapsed="false">
      <c r="A1255" s="52" t="n">
        <v>46069</v>
      </c>
      <c r="B1255" s="57" t="n">
        <v>0.01275</v>
      </c>
      <c r="C1255" s="57" t="n">
        <v>0.01394</v>
      </c>
      <c r="D1255" s="57" t="n">
        <v>0.01685</v>
      </c>
    </row>
    <row r="1256" customFormat="false" ht="15" hidden="false" customHeight="false" outlineLevel="0" collapsed="false">
      <c r="A1256" s="52" t="n">
        <v>46070</v>
      </c>
      <c r="B1256" s="57" t="n">
        <v>0.01233</v>
      </c>
      <c r="C1256" s="57" t="n">
        <v>0.01349</v>
      </c>
      <c r="D1256" s="57" t="n">
        <v>0.0163</v>
      </c>
    </row>
    <row r="1257" customFormat="false" ht="15" hidden="false" customHeight="false" outlineLevel="0" collapsed="false">
      <c r="A1257" s="52" t="n">
        <v>46071</v>
      </c>
      <c r="B1257" s="57" t="n">
        <v>0.01242</v>
      </c>
      <c r="C1257" s="57" t="n">
        <v>0.01354</v>
      </c>
      <c r="D1257" s="57" t="n">
        <v>0.01634</v>
      </c>
    </row>
    <row r="1258" customFormat="false" ht="15" hidden="false" customHeight="false" outlineLevel="0" collapsed="false">
      <c r="A1258" s="52" t="n">
        <v>46072</v>
      </c>
      <c r="B1258" s="57" t="n">
        <v>0.01265</v>
      </c>
      <c r="C1258" s="57" t="n">
        <v>0.01369</v>
      </c>
      <c r="D1258" s="57" t="n">
        <v>0.01646</v>
      </c>
    </row>
    <row r="1259" customFormat="false" ht="15" hidden="false" customHeight="false" outlineLevel="0" collapsed="false">
      <c r="A1259" s="52" t="n">
        <v>46073</v>
      </c>
      <c r="B1259" s="57" t="n">
        <v>0.0126</v>
      </c>
      <c r="C1259" s="57" t="n">
        <v>0.01357</v>
      </c>
      <c r="D1259" s="57" t="n">
        <v>0.01622</v>
      </c>
    </row>
    <row r="1260" customFormat="false" ht="15" hidden="false" customHeight="false" outlineLevel="0" collapsed="false">
      <c r="A1260" s="52" t="n">
        <v>46077</v>
      </c>
      <c r="B1260" s="57" t="n">
        <v>0.01251</v>
      </c>
      <c r="C1260" s="57" t="n">
        <v>0.01352</v>
      </c>
      <c r="D1260" s="57" t="n">
        <v>0.01612</v>
      </c>
    </row>
    <row r="1261" customFormat="false" ht="15" hidden="false" customHeight="false" outlineLevel="0" collapsed="false">
      <c r="A1261" s="52" t="n">
        <v>46078</v>
      </c>
      <c r="B1261" s="57" t="n">
        <v>0.01224</v>
      </c>
      <c r="C1261" s="57" t="n">
        <v>0.01335</v>
      </c>
      <c r="D1261" s="57" t="n">
        <v>0.01601</v>
      </c>
    </row>
    <row r="1262" customFormat="false" ht="15" hidden="false" customHeight="false" outlineLevel="0" collapsed="false">
      <c r="A1262" s="52" t="n">
        <v>46079</v>
      </c>
      <c r="B1262" s="57" t="n">
        <v>0.01246</v>
      </c>
      <c r="C1262" s="57" t="n">
        <v>0.0136</v>
      </c>
      <c r="D1262" s="57" t="n">
        <v>0.01625</v>
      </c>
    </row>
    <row r="1263" customFormat="false" ht="15" hidden="false" customHeight="false" outlineLevel="0" collapsed="false">
      <c r="A1263" s="52" t="n">
        <v>46080</v>
      </c>
      <c r="B1263" s="57" t="n">
        <v>0.0125</v>
      </c>
      <c r="C1263" s="57" t="n">
        <v>0.01335</v>
      </c>
      <c r="D1263" s="57" t="n">
        <v>0.01594</v>
      </c>
    </row>
    <row r="1264" customFormat="false" ht="15" hidden="false" customHeight="false" outlineLevel="0" collapsed="false">
      <c r="A1264" s="52" t="n">
        <v>46083</v>
      </c>
      <c r="B1264" s="57" t="n">
        <v>0.01219</v>
      </c>
      <c r="C1264" s="57" t="n">
        <v>0.01308</v>
      </c>
      <c r="D1264" s="57" t="n">
        <v>0.01552</v>
      </c>
    </row>
    <row r="1265" customFormat="false" ht="15" hidden="false" customHeight="false" outlineLevel="0" collapsed="false">
      <c r="A1265" s="52" t="n">
        <v>46084</v>
      </c>
      <c r="B1265" s="57" t="n">
        <v>0.0125</v>
      </c>
      <c r="C1265" s="57" t="n">
        <v>0.01352</v>
      </c>
      <c r="D1265" s="57" t="n">
        <v>0.01611</v>
      </c>
    </row>
    <row r="1266" customFormat="false" ht="15" hidden="false" customHeight="false" outlineLevel="0" collapsed="false">
      <c r="A1266" s="52" t="n">
        <v>46085</v>
      </c>
      <c r="B1266" s="57" t="n">
        <v>0.01235</v>
      </c>
      <c r="C1266" s="57" t="n">
        <v>0.01336</v>
      </c>
      <c r="D1266" s="57" t="n">
        <v>0.01597</v>
      </c>
    </row>
    <row r="1267" customFormat="false" ht="15" hidden="false" customHeight="false" outlineLevel="0" collapsed="false">
      <c r="A1267" s="52" t="n">
        <v>46086</v>
      </c>
      <c r="B1267" s="57" t="n">
        <v>0.01256</v>
      </c>
      <c r="C1267" s="57" t="n">
        <v>0.01371</v>
      </c>
      <c r="D1267" s="57" t="n">
        <v>0.01641</v>
      </c>
    </row>
    <row r="1268" customFormat="false" ht="15" hidden="false" customHeight="false" outlineLevel="0" collapsed="false">
      <c r="A1268" s="52" t="n">
        <v>46087</v>
      </c>
      <c r="B1268" s="57" t="n">
        <v>0.01246</v>
      </c>
      <c r="C1268" s="57" t="n">
        <v>0.01362</v>
      </c>
      <c r="D1268" s="57" t="n">
        <v>0.01637</v>
      </c>
    </row>
    <row r="1269" customFormat="false" ht="15" hidden="false" customHeight="false" outlineLevel="0" collapsed="false">
      <c r="A1269" s="52" t="n">
        <v>46090</v>
      </c>
      <c r="B1269" s="57" t="n">
        <v>0.01242</v>
      </c>
      <c r="C1269" s="57" t="n">
        <v>0.01359</v>
      </c>
      <c r="D1269" s="57" t="n">
        <v>0.01644</v>
      </c>
    </row>
    <row r="1270" customFormat="false" ht="15" hidden="false" customHeight="false" outlineLevel="0" collapsed="false">
      <c r="A1270" s="52" t="n">
        <v>46091</v>
      </c>
      <c r="B1270" s="57" t="n">
        <v>0.01258</v>
      </c>
      <c r="C1270" s="57" t="n">
        <v>0.01364</v>
      </c>
      <c r="D1270" s="57" t="n">
        <v>0.01648</v>
      </c>
    </row>
    <row r="1271" customFormat="false" ht="15" hidden="false" customHeight="false" outlineLevel="0" collapsed="false">
      <c r="A1271" s="52" t="n">
        <v>46092</v>
      </c>
      <c r="B1271" s="57" t="n">
        <v>0.01253</v>
      </c>
      <c r="C1271" s="57" t="n">
        <v>0.01351</v>
      </c>
      <c r="D1271" s="57" t="n">
        <v>0.01633</v>
      </c>
    </row>
    <row r="1272" customFormat="false" ht="15" hidden="false" customHeight="false" outlineLevel="0" collapsed="false">
      <c r="A1272" s="52" t="n">
        <v>46093</v>
      </c>
      <c r="B1272" s="57" t="n">
        <v>0.01263</v>
      </c>
      <c r="C1272" s="57" t="n">
        <v>0.01366</v>
      </c>
      <c r="D1272" s="57" t="n">
        <v>0.01646</v>
      </c>
    </row>
    <row r="1273" customFormat="false" ht="15" hidden="false" customHeight="false" outlineLevel="0" collapsed="false">
      <c r="A1273" s="52" t="n">
        <v>46094</v>
      </c>
      <c r="B1273" s="57" t="n">
        <v>0.01289</v>
      </c>
      <c r="C1273" s="57" t="n">
        <v>0.01395</v>
      </c>
      <c r="D1273" s="57" t="n">
        <v>0.017</v>
      </c>
    </row>
    <row r="1274" customFormat="false" ht="15" hidden="false" customHeight="false" outlineLevel="0" collapsed="false">
      <c r="A1274" s="52" t="n">
        <v>46097</v>
      </c>
      <c r="B1274" s="57" t="n">
        <v>0.01287</v>
      </c>
      <c r="C1274" s="57" t="n">
        <v>0.01402</v>
      </c>
      <c r="D1274" s="57" t="n">
        <v>0.01709</v>
      </c>
    </row>
    <row r="1275" customFormat="false" ht="15" hidden="false" customHeight="false" outlineLevel="0" collapsed="false">
      <c r="A1275" s="52" t="n">
        <v>46098</v>
      </c>
      <c r="B1275" s="57" t="n">
        <v>0.0128</v>
      </c>
      <c r="C1275" s="57" t="n">
        <v>0.014</v>
      </c>
      <c r="D1275" s="57" t="n">
        <v>0.017</v>
      </c>
    </row>
    <row r="1276" customFormat="false" ht="15" hidden="false" customHeight="false" outlineLevel="0" collapsed="false">
      <c r="A1276" s="52" t="n">
        <v>46099</v>
      </c>
      <c r="B1276" s="57" t="n">
        <v>0.01261</v>
      </c>
      <c r="C1276" s="57" t="n">
        <v>0.01377</v>
      </c>
      <c r="D1276" s="57" t="n">
        <v>0.01663</v>
      </c>
    </row>
    <row r="1277" customFormat="false" ht="15" hidden="false" customHeight="false" outlineLevel="0" collapsed="false">
      <c r="A1277" s="52" t="n">
        <v>46100</v>
      </c>
      <c r="B1277" s="57" t="n">
        <v>0.01277</v>
      </c>
      <c r="C1277" s="57" t="n">
        <v>0.01399</v>
      </c>
      <c r="D1277" s="57" t="n">
        <v>0.01691</v>
      </c>
    </row>
    <row r="1278" customFormat="false" ht="15" hidden="false" customHeight="false" outlineLevel="0" collapsed="false">
      <c r="A1278" s="52" t="n">
        <v>46104</v>
      </c>
      <c r="B1278" s="57" t="n">
        <v>0.01311</v>
      </c>
      <c r="C1278" s="57" t="n">
        <v>0.01437</v>
      </c>
      <c r="D1278" s="57" t="n">
        <v>0.01746</v>
      </c>
    </row>
    <row r="1279" customFormat="false" ht="15" hidden="false" customHeight="false" outlineLevel="0" collapsed="false">
      <c r="A1279" s="52" t="n">
        <v>46105</v>
      </c>
      <c r="B1279" s="57" t="n">
        <v>0.01311</v>
      </c>
      <c r="C1279" s="57" t="n">
        <v>0.01431</v>
      </c>
      <c r="D1279" s="57" t="n">
        <v>0.01731</v>
      </c>
    </row>
    <row r="1280" customFormat="false" ht="15" hidden="false" customHeight="false" outlineLevel="0" collapsed="false">
      <c r="A1280" s="52" t="n">
        <v>46106</v>
      </c>
      <c r="B1280" s="57" t="n">
        <v>0.01317</v>
      </c>
      <c r="C1280" s="57" t="n">
        <v>0.01443</v>
      </c>
      <c r="D1280" s="57" t="n">
        <v>0.0174</v>
      </c>
    </row>
    <row r="1281" customFormat="false" ht="15" hidden="false" customHeight="false" outlineLevel="0" collapsed="false">
      <c r="A1281" s="52" t="n">
        <v>46107</v>
      </c>
      <c r="B1281" s="57" t="n">
        <v>0.01348</v>
      </c>
      <c r="C1281" s="57" t="n">
        <v>0.01472</v>
      </c>
      <c r="D1281" s="57" t="n">
        <v>0.01761</v>
      </c>
    </row>
    <row r="1282" customFormat="false" ht="15" hidden="false" customHeight="false" outlineLevel="0" collapsed="false">
      <c r="A1282" s="52" t="n">
        <v>46108</v>
      </c>
      <c r="B1282" s="57" t="n">
        <v>0.01393</v>
      </c>
      <c r="C1282" s="57" t="n">
        <v>0.01526</v>
      </c>
      <c r="D1282" s="57" t="n">
        <v>0.01836</v>
      </c>
    </row>
    <row r="1283" customFormat="false" ht="15" hidden="false" customHeight="false" outlineLevel="0" collapsed="false">
      <c r="A1283" s="52" t="n">
        <v>46111</v>
      </c>
      <c r="B1283" s="57" t="n">
        <v>0.01369</v>
      </c>
      <c r="C1283" s="57" t="n">
        <v>0.01498</v>
      </c>
      <c r="D1283" s="57" t="n">
        <v>0.01804</v>
      </c>
    </row>
    <row r="1284" customFormat="false" ht="15" hidden="false" customHeight="false" outlineLevel="0" collapsed="false">
      <c r="A1284" s="52" t="n">
        <v>46112</v>
      </c>
      <c r="B1284" s="57" t="n">
        <v>0.01375</v>
      </c>
      <c r="C1284" s="57" t="n">
        <v>0.01503</v>
      </c>
      <c r="D1284" s="57" t="n">
        <v>0.01804</v>
      </c>
    </row>
    <row r="1285" customFormat="false" ht="15" hidden="false" customHeight="false" outlineLevel="0" collapsed="false">
      <c r="A1285" s="52" t="n">
        <v>46113</v>
      </c>
      <c r="B1285" s="57" t="n">
        <v>0.01349</v>
      </c>
      <c r="C1285" s="57" t="n">
        <v>0.01472</v>
      </c>
      <c r="D1285" s="57" t="n">
        <v>0.01755</v>
      </c>
    </row>
    <row r="1286" customFormat="false" ht="15" hidden="false" customHeight="false" outlineLevel="0" collapsed="false">
      <c r="A1286" s="52" t="n">
        <v>46114</v>
      </c>
      <c r="B1286" s="57" t="n">
        <v>0.0139</v>
      </c>
      <c r="C1286" s="57" t="n">
        <v>0.0152</v>
      </c>
      <c r="D1286" s="57" t="n">
        <v>0.01823</v>
      </c>
    </row>
    <row r="1287" customFormat="false" ht="15" hidden="false" customHeight="false" outlineLevel="0" collapsed="false">
      <c r="A1287" s="52" t="n">
        <v>46115</v>
      </c>
      <c r="B1287" s="57" t="n">
        <v>0.01391</v>
      </c>
      <c r="C1287" s="57" t="n">
        <v>0.01521</v>
      </c>
      <c r="D1287" s="57" t="n">
        <v>0.01818</v>
      </c>
    </row>
    <row r="1288" customFormat="false" ht="15" hidden="false" customHeight="false" outlineLevel="0" collapsed="false">
      <c r="A1288" s="52" t="n">
        <v>46118</v>
      </c>
      <c r="B1288" s="57" t="n">
        <v>0.01402</v>
      </c>
      <c r="C1288" s="57" t="n">
        <v>0.01542</v>
      </c>
      <c r="D1288" s="57" t="n">
        <v>0.0185</v>
      </c>
    </row>
    <row r="1289" customFormat="false" ht="15" hidden="false" customHeight="false" outlineLevel="0" collapsed="false">
      <c r="A1289" s="52" t="n">
        <v>46119</v>
      </c>
      <c r="B1289" s="57" t="n">
        <v>0.01387</v>
      </c>
      <c r="C1289" s="57" t="n">
        <v>0.01519</v>
      </c>
      <c r="D1289" s="57" t="n">
        <v>0.01831</v>
      </c>
    </row>
    <row r="1290" customFormat="false" ht="15" hidden="false" customHeight="false" outlineLevel="0" collapsed="false">
      <c r="A1290" s="52" t="n">
        <v>46120</v>
      </c>
      <c r="B1290" s="57" t="n">
        <v>0.01382</v>
      </c>
      <c r="C1290" s="57" t="n">
        <v>0.01513</v>
      </c>
      <c r="D1290" s="57" t="n">
        <v>0.01812</v>
      </c>
    </row>
    <row r="1291" customFormat="false" ht="15" hidden="false" customHeight="false" outlineLevel="0" collapsed="false">
      <c r="A1291" s="52" t="n">
        <v>46121</v>
      </c>
      <c r="B1291" s="57" t="n">
        <v>0.01394</v>
      </c>
      <c r="C1291" s="57" t="n">
        <v>0.01522</v>
      </c>
      <c r="D1291" s="57" t="n">
        <v>0.01831</v>
      </c>
    </row>
    <row r="1292" customFormat="false" ht="15" hidden="false" customHeight="false" outlineLevel="0" collapsed="false">
      <c r="A1292" s="52" t="n">
        <v>46122</v>
      </c>
      <c r="B1292" s="57" t="n">
        <v>0.01405</v>
      </c>
      <c r="C1292" s="57" t="n">
        <v>0.01544</v>
      </c>
      <c r="D1292" s="57" t="n">
        <v>0.01866</v>
      </c>
    </row>
    <row r="1293" customFormat="false" ht="15" hidden="false" customHeight="false" outlineLevel="0" collapsed="false">
      <c r="A1293" s="52" t="n">
        <v>46125</v>
      </c>
      <c r="B1293" s="57" t="n">
        <v>0.01401</v>
      </c>
      <c r="C1293" s="57" t="n">
        <v>0.0154</v>
      </c>
      <c r="D1293" s="57" t="n">
        <v>0.01876</v>
      </c>
    </row>
    <row r="1294" customFormat="false" ht="15" hidden="false" customHeight="false" outlineLevel="0" collapsed="false">
      <c r="A1294" s="52" t="n">
        <v>46126</v>
      </c>
      <c r="B1294" s="57" t="n">
        <v>0.01382</v>
      </c>
      <c r="C1294" s="57" t="n">
        <v>0.01515</v>
      </c>
      <c r="D1294" s="57" t="n">
        <v>0.01842</v>
      </c>
    </row>
    <row r="1295" customFormat="false" ht="15" hidden="false" customHeight="false" outlineLevel="0" collapsed="false">
      <c r="A1295" s="52" t="n">
        <v>46127</v>
      </c>
      <c r="B1295" s="57" t="n">
        <v>0.01382</v>
      </c>
      <c r="C1295" s="57" t="n">
        <v>0.01516</v>
      </c>
      <c r="D1295" s="57" t="n">
        <v>0.01838</v>
      </c>
    </row>
    <row r="1296" customFormat="false" ht="15" hidden="false" customHeight="false" outlineLevel="0" collapsed="false">
      <c r="A1296" s="52" t="n">
        <v>46128</v>
      </c>
      <c r="B1296" s="57" t="n">
        <v>0.01366</v>
      </c>
      <c r="C1296" s="57" t="n">
        <v>0.01512</v>
      </c>
      <c r="D1296" s="57" t="n">
        <v>0.0183</v>
      </c>
    </row>
    <row r="1297" customFormat="false" ht="15" hidden="false" customHeight="false" outlineLevel="0" collapsed="false">
      <c r="A1297" s="52" t="n">
        <v>46129</v>
      </c>
      <c r="B1297" s="57" t="n">
        <v>0.01372</v>
      </c>
      <c r="C1297" s="57" t="n">
        <v>0.01522</v>
      </c>
      <c r="D1297" s="57" t="n">
        <v>0.01843</v>
      </c>
    </row>
    <row r="1298" customFormat="false" ht="15" hidden="false" customHeight="false" outlineLevel="0" collapsed="false">
      <c r="A1298" s="52" t="n">
        <v>46132</v>
      </c>
      <c r="B1298" s="57" t="n">
        <v>0.01369</v>
      </c>
      <c r="C1298" s="57" t="n">
        <v>0.01514</v>
      </c>
      <c r="D1298" s="57" t="n">
        <v>0.01825</v>
      </c>
    </row>
    <row r="1299" customFormat="false" ht="15" hidden="false" customHeight="false" outlineLevel="0" collapsed="false">
      <c r="A1299" s="52" t="n">
        <v>46133</v>
      </c>
      <c r="B1299" s="57" t="n">
        <v>0.01359</v>
      </c>
      <c r="C1299" s="57" t="n">
        <v>0.01505</v>
      </c>
      <c r="D1299" s="57" t="n">
        <v>0.01816</v>
      </c>
    </row>
    <row r="1300" customFormat="false" ht="15" hidden="false" customHeight="false" outlineLevel="0" collapsed="false">
      <c r="A1300" s="52" t="n">
        <v>46134</v>
      </c>
      <c r="B1300" s="57" t="n">
        <v>0.01362</v>
      </c>
      <c r="C1300" s="57" t="n">
        <v>0.01512</v>
      </c>
      <c r="D1300" s="57" t="n">
        <v>0.01832</v>
      </c>
    </row>
    <row r="1301" customFormat="false" ht="15" hidden="false" customHeight="false" outlineLevel="0" collapsed="false">
      <c r="A1301" s="52" t="n">
        <v>46135</v>
      </c>
      <c r="B1301" s="57" t="n">
        <v>0.01365</v>
      </c>
      <c r="C1301" s="57" t="n">
        <v>0.01517</v>
      </c>
      <c r="D1301" s="57" t="n">
        <v>0.01845</v>
      </c>
    </row>
    <row r="1302" customFormat="false" ht="15" hidden="false" customHeight="false" outlineLevel="0" collapsed="false">
      <c r="A1302" s="52" t="n">
        <v>46136</v>
      </c>
      <c r="B1302" s="57" t="n">
        <v>0.01363</v>
      </c>
      <c r="C1302" s="57" t="n">
        <v>0.01518</v>
      </c>
      <c r="D1302" s="57" t="n">
        <v>0.01842</v>
      </c>
    </row>
    <row r="1303" customFormat="false" ht="15" hidden="false" customHeight="false" outlineLevel="0" collapsed="false">
      <c r="A1303" s="52" t="n">
        <v>46139</v>
      </c>
      <c r="B1303" s="57" t="n">
        <v>0.01375</v>
      </c>
      <c r="C1303" s="57" t="n">
        <v>0.01533</v>
      </c>
      <c r="D1303" s="57" t="n">
        <v>0.01862</v>
      </c>
    </row>
    <row r="1304" customFormat="false" ht="15" hidden="false" customHeight="false" outlineLevel="0" collapsed="false">
      <c r="A1304" s="52" t="n">
        <v>46140</v>
      </c>
      <c r="B1304" s="57" t="n">
        <v>0.01389</v>
      </c>
      <c r="C1304" s="57" t="n">
        <v>0.01544</v>
      </c>
      <c r="D1304" s="57" t="n">
        <v>0.01868</v>
      </c>
    </row>
    <row r="1305" customFormat="false" ht="15" hidden="false" customHeight="false" outlineLevel="0" collapsed="false">
      <c r="A1305" s="52" t="n">
        <v>46142</v>
      </c>
      <c r="B1305" s="57" t="n">
        <v>0.01402</v>
      </c>
      <c r="C1305" s="57" t="n">
        <v>0.01556</v>
      </c>
      <c r="D1305" s="57" t="n">
        <v>0.01903</v>
      </c>
    </row>
    <row r="1306" customFormat="false" ht="15" hidden="false" customHeight="false" outlineLevel="0" collapsed="false">
      <c r="A1306" s="52" t="n">
        <v>46143</v>
      </c>
      <c r="B1306" s="57" t="n">
        <v>0.01385</v>
      </c>
      <c r="C1306" s="57" t="n">
        <v>0.01542</v>
      </c>
      <c r="D1306" s="57" t="n">
        <v>0.01888</v>
      </c>
    </row>
    <row r="1307" customFormat="false" ht="15" hidden="false" customHeight="false" outlineLevel="0" collapsed="false">
      <c r="A1307" s="52" t="n">
        <v>46149</v>
      </c>
      <c r="B1307" s="57" t="n">
        <v>0.01372</v>
      </c>
      <c r="C1307" s="57" t="n">
        <v>0.01532</v>
      </c>
      <c r="D1307" s="57" t="n">
        <v>0.01866</v>
      </c>
    </row>
    <row r="1308" customFormat="false" ht="15" hidden="false" customHeight="false" outlineLevel="0" collapsed="false">
      <c r="A1308" s="52" t="n">
        <v>46150</v>
      </c>
      <c r="B1308" s="57" t="n">
        <v>0.01378</v>
      </c>
      <c r="C1308" s="57" t="n">
        <v>0.0154</v>
      </c>
      <c r="D1308" s="57" t="n">
        <v>0.01875</v>
      </c>
    </row>
    <row r="1309" customFormat="false" ht="15" hidden="false" customHeight="false" outlineLevel="0" collapsed="false">
      <c r="A1309" s="52" t="n">
        <v>46153</v>
      </c>
      <c r="B1309" s="57" t="n">
        <v>0.01395</v>
      </c>
      <c r="C1309" s="57" t="n">
        <v>0.01568</v>
      </c>
      <c r="D1309" s="57" t="n">
        <v>0.01908</v>
      </c>
    </row>
    <row r="1310" customFormat="false" ht="15" hidden="false" customHeight="false" outlineLevel="0" collapsed="false">
      <c r="A1310" s="52" t="n">
        <v>46154</v>
      </c>
      <c r="B1310" s="57" t="n">
        <v>0.01401</v>
      </c>
      <c r="C1310" s="57" t="n">
        <v>0.01582</v>
      </c>
      <c r="D1310" s="57" t="n">
        <v>0.01932</v>
      </c>
    </row>
    <row r="1311" customFormat="false" ht="15" hidden="false" customHeight="false" outlineLevel="0" collapsed="false">
      <c r="A1311" s="52" t="n">
        <v>46155</v>
      </c>
      <c r="B1311" s="57" t="n">
        <v>0.01401</v>
      </c>
      <c r="C1311" s="57" t="n">
        <v>0.01581</v>
      </c>
      <c r="D1311" s="57" t="n">
        <v>0.01945</v>
      </c>
    </row>
    <row r="1312" customFormat="false" ht="15" hidden="false" customHeight="false" outlineLevel="0" collapsed="false">
      <c r="A1312" s="52" t="n">
        <v>46156</v>
      </c>
      <c r="B1312" s="57" t="n">
        <v>0.01407</v>
      </c>
      <c r="C1312" s="57" t="n">
        <v>0.0159</v>
      </c>
      <c r="D1312" s="57" t="n">
        <v>0.01962</v>
      </c>
    </row>
    <row r="1313" customFormat="false" ht="15" hidden="false" customHeight="false" outlineLevel="0" collapsed="false">
      <c r="A1313" s="52" t="n">
        <v>46157</v>
      </c>
      <c r="B1313" s="57" t="n">
        <v>0.01413</v>
      </c>
      <c r="C1313" s="57" t="n">
        <v>0.01615</v>
      </c>
      <c r="D1313" s="57" t="n">
        <v>0.02</v>
      </c>
    </row>
    <row r="1314" customFormat="false" ht="15" hidden="false" customHeight="false" outlineLevel="0" collapsed="false">
      <c r="A1314" s="52" t="n">
        <v>46160</v>
      </c>
      <c r="B1314" s="57" t="n">
        <v>0.01431</v>
      </c>
      <c r="C1314" s="57" t="n">
        <v>0.01628</v>
      </c>
      <c r="D1314" s="57" t="n">
        <v>0.02015</v>
      </c>
    </row>
    <row r="1315" customFormat="false" ht="15" hidden="false" customHeight="false" outlineLevel="0" collapsed="false">
      <c r="A1315" s="52" t="n">
        <v>46161</v>
      </c>
      <c r="B1315" s="57" t="n">
        <v>0.01452</v>
      </c>
      <c r="C1315" s="57" t="n">
        <v>0.01654</v>
      </c>
      <c r="D1315" s="57" t="n">
        <v>0.02051</v>
      </c>
    </row>
    <row r="1316" customFormat="false" ht="15" hidden="false" customHeight="false" outlineLevel="0" collapsed="false">
      <c r="A1316" s="52" t="n">
        <v>46162</v>
      </c>
      <c r="B1316" s="57" t="n">
        <v>0.01464</v>
      </c>
      <c r="C1316" s="57" t="n">
        <v>0.01663</v>
      </c>
      <c r="D1316" s="57" t="n">
        <v>0.02058</v>
      </c>
    </row>
    <row r="1317" customFormat="false" ht="15" hidden="false" customHeight="false" outlineLevel="0" collapsed="false">
      <c r="A1317" s="52" t="n">
        <v>46163</v>
      </c>
      <c r="B1317" s="57" t="n">
        <v>0.01453</v>
      </c>
      <c r="C1317" s="57" t="n">
        <v>0.01642</v>
      </c>
      <c r="D1317" s="57" t="n">
        <v>0.02031</v>
      </c>
    </row>
    <row r="1318" customFormat="false" ht="15" hidden="false" customHeight="false" outlineLevel="0" collapsed="false">
      <c r="A1318" s="52" t="n">
        <v>46164</v>
      </c>
      <c r="B1318" s="57" t="n">
        <v>0.01443</v>
      </c>
      <c r="C1318" s="57" t="n">
        <v>0.01633</v>
      </c>
      <c r="D1318" s="57" t="n">
        <v>0.02026</v>
      </c>
    </row>
    <row r="1319" customFormat="false" ht="15" hidden="false" customHeight="false" outlineLevel="0" collapsed="false">
      <c r="A1319" s="52" t="n">
        <v>46167</v>
      </c>
      <c r="B1319" s="57" t="n">
        <v>0.0142</v>
      </c>
      <c r="C1319" s="57" t="n">
        <v>0.01598</v>
      </c>
      <c r="D1319" s="57" t="n">
        <v>0.01985</v>
      </c>
    </row>
    <row r="1320" customFormat="false" ht="15" hidden="false" customHeight="false" outlineLevel="0" collapsed="false">
      <c r="A1320" s="52" t="n">
        <v>46168</v>
      </c>
      <c r="B1320" s="57" t="n">
        <v>0.01421</v>
      </c>
      <c r="C1320" s="57" t="n">
        <v>0.01596</v>
      </c>
      <c r="D1320" s="57" t="n">
        <v>0.01995</v>
      </c>
    </row>
    <row r="1321" customFormat="false" ht="15" hidden="false" customHeight="false" outlineLevel="0" collapsed="false">
      <c r="A1321" s="52" t="n">
        <v>46169</v>
      </c>
      <c r="B1321" s="57" t="n">
        <v>0.01399</v>
      </c>
      <c r="C1321" s="57" t="n">
        <v>0.01563</v>
      </c>
      <c r="D1321" s="57" t="n">
        <v>0.01963</v>
      </c>
    </row>
    <row r="1322" customFormat="false" ht="15" hidden="false" customHeight="false" outlineLevel="0" collapsed="false">
      <c r="A1322" s="52" t="n">
        <v>46170</v>
      </c>
      <c r="B1322" s="57" t="n">
        <v>0.01366</v>
      </c>
      <c r="C1322" s="57" t="n">
        <v>0.01536</v>
      </c>
      <c r="D1322" s="57" t="n">
        <v>0.0194</v>
      </c>
    </row>
    <row r="1323" customFormat="false" ht="15" hidden="false" customHeight="false" outlineLevel="0" collapsed="false">
      <c r="A1323" s="52" t="n">
        <v>46171</v>
      </c>
      <c r="B1323" s="57" t="n">
        <v>0.01393</v>
      </c>
      <c r="C1323" s="57" t="n">
        <v>0.01536</v>
      </c>
      <c r="D1323" s="57" t="n">
        <v>0.01919</v>
      </c>
    </row>
    <row r="1324" customFormat="false" ht="15" hidden="false" customHeight="false" outlineLevel="0" collapsed="false">
      <c r="A1324" s="52" t="n">
        <v>46174</v>
      </c>
      <c r="B1324" s="57" t="n">
        <v>0.014</v>
      </c>
      <c r="C1324" s="57" t="n">
        <v>0.01558</v>
      </c>
      <c r="D1324" s="57" t="n">
        <v>0.01948</v>
      </c>
    </row>
    <row r="1325" customFormat="false" ht="15" hidden="false" customHeight="false" outlineLevel="0" collapsed="false">
      <c r="A1325" s="52" t="n">
        <v>46175</v>
      </c>
      <c r="B1325" s="57" t="n">
        <v>0.0138</v>
      </c>
      <c r="C1325" s="57" t="n">
        <v>0.01522</v>
      </c>
      <c r="D1325" s="57" t="n">
        <v>0.01889</v>
      </c>
    </row>
    <row r="1326" customFormat="false" ht="15" hidden="false" customHeight="false" outlineLevel="0" collapsed="false">
      <c r="A1326" s="52" t="n">
        <v>46176</v>
      </c>
      <c r="B1326" s="57" t="n">
        <v>0.01401</v>
      </c>
      <c r="C1326" s="57" t="n">
        <v>0.0156</v>
      </c>
      <c r="D1326" s="57" t="n">
        <v>0.01943</v>
      </c>
    </row>
    <row r="1327" customFormat="false" ht="15" hidden="false" customHeight="false" outlineLevel="0" collapsed="false">
      <c r="A1327" s="52" t="n">
        <v>46177</v>
      </c>
      <c r="B1327" s="57" t="n">
        <v>0.01417</v>
      </c>
      <c r="C1327" s="57" t="n">
        <v>0.01579</v>
      </c>
      <c r="D1327" s="57" t="n">
        <v>0.01966</v>
      </c>
    </row>
    <row r="1328" customFormat="false" ht="15" hidden="false" customHeight="false" outlineLevel="0" collapsed="false">
      <c r="A1328" s="52" t="n">
        <v>46178</v>
      </c>
      <c r="B1328" s="57" t="n">
        <v>0.01412</v>
      </c>
      <c r="C1328" s="57" t="n">
        <v>0.01574</v>
      </c>
      <c r="D1328" s="57" t="n">
        <v>0.01955</v>
      </c>
    </row>
    <row r="1329" customFormat="false" ht="15" hidden="false" customHeight="false" outlineLevel="0" collapsed="false">
      <c r="A1329" s="52" t="n">
        <v>46181</v>
      </c>
      <c r="B1329" s="57" t="n">
        <v>0.0142</v>
      </c>
      <c r="C1329" s="57" t="n">
        <v>0.01588</v>
      </c>
      <c r="D1329" s="57" t="n">
        <v>0.01978</v>
      </c>
    </row>
    <row r="1330" customFormat="false" ht="15" hidden="false" customHeight="false" outlineLevel="0" collapsed="false">
      <c r="A1330" s="52" t="n">
        <v>46182</v>
      </c>
      <c r="B1330" s="57" t="n">
        <v>0.0142</v>
      </c>
      <c r="C1330" s="57" t="n">
        <v>0.01582</v>
      </c>
      <c r="D1330" s="57" t="n">
        <v>0.01962</v>
      </c>
    </row>
    <row r="1331" customFormat="false" ht="15" hidden="false" customHeight="false" outlineLevel="0" collapsed="false">
      <c r="A1331" s="52" t="n">
        <v>46183</v>
      </c>
      <c r="B1331" s="57" t="n">
        <v>0.01426</v>
      </c>
      <c r="C1331" s="57" t="n">
        <v>0.01594</v>
      </c>
      <c r="D1331" s="57" t="n">
        <v>0.01971</v>
      </c>
    </row>
    <row r="1332" customFormat="false" ht="15" hidden="false" customHeight="false" outlineLevel="0" collapsed="false">
      <c r="A1332" s="52" t="n">
        <v>46184</v>
      </c>
      <c r="B1332" s="57" t="n">
        <v>0.01427</v>
      </c>
      <c r="C1332" s="57" t="n">
        <v>0.01592</v>
      </c>
      <c r="D1332" s="57" t="n">
        <v>0.01963</v>
      </c>
    </row>
    <row r="1333" customFormat="false" ht="15" hidden="false" customHeight="false" outlineLevel="0" collapsed="false">
      <c r="A1333" s="52" t="n">
        <v>46185</v>
      </c>
      <c r="B1333" s="57" t="n">
        <v>0.01417</v>
      </c>
      <c r="C1333" s="57" t="n">
        <v>0.01579</v>
      </c>
      <c r="D1333" s="57" t="n">
        <v>0.01938</v>
      </c>
    </row>
    <row r="1334" customFormat="false" ht="15" hidden="false" customHeight="false" outlineLevel="0" collapsed="false">
      <c r="A1334" s="52" t="n">
        <v>46188</v>
      </c>
      <c r="B1334" s="57" t="n">
        <v>0.01409</v>
      </c>
      <c r="C1334" s="57" t="n">
        <v>0.01556</v>
      </c>
      <c r="D1334" s="57" t="n">
        <v>0.01901</v>
      </c>
    </row>
    <row r="1335" customFormat="false" ht="15" hidden="false" customHeight="false" outlineLevel="0" collapsed="false">
      <c r="A1335" s="52" t="n">
        <v>46189</v>
      </c>
      <c r="B1335" s="57" t="n">
        <v>0.01414</v>
      </c>
      <c r="C1335" s="57" t="n">
        <v>0.01585</v>
      </c>
      <c r="D1335" s="57" t="n">
        <v>0.01945</v>
      </c>
    </row>
    <row r="1336" customFormat="false" ht="15" hidden="false" customHeight="false" outlineLevel="0" collapsed="false">
      <c r="A1336" s="52" t="n">
        <v>46190</v>
      </c>
      <c r="B1336" s="57" t="n">
        <v>0.01398</v>
      </c>
      <c r="C1336" s="57" t="n">
        <v>0.01552</v>
      </c>
      <c r="D1336" s="57" t="n">
        <v>0.01897</v>
      </c>
    </row>
    <row r="1337" customFormat="false" ht="15" hidden="false" customHeight="false" outlineLevel="0" collapsed="false">
      <c r="A1337" s="52" t="n">
        <v>46191</v>
      </c>
      <c r="B1337" s="57" t="n">
        <v>0.014</v>
      </c>
      <c r="C1337" s="57" t="n">
        <v>0.01553</v>
      </c>
      <c r="D1337" s="57" t="n">
        <v>0.01898</v>
      </c>
    </row>
    <row r="1338" customFormat="false" ht="15" hidden="false" customHeight="false" outlineLevel="0" collapsed="false">
      <c r="A1338" s="52" t="n">
        <v>46192</v>
      </c>
      <c r="B1338" s="57" t="n">
        <v>0.01409</v>
      </c>
      <c r="C1338" s="57" t="n">
        <v>0.01558</v>
      </c>
      <c r="D1338" s="57" t="n">
        <v>0.01928</v>
      </c>
    </row>
    <row r="1339" customFormat="false" ht="15" hidden="false" customHeight="false" outlineLevel="0" collapsed="false">
      <c r="A1339" s="52" t="n">
        <v>46195</v>
      </c>
      <c r="B1339" s="57" t="n">
        <v>0.01415</v>
      </c>
      <c r="C1339" s="57" t="n">
        <v>0.01558</v>
      </c>
      <c r="D1339" s="57" t="n">
        <v>0.01946</v>
      </c>
    </row>
    <row r="1340" customFormat="false" ht="15" hidden="false" customHeight="false" outlineLevel="0" collapsed="false">
      <c r="A1340" s="52" t="n">
        <v>46196</v>
      </c>
      <c r="B1340" s="57" t="n">
        <v>0.01426</v>
      </c>
      <c r="C1340" s="57" t="n">
        <v>0.0157</v>
      </c>
      <c r="D1340" s="57" t="n">
        <v>0.01957</v>
      </c>
    </row>
    <row r="1341" customFormat="false" ht="15" hidden="false" customHeight="false" outlineLevel="0" collapsed="false">
      <c r="A1341" s="52" t="n">
        <v>46197</v>
      </c>
      <c r="B1341" s="57" t="n">
        <v>0.01432</v>
      </c>
      <c r="C1341" s="57" t="n">
        <v>0.01572</v>
      </c>
      <c r="D1341" s="57" t="n">
        <v>0.0195</v>
      </c>
    </row>
    <row r="1342" customFormat="false" ht="15" hidden="false" customHeight="false" outlineLevel="0" collapsed="false">
      <c r="A1342" s="52" t="n">
        <v>46198</v>
      </c>
      <c r="B1342" s="57" t="n">
        <v>0.01421</v>
      </c>
      <c r="C1342" s="57" t="n">
        <v>0.01556</v>
      </c>
      <c r="D1342" s="57" t="n">
        <v>0.01923</v>
      </c>
    </row>
    <row r="1343" customFormat="false" ht="15" hidden="false" customHeight="false" outlineLevel="0" collapsed="false">
      <c r="A1343" s="52" t="n">
        <v>46199</v>
      </c>
      <c r="B1343" s="57" t="n">
        <v>0.01409</v>
      </c>
      <c r="C1343" s="57" t="n">
        <v>0.01553</v>
      </c>
      <c r="D1343" s="57" t="n">
        <v>0.01915</v>
      </c>
    </row>
    <row r="1344" customFormat="false" ht="15" hidden="false" customHeight="false" outlineLevel="0" collapsed="false">
      <c r="A1344" s="52" t="n">
        <v>46202</v>
      </c>
      <c r="B1344" s="57" t="n">
        <v>0.01411</v>
      </c>
      <c r="C1344" s="57" t="n">
        <v>0.01547</v>
      </c>
      <c r="D1344" s="57" t="n">
        <v>0.01916</v>
      </c>
    </row>
    <row r="1345" customFormat="false" ht="15" hidden="false" customHeight="false" outlineLevel="0" collapsed="false">
      <c r="A1345" s="52" t="n">
        <v>46203</v>
      </c>
      <c r="B1345" s="57" t="n">
        <v>0.01382</v>
      </c>
      <c r="C1345" s="57" t="n">
        <v>0.01531</v>
      </c>
      <c r="D1345" s="57" t="n">
        <v>0.01937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2" t="s">
        <v>1226</v>
      </c>
    </row>
    <row r="2" customFormat="false" ht="15" hidden="false" customHeight="false" outlineLevel="0" collapsed="false">
      <c r="A2" s="4" t="s">
        <v>1227</v>
      </c>
    </row>
    <row r="3" customFormat="false" ht="15" hidden="false" customHeight="false" outlineLevel="0" collapsed="false">
      <c r="A3" s="6" t="s">
        <v>1228</v>
      </c>
      <c r="B3" s="27" t="s">
        <v>1229</v>
      </c>
      <c r="C3" s="27" t="s">
        <v>1230</v>
      </c>
      <c r="D3" s="27" t="s">
        <v>1231</v>
      </c>
      <c r="E3" s="27" t="s">
        <v>1232</v>
      </c>
      <c r="F3" s="27" t="s">
        <v>1233</v>
      </c>
      <c r="G3" s="27" t="s">
        <v>1234</v>
      </c>
      <c r="H3" s="27" t="s">
        <v>1235</v>
      </c>
    </row>
    <row r="4" customFormat="false" ht="15" hidden="false" customHeight="false" outlineLevel="0" collapsed="false">
      <c r="A4" s="52" t="n">
        <v>44200</v>
      </c>
      <c r="B4" s="57" t="n">
        <v>0.00142</v>
      </c>
      <c r="C4" s="64" t="n">
        <v>5</v>
      </c>
      <c r="D4" s="57" t="n">
        <v>0.00135</v>
      </c>
      <c r="E4" s="64" t="n">
        <v>75</v>
      </c>
      <c r="F4" s="57" t="n">
        <v>0.00251</v>
      </c>
      <c r="G4" s="57" t="n">
        <v>0.00065</v>
      </c>
      <c r="H4" s="57" t="n">
        <v>0.00235</v>
      </c>
    </row>
    <row r="5" customFormat="false" ht="15" hidden="false" customHeight="false" outlineLevel="0" collapsed="false">
      <c r="A5" s="52" t="n">
        <v>44201</v>
      </c>
      <c r="B5" s="57" t="n">
        <v>0.00142</v>
      </c>
      <c r="C5" s="64" t="n">
        <v>5</v>
      </c>
      <c r="D5" s="57" t="n">
        <v>0.00135</v>
      </c>
      <c r="E5" s="64" t="n">
        <v>75</v>
      </c>
      <c r="F5" s="57" t="n">
        <v>0.00252</v>
      </c>
      <c r="G5" s="57" t="n">
        <v>0.00065</v>
      </c>
      <c r="H5" s="57" t="n">
        <v>0.00235</v>
      </c>
    </row>
    <row r="6" customFormat="false" ht="15" hidden="false" customHeight="false" outlineLevel="0" collapsed="false">
      <c r="A6" s="52" t="n">
        <v>44202</v>
      </c>
      <c r="B6" s="57" t="n">
        <v>0.00137</v>
      </c>
      <c r="C6" s="64" t="n">
        <v>5</v>
      </c>
      <c r="D6" s="57" t="n">
        <v>0.0013</v>
      </c>
      <c r="E6" s="64" t="n">
        <v>75</v>
      </c>
      <c r="F6" s="57" t="n">
        <v>0.00246</v>
      </c>
      <c r="G6" s="57" t="n">
        <v>0.00061</v>
      </c>
      <c r="H6" s="57" t="n">
        <v>0.00229</v>
      </c>
    </row>
    <row r="7" customFormat="false" ht="15" hidden="false" customHeight="false" outlineLevel="0" collapsed="false">
      <c r="A7" s="52" t="n">
        <v>44203</v>
      </c>
      <c r="B7" s="57" t="n">
        <v>0.00144</v>
      </c>
      <c r="C7" s="64" t="n">
        <v>5</v>
      </c>
      <c r="D7" s="57" t="n">
        <v>0.00136</v>
      </c>
      <c r="E7" s="64" t="n">
        <v>75</v>
      </c>
      <c r="F7" s="57" t="n">
        <v>0.00253</v>
      </c>
      <c r="G7" s="57" t="n">
        <v>0.00066</v>
      </c>
      <c r="H7" s="57" t="n">
        <v>0.00236</v>
      </c>
    </row>
    <row r="8" customFormat="false" ht="15" hidden="false" customHeight="false" outlineLevel="0" collapsed="false">
      <c r="A8" s="52" t="n">
        <v>44204</v>
      </c>
      <c r="B8" s="57" t="n">
        <v>0.00148</v>
      </c>
      <c r="C8" s="64" t="n">
        <v>5</v>
      </c>
      <c r="D8" s="57" t="n">
        <v>0.0014</v>
      </c>
      <c r="E8" s="64" t="n">
        <v>75</v>
      </c>
      <c r="F8" s="57" t="n">
        <v>0.00256</v>
      </c>
      <c r="G8" s="57" t="n">
        <v>0.00069</v>
      </c>
      <c r="H8" s="57" t="n">
        <v>0.0024</v>
      </c>
    </row>
    <row r="9" customFormat="false" ht="15" hidden="false" customHeight="false" outlineLevel="0" collapsed="false">
      <c r="A9" s="52" t="n">
        <v>44208</v>
      </c>
      <c r="B9" s="57" t="n">
        <v>0.00148</v>
      </c>
      <c r="C9" s="64" t="n">
        <v>5</v>
      </c>
      <c r="D9" s="57" t="n">
        <v>0.0014</v>
      </c>
      <c r="E9" s="64" t="n">
        <v>75</v>
      </c>
      <c r="F9" s="57" t="n">
        <v>0.00256</v>
      </c>
      <c r="G9" s="57" t="n">
        <v>0.00069</v>
      </c>
      <c r="H9" s="57" t="n">
        <v>0.0024</v>
      </c>
    </row>
    <row r="10" customFormat="false" ht="15" hidden="false" customHeight="false" outlineLevel="0" collapsed="false">
      <c r="A10" s="52" t="n">
        <v>44209</v>
      </c>
      <c r="B10" s="57" t="n">
        <v>0.00143</v>
      </c>
      <c r="C10" s="64" t="n">
        <v>5</v>
      </c>
      <c r="D10" s="57" t="n">
        <v>0.00136</v>
      </c>
      <c r="E10" s="64" t="n">
        <v>75</v>
      </c>
      <c r="F10" s="57" t="n">
        <v>0.00251</v>
      </c>
      <c r="G10" s="57" t="n">
        <v>0.00066</v>
      </c>
      <c r="H10" s="57" t="n">
        <v>0.00235</v>
      </c>
    </row>
    <row r="11" customFormat="false" ht="15" hidden="false" customHeight="false" outlineLevel="0" collapsed="false">
      <c r="A11" s="52" t="n">
        <v>44210</v>
      </c>
      <c r="B11" s="57" t="n">
        <v>0.00143</v>
      </c>
      <c r="C11" s="64" t="n">
        <v>5</v>
      </c>
      <c r="D11" s="57" t="n">
        <v>0.00136</v>
      </c>
      <c r="E11" s="64" t="n">
        <v>75</v>
      </c>
      <c r="F11" s="57" t="n">
        <v>0.00251</v>
      </c>
      <c r="G11" s="57" t="n">
        <v>0.00066</v>
      </c>
      <c r="H11" s="57" t="n">
        <v>0.00235</v>
      </c>
    </row>
    <row r="12" customFormat="false" ht="15" hidden="false" customHeight="false" outlineLevel="0" collapsed="false">
      <c r="A12" s="52" t="n">
        <v>44214</v>
      </c>
      <c r="B12" s="57" t="n">
        <v>0.00147</v>
      </c>
      <c r="C12" s="64" t="n">
        <v>5</v>
      </c>
      <c r="D12" s="57" t="n">
        <v>0.00139</v>
      </c>
      <c r="E12" s="64" t="n">
        <v>75</v>
      </c>
      <c r="F12" s="57" t="n">
        <v>0.00255</v>
      </c>
      <c r="G12" s="57" t="n">
        <v>0.00068</v>
      </c>
      <c r="H12" s="57" t="n">
        <v>0.00238</v>
      </c>
    </row>
    <row r="13" customFormat="false" ht="15" hidden="false" customHeight="false" outlineLevel="0" collapsed="false">
      <c r="A13" s="52" t="n">
        <v>44216</v>
      </c>
      <c r="B13" s="57" t="n">
        <v>0.00147</v>
      </c>
      <c r="C13" s="64" t="n">
        <v>5</v>
      </c>
      <c r="D13" s="57" t="n">
        <v>0.00139</v>
      </c>
      <c r="E13" s="64" t="n">
        <v>75</v>
      </c>
      <c r="F13" s="57" t="n">
        <v>0.00254</v>
      </c>
      <c r="G13" s="57" t="n">
        <v>0.00069</v>
      </c>
      <c r="H13" s="57" t="n">
        <v>0.00238</v>
      </c>
    </row>
    <row r="14" customFormat="false" ht="15" hidden="false" customHeight="false" outlineLevel="0" collapsed="false">
      <c r="A14" s="52" t="n">
        <v>44223</v>
      </c>
      <c r="B14" s="57" t="n">
        <v>0.00131</v>
      </c>
      <c r="C14" s="64" t="n">
        <v>5</v>
      </c>
      <c r="D14" s="57" t="n">
        <v>0.00129</v>
      </c>
      <c r="E14" s="64" t="n">
        <v>73</v>
      </c>
      <c r="F14" s="57" t="n">
        <v>0.00237</v>
      </c>
      <c r="G14" s="57" t="n">
        <v>0.00062</v>
      </c>
      <c r="H14" s="57" t="n">
        <v>0.00231</v>
      </c>
    </row>
    <row r="15" customFormat="false" ht="15" hidden="false" customHeight="false" outlineLevel="0" collapsed="false">
      <c r="A15" s="52" t="n">
        <v>44230</v>
      </c>
      <c r="B15" s="57" t="n">
        <v>0.00139</v>
      </c>
      <c r="C15" s="64" t="n">
        <v>5</v>
      </c>
      <c r="D15" s="57" t="n">
        <v>0.00138</v>
      </c>
      <c r="E15" s="64" t="n">
        <v>74</v>
      </c>
      <c r="F15" s="57" t="n">
        <v>0.00243</v>
      </c>
      <c r="G15" s="57" t="n">
        <v>0.00066</v>
      </c>
      <c r="H15" s="57" t="n">
        <v>0.00236</v>
      </c>
    </row>
    <row r="16" customFormat="false" ht="15" hidden="false" customHeight="false" outlineLevel="0" collapsed="false">
      <c r="A16" s="52" t="n">
        <v>44236</v>
      </c>
      <c r="B16" s="57" t="n">
        <v>0.00136</v>
      </c>
      <c r="C16" s="64" t="n">
        <v>5</v>
      </c>
      <c r="D16" s="57" t="n">
        <v>0.00135</v>
      </c>
      <c r="E16" s="64" t="n">
        <v>74</v>
      </c>
      <c r="F16" s="57" t="n">
        <v>0.00239</v>
      </c>
      <c r="G16" s="57" t="n">
        <v>0.00064</v>
      </c>
      <c r="H16" s="57" t="n">
        <v>0.00232</v>
      </c>
    </row>
    <row r="17" customFormat="false" ht="15" hidden="false" customHeight="false" outlineLevel="0" collapsed="false">
      <c r="A17" s="52" t="n">
        <v>44242</v>
      </c>
      <c r="B17" s="57" t="n">
        <v>0.00135</v>
      </c>
      <c r="C17" s="64" t="n">
        <v>5</v>
      </c>
      <c r="D17" s="57" t="n">
        <v>0.00134</v>
      </c>
      <c r="E17" s="64" t="n">
        <v>74</v>
      </c>
      <c r="F17" s="57" t="n">
        <v>0.00236</v>
      </c>
      <c r="G17" s="57" t="n">
        <v>0.00063</v>
      </c>
      <c r="H17" s="57" t="n">
        <v>0.0023</v>
      </c>
    </row>
    <row r="18" customFormat="false" ht="15" hidden="false" customHeight="false" outlineLevel="0" collapsed="false">
      <c r="A18" s="52" t="n">
        <v>44244</v>
      </c>
      <c r="B18" s="57" t="n">
        <v>0.00141</v>
      </c>
      <c r="C18" s="64" t="n">
        <v>5</v>
      </c>
      <c r="D18" s="57" t="n">
        <v>0.0014</v>
      </c>
      <c r="E18" s="64" t="n">
        <v>74</v>
      </c>
      <c r="F18" s="57" t="n">
        <v>0.00244</v>
      </c>
      <c r="G18" s="57" t="n">
        <v>0.00068</v>
      </c>
      <c r="H18" s="57" t="n">
        <v>0.00235</v>
      </c>
    </row>
    <row r="19" customFormat="false" ht="15" hidden="false" customHeight="false" outlineLevel="0" collapsed="false">
      <c r="A19" s="52" t="n">
        <v>44251</v>
      </c>
      <c r="B19" s="57" t="n">
        <v>0.00155</v>
      </c>
      <c r="C19" s="64" t="n">
        <v>5</v>
      </c>
      <c r="D19" s="57" t="n">
        <v>0.00153</v>
      </c>
      <c r="E19" s="64" t="n">
        <v>74</v>
      </c>
      <c r="F19" s="57" t="n">
        <v>0.00258</v>
      </c>
      <c r="G19" s="57" t="n">
        <v>0.00078</v>
      </c>
      <c r="H19" s="57" t="n">
        <v>0.0025</v>
      </c>
    </row>
    <row r="20" customFormat="false" ht="15" hidden="false" customHeight="false" outlineLevel="0" collapsed="false">
      <c r="A20" s="52" t="n">
        <v>44258</v>
      </c>
      <c r="B20" s="57" t="n">
        <v>0.00138</v>
      </c>
      <c r="C20" s="64" t="n">
        <v>5</v>
      </c>
      <c r="D20" s="57" t="n">
        <v>0.00139</v>
      </c>
      <c r="E20" s="64" t="n">
        <v>75</v>
      </c>
      <c r="F20" s="57" t="n">
        <v>0.00237</v>
      </c>
      <c r="G20" s="57" t="n">
        <v>0.00063</v>
      </c>
      <c r="H20" s="57" t="n">
        <v>0.00228</v>
      </c>
    </row>
    <row r="21" customFormat="false" ht="15" hidden="false" customHeight="false" outlineLevel="0" collapsed="false">
      <c r="A21" s="52" t="n">
        <v>44266</v>
      </c>
      <c r="B21" s="57" t="n">
        <v>0.00144</v>
      </c>
      <c r="C21" s="64" t="n">
        <v>5</v>
      </c>
      <c r="D21" s="57" t="n">
        <v>0.00146</v>
      </c>
      <c r="E21" s="64" t="n">
        <v>74</v>
      </c>
      <c r="F21" s="57" t="n">
        <v>0.00244</v>
      </c>
      <c r="G21" s="57" t="n">
        <v>0.00067</v>
      </c>
      <c r="H21" s="57" t="n">
        <v>0.00233</v>
      </c>
    </row>
    <row r="22" customFormat="false" ht="15" hidden="false" customHeight="false" outlineLevel="0" collapsed="false">
      <c r="A22" s="52" t="n">
        <v>44274</v>
      </c>
      <c r="B22" s="57" t="n">
        <v>0.00099</v>
      </c>
      <c r="C22" s="64" t="n">
        <v>5</v>
      </c>
      <c r="D22" s="57" t="n">
        <v>0.00128</v>
      </c>
      <c r="E22" s="64" t="n">
        <v>85</v>
      </c>
      <c r="F22" s="57" t="n">
        <v>0.00224</v>
      </c>
      <c r="G22" s="57" t="n">
        <v>0.00052</v>
      </c>
      <c r="H22" s="57" t="n">
        <v>0.00209</v>
      </c>
    </row>
    <row r="23" customFormat="false" ht="15" hidden="false" customHeight="false" outlineLevel="0" collapsed="false">
      <c r="A23" s="52" t="n">
        <v>44284</v>
      </c>
      <c r="B23" s="57" t="n">
        <v>0.00104</v>
      </c>
      <c r="C23" s="64" t="n">
        <v>4</v>
      </c>
      <c r="D23" s="57" t="n">
        <v>0.00129</v>
      </c>
      <c r="E23" s="64" t="n">
        <v>78</v>
      </c>
      <c r="F23" s="57" t="n">
        <v>0.00209</v>
      </c>
      <c r="G23" s="57" t="n">
        <v>0.00053</v>
      </c>
      <c r="H23" s="57" t="n">
        <v>0.00207</v>
      </c>
    </row>
    <row r="24" customFormat="false" ht="15" hidden="false" customHeight="false" outlineLevel="0" collapsed="false">
      <c r="A24" s="52" t="n">
        <v>44291</v>
      </c>
      <c r="B24" s="57" t="n">
        <v>0.00104</v>
      </c>
      <c r="C24" s="64" t="n">
        <v>4</v>
      </c>
      <c r="D24" s="57" t="n">
        <v>0.00134</v>
      </c>
      <c r="E24" s="64" t="n">
        <v>78</v>
      </c>
      <c r="F24" s="57" t="n">
        <v>0.00217</v>
      </c>
      <c r="G24" s="57" t="n">
        <v>0.00059</v>
      </c>
      <c r="H24" s="57" t="n">
        <v>0.00213</v>
      </c>
    </row>
    <row r="25" customFormat="false" ht="15" hidden="false" customHeight="false" outlineLevel="0" collapsed="false">
      <c r="A25" s="52" t="n">
        <v>44298</v>
      </c>
      <c r="B25" s="57" t="n">
        <v>0.00099</v>
      </c>
      <c r="C25" s="64" t="n">
        <v>4</v>
      </c>
      <c r="D25" s="57" t="n">
        <v>0.00128</v>
      </c>
      <c r="E25" s="64" t="n">
        <v>78</v>
      </c>
      <c r="F25" s="57" t="n">
        <v>0.00209</v>
      </c>
      <c r="G25" s="57" t="n">
        <v>0.00055</v>
      </c>
      <c r="H25" s="57" t="n">
        <v>0.00206</v>
      </c>
    </row>
    <row r="26" customFormat="false" ht="15" hidden="false" customHeight="false" outlineLevel="0" collapsed="false">
      <c r="A26" s="52" t="n">
        <v>44306</v>
      </c>
      <c r="B26" s="57" t="n">
        <v>0.00077</v>
      </c>
      <c r="C26" s="64" t="n">
        <v>4</v>
      </c>
      <c r="D26" s="57" t="n">
        <v>0.0012</v>
      </c>
      <c r="E26" s="64" t="n">
        <v>78</v>
      </c>
      <c r="F26" s="57" t="n">
        <v>0.00197</v>
      </c>
      <c r="G26" s="57" t="n">
        <v>0.0005</v>
      </c>
      <c r="H26" s="57" t="n">
        <v>0.00197</v>
      </c>
    </row>
    <row r="27" customFormat="false" ht="15" hidden="false" customHeight="false" outlineLevel="0" collapsed="false">
      <c r="A27" s="52" t="n">
        <v>44313</v>
      </c>
      <c r="B27" s="57" t="n">
        <v>0.00073</v>
      </c>
      <c r="C27" s="64" t="n">
        <v>3</v>
      </c>
      <c r="D27" s="57" t="n">
        <v>0.00117</v>
      </c>
      <c r="E27" s="64" t="n">
        <v>76</v>
      </c>
      <c r="F27" s="57" t="n">
        <v>0.00199</v>
      </c>
      <c r="G27" s="57" t="n">
        <v>0.0005</v>
      </c>
      <c r="H27" s="57" t="n">
        <v>0.00198</v>
      </c>
    </row>
    <row r="28" customFormat="false" ht="15" hidden="false" customHeight="false" outlineLevel="0" collapsed="false">
      <c r="A28" s="52" t="n">
        <v>44326</v>
      </c>
      <c r="B28" s="57" t="n">
        <v>0.00074</v>
      </c>
      <c r="C28" s="64" t="n">
        <v>3</v>
      </c>
      <c r="D28" s="57" t="n">
        <v>0.00122</v>
      </c>
      <c r="E28" s="64" t="n">
        <v>77</v>
      </c>
      <c r="F28" s="57" t="n">
        <v>0.00198</v>
      </c>
      <c r="G28" s="57" t="n">
        <v>0.00052</v>
      </c>
      <c r="H28" s="57" t="n">
        <v>0.00198</v>
      </c>
    </row>
    <row r="29" customFormat="false" ht="15" hidden="false" customHeight="false" outlineLevel="0" collapsed="false">
      <c r="A29" s="52" t="n">
        <v>44330</v>
      </c>
      <c r="B29" s="57" t="n">
        <v>0.00078</v>
      </c>
      <c r="C29" s="64" t="n">
        <v>3</v>
      </c>
      <c r="D29" s="57" t="n">
        <v>0.00126</v>
      </c>
      <c r="E29" s="64" t="n">
        <v>77</v>
      </c>
      <c r="F29" s="57" t="n">
        <v>0.00203</v>
      </c>
      <c r="G29" s="57" t="n">
        <v>0.00054</v>
      </c>
      <c r="H29" s="57" t="n">
        <v>0.00201</v>
      </c>
    </row>
    <row r="30" customFormat="false" ht="15" hidden="false" customHeight="false" outlineLevel="0" collapsed="false">
      <c r="A30" s="52" t="n">
        <v>44337</v>
      </c>
      <c r="B30" s="57" t="n">
        <v>0.00076</v>
      </c>
      <c r="C30" s="64" t="n">
        <v>3</v>
      </c>
      <c r="D30" s="57" t="n">
        <v>0.00126</v>
      </c>
      <c r="E30" s="64" t="n">
        <v>77</v>
      </c>
      <c r="F30" s="57" t="n">
        <v>0.00203</v>
      </c>
      <c r="G30" s="57" t="n">
        <v>0.00054</v>
      </c>
      <c r="H30" s="57" t="n">
        <v>0.00202</v>
      </c>
    </row>
    <row r="31" customFormat="false" ht="15" hidden="false" customHeight="false" outlineLevel="0" collapsed="false">
      <c r="A31" s="52" t="n">
        <v>44343</v>
      </c>
      <c r="B31" s="57" t="n">
        <v>0.00097</v>
      </c>
      <c r="C31" s="64" t="n">
        <v>2</v>
      </c>
      <c r="D31" s="57" t="n">
        <v>0.00124</v>
      </c>
      <c r="E31" s="64" t="n">
        <v>79</v>
      </c>
      <c r="F31" s="57" t="n">
        <v>0.00204</v>
      </c>
      <c r="G31" s="57" t="n">
        <v>0.00054</v>
      </c>
      <c r="H31" s="57" t="n">
        <v>0.00204</v>
      </c>
    </row>
    <row r="32" customFormat="false" ht="15" hidden="false" customHeight="false" outlineLevel="0" collapsed="false">
      <c r="A32" s="52" t="n">
        <v>44350</v>
      </c>
      <c r="B32" s="57" t="n">
        <v>0.00071</v>
      </c>
      <c r="C32" s="64" t="n">
        <v>2</v>
      </c>
      <c r="D32" s="57" t="n">
        <v>0.0012</v>
      </c>
      <c r="E32" s="64" t="n">
        <v>79</v>
      </c>
      <c r="F32" s="57" t="n">
        <v>0.00199</v>
      </c>
      <c r="G32" s="57" t="n">
        <v>0.00053</v>
      </c>
      <c r="H32" s="57" t="n">
        <v>0.00205</v>
      </c>
    </row>
    <row r="33" customFormat="false" ht="15" hidden="false" customHeight="false" outlineLevel="0" collapsed="false">
      <c r="A33" s="52" t="n">
        <v>44358</v>
      </c>
      <c r="B33" s="57" t="n">
        <v>0.00065</v>
      </c>
      <c r="C33" s="64" t="n">
        <v>2</v>
      </c>
      <c r="D33" s="57" t="n">
        <v>0.00112</v>
      </c>
      <c r="E33" s="64" t="n">
        <v>80</v>
      </c>
      <c r="F33" s="57" t="n">
        <v>0.00193</v>
      </c>
      <c r="G33" s="57" t="n">
        <v>0.00048</v>
      </c>
      <c r="H33" s="57" t="n">
        <v>0.00196</v>
      </c>
    </row>
    <row r="34" customFormat="false" ht="15" hidden="false" customHeight="false" outlineLevel="0" collapsed="false">
      <c r="A34" s="52" t="n">
        <v>44365</v>
      </c>
      <c r="B34" s="57" t="n">
        <v>0.00075</v>
      </c>
      <c r="C34" s="64" t="n">
        <v>3</v>
      </c>
      <c r="D34" s="57" t="n">
        <v>0.0012</v>
      </c>
      <c r="E34" s="64" t="n">
        <v>81</v>
      </c>
      <c r="F34" s="57" t="n">
        <v>0.00206</v>
      </c>
      <c r="G34" s="57" t="n">
        <v>0.00055</v>
      </c>
      <c r="H34" s="57" t="n">
        <v>0.00208</v>
      </c>
    </row>
    <row r="35" customFormat="false" ht="15" hidden="false" customHeight="false" outlineLevel="0" collapsed="false">
      <c r="A35" s="52" t="n">
        <v>44375</v>
      </c>
      <c r="B35" s="57" t="n">
        <v>0.00073</v>
      </c>
      <c r="C35" s="64" t="n">
        <v>3</v>
      </c>
      <c r="D35" s="57" t="n">
        <v>0.00119</v>
      </c>
      <c r="E35" s="64" t="n">
        <v>77</v>
      </c>
      <c r="F35" s="57" t="n">
        <v>0.00213</v>
      </c>
      <c r="G35" s="57" t="n">
        <v>0.00053</v>
      </c>
      <c r="H35" s="57" t="n">
        <v>0.00203</v>
      </c>
    </row>
    <row r="36" customFormat="false" ht="15" hidden="false" customHeight="false" outlineLevel="0" collapsed="false">
      <c r="A36" s="52" t="n">
        <v>44382</v>
      </c>
      <c r="B36" s="57" t="n">
        <v>0.00066</v>
      </c>
      <c r="C36" s="64" t="n">
        <v>3</v>
      </c>
      <c r="D36" s="57" t="n">
        <v>0.00108</v>
      </c>
      <c r="E36" s="64" t="n">
        <v>75</v>
      </c>
      <c r="F36" s="57" t="n">
        <v>0.00201</v>
      </c>
      <c r="G36" s="57" t="n">
        <v>0.00047</v>
      </c>
      <c r="H36" s="57" t="n">
        <v>0.00191</v>
      </c>
    </row>
    <row r="37" customFormat="false" ht="15" hidden="false" customHeight="false" outlineLevel="0" collapsed="false">
      <c r="A37" s="52" t="n">
        <v>44389</v>
      </c>
      <c r="B37" s="57" t="n">
        <v>0.00065</v>
      </c>
      <c r="C37" s="64" t="n">
        <v>3</v>
      </c>
      <c r="D37" s="57" t="n">
        <v>0.00106</v>
      </c>
      <c r="E37" s="64" t="n">
        <v>76</v>
      </c>
      <c r="F37" s="57" t="n">
        <v>0.00199</v>
      </c>
      <c r="G37" s="57" t="n">
        <v>0.00046</v>
      </c>
      <c r="H37" s="57" t="n">
        <v>0.00188</v>
      </c>
    </row>
    <row r="38" customFormat="false" ht="15" hidden="false" customHeight="false" outlineLevel="0" collapsed="false">
      <c r="A38" s="52" t="n">
        <v>44396</v>
      </c>
      <c r="B38" s="57" t="n">
        <v>0.00063</v>
      </c>
      <c r="C38" s="64" t="n">
        <v>3</v>
      </c>
      <c r="D38" s="57" t="n">
        <v>0.00104</v>
      </c>
      <c r="E38" s="64" t="n">
        <v>76</v>
      </c>
      <c r="F38" s="57" t="n">
        <v>0.00196</v>
      </c>
      <c r="G38" s="57" t="n">
        <v>0.00044</v>
      </c>
      <c r="H38" s="57" t="n">
        <v>0.00182</v>
      </c>
    </row>
    <row r="39" customFormat="false" ht="15" hidden="false" customHeight="false" outlineLevel="0" collapsed="false">
      <c r="A39" s="52" t="n">
        <v>44405</v>
      </c>
      <c r="B39" s="57" t="n">
        <v>0.00061</v>
      </c>
      <c r="C39" s="64" t="n">
        <v>2</v>
      </c>
      <c r="D39" s="57" t="n">
        <v>0.00106</v>
      </c>
      <c r="E39" s="64" t="n">
        <v>76</v>
      </c>
      <c r="F39" s="57" t="n">
        <v>0.00195</v>
      </c>
      <c r="G39" s="57" t="n">
        <v>0.00046</v>
      </c>
      <c r="H39" s="57" t="n">
        <v>0.00175</v>
      </c>
    </row>
    <row r="40" customFormat="false" ht="15" hidden="false" customHeight="false" outlineLevel="0" collapsed="false">
      <c r="A40" s="52" t="n">
        <v>44412</v>
      </c>
      <c r="B40" s="57" t="n">
        <v>0.0006</v>
      </c>
      <c r="C40" s="64" t="n">
        <v>2</v>
      </c>
      <c r="D40" s="57" t="n">
        <v>0.00103</v>
      </c>
      <c r="E40" s="64" t="n">
        <v>74</v>
      </c>
      <c r="F40" s="57" t="n">
        <v>0.00193</v>
      </c>
      <c r="G40" s="57" t="n">
        <v>0.00045</v>
      </c>
      <c r="H40" s="57" t="n">
        <v>0.00168</v>
      </c>
    </row>
    <row r="41" customFormat="false" ht="15" hidden="false" customHeight="false" outlineLevel="0" collapsed="false">
      <c r="A41" s="52" t="n">
        <v>44420</v>
      </c>
      <c r="B41" s="57" t="n">
        <v>0.00067</v>
      </c>
      <c r="C41" s="64" t="n">
        <v>2</v>
      </c>
      <c r="D41" s="57" t="n">
        <v>0.00109</v>
      </c>
      <c r="E41" s="64" t="n">
        <v>74</v>
      </c>
      <c r="F41" s="57" t="n">
        <v>0.002</v>
      </c>
      <c r="G41" s="57" t="n">
        <v>0.0005</v>
      </c>
      <c r="H41" s="57" t="n">
        <v>0.00176</v>
      </c>
    </row>
    <row r="42" customFormat="false" ht="15" hidden="false" customHeight="false" outlineLevel="0" collapsed="false">
      <c r="A42" s="52" t="n">
        <v>44428</v>
      </c>
      <c r="B42" s="57" t="n">
        <v>0.00063</v>
      </c>
      <c r="C42" s="64" t="n">
        <v>2</v>
      </c>
      <c r="D42" s="57" t="n">
        <v>0.00105</v>
      </c>
      <c r="E42" s="64" t="n">
        <v>74</v>
      </c>
      <c r="F42" s="57" t="n">
        <v>0.00195</v>
      </c>
      <c r="G42" s="57" t="n">
        <v>0.00047</v>
      </c>
      <c r="H42" s="57" t="n">
        <v>0.00172</v>
      </c>
    </row>
    <row r="43" customFormat="false" ht="15" hidden="false" customHeight="false" outlineLevel="0" collapsed="false">
      <c r="A43" s="52" t="n">
        <v>44435</v>
      </c>
      <c r="B43" s="57" t="n">
        <v>0.00068</v>
      </c>
      <c r="C43" s="64" t="n">
        <v>2</v>
      </c>
      <c r="D43" s="57" t="n">
        <v>0.0011</v>
      </c>
      <c r="E43" s="64" t="n">
        <v>73</v>
      </c>
      <c r="F43" s="57" t="n">
        <v>0.00201</v>
      </c>
      <c r="G43" s="57" t="n">
        <v>0.0005</v>
      </c>
      <c r="H43" s="57" t="n">
        <v>0.00176</v>
      </c>
    </row>
    <row r="44" customFormat="false" ht="15" hidden="false" customHeight="false" outlineLevel="0" collapsed="false">
      <c r="A44" s="52" t="n">
        <v>44442</v>
      </c>
      <c r="B44" s="57" t="n">
        <v>0.00073</v>
      </c>
      <c r="C44" s="64" t="n">
        <v>2</v>
      </c>
      <c r="D44" s="57" t="n">
        <v>0.00113</v>
      </c>
      <c r="E44" s="64" t="n">
        <v>73</v>
      </c>
      <c r="F44" s="57" t="n">
        <v>0.00205</v>
      </c>
      <c r="G44" s="57" t="n">
        <v>0.00052</v>
      </c>
      <c r="H44" s="57" t="n">
        <v>0.00178</v>
      </c>
    </row>
    <row r="45" customFormat="false" ht="15" hidden="false" customHeight="false" outlineLevel="0" collapsed="false">
      <c r="A45" s="52" t="n">
        <v>44449</v>
      </c>
      <c r="B45" s="57" t="n">
        <v>0.00076</v>
      </c>
      <c r="C45" s="64" t="n">
        <v>2</v>
      </c>
      <c r="D45" s="57" t="n">
        <v>0.00116</v>
      </c>
      <c r="E45" s="64" t="n">
        <v>71</v>
      </c>
      <c r="F45" s="57" t="n">
        <v>0.00205</v>
      </c>
      <c r="G45" s="57" t="n">
        <v>0.00052</v>
      </c>
      <c r="H45" s="57" t="n">
        <v>0.00181</v>
      </c>
    </row>
    <row r="46" customFormat="false" ht="15" hidden="false" customHeight="false" outlineLevel="0" collapsed="false">
      <c r="A46" s="52" t="n">
        <v>44456</v>
      </c>
      <c r="B46" s="57" t="n">
        <v>0.00075</v>
      </c>
      <c r="C46" s="64" t="n">
        <v>2</v>
      </c>
      <c r="D46" s="57" t="n">
        <v>0.00109</v>
      </c>
      <c r="E46" s="64" t="n">
        <v>70</v>
      </c>
      <c r="F46" s="57" t="n">
        <v>0.00206</v>
      </c>
      <c r="G46" s="57" t="n">
        <v>0.00051</v>
      </c>
      <c r="H46" s="57" t="n">
        <v>0.0018</v>
      </c>
    </row>
    <row r="47" customFormat="false" ht="15" hidden="false" customHeight="false" outlineLevel="0" collapsed="false">
      <c r="A47" s="52" t="n">
        <v>44467</v>
      </c>
      <c r="B47" s="57" t="n">
        <v>0.00079</v>
      </c>
      <c r="C47" s="64" t="n">
        <v>2</v>
      </c>
      <c r="D47" s="57" t="n">
        <v>0.00116</v>
      </c>
      <c r="E47" s="64" t="n">
        <v>66</v>
      </c>
      <c r="F47" s="57" t="n">
        <v>0.00213</v>
      </c>
      <c r="G47" s="57" t="n">
        <v>0.0005</v>
      </c>
      <c r="H47" s="57" t="n">
        <v>0.00187</v>
      </c>
    </row>
    <row r="48" customFormat="false" ht="15" hidden="false" customHeight="false" outlineLevel="0" collapsed="false">
      <c r="A48" s="52" t="n">
        <v>44474</v>
      </c>
      <c r="B48" s="57" t="n">
        <v>0.00075</v>
      </c>
      <c r="C48" s="64" t="n">
        <v>2</v>
      </c>
      <c r="D48" s="57" t="n">
        <v>0.00111</v>
      </c>
      <c r="E48" s="64" t="n">
        <v>67</v>
      </c>
      <c r="F48" s="57" t="n">
        <v>0.00208</v>
      </c>
      <c r="G48" s="57" t="n">
        <v>0.00045</v>
      </c>
      <c r="H48" s="57" t="n">
        <v>0.00179</v>
      </c>
    </row>
    <row r="49" customFormat="false" ht="15" hidden="false" customHeight="false" outlineLevel="0" collapsed="false">
      <c r="A49" s="52" t="n">
        <v>44481</v>
      </c>
      <c r="B49" s="57" t="n">
        <v>0.00088</v>
      </c>
      <c r="C49" s="64" t="n">
        <v>2</v>
      </c>
      <c r="D49" s="57" t="n">
        <v>0.00123</v>
      </c>
      <c r="E49" s="64" t="n">
        <v>68</v>
      </c>
      <c r="F49" s="57" t="n">
        <v>0.00223</v>
      </c>
      <c r="G49" s="57" t="n">
        <v>0.00052</v>
      </c>
      <c r="H49" s="57" t="n">
        <v>0.00199</v>
      </c>
    </row>
    <row r="50" customFormat="false" ht="15" hidden="false" customHeight="false" outlineLevel="0" collapsed="false">
      <c r="A50" s="52" t="n">
        <v>44489</v>
      </c>
      <c r="B50" s="57" t="n">
        <v>0.00088</v>
      </c>
      <c r="C50" s="64" t="n">
        <v>2</v>
      </c>
      <c r="D50" s="57" t="n">
        <v>0.00123</v>
      </c>
      <c r="E50" s="64" t="n">
        <v>67</v>
      </c>
      <c r="F50" s="57" t="n">
        <v>0.00223</v>
      </c>
      <c r="G50" s="57" t="n">
        <v>0.00052</v>
      </c>
      <c r="H50" s="57" t="n">
        <v>0.00197</v>
      </c>
    </row>
    <row r="51" customFormat="false" ht="15" hidden="false" customHeight="false" outlineLevel="0" collapsed="false">
      <c r="A51" s="52" t="n">
        <v>44496</v>
      </c>
      <c r="B51" s="57" t="n">
        <v>0.00108</v>
      </c>
      <c r="C51" s="64" t="n">
        <v>2</v>
      </c>
      <c r="D51" s="57" t="n">
        <v>0.00136</v>
      </c>
      <c r="E51" s="64" t="n">
        <v>68</v>
      </c>
      <c r="F51" s="57" t="n">
        <v>0.00237</v>
      </c>
      <c r="G51" s="57" t="n">
        <v>0.00062</v>
      </c>
      <c r="H51" s="57" t="n">
        <v>0.00212</v>
      </c>
    </row>
    <row r="52" customFormat="false" ht="15" hidden="false" customHeight="false" outlineLevel="0" collapsed="false">
      <c r="A52" s="52" t="n">
        <v>44504</v>
      </c>
      <c r="B52" s="57" t="n">
        <v>0.00095</v>
      </c>
      <c r="C52" s="64" t="n">
        <v>2</v>
      </c>
      <c r="D52" s="57" t="n">
        <v>0.00126</v>
      </c>
      <c r="E52" s="64" t="n">
        <v>69</v>
      </c>
      <c r="F52" s="57" t="n">
        <v>0.00225</v>
      </c>
      <c r="G52" s="57" t="n">
        <v>0.00051</v>
      </c>
      <c r="H52" s="57" t="n">
        <v>0.00202</v>
      </c>
    </row>
    <row r="53" customFormat="false" ht="15" hidden="false" customHeight="false" outlineLevel="0" collapsed="false">
      <c r="A53" s="52" t="n">
        <v>44511</v>
      </c>
      <c r="B53" s="57" t="n">
        <v>0.00082</v>
      </c>
      <c r="C53" s="64" t="n">
        <v>2</v>
      </c>
      <c r="D53" s="57" t="n">
        <v>0.00113</v>
      </c>
      <c r="E53" s="64" t="n">
        <v>70</v>
      </c>
      <c r="F53" s="57" t="n">
        <v>0.00212</v>
      </c>
      <c r="G53" s="57" t="n">
        <v>0.00042</v>
      </c>
      <c r="H53" s="57" t="n">
        <v>0.00188</v>
      </c>
    </row>
    <row r="54" customFormat="false" ht="15" hidden="false" customHeight="false" outlineLevel="0" collapsed="false">
      <c r="A54" s="52" t="n">
        <v>44518</v>
      </c>
      <c r="B54" s="57" t="n">
        <v>0.00085</v>
      </c>
      <c r="C54" s="64" t="n">
        <v>2</v>
      </c>
      <c r="D54" s="57" t="n">
        <v>0.00113</v>
      </c>
      <c r="E54" s="64" t="n">
        <v>71</v>
      </c>
      <c r="F54" s="57" t="n">
        <v>0.00215</v>
      </c>
      <c r="G54" s="57" t="n">
        <v>0.00044</v>
      </c>
      <c r="H54" s="57" t="n">
        <v>0.00194</v>
      </c>
    </row>
    <row r="55" customFormat="false" ht="15" hidden="false" customHeight="false" outlineLevel="0" collapsed="false">
      <c r="A55" s="52" t="n">
        <v>44526</v>
      </c>
      <c r="B55" s="57" t="n">
        <v>0.00088</v>
      </c>
      <c r="C55" s="64" t="n">
        <v>2</v>
      </c>
      <c r="D55" s="57" t="n">
        <v>0.00116</v>
      </c>
      <c r="E55" s="64" t="n">
        <v>73</v>
      </c>
      <c r="F55" s="57" t="n">
        <v>0.00217</v>
      </c>
      <c r="G55" s="57" t="n">
        <v>0.00044</v>
      </c>
      <c r="H55" s="57" t="n">
        <v>0.00195</v>
      </c>
    </row>
    <row r="56" customFormat="false" ht="15" hidden="false" customHeight="false" outlineLevel="0" collapsed="false">
      <c r="A56" s="52" t="n">
        <v>44533</v>
      </c>
      <c r="B56" s="57" t="n">
        <v>0.00083</v>
      </c>
      <c r="C56" s="64" t="n">
        <v>2</v>
      </c>
      <c r="D56" s="57" t="n">
        <v>0.00104</v>
      </c>
      <c r="E56" s="64" t="n">
        <v>70</v>
      </c>
      <c r="F56" s="57" t="n">
        <v>0.00215</v>
      </c>
      <c r="G56" s="57" t="n">
        <v>0.00042</v>
      </c>
      <c r="H56" s="57" t="n">
        <v>0.00187</v>
      </c>
    </row>
    <row r="57" customFormat="false" ht="15" hidden="false" customHeight="false" outlineLevel="0" collapsed="false">
      <c r="A57" s="52" t="n">
        <v>44543</v>
      </c>
      <c r="B57" s="57" t="n">
        <v>0.00086</v>
      </c>
      <c r="C57" s="64" t="n">
        <v>2</v>
      </c>
      <c r="D57" s="57" t="n">
        <v>0.00108</v>
      </c>
      <c r="E57" s="64" t="n">
        <v>72</v>
      </c>
      <c r="F57" s="57" t="n">
        <v>0.00217</v>
      </c>
      <c r="G57" s="57" t="n">
        <v>0.00044</v>
      </c>
      <c r="H57" s="57" t="n">
        <v>0.0019</v>
      </c>
    </row>
    <row r="58" customFormat="false" ht="15" hidden="false" customHeight="false" outlineLevel="0" collapsed="false">
      <c r="A58" s="52" t="n">
        <v>44550</v>
      </c>
      <c r="B58" s="57" t="n">
        <v>0.0008</v>
      </c>
      <c r="C58" s="64" t="n">
        <v>2</v>
      </c>
      <c r="D58" s="57" t="n">
        <v>0.00101</v>
      </c>
      <c r="E58" s="64" t="n">
        <v>73</v>
      </c>
      <c r="F58" s="57" t="n">
        <v>0.00209</v>
      </c>
      <c r="G58" s="57" t="n">
        <v>0.00041</v>
      </c>
      <c r="H58" s="57" t="n">
        <v>0.00184</v>
      </c>
    </row>
    <row r="59" customFormat="false" ht="15" hidden="false" customHeight="false" outlineLevel="0" collapsed="false">
      <c r="A59" s="52" t="n">
        <v>44558</v>
      </c>
      <c r="B59" s="57" t="n">
        <v>0.00095</v>
      </c>
      <c r="C59" s="64" t="n">
        <v>2</v>
      </c>
      <c r="D59" s="57" t="n">
        <v>0.00128</v>
      </c>
      <c r="E59" s="64" t="n">
        <v>65</v>
      </c>
      <c r="F59" s="57" t="n">
        <v>0.00223</v>
      </c>
      <c r="G59" s="57" t="n">
        <v>0.00057</v>
      </c>
      <c r="H59" s="57" t="n">
        <v>0.00196</v>
      </c>
    </row>
    <row r="60" customFormat="false" ht="15" hidden="false" customHeight="false" outlineLevel="0" collapsed="false">
      <c r="A60" s="52" t="n">
        <v>44567</v>
      </c>
      <c r="B60" s="57" t="n">
        <v>0.00104</v>
      </c>
      <c r="C60" s="64" t="n">
        <v>2</v>
      </c>
      <c r="D60" s="57" t="n">
        <v>0.00137</v>
      </c>
      <c r="E60" s="64" t="n">
        <v>64</v>
      </c>
      <c r="F60" s="57" t="n">
        <v>0.00231</v>
      </c>
      <c r="G60" s="57" t="n">
        <v>0.00064</v>
      </c>
      <c r="H60" s="57" t="n">
        <v>0.00205</v>
      </c>
    </row>
    <row r="61" customFormat="false" ht="15" hidden="false" customHeight="false" outlineLevel="0" collapsed="false">
      <c r="A61" s="52" t="n">
        <v>44575</v>
      </c>
      <c r="B61" s="57" t="n">
        <v>0.00119</v>
      </c>
      <c r="C61" s="64" t="n">
        <v>2</v>
      </c>
      <c r="D61" s="57" t="n">
        <v>0.0015</v>
      </c>
      <c r="E61" s="64" t="n">
        <v>64</v>
      </c>
      <c r="F61" s="57" t="n">
        <v>0.00244</v>
      </c>
      <c r="G61" s="57" t="n">
        <v>0.00074</v>
      </c>
      <c r="H61" s="57" t="n">
        <v>0.00218</v>
      </c>
    </row>
    <row r="62" customFormat="false" ht="15" hidden="false" customHeight="false" outlineLevel="0" collapsed="false">
      <c r="A62" s="52" t="n">
        <v>44581</v>
      </c>
      <c r="B62" s="57" t="n">
        <v>0.00118</v>
      </c>
      <c r="C62" s="64" t="n">
        <v>2</v>
      </c>
      <c r="D62" s="57" t="n">
        <v>0.00149</v>
      </c>
      <c r="E62" s="64" t="n">
        <v>64</v>
      </c>
      <c r="F62" s="57" t="n">
        <v>0.00242</v>
      </c>
      <c r="G62" s="57" t="n">
        <v>0.00071</v>
      </c>
      <c r="H62" s="57" t="n">
        <v>0.00216</v>
      </c>
    </row>
    <row r="63" customFormat="false" ht="15" hidden="false" customHeight="false" outlineLevel="0" collapsed="false">
      <c r="A63" s="52" t="n">
        <v>44588</v>
      </c>
      <c r="B63" s="57" t="n">
        <v>0.00125</v>
      </c>
      <c r="C63" s="64" t="n">
        <v>2</v>
      </c>
      <c r="D63" s="57" t="n">
        <v>0.00153</v>
      </c>
      <c r="E63" s="64" t="n">
        <v>65</v>
      </c>
      <c r="F63" s="57" t="n">
        <v>0.00252</v>
      </c>
      <c r="G63" s="57" t="n">
        <v>0.00072</v>
      </c>
      <c r="H63" s="57" t="n">
        <v>0.00222</v>
      </c>
    </row>
    <row r="64" customFormat="false" ht="15" hidden="false" customHeight="false" outlineLevel="0" collapsed="false">
      <c r="A64" s="52" t="n">
        <v>44595</v>
      </c>
      <c r="B64" s="57" t="n">
        <v>0.00137</v>
      </c>
      <c r="C64" s="64" t="n">
        <v>2</v>
      </c>
      <c r="D64" s="57" t="n">
        <v>0.00167</v>
      </c>
      <c r="E64" s="64" t="n">
        <v>63</v>
      </c>
      <c r="F64" s="57" t="n">
        <v>0.00268</v>
      </c>
      <c r="G64" s="57" t="n">
        <v>0.00077</v>
      </c>
      <c r="H64" s="57" t="n">
        <v>0.00241</v>
      </c>
    </row>
    <row r="65" customFormat="false" ht="15" hidden="false" customHeight="false" outlineLevel="0" collapsed="false">
      <c r="A65" s="52" t="n">
        <v>44601</v>
      </c>
      <c r="B65" s="57" t="n">
        <v>0.00156</v>
      </c>
      <c r="C65" s="64" t="n">
        <v>2</v>
      </c>
      <c r="D65" s="57" t="n">
        <v>0.00184</v>
      </c>
      <c r="E65" s="64" t="n">
        <v>63</v>
      </c>
      <c r="F65" s="57" t="n">
        <v>0.00285</v>
      </c>
      <c r="G65" s="57" t="n">
        <v>0.00093</v>
      </c>
      <c r="H65" s="57" t="n">
        <v>0.0026</v>
      </c>
    </row>
    <row r="66" customFormat="false" ht="15" hidden="false" customHeight="false" outlineLevel="0" collapsed="false">
      <c r="A66" s="52" t="n">
        <v>44609</v>
      </c>
      <c r="B66" s="57" t="n">
        <v>0.00186</v>
      </c>
      <c r="C66" s="64" t="n">
        <v>3</v>
      </c>
      <c r="D66" s="57" t="n">
        <v>0.0021</v>
      </c>
      <c r="E66" s="64" t="n">
        <v>63</v>
      </c>
      <c r="F66" s="57" t="n">
        <v>0.00312</v>
      </c>
      <c r="G66" s="57" t="n">
        <v>0.00125</v>
      </c>
      <c r="H66" s="57" t="n">
        <v>0.00288</v>
      </c>
    </row>
    <row r="67" customFormat="false" ht="15" hidden="false" customHeight="false" outlineLevel="0" collapsed="false">
      <c r="A67" s="52" t="n">
        <v>44616</v>
      </c>
      <c r="B67" s="57" t="n">
        <v>0.00183</v>
      </c>
      <c r="C67" s="64" t="n">
        <v>3</v>
      </c>
      <c r="D67" s="57" t="n">
        <v>0.00204</v>
      </c>
      <c r="E67" s="64" t="n">
        <v>62</v>
      </c>
      <c r="F67" s="57" t="n">
        <v>0.00304</v>
      </c>
      <c r="G67" s="57" t="n">
        <v>0.00117</v>
      </c>
      <c r="H67" s="57" t="n">
        <v>0.00278</v>
      </c>
    </row>
    <row r="68" customFormat="false" ht="15" hidden="false" customHeight="false" outlineLevel="0" collapsed="false">
      <c r="A68" s="52" t="n">
        <v>44623</v>
      </c>
      <c r="B68" s="57" t="n">
        <v>0.00151</v>
      </c>
      <c r="C68" s="64" t="n">
        <v>3</v>
      </c>
      <c r="D68" s="57" t="n">
        <v>0.00171</v>
      </c>
      <c r="E68" s="64" t="n">
        <v>61</v>
      </c>
      <c r="F68" s="57" t="n">
        <v>0.0028</v>
      </c>
      <c r="G68" s="57" t="n">
        <v>0.00079</v>
      </c>
      <c r="H68" s="57" t="n">
        <v>0.00251</v>
      </c>
    </row>
    <row r="69" customFormat="false" ht="15" hidden="false" customHeight="false" outlineLevel="0" collapsed="false">
      <c r="A69" s="52" t="n">
        <v>44631</v>
      </c>
      <c r="B69" s="57" t="n">
        <v>0.00173</v>
      </c>
      <c r="C69" s="64" t="n">
        <v>3</v>
      </c>
      <c r="D69" s="57" t="n">
        <v>0.00195</v>
      </c>
      <c r="E69" s="64" t="n">
        <v>60</v>
      </c>
      <c r="F69" s="57" t="n">
        <v>0.00302</v>
      </c>
      <c r="G69" s="57" t="n">
        <v>0.001</v>
      </c>
      <c r="H69" s="57" t="n">
        <v>0.00272</v>
      </c>
    </row>
    <row r="70" customFormat="false" ht="15" hidden="false" customHeight="false" outlineLevel="0" collapsed="false">
      <c r="A70" s="52" t="n">
        <v>44638</v>
      </c>
      <c r="B70" s="57" t="n">
        <v>0.00176</v>
      </c>
      <c r="C70" s="64" t="n">
        <v>3</v>
      </c>
      <c r="D70" s="57" t="n">
        <v>0.00205</v>
      </c>
      <c r="E70" s="64" t="n">
        <v>62</v>
      </c>
      <c r="F70" s="57" t="n">
        <v>0.00309</v>
      </c>
      <c r="G70" s="57" t="n">
        <v>0.00112</v>
      </c>
      <c r="H70" s="57" t="n">
        <v>0.00279</v>
      </c>
    </row>
    <row r="71" customFormat="false" ht="15" hidden="false" customHeight="false" outlineLevel="0" collapsed="false">
      <c r="A71" s="52" t="n">
        <v>44649</v>
      </c>
      <c r="B71" s="57" t="n">
        <v>0.00194</v>
      </c>
      <c r="C71" s="64" t="n">
        <v>4</v>
      </c>
      <c r="D71" s="57" t="n">
        <v>0.00215</v>
      </c>
      <c r="E71" s="64" t="n">
        <v>63</v>
      </c>
      <c r="F71" s="57" t="n">
        <v>0.00324</v>
      </c>
      <c r="G71" s="57" t="n">
        <v>0.00126</v>
      </c>
      <c r="H71" s="57" t="n">
        <v>0.0029</v>
      </c>
    </row>
    <row r="72" customFormat="false" ht="15" hidden="false" customHeight="false" outlineLevel="0" collapsed="false">
      <c r="A72" s="52" t="n">
        <v>44656</v>
      </c>
      <c r="B72" s="57" t="n">
        <v>0.00157</v>
      </c>
      <c r="C72" s="64" t="n">
        <v>4</v>
      </c>
      <c r="D72" s="57" t="n">
        <v>0.0018</v>
      </c>
      <c r="E72" s="64" t="n">
        <v>63</v>
      </c>
      <c r="F72" s="57" t="n">
        <v>0.00294</v>
      </c>
      <c r="G72" s="57" t="n">
        <v>0.00087</v>
      </c>
      <c r="H72" s="57" t="n">
        <v>0.00258</v>
      </c>
    </row>
    <row r="73" customFormat="false" ht="15" hidden="false" customHeight="false" outlineLevel="0" collapsed="false">
      <c r="A73" s="52" t="n">
        <v>44663</v>
      </c>
      <c r="B73" s="57" t="n">
        <v>0.00168</v>
      </c>
      <c r="C73" s="64" t="n">
        <v>4</v>
      </c>
      <c r="D73" s="57" t="n">
        <v>0.00186</v>
      </c>
      <c r="E73" s="64" t="n">
        <v>63</v>
      </c>
      <c r="F73" s="57" t="n">
        <v>0.00301</v>
      </c>
      <c r="G73" s="57" t="n">
        <v>0.00095</v>
      </c>
      <c r="H73" s="57" t="n">
        <v>0.00264</v>
      </c>
    </row>
    <row r="74" customFormat="false" ht="15" hidden="false" customHeight="false" outlineLevel="0" collapsed="false">
      <c r="A74" s="52" t="n">
        <v>44670</v>
      </c>
      <c r="B74" s="57" t="n">
        <v>0.00165</v>
      </c>
      <c r="C74" s="64" t="n">
        <v>5</v>
      </c>
      <c r="D74" s="57" t="n">
        <v>0.00187</v>
      </c>
      <c r="E74" s="64" t="n">
        <v>66</v>
      </c>
      <c r="F74" s="57" t="n">
        <v>0.00299</v>
      </c>
      <c r="G74" s="57" t="n">
        <v>0.00094</v>
      </c>
      <c r="H74" s="57" t="n">
        <v>0.00262</v>
      </c>
    </row>
    <row r="75" customFormat="false" ht="15" hidden="false" customHeight="false" outlineLevel="0" collapsed="false">
      <c r="A75" s="52" t="n">
        <v>44677</v>
      </c>
      <c r="B75" s="57" t="n">
        <v>0.00161</v>
      </c>
      <c r="C75" s="64" t="n">
        <v>5</v>
      </c>
      <c r="D75" s="57" t="n">
        <v>0.00185</v>
      </c>
      <c r="E75" s="64" t="n">
        <v>68</v>
      </c>
      <c r="F75" s="57" t="n">
        <v>0.00297</v>
      </c>
      <c r="G75" s="57" t="n">
        <v>0.00089</v>
      </c>
      <c r="H75" s="57" t="n">
        <v>0.00259</v>
      </c>
    </row>
    <row r="76" customFormat="false" ht="15" hidden="false" customHeight="false" outlineLevel="0" collapsed="false">
      <c r="A76" s="52" t="n">
        <v>44690</v>
      </c>
      <c r="B76" s="57" t="n">
        <v>0.00167</v>
      </c>
      <c r="C76" s="64" t="n">
        <v>5</v>
      </c>
      <c r="D76" s="57" t="n">
        <v>0.0019</v>
      </c>
      <c r="E76" s="64" t="n">
        <v>67</v>
      </c>
      <c r="F76" s="57" t="n">
        <v>0.00313</v>
      </c>
      <c r="G76" s="57" t="n">
        <v>0.00095</v>
      </c>
      <c r="H76" s="57" t="n">
        <v>0.00268</v>
      </c>
    </row>
    <row r="77" customFormat="false" ht="15" hidden="false" customHeight="false" outlineLevel="0" collapsed="false">
      <c r="A77" s="52" t="n">
        <v>44697</v>
      </c>
      <c r="B77" s="57" t="n">
        <v>0.0016</v>
      </c>
      <c r="C77" s="64" t="n">
        <v>5</v>
      </c>
      <c r="D77" s="57" t="n">
        <v>0.00181</v>
      </c>
      <c r="E77" s="64" t="n">
        <v>68</v>
      </c>
      <c r="F77" s="57" t="n">
        <v>0.00306</v>
      </c>
      <c r="G77" s="57" t="n">
        <v>0.00088</v>
      </c>
      <c r="H77" s="57" t="n">
        <v>0.0026</v>
      </c>
    </row>
    <row r="78" customFormat="false" ht="15" hidden="false" customHeight="false" outlineLevel="0" collapsed="false">
      <c r="A78" s="52" t="n">
        <v>44701</v>
      </c>
      <c r="B78" s="57" t="n">
        <v>0.00166</v>
      </c>
      <c r="C78" s="64" t="n">
        <v>5</v>
      </c>
      <c r="D78" s="57" t="n">
        <v>0.00186</v>
      </c>
      <c r="E78" s="64" t="n">
        <v>68</v>
      </c>
      <c r="F78" s="57" t="n">
        <v>0.0031</v>
      </c>
      <c r="G78" s="57" t="n">
        <v>0.00094</v>
      </c>
      <c r="H78" s="57" t="n">
        <v>0.00265</v>
      </c>
    </row>
    <row r="79" customFormat="false" ht="15" hidden="false" customHeight="false" outlineLevel="0" collapsed="false">
      <c r="A79" s="52" t="n">
        <v>44708</v>
      </c>
      <c r="B79" s="57" t="n">
        <v>0.00161</v>
      </c>
      <c r="C79" s="64" t="n">
        <v>5</v>
      </c>
      <c r="D79" s="57" t="n">
        <v>0.00189</v>
      </c>
      <c r="E79" s="64" t="n">
        <v>69</v>
      </c>
      <c r="F79" s="57" t="n">
        <v>0.00314</v>
      </c>
      <c r="G79" s="57" t="n">
        <v>0.00097</v>
      </c>
      <c r="H79" s="57" t="n">
        <v>0.00275</v>
      </c>
    </row>
    <row r="80" customFormat="false" ht="15" hidden="false" customHeight="false" outlineLevel="0" collapsed="false">
      <c r="A80" s="52" t="n">
        <v>44715</v>
      </c>
      <c r="B80" s="57" t="n">
        <v>0.00158</v>
      </c>
      <c r="C80" s="64" t="n">
        <v>5</v>
      </c>
      <c r="D80" s="57" t="n">
        <v>0.00186</v>
      </c>
      <c r="E80" s="64" t="n">
        <v>70</v>
      </c>
      <c r="F80" s="57" t="n">
        <v>0.00313</v>
      </c>
      <c r="G80" s="57" t="n">
        <v>0.0009</v>
      </c>
      <c r="H80" s="57" t="n">
        <v>0.00268</v>
      </c>
    </row>
    <row r="81" customFormat="false" ht="15" hidden="false" customHeight="false" outlineLevel="0" collapsed="false">
      <c r="A81" s="52" t="n">
        <v>44725</v>
      </c>
      <c r="B81" s="57" t="n">
        <v>0.0015</v>
      </c>
      <c r="C81" s="64" t="n">
        <v>6</v>
      </c>
      <c r="D81" s="57" t="n">
        <v>0.00175</v>
      </c>
      <c r="E81" s="64" t="n">
        <v>70</v>
      </c>
      <c r="F81" s="57" t="n">
        <v>0.00303</v>
      </c>
      <c r="G81" s="57" t="n">
        <v>0.00078</v>
      </c>
      <c r="H81" s="57" t="n">
        <v>0.00263</v>
      </c>
    </row>
    <row r="82" customFormat="false" ht="15" hidden="false" customHeight="false" outlineLevel="0" collapsed="false">
      <c r="A82" s="52" t="n">
        <v>44732</v>
      </c>
      <c r="B82" s="57" t="n">
        <v>0.00186</v>
      </c>
      <c r="C82" s="64" t="n">
        <v>5</v>
      </c>
      <c r="D82" s="57" t="n">
        <v>0.00207</v>
      </c>
      <c r="E82" s="64" t="n">
        <v>71</v>
      </c>
      <c r="F82" s="57" t="n">
        <v>0.00338</v>
      </c>
      <c r="G82" s="57" t="n">
        <v>0.00114</v>
      </c>
      <c r="H82" s="57" t="n">
        <v>0.00299</v>
      </c>
    </row>
    <row r="83" customFormat="false" ht="15" hidden="false" customHeight="false" outlineLevel="0" collapsed="false">
      <c r="A83" s="52" t="n">
        <v>44740</v>
      </c>
      <c r="B83" s="57" t="n">
        <v>0.00182</v>
      </c>
      <c r="C83" s="64" t="n">
        <v>5</v>
      </c>
      <c r="D83" s="57" t="n">
        <v>0.00211</v>
      </c>
      <c r="E83" s="64" t="n">
        <v>77</v>
      </c>
      <c r="F83" s="57" t="n">
        <v>0.00345</v>
      </c>
      <c r="G83" s="57" t="n">
        <v>0.00125</v>
      </c>
      <c r="H83" s="57" t="n">
        <v>0.00314</v>
      </c>
    </row>
    <row r="84" customFormat="false" ht="15" hidden="false" customHeight="false" outlineLevel="0" collapsed="false">
      <c r="A84" s="52" t="n">
        <v>44747</v>
      </c>
      <c r="B84" s="57" t="n">
        <v>0.00164</v>
      </c>
      <c r="C84" s="64" t="n">
        <v>5</v>
      </c>
      <c r="D84" s="57" t="n">
        <v>0.00199</v>
      </c>
      <c r="E84" s="64" t="n">
        <v>77</v>
      </c>
      <c r="F84" s="57" t="n">
        <v>0.00336</v>
      </c>
      <c r="G84" s="57" t="n">
        <v>0.00111</v>
      </c>
      <c r="H84" s="57" t="n">
        <v>0.00299</v>
      </c>
    </row>
    <row r="85" customFormat="false" ht="15" hidden="false" customHeight="false" outlineLevel="0" collapsed="false">
      <c r="A85" s="52" t="n">
        <v>44754</v>
      </c>
      <c r="B85" s="57" t="n">
        <v>0.00176</v>
      </c>
      <c r="C85" s="64" t="n">
        <v>5</v>
      </c>
      <c r="D85" s="57" t="n">
        <v>0.00209</v>
      </c>
      <c r="E85" s="64" t="n">
        <v>78</v>
      </c>
      <c r="F85" s="57" t="n">
        <v>0.00346</v>
      </c>
      <c r="G85" s="57" t="n">
        <v>0.00116</v>
      </c>
      <c r="H85" s="57" t="n">
        <v>0.00307</v>
      </c>
    </row>
    <row r="86" customFormat="false" ht="15" hidden="false" customHeight="false" outlineLevel="0" collapsed="false">
      <c r="A86" s="52" t="n">
        <v>44762</v>
      </c>
      <c r="B86" s="57" t="n">
        <v>0.00165</v>
      </c>
      <c r="C86" s="64" t="n">
        <v>5</v>
      </c>
      <c r="D86" s="57" t="n">
        <v>0.00205</v>
      </c>
      <c r="E86" s="64" t="n">
        <v>79</v>
      </c>
      <c r="F86" s="57" t="n">
        <v>0.00351</v>
      </c>
      <c r="G86" s="57" t="n">
        <v>0.00107</v>
      </c>
      <c r="H86" s="57" t="n">
        <v>0.00313</v>
      </c>
    </row>
    <row r="87" customFormat="false" ht="15" hidden="false" customHeight="false" outlineLevel="0" collapsed="false">
      <c r="A87" s="52" t="n">
        <v>44769</v>
      </c>
      <c r="B87" s="57" t="n">
        <v>0.00154</v>
      </c>
      <c r="C87" s="64" t="n">
        <v>5</v>
      </c>
      <c r="D87" s="57" t="n">
        <v>0.00194</v>
      </c>
      <c r="E87" s="64" t="n">
        <v>79</v>
      </c>
      <c r="F87" s="57" t="n">
        <v>0.00349</v>
      </c>
      <c r="G87" s="57" t="n">
        <v>0.00104</v>
      </c>
      <c r="H87" s="57" t="n">
        <v>0.00308</v>
      </c>
    </row>
    <row r="88" customFormat="false" ht="15" hidden="false" customHeight="false" outlineLevel="0" collapsed="false">
      <c r="A88" s="52" t="n">
        <v>44776</v>
      </c>
      <c r="B88" s="57" t="n">
        <v>0.00144</v>
      </c>
      <c r="C88" s="64" t="n">
        <v>5</v>
      </c>
      <c r="D88" s="57" t="n">
        <v>0.00187</v>
      </c>
      <c r="E88" s="64" t="n">
        <v>80</v>
      </c>
      <c r="F88" s="57" t="n">
        <v>0.00344</v>
      </c>
      <c r="G88" s="57" t="n">
        <v>0.00098</v>
      </c>
      <c r="H88" s="57" t="n">
        <v>0.00302</v>
      </c>
    </row>
    <row r="89" customFormat="false" ht="15" hidden="false" customHeight="false" outlineLevel="0" collapsed="false">
      <c r="A89" s="52" t="n">
        <v>44785</v>
      </c>
      <c r="B89" s="57" t="n">
        <v>0.00154</v>
      </c>
      <c r="C89" s="64" t="n">
        <v>5</v>
      </c>
      <c r="D89" s="57" t="n">
        <v>0.00197</v>
      </c>
      <c r="E89" s="64" t="n">
        <v>82</v>
      </c>
      <c r="F89" s="57" t="n">
        <v>0.00354</v>
      </c>
      <c r="G89" s="57" t="n">
        <v>0.00106</v>
      </c>
      <c r="H89" s="57" t="n">
        <v>0.00313</v>
      </c>
    </row>
    <row r="90" customFormat="false" ht="15" hidden="false" customHeight="false" outlineLevel="0" collapsed="false">
      <c r="A90" s="52" t="n">
        <v>44802</v>
      </c>
      <c r="B90" s="57" t="n">
        <v>0.00157</v>
      </c>
      <c r="C90" s="64" t="n">
        <v>5</v>
      </c>
      <c r="D90" s="57" t="n">
        <v>0.00205</v>
      </c>
      <c r="E90" s="64" t="n">
        <v>83</v>
      </c>
      <c r="F90" s="57" t="n">
        <v>0.00359</v>
      </c>
      <c r="G90" s="57" t="n">
        <v>0.00127</v>
      </c>
      <c r="H90" s="57" t="n">
        <v>0.00317</v>
      </c>
    </row>
    <row r="91" customFormat="false" ht="15" hidden="false" customHeight="false" outlineLevel="0" collapsed="false">
      <c r="A91" s="52" t="n">
        <v>44809</v>
      </c>
      <c r="B91" s="57" t="n">
        <v>0.00157</v>
      </c>
      <c r="C91" s="64" t="n">
        <v>5</v>
      </c>
      <c r="D91" s="57" t="n">
        <v>0.00207</v>
      </c>
      <c r="E91" s="64" t="n">
        <v>84</v>
      </c>
      <c r="F91" s="57" t="n">
        <v>0.00363</v>
      </c>
      <c r="G91" s="57" t="n">
        <v>0.00133</v>
      </c>
      <c r="H91" s="57" t="n">
        <v>0.00323</v>
      </c>
    </row>
    <row r="92" customFormat="false" ht="15" hidden="false" customHeight="false" outlineLevel="0" collapsed="false">
      <c r="A92" s="52" t="n">
        <v>44819</v>
      </c>
      <c r="B92" s="57" t="n">
        <v>0.00173</v>
      </c>
      <c r="C92" s="64" t="n">
        <v>5</v>
      </c>
      <c r="D92" s="57" t="n">
        <v>0.00227</v>
      </c>
      <c r="E92" s="64" t="n">
        <v>82</v>
      </c>
      <c r="F92" s="57" t="n">
        <v>0.0039</v>
      </c>
      <c r="G92" s="57" t="n">
        <v>0.00153</v>
      </c>
      <c r="H92" s="57" t="n">
        <v>0.00346</v>
      </c>
    </row>
    <row r="93" customFormat="false" ht="15" hidden="false" customHeight="false" outlineLevel="0" collapsed="false">
      <c r="A93" s="52" t="n">
        <v>44852</v>
      </c>
      <c r="B93" s="57" t="n">
        <v>0.00207</v>
      </c>
      <c r="C93" s="64" t="n">
        <v>6</v>
      </c>
      <c r="D93" s="57" t="n">
        <v>0.00272</v>
      </c>
      <c r="E93" s="64" t="n">
        <v>89</v>
      </c>
      <c r="F93" s="57" t="n">
        <v>0.0044</v>
      </c>
      <c r="G93" s="57" t="n">
        <v>0.00212</v>
      </c>
      <c r="H93" s="57" t="n">
        <v>0.00394</v>
      </c>
    </row>
    <row r="94" customFormat="false" ht="15" hidden="false" customHeight="false" outlineLevel="0" collapsed="false">
      <c r="A94" s="52" t="n">
        <v>44881</v>
      </c>
      <c r="B94" s="57" t="n">
        <v>0.00213</v>
      </c>
      <c r="C94" s="64" t="n">
        <v>5</v>
      </c>
      <c r="D94" s="57" t="n">
        <v>0.00252</v>
      </c>
      <c r="E94" s="64" t="n">
        <v>86</v>
      </c>
      <c r="F94" s="57" t="n">
        <v>0.00428</v>
      </c>
      <c r="G94" s="57" t="n">
        <v>0.00196</v>
      </c>
      <c r="H94" s="57" t="n">
        <v>0.00386</v>
      </c>
    </row>
    <row r="95" customFormat="false" ht="15" hidden="false" customHeight="false" outlineLevel="0" collapsed="false">
      <c r="A95" s="52" t="n">
        <v>44911</v>
      </c>
      <c r="B95" s="57" t="n">
        <v>0.00277</v>
      </c>
      <c r="C95" s="64" t="n">
        <v>5</v>
      </c>
      <c r="D95" s="57" t="n">
        <v>0.00323</v>
      </c>
      <c r="E95" s="64" t="n">
        <v>88</v>
      </c>
      <c r="F95" s="57" t="n">
        <v>0.00497</v>
      </c>
      <c r="G95" s="57" t="n">
        <v>0.00264</v>
      </c>
      <c r="H95" s="57" t="n">
        <v>0.00453</v>
      </c>
    </row>
    <row r="96" customFormat="false" ht="15" hidden="false" customHeight="false" outlineLevel="0" collapsed="false">
      <c r="A96" s="52" t="n">
        <v>44944</v>
      </c>
      <c r="B96" s="57" t="n">
        <v>0.00355</v>
      </c>
      <c r="C96" s="64" t="n">
        <v>5</v>
      </c>
      <c r="D96" s="57" t="n">
        <v>0.00425</v>
      </c>
      <c r="E96" s="64" t="n">
        <v>94</v>
      </c>
      <c r="F96" s="57" t="n">
        <v>0.00624</v>
      </c>
      <c r="G96" s="57" t="n">
        <v>0.00379</v>
      </c>
      <c r="H96" s="57" t="n">
        <v>0.0057</v>
      </c>
    </row>
    <row r="97" customFormat="false" ht="15" hidden="false" customHeight="false" outlineLevel="0" collapsed="false">
      <c r="A97" s="52" t="n">
        <v>44971</v>
      </c>
      <c r="B97" s="57" t="n">
        <v>0.00262</v>
      </c>
      <c r="C97" s="64" t="n">
        <v>5</v>
      </c>
      <c r="D97" s="57" t="n">
        <v>0.00338</v>
      </c>
      <c r="E97" s="64" t="n">
        <v>97</v>
      </c>
      <c r="F97" s="57" t="n">
        <v>0.00552</v>
      </c>
      <c r="G97" s="57" t="n">
        <v>0.0028</v>
      </c>
      <c r="H97" s="57" t="n">
        <v>0.00483</v>
      </c>
    </row>
    <row r="98" customFormat="false" ht="15" hidden="false" customHeight="false" outlineLevel="0" collapsed="false">
      <c r="A98" s="52" t="n">
        <v>45001</v>
      </c>
      <c r="B98" s="57" t="n">
        <v>0.00237</v>
      </c>
      <c r="C98" s="64" t="n">
        <v>5</v>
      </c>
      <c r="D98" s="57" t="n">
        <v>0.00314</v>
      </c>
      <c r="E98" s="64" t="n">
        <v>102</v>
      </c>
      <c r="F98" s="57" t="n">
        <v>0.00527</v>
      </c>
      <c r="G98" s="57" t="n">
        <v>0.00243</v>
      </c>
      <c r="H98" s="57" t="n">
        <v>0.00459</v>
      </c>
    </row>
    <row r="99" customFormat="false" ht="15" hidden="false" customHeight="false" outlineLevel="0" collapsed="false">
      <c r="A99" s="52" t="n">
        <v>45033</v>
      </c>
      <c r="B99" s="57" t="n">
        <v>0.00265</v>
      </c>
      <c r="C99" s="64" t="n">
        <v>3</v>
      </c>
      <c r="D99" s="57" t="n">
        <v>0.00326</v>
      </c>
      <c r="E99" s="64" t="n">
        <v>104</v>
      </c>
      <c r="F99" s="57" t="n">
        <v>0.0053</v>
      </c>
      <c r="G99" s="57" t="n">
        <v>0.00258</v>
      </c>
      <c r="H99" s="57" t="n">
        <v>0.00478</v>
      </c>
    </row>
    <row r="100" customFormat="false" ht="15" hidden="false" customHeight="false" outlineLevel="0" collapsed="false">
      <c r="A100" s="52" t="n">
        <v>45064</v>
      </c>
      <c r="B100" s="57" t="n">
        <v>0.00233</v>
      </c>
      <c r="C100" s="64" t="n">
        <v>2</v>
      </c>
      <c r="D100" s="57" t="n">
        <v>0.00287</v>
      </c>
      <c r="E100" s="64" t="n">
        <v>105</v>
      </c>
      <c r="F100" s="57" t="n">
        <v>0.00475</v>
      </c>
      <c r="G100" s="57" t="n">
        <v>0.00206</v>
      </c>
      <c r="H100" s="57" t="n">
        <v>0.00426</v>
      </c>
    </row>
    <row r="101" customFormat="false" ht="15" hidden="false" customHeight="false" outlineLevel="0" collapsed="false">
      <c r="A101" s="52" t="n">
        <v>45093</v>
      </c>
      <c r="B101" s="57" t="n">
        <v>0.00265</v>
      </c>
      <c r="C101" s="64" t="n">
        <v>3</v>
      </c>
      <c r="D101" s="57" t="n">
        <v>0.00281</v>
      </c>
      <c r="E101" s="64" t="n">
        <v>107</v>
      </c>
      <c r="F101" s="57" t="n">
        <v>0.00455</v>
      </c>
      <c r="G101" s="57" t="n">
        <v>0.00193</v>
      </c>
      <c r="H101" s="57" t="n">
        <v>0.00411</v>
      </c>
    </row>
    <row r="102" customFormat="false" ht="15" hidden="false" customHeight="false" outlineLevel="0" collapsed="false">
      <c r="A102" s="52" t="n">
        <v>45125</v>
      </c>
      <c r="B102" s="57" t="n">
        <v>0.00284</v>
      </c>
      <c r="C102" s="64" t="n">
        <v>4</v>
      </c>
      <c r="D102" s="57" t="n">
        <v>0.00317</v>
      </c>
      <c r="E102" s="64" t="n">
        <v>110</v>
      </c>
      <c r="F102" s="57" t="n">
        <v>0.00475</v>
      </c>
      <c r="G102" s="57" t="n">
        <v>0.00216</v>
      </c>
      <c r="H102" s="57" t="n">
        <v>0.00438</v>
      </c>
    </row>
    <row r="103" customFormat="false" ht="15" hidden="false" customHeight="false" outlineLevel="0" collapsed="false">
      <c r="A103" s="52" t="n">
        <v>45155</v>
      </c>
      <c r="B103" s="57" t="n">
        <v>0.00365</v>
      </c>
      <c r="C103" s="64" t="n">
        <v>5</v>
      </c>
      <c r="D103" s="57" t="n">
        <v>0.00391</v>
      </c>
      <c r="E103" s="64" t="n">
        <v>112</v>
      </c>
      <c r="F103" s="57" t="n">
        <v>0.00552</v>
      </c>
      <c r="G103" s="57" t="n">
        <v>0.0028</v>
      </c>
      <c r="H103" s="57" t="n">
        <v>0.0051</v>
      </c>
    </row>
    <row r="104" customFormat="false" ht="15" hidden="false" customHeight="false" outlineLevel="0" collapsed="false">
      <c r="A104" s="52" t="n">
        <v>45184</v>
      </c>
      <c r="B104" s="57" t="n">
        <v>0.00412</v>
      </c>
      <c r="C104" s="64" t="n">
        <v>5</v>
      </c>
      <c r="D104" s="57" t="n">
        <v>0.00439</v>
      </c>
      <c r="E104" s="64" t="n">
        <v>116</v>
      </c>
      <c r="F104" s="57" t="n">
        <v>0.0059</v>
      </c>
      <c r="G104" s="57" t="n">
        <v>0.00325</v>
      </c>
      <c r="H104" s="57" t="n">
        <v>0.00551</v>
      </c>
    </row>
    <row r="105" customFormat="false" ht="15" hidden="false" customHeight="false" outlineLevel="0" collapsed="false">
      <c r="A105" s="52" t="n">
        <v>45216</v>
      </c>
      <c r="B105" s="57" t="n">
        <v>0.00423</v>
      </c>
      <c r="C105" s="64" t="n">
        <v>4</v>
      </c>
      <c r="D105" s="57" t="n">
        <v>0.00453</v>
      </c>
      <c r="E105" s="64" t="n">
        <v>110</v>
      </c>
      <c r="F105" s="57" t="n">
        <v>0.00603</v>
      </c>
      <c r="G105" s="57" t="n">
        <v>0.00355</v>
      </c>
      <c r="H105" s="57" t="n">
        <v>0.00582</v>
      </c>
    </row>
    <row r="106" customFormat="false" ht="15" hidden="false" customHeight="false" outlineLevel="0" collapsed="false">
      <c r="A106" s="52" t="n">
        <v>45246</v>
      </c>
      <c r="B106" s="57" t="n">
        <v>0.00495</v>
      </c>
      <c r="C106" s="64" t="n">
        <v>6</v>
      </c>
      <c r="D106" s="57" t="n">
        <v>0.00524</v>
      </c>
      <c r="E106" s="64" t="n">
        <v>117</v>
      </c>
      <c r="F106" s="57" t="n">
        <v>0.00644</v>
      </c>
      <c r="G106" s="57" t="n">
        <v>0.00402</v>
      </c>
      <c r="H106" s="57" t="n">
        <v>0.00631</v>
      </c>
    </row>
    <row r="107" customFormat="false" ht="15" hidden="false" customHeight="false" outlineLevel="0" collapsed="false">
      <c r="A107" s="52" t="n">
        <v>45275</v>
      </c>
      <c r="B107" s="57" t="n">
        <v>0.00426</v>
      </c>
      <c r="C107" s="64" t="n">
        <v>6</v>
      </c>
      <c r="D107" s="57" t="n">
        <v>0.00466</v>
      </c>
      <c r="E107" s="64" t="n">
        <v>121</v>
      </c>
      <c r="F107" s="57" t="n">
        <v>0.006</v>
      </c>
      <c r="G107" s="57" t="n">
        <v>0.00352</v>
      </c>
      <c r="H107" s="57" t="n">
        <v>0.00578</v>
      </c>
    </row>
    <row r="108" customFormat="false" ht="15" hidden="false" customHeight="false" outlineLevel="0" collapsed="false">
      <c r="A108" s="52" t="n">
        <v>45309</v>
      </c>
      <c r="B108" s="57" t="n">
        <v>0.00338</v>
      </c>
      <c r="C108" s="64" t="n">
        <v>6</v>
      </c>
      <c r="D108" s="57" t="n">
        <v>0.00396</v>
      </c>
      <c r="E108" s="64" t="n">
        <v>117</v>
      </c>
      <c r="F108" s="57" t="n">
        <v>0.00511</v>
      </c>
      <c r="G108" s="57" t="n">
        <v>0.00302</v>
      </c>
      <c r="H108" s="57" t="n">
        <v>0.00497</v>
      </c>
    </row>
    <row r="109" customFormat="false" ht="15" hidden="false" customHeight="false" outlineLevel="0" collapsed="false">
      <c r="A109" s="52" t="n">
        <v>45337</v>
      </c>
      <c r="B109" s="57" t="n">
        <v>0.00466</v>
      </c>
      <c r="C109" s="64" t="n">
        <v>6</v>
      </c>
      <c r="D109" s="57" t="n">
        <v>0.00524</v>
      </c>
      <c r="E109" s="64" t="n">
        <v>121</v>
      </c>
      <c r="F109" s="57" t="n">
        <v>0.00632</v>
      </c>
      <c r="G109" s="57" t="n">
        <v>0.0043</v>
      </c>
      <c r="H109" s="57" t="n">
        <v>0.00619</v>
      </c>
    </row>
    <row r="110" customFormat="false" ht="15" hidden="false" customHeight="false" outlineLevel="0" collapsed="false">
      <c r="A110" s="52" t="n">
        <v>45366</v>
      </c>
      <c r="B110" s="57" t="n">
        <v>0.00507</v>
      </c>
      <c r="C110" s="64" t="n">
        <v>6</v>
      </c>
      <c r="D110" s="57" t="n">
        <v>0.00566</v>
      </c>
      <c r="E110" s="64" t="n">
        <v>117</v>
      </c>
      <c r="F110" s="57" t="n">
        <v>0.00683</v>
      </c>
      <c r="G110" s="57" t="n">
        <v>0.00466</v>
      </c>
      <c r="H110" s="57" t="n">
        <v>0.00662</v>
      </c>
    </row>
    <row r="111" customFormat="false" ht="15" hidden="false" customHeight="false" outlineLevel="0" collapsed="false">
      <c r="A111" s="52" t="n">
        <v>45397</v>
      </c>
      <c r="B111" s="57" t="n">
        <v>0.00577</v>
      </c>
      <c r="C111" s="64" t="n">
        <v>7</v>
      </c>
      <c r="D111" s="57" t="n">
        <v>0.00649</v>
      </c>
      <c r="E111" s="64" t="n">
        <v>118</v>
      </c>
      <c r="F111" s="57" t="n">
        <v>0.00747</v>
      </c>
      <c r="G111" s="57" t="n">
        <v>0.00535</v>
      </c>
      <c r="H111" s="57" t="n">
        <v>0.00737</v>
      </c>
    </row>
    <row r="112" customFormat="false" ht="15" hidden="false" customHeight="false" outlineLevel="0" collapsed="false">
      <c r="A112" s="52" t="n">
        <v>45429</v>
      </c>
      <c r="B112" s="57" t="n">
        <v>0.00645</v>
      </c>
      <c r="C112" s="64" t="n">
        <v>7</v>
      </c>
      <c r="D112" s="57" t="n">
        <v>0.00715</v>
      </c>
      <c r="E112" s="64" t="n">
        <v>116</v>
      </c>
      <c r="F112" s="57" t="n">
        <v>0.00822</v>
      </c>
      <c r="G112" s="57" t="n">
        <v>0.00605</v>
      </c>
      <c r="H112" s="57" t="n">
        <v>0.00812</v>
      </c>
    </row>
    <row r="113" customFormat="false" ht="15" hidden="false" customHeight="false" outlineLevel="0" collapsed="false">
      <c r="A113" s="52" t="n">
        <v>45460</v>
      </c>
      <c r="B113" s="57" t="n">
        <v>0.00626</v>
      </c>
      <c r="C113" s="64" t="n">
        <v>6</v>
      </c>
      <c r="D113" s="57" t="n">
        <v>0.00697</v>
      </c>
      <c r="E113" s="64" t="n">
        <v>120</v>
      </c>
      <c r="F113" s="57" t="n">
        <v>0.00811</v>
      </c>
      <c r="G113" s="57" t="n">
        <v>0.00575</v>
      </c>
      <c r="H113" s="57" t="n">
        <v>0.00796</v>
      </c>
    </row>
    <row r="114" customFormat="false" ht="15" hidden="false" customHeight="false" outlineLevel="0" collapsed="false">
      <c r="A114" s="52" t="n">
        <v>45490</v>
      </c>
      <c r="B114" s="57" t="n">
        <v>0.00645</v>
      </c>
      <c r="C114" s="64" t="n">
        <v>5</v>
      </c>
      <c r="D114" s="57" t="n">
        <v>0.00719</v>
      </c>
      <c r="E114" s="64" t="n">
        <v>117</v>
      </c>
      <c r="F114" s="57" t="n">
        <v>0.00841</v>
      </c>
      <c r="G114" s="57" t="n">
        <v>0.00603</v>
      </c>
      <c r="H114" s="57" t="n">
        <v>0.00816</v>
      </c>
    </row>
    <row r="115" customFormat="false" ht="15" hidden="false" customHeight="false" outlineLevel="0" collapsed="false">
      <c r="A115" s="52" t="n">
        <v>45520</v>
      </c>
      <c r="B115" s="57" t="n">
        <v>0.00601</v>
      </c>
      <c r="C115" s="64" t="n">
        <v>4</v>
      </c>
      <c r="D115" s="57" t="n">
        <v>0.00664</v>
      </c>
      <c r="E115" s="64" t="n">
        <v>130</v>
      </c>
      <c r="F115" s="57" t="n">
        <v>0.00795</v>
      </c>
      <c r="G115" s="57" t="n">
        <v>0.00548</v>
      </c>
      <c r="H115" s="57" t="n">
        <v>0.00761</v>
      </c>
    </row>
    <row r="116" customFormat="false" ht="15" hidden="false" customHeight="false" outlineLevel="0" collapsed="false">
      <c r="A116" s="52" t="n">
        <v>45548</v>
      </c>
      <c r="B116" s="57" t="n">
        <v>0.00665</v>
      </c>
      <c r="C116" s="64" t="n">
        <v>4</v>
      </c>
      <c r="D116" s="57" t="n">
        <v>0.00733</v>
      </c>
      <c r="E116" s="64" t="n">
        <v>140</v>
      </c>
      <c r="F116" s="57" t="n">
        <v>0.00863</v>
      </c>
      <c r="G116" s="57" t="n">
        <v>0.00613</v>
      </c>
      <c r="H116" s="57" t="n">
        <v>0.00828</v>
      </c>
    </row>
    <row r="117" customFormat="false" ht="15" hidden="false" customHeight="false" outlineLevel="0" collapsed="false">
      <c r="A117" s="52" t="n">
        <v>45582</v>
      </c>
      <c r="B117" s="57" t="n">
        <v>0.00713</v>
      </c>
      <c r="C117" s="64" t="n">
        <v>5</v>
      </c>
      <c r="D117" s="57" t="n">
        <v>0.00779</v>
      </c>
      <c r="E117" s="64" t="n">
        <v>138</v>
      </c>
      <c r="F117" s="57" t="n">
        <v>0.0091</v>
      </c>
      <c r="G117" s="57" t="n">
        <v>0.00671</v>
      </c>
      <c r="H117" s="57" t="n">
        <v>0.00868</v>
      </c>
    </row>
    <row r="118" customFormat="false" ht="15" hidden="false" customHeight="false" outlineLevel="0" collapsed="false">
      <c r="A118" s="52" t="n">
        <v>45614</v>
      </c>
      <c r="B118" s="57" t="n">
        <v>0.00875</v>
      </c>
      <c r="C118" s="64" t="n">
        <v>4</v>
      </c>
      <c r="D118" s="57" t="n">
        <v>0.00923</v>
      </c>
      <c r="E118" s="64" t="n">
        <v>148</v>
      </c>
      <c r="F118" s="57" t="n">
        <v>0.01051</v>
      </c>
      <c r="G118" s="57" t="n">
        <v>0.00808</v>
      </c>
      <c r="H118" s="57" t="n">
        <v>0.0101</v>
      </c>
    </row>
    <row r="119" customFormat="false" ht="15" hidden="false" customHeight="false" outlineLevel="0" collapsed="false">
      <c r="A119" s="52" t="n">
        <v>45642</v>
      </c>
      <c r="B119" s="57" t="n">
        <v>0.00868</v>
      </c>
      <c r="C119" s="64" t="n">
        <v>4</v>
      </c>
      <c r="D119" s="57" t="n">
        <v>0.00918</v>
      </c>
      <c r="E119" s="64" t="n">
        <v>156</v>
      </c>
      <c r="F119" s="57" t="n">
        <v>0.01066</v>
      </c>
      <c r="G119" s="57" t="n">
        <v>0.00803</v>
      </c>
      <c r="H119" s="57" t="n">
        <v>0.01018</v>
      </c>
    </row>
    <row r="120" customFormat="false" ht="15" hidden="false" customHeight="false" outlineLevel="0" collapsed="false">
      <c r="A120" s="52" t="n">
        <v>45677</v>
      </c>
      <c r="B120" s="57" t="n">
        <v>0.01007</v>
      </c>
      <c r="C120" s="64" t="n">
        <v>4</v>
      </c>
      <c r="D120" s="57" t="n">
        <v>0.01063</v>
      </c>
      <c r="E120" s="64" t="n">
        <v>153</v>
      </c>
      <c r="F120" s="57" t="n">
        <v>0.01204</v>
      </c>
      <c r="G120" s="57" t="n">
        <v>0.00945</v>
      </c>
      <c r="H120" s="57" t="n">
        <v>0.01152</v>
      </c>
    </row>
    <row r="121" customFormat="false" ht="15" hidden="false" customHeight="false" outlineLevel="0" collapsed="false">
      <c r="A121" s="52" t="n">
        <v>45705</v>
      </c>
      <c r="B121" s="57" t="n">
        <v>0.01135</v>
      </c>
      <c r="C121" s="64" t="n">
        <v>4</v>
      </c>
      <c r="D121" s="57" t="n">
        <v>0.01197</v>
      </c>
      <c r="E121" s="64" t="n">
        <v>155</v>
      </c>
      <c r="F121" s="57" t="n">
        <v>0.01351</v>
      </c>
      <c r="G121" s="57" t="n">
        <v>0.01084</v>
      </c>
      <c r="H121" s="57" t="n">
        <v>0.01288</v>
      </c>
    </row>
    <row r="122" customFormat="false" ht="15" hidden="false" customHeight="false" outlineLevel="0" collapsed="false">
      <c r="A122" s="52" t="n">
        <v>45733</v>
      </c>
      <c r="B122" s="57" t="n">
        <v>0.01216</v>
      </c>
      <c r="C122" s="64" t="n">
        <v>4</v>
      </c>
      <c r="D122" s="57" t="n">
        <v>0.0129</v>
      </c>
      <c r="E122" s="64" t="n">
        <v>157</v>
      </c>
      <c r="F122" s="57" t="n">
        <v>0.01449</v>
      </c>
      <c r="G122" s="57" t="n">
        <v>0.01174</v>
      </c>
      <c r="H122" s="57" t="n">
        <v>0.01378</v>
      </c>
    </row>
    <row r="123" customFormat="false" ht="15" hidden="false" customHeight="false" outlineLevel="0" collapsed="false">
      <c r="A123" s="52" t="n">
        <v>45762</v>
      </c>
      <c r="B123" s="57" t="n">
        <v>0.00935</v>
      </c>
      <c r="C123" s="64" t="n">
        <v>4</v>
      </c>
      <c r="D123" s="57" t="n">
        <v>0.00994</v>
      </c>
      <c r="E123" s="64" t="n">
        <v>155</v>
      </c>
      <c r="F123" s="57" t="n">
        <v>0.01162</v>
      </c>
      <c r="G123" s="57" t="n">
        <v>0.00892</v>
      </c>
      <c r="H123" s="57" t="n">
        <v>0.01079</v>
      </c>
    </row>
    <row r="124" customFormat="false" ht="15" hidden="false" customHeight="false" outlineLevel="0" collapsed="false">
      <c r="A124" s="52" t="n">
        <v>45796</v>
      </c>
      <c r="B124" s="57" t="n">
        <v>0.01091</v>
      </c>
      <c r="C124" s="64" t="n">
        <v>4</v>
      </c>
      <c r="D124" s="57" t="n">
        <v>0.01165</v>
      </c>
      <c r="E124" s="64" t="n">
        <v>160</v>
      </c>
      <c r="F124" s="57" t="n">
        <v>0.01336</v>
      </c>
      <c r="G124" s="57" t="n">
        <v>0.01052</v>
      </c>
      <c r="H124" s="57" t="n">
        <v>0.01249</v>
      </c>
    </row>
    <row r="125" customFormat="false" ht="15" hidden="false" customHeight="false" outlineLevel="0" collapsed="false">
      <c r="A125" s="52" t="n">
        <v>45824</v>
      </c>
      <c r="B125" s="57" t="n">
        <v>0.01114</v>
      </c>
      <c r="C125" s="64" t="n">
        <v>4</v>
      </c>
      <c r="D125" s="57" t="n">
        <v>0.01167</v>
      </c>
      <c r="E125" s="64" t="n">
        <v>149</v>
      </c>
      <c r="F125" s="57" t="n">
        <v>0.01329</v>
      </c>
      <c r="G125" s="57" t="n">
        <v>0.01067</v>
      </c>
      <c r="H125" s="57" t="n">
        <v>0.01256</v>
      </c>
    </row>
    <row r="126" customFormat="false" ht="15" hidden="false" customHeight="false" outlineLevel="0" collapsed="false">
      <c r="A126" s="52" t="n">
        <v>45854</v>
      </c>
      <c r="B126" s="57" t="n">
        <v>0.01177</v>
      </c>
      <c r="C126" s="64" t="n">
        <v>4</v>
      </c>
      <c r="D126" s="57" t="n">
        <v>0.01237</v>
      </c>
      <c r="E126" s="64" t="n">
        <v>146</v>
      </c>
      <c r="F126" s="57" t="n">
        <v>0.01385</v>
      </c>
      <c r="G126" s="57" t="n">
        <v>0.01135</v>
      </c>
      <c r="H126" s="57" t="n">
        <v>0.01316</v>
      </c>
    </row>
    <row r="127" customFormat="false" ht="15" hidden="false" customHeight="false" outlineLevel="0" collapsed="false">
      <c r="A127" s="52" t="n">
        <v>45887</v>
      </c>
      <c r="B127" s="57" t="n">
        <v>0.01232</v>
      </c>
      <c r="C127" s="64" t="n">
        <v>4</v>
      </c>
      <c r="D127" s="57" t="n">
        <v>0.01294</v>
      </c>
      <c r="E127" s="64" t="n">
        <v>151</v>
      </c>
      <c r="F127" s="57" t="n">
        <v>0.0144</v>
      </c>
      <c r="G127" s="57" t="n">
        <v>0.0119</v>
      </c>
      <c r="H127" s="57" t="n">
        <v>0.01384</v>
      </c>
    </row>
    <row r="128" customFormat="false" ht="15" hidden="false" customHeight="false" outlineLevel="0" collapsed="false">
      <c r="A128" s="52" t="n">
        <v>45916</v>
      </c>
      <c r="B128" s="57" t="n">
        <v>0.01254</v>
      </c>
      <c r="C128" s="64" t="n">
        <v>4</v>
      </c>
      <c r="D128" s="57" t="n">
        <v>0.01325</v>
      </c>
      <c r="E128" s="64" t="n">
        <v>146</v>
      </c>
      <c r="F128" s="57" t="n">
        <v>0.01477</v>
      </c>
      <c r="G128" s="57" t="n">
        <v>0.01226</v>
      </c>
      <c r="H128" s="57" t="n">
        <v>0.01416</v>
      </c>
    </row>
    <row r="129" customFormat="false" ht="15" hidden="false" customHeight="false" outlineLevel="0" collapsed="false">
      <c r="A129" s="52" t="n">
        <v>45947</v>
      </c>
      <c r="B129" s="57" t="n">
        <v>0.0132</v>
      </c>
      <c r="C129" s="64" t="n">
        <v>4</v>
      </c>
      <c r="D129" s="57" t="n">
        <v>0.01383</v>
      </c>
      <c r="E129" s="64" t="n">
        <v>154</v>
      </c>
      <c r="F129" s="57" t="n">
        <v>0.0156</v>
      </c>
      <c r="G129" s="57" t="n">
        <v>0.01288</v>
      </c>
      <c r="H129" s="57" t="n">
        <v>0.01468</v>
      </c>
    </row>
    <row r="130" customFormat="false" ht="15" hidden="false" customHeight="false" outlineLevel="0" collapsed="false">
      <c r="A130" s="52" t="n">
        <v>45978</v>
      </c>
      <c r="B130" s="57" t="n">
        <v>0.01351</v>
      </c>
      <c r="C130" s="64" t="n">
        <v>3</v>
      </c>
      <c r="D130" s="57" t="n">
        <v>0.01411</v>
      </c>
      <c r="E130" s="64" t="n">
        <v>154</v>
      </c>
      <c r="F130" s="57" t="n">
        <v>0.01567</v>
      </c>
      <c r="G130" s="57" t="n">
        <v>0.01306</v>
      </c>
      <c r="H130" s="57" t="n">
        <v>0.01501</v>
      </c>
    </row>
    <row r="131" customFormat="false" ht="15" hidden="false" customHeight="false" outlineLevel="0" collapsed="false">
      <c r="A131" s="52" t="n">
        <v>45992</v>
      </c>
      <c r="B131" s="57" t="n">
        <v>0.01402</v>
      </c>
      <c r="C131" s="64" t="n">
        <v>3</v>
      </c>
      <c r="D131" s="57" t="n">
        <v>0.01469</v>
      </c>
      <c r="E131" s="64" t="n">
        <v>152</v>
      </c>
      <c r="F131" s="57" t="n">
        <v>0.01617</v>
      </c>
      <c r="G131" s="57" t="n">
        <v>0.01367</v>
      </c>
      <c r="H131" s="57" t="n">
        <v>0.01565</v>
      </c>
    </row>
    <row r="132" customFormat="false" ht="15" hidden="false" customHeight="false" outlineLevel="0" collapsed="false">
      <c r="A132" s="52" t="n">
        <v>45993</v>
      </c>
      <c r="B132" s="57" t="n">
        <v>0.01455</v>
      </c>
      <c r="C132" s="64" t="n">
        <v>3</v>
      </c>
      <c r="D132" s="57" t="n">
        <v>0.01525</v>
      </c>
      <c r="E132" s="64" t="n">
        <v>154</v>
      </c>
      <c r="F132" s="57" t="n">
        <v>0.01672</v>
      </c>
      <c r="G132" s="57" t="n">
        <v>0.01421</v>
      </c>
      <c r="H132" s="57" t="n">
        <v>0.01615</v>
      </c>
    </row>
    <row r="133" customFormat="false" ht="15" hidden="false" customHeight="false" outlineLevel="0" collapsed="false">
      <c r="A133" s="52" t="n">
        <v>45994</v>
      </c>
      <c r="B133" s="57" t="n">
        <v>0.01441</v>
      </c>
      <c r="C133" s="64" t="n">
        <v>3</v>
      </c>
      <c r="D133" s="57" t="n">
        <v>0.01511</v>
      </c>
      <c r="E133" s="64" t="n">
        <v>154</v>
      </c>
      <c r="F133" s="57" t="n">
        <v>0.01657</v>
      </c>
      <c r="G133" s="57" t="n">
        <v>0.01408</v>
      </c>
      <c r="H133" s="57" t="n">
        <v>0.01601</v>
      </c>
    </row>
    <row r="134" customFormat="false" ht="15" hidden="false" customHeight="false" outlineLevel="0" collapsed="false">
      <c r="A134" s="52" t="n">
        <v>45995</v>
      </c>
      <c r="B134" s="57" t="n">
        <v>0.01454</v>
      </c>
      <c r="C134" s="64" t="n">
        <v>3</v>
      </c>
      <c r="D134" s="57" t="n">
        <v>0.01524</v>
      </c>
      <c r="E134" s="64" t="n">
        <v>154</v>
      </c>
      <c r="F134" s="57" t="n">
        <v>0.0167</v>
      </c>
      <c r="G134" s="57" t="n">
        <v>0.0142</v>
      </c>
      <c r="H134" s="57" t="n">
        <v>0.01614</v>
      </c>
    </row>
    <row r="135" customFormat="false" ht="15" hidden="false" customHeight="false" outlineLevel="0" collapsed="false">
      <c r="A135" s="52" t="n">
        <v>45996</v>
      </c>
      <c r="B135" s="57" t="n">
        <v>0.01471</v>
      </c>
      <c r="C135" s="64" t="n">
        <v>3</v>
      </c>
      <c r="D135" s="57" t="n">
        <v>0.01541</v>
      </c>
      <c r="E135" s="64" t="n">
        <v>156</v>
      </c>
      <c r="F135" s="57" t="n">
        <v>0.01686</v>
      </c>
      <c r="G135" s="57" t="n">
        <v>0.01437</v>
      </c>
      <c r="H135" s="57" t="n">
        <v>0.0163</v>
      </c>
    </row>
    <row r="136" customFormat="false" ht="15" hidden="false" customHeight="false" outlineLevel="0" collapsed="false">
      <c r="A136" s="52" t="n">
        <v>45999</v>
      </c>
      <c r="B136" s="57" t="n">
        <v>0.01498</v>
      </c>
      <c r="C136" s="64" t="n">
        <v>3</v>
      </c>
      <c r="D136" s="57" t="n">
        <v>0.01568</v>
      </c>
      <c r="E136" s="64" t="n">
        <v>155</v>
      </c>
      <c r="F136" s="57" t="n">
        <v>0.01713</v>
      </c>
      <c r="G136" s="57" t="n">
        <v>0.01464</v>
      </c>
      <c r="H136" s="57" t="n">
        <v>0.01658</v>
      </c>
    </row>
    <row r="137" customFormat="false" ht="15" hidden="false" customHeight="false" outlineLevel="0" collapsed="false">
      <c r="A137" s="52" t="n">
        <v>46000</v>
      </c>
      <c r="B137" s="57" t="n">
        <v>0.0151</v>
      </c>
      <c r="C137" s="64" t="n">
        <v>3</v>
      </c>
      <c r="D137" s="57" t="n">
        <v>0.01583</v>
      </c>
      <c r="E137" s="64" t="n">
        <v>153</v>
      </c>
      <c r="F137" s="57" t="n">
        <v>0.01729</v>
      </c>
      <c r="G137" s="57" t="n">
        <v>0.0148</v>
      </c>
      <c r="H137" s="57" t="n">
        <v>0.01673</v>
      </c>
    </row>
    <row r="138" customFormat="false" ht="15" hidden="false" customHeight="false" outlineLevel="0" collapsed="false">
      <c r="A138" s="52" t="n">
        <v>46001</v>
      </c>
      <c r="B138" s="57" t="n">
        <v>0.01513</v>
      </c>
      <c r="C138" s="64" t="n">
        <v>3</v>
      </c>
      <c r="D138" s="57" t="n">
        <v>0.01586</v>
      </c>
      <c r="E138" s="64" t="n">
        <v>153</v>
      </c>
      <c r="F138" s="57" t="n">
        <v>0.01731</v>
      </c>
      <c r="G138" s="57" t="n">
        <v>0.01483</v>
      </c>
      <c r="H138" s="57" t="n">
        <v>0.01677</v>
      </c>
    </row>
    <row r="139" customFormat="false" ht="15" hidden="false" customHeight="false" outlineLevel="0" collapsed="false">
      <c r="A139" s="52" t="n">
        <v>46002</v>
      </c>
      <c r="B139" s="57" t="n">
        <v>0.01516</v>
      </c>
      <c r="C139" s="64" t="n">
        <v>3</v>
      </c>
      <c r="D139" s="57" t="n">
        <v>0.01589</v>
      </c>
      <c r="E139" s="64" t="n">
        <v>153</v>
      </c>
      <c r="F139" s="57" t="n">
        <v>0.01734</v>
      </c>
      <c r="G139" s="57" t="n">
        <v>0.01487</v>
      </c>
      <c r="H139" s="57" t="n">
        <v>0.0168</v>
      </c>
    </row>
    <row r="140" customFormat="false" ht="15" hidden="false" customHeight="false" outlineLevel="0" collapsed="false">
      <c r="A140" s="52" t="n">
        <v>46003</v>
      </c>
      <c r="B140" s="57" t="n">
        <v>0.01491</v>
      </c>
      <c r="C140" s="64" t="n">
        <v>3</v>
      </c>
      <c r="D140" s="57" t="n">
        <v>0.01565</v>
      </c>
      <c r="E140" s="64" t="n">
        <v>155</v>
      </c>
      <c r="F140" s="57" t="n">
        <v>0.01711</v>
      </c>
      <c r="G140" s="57" t="n">
        <v>0.01461</v>
      </c>
      <c r="H140" s="57" t="n">
        <v>0.01654</v>
      </c>
    </row>
    <row r="141" customFormat="false" ht="15" hidden="false" customHeight="false" outlineLevel="0" collapsed="false">
      <c r="A141" s="52" t="n">
        <v>46006</v>
      </c>
      <c r="B141" s="57" t="n">
        <v>0.01501</v>
      </c>
      <c r="C141" s="64" t="n">
        <v>3</v>
      </c>
      <c r="D141" s="57" t="n">
        <v>0.01576</v>
      </c>
      <c r="E141" s="64" t="n">
        <v>154</v>
      </c>
      <c r="F141" s="57" t="n">
        <v>0.01722</v>
      </c>
      <c r="G141" s="57" t="n">
        <v>0.01471</v>
      </c>
      <c r="H141" s="57" t="n">
        <v>0.01666</v>
      </c>
    </row>
    <row r="142" customFormat="false" ht="15" hidden="false" customHeight="false" outlineLevel="0" collapsed="false">
      <c r="A142" s="52" t="n">
        <v>46007</v>
      </c>
      <c r="B142" s="57" t="n">
        <v>0.01497</v>
      </c>
      <c r="C142" s="64" t="n">
        <v>3</v>
      </c>
      <c r="D142" s="57" t="n">
        <v>0.01578</v>
      </c>
      <c r="E142" s="64" t="n">
        <v>156</v>
      </c>
      <c r="F142" s="57" t="n">
        <v>0.01728</v>
      </c>
      <c r="G142" s="57" t="n">
        <v>0.01469</v>
      </c>
      <c r="H142" s="57" t="n">
        <v>0.01663</v>
      </c>
    </row>
    <row r="143" customFormat="false" ht="15" hidden="false" customHeight="false" outlineLevel="0" collapsed="false">
      <c r="A143" s="52" t="n">
        <v>46008</v>
      </c>
      <c r="B143" s="57" t="n">
        <v>0.01494</v>
      </c>
      <c r="C143" s="64" t="n">
        <v>3</v>
      </c>
      <c r="D143" s="57" t="n">
        <v>0.01577</v>
      </c>
      <c r="E143" s="64" t="n">
        <v>153</v>
      </c>
      <c r="F143" s="57" t="n">
        <v>0.01727</v>
      </c>
      <c r="G143" s="57" t="n">
        <v>0.01466</v>
      </c>
      <c r="H143" s="57" t="n">
        <v>0.01664</v>
      </c>
    </row>
    <row r="144" customFormat="false" ht="15" hidden="false" customHeight="false" outlineLevel="0" collapsed="false">
      <c r="A144" s="52" t="n">
        <v>46009</v>
      </c>
      <c r="B144" s="57" t="n">
        <v>0.01505</v>
      </c>
      <c r="C144" s="64" t="n">
        <v>3</v>
      </c>
      <c r="D144" s="57" t="n">
        <v>0.01588</v>
      </c>
      <c r="E144" s="64" t="n">
        <v>153</v>
      </c>
      <c r="F144" s="57" t="n">
        <v>0.01738</v>
      </c>
      <c r="G144" s="57" t="n">
        <v>0.01477</v>
      </c>
      <c r="H144" s="57" t="n">
        <v>0.01675</v>
      </c>
    </row>
    <row r="145" customFormat="false" ht="15" hidden="false" customHeight="false" outlineLevel="0" collapsed="false">
      <c r="A145" s="52" t="n">
        <v>46010</v>
      </c>
      <c r="B145" s="57" t="n">
        <v>0.01498</v>
      </c>
      <c r="C145" s="64" t="n">
        <v>3</v>
      </c>
      <c r="D145" s="57" t="n">
        <v>0.01581</v>
      </c>
      <c r="E145" s="64" t="n">
        <v>153</v>
      </c>
      <c r="F145" s="57" t="n">
        <v>0.01732</v>
      </c>
      <c r="G145" s="57" t="n">
        <v>0.0147</v>
      </c>
      <c r="H145" s="57" t="n">
        <v>0.01668</v>
      </c>
    </row>
    <row r="146" customFormat="false" ht="15" hidden="false" customHeight="false" outlineLevel="0" collapsed="false">
      <c r="A146" s="52" t="n">
        <v>46013</v>
      </c>
      <c r="B146" s="57" t="n">
        <v>0.01536</v>
      </c>
      <c r="C146" s="64" t="n">
        <v>3</v>
      </c>
      <c r="D146" s="57" t="n">
        <v>0.01623</v>
      </c>
      <c r="E146" s="64" t="n">
        <v>154</v>
      </c>
      <c r="F146" s="57" t="n">
        <v>0.01769</v>
      </c>
      <c r="G146" s="57" t="n">
        <v>0.01509</v>
      </c>
      <c r="H146" s="57" t="n">
        <v>0.01707</v>
      </c>
    </row>
    <row r="147" customFormat="false" ht="15" hidden="false" customHeight="false" outlineLevel="0" collapsed="false">
      <c r="A147" s="52" t="n">
        <v>46014</v>
      </c>
      <c r="B147" s="57" t="n">
        <v>0.01573</v>
      </c>
      <c r="C147" s="64" t="n">
        <v>3</v>
      </c>
      <c r="D147" s="57" t="n">
        <v>0.0167</v>
      </c>
      <c r="E147" s="64" t="n">
        <v>149</v>
      </c>
      <c r="F147" s="57" t="n">
        <v>0.01809</v>
      </c>
      <c r="G147" s="57" t="n">
        <v>0.01572</v>
      </c>
      <c r="H147" s="57" t="n">
        <v>0.0175</v>
      </c>
    </row>
    <row r="148" customFormat="false" ht="15" hidden="false" customHeight="false" outlineLevel="0" collapsed="false">
      <c r="A148" s="52" t="n">
        <v>46015</v>
      </c>
      <c r="B148" s="57" t="n">
        <v>0.01543</v>
      </c>
      <c r="C148" s="64" t="n">
        <v>3</v>
      </c>
      <c r="D148" s="57" t="n">
        <v>0.0164</v>
      </c>
      <c r="E148" s="64" t="n">
        <v>149</v>
      </c>
      <c r="F148" s="57" t="n">
        <v>0.0178</v>
      </c>
      <c r="G148" s="57" t="n">
        <v>0.01543</v>
      </c>
      <c r="H148" s="57" t="n">
        <v>0.0172</v>
      </c>
    </row>
    <row r="149" customFormat="false" ht="15" hidden="false" customHeight="false" outlineLevel="0" collapsed="false">
      <c r="A149" s="52" t="n">
        <v>46016</v>
      </c>
      <c r="B149" s="57" t="n">
        <v>0.01545</v>
      </c>
      <c r="C149" s="64" t="n">
        <v>3</v>
      </c>
      <c r="D149" s="57" t="n">
        <v>0.01642</v>
      </c>
      <c r="E149" s="64" t="n">
        <v>149</v>
      </c>
      <c r="F149" s="57" t="n">
        <v>0.01781</v>
      </c>
      <c r="G149" s="57" t="n">
        <v>0.01544</v>
      </c>
      <c r="H149" s="57" t="n">
        <v>0.01722</v>
      </c>
    </row>
    <row r="150" customFormat="false" ht="15" hidden="false" customHeight="false" outlineLevel="0" collapsed="false">
      <c r="A150" s="52" t="n">
        <v>46017</v>
      </c>
      <c r="B150" s="57" t="n">
        <v>0.01575</v>
      </c>
      <c r="C150" s="64" t="n">
        <v>3</v>
      </c>
      <c r="D150" s="57" t="n">
        <v>0.01671</v>
      </c>
      <c r="E150" s="64" t="n">
        <v>149</v>
      </c>
      <c r="F150" s="57" t="n">
        <v>0.01806</v>
      </c>
      <c r="G150" s="57" t="n">
        <v>0.01574</v>
      </c>
      <c r="H150" s="57" t="n">
        <v>0.01749</v>
      </c>
    </row>
    <row r="151" customFormat="false" ht="15" hidden="false" customHeight="false" outlineLevel="0" collapsed="false">
      <c r="A151" s="52" t="n">
        <v>46020</v>
      </c>
      <c r="B151" s="57" t="n">
        <v>0.0158</v>
      </c>
      <c r="C151" s="64" t="n">
        <v>3</v>
      </c>
      <c r="D151" s="57" t="n">
        <v>0.01676</v>
      </c>
      <c r="E151" s="64" t="n">
        <v>148</v>
      </c>
      <c r="F151" s="57" t="n">
        <v>0.01818</v>
      </c>
      <c r="G151" s="57" t="n">
        <v>0.01577</v>
      </c>
      <c r="H151" s="57" t="n">
        <v>0.01758</v>
      </c>
    </row>
    <row r="152" customFormat="false" ht="15" hidden="false" customHeight="false" outlineLevel="0" collapsed="false">
      <c r="A152" s="52" t="n">
        <v>46021</v>
      </c>
      <c r="B152" s="57" t="n">
        <v>0.01589</v>
      </c>
      <c r="C152" s="64" t="n">
        <v>3</v>
      </c>
      <c r="D152" s="57" t="n">
        <v>0.01686</v>
      </c>
      <c r="E152" s="64" t="n">
        <v>148</v>
      </c>
      <c r="F152" s="57" t="n">
        <v>0.01828</v>
      </c>
      <c r="G152" s="57" t="n">
        <v>0.01588</v>
      </c>
      <c r="H152" s="57" t="n">
        <v>0.01769</v>
      </c>
    </row>
    <row r="153" customFormat="false" ht="15" hidden="false" customHeight="false" outlineLevel="0" collapsed="false">
      <c r="A153" s="52" t="n">
        <v>46041</v>
      </c>
      <c r="B153" s="57" t="n">
        <v>0.01675</v>
      </c>
      <c r="C153" s="64" t="n">
        <v>3</v>
      </c>
      <c r="D153" s="57" t="n">
        <v>0.01774</v>
      </c>
      <c r="E153" s="64" t="n">
        <v>149</v>
      </c>
      <c r="F153" s="57" t="n">
        <v>0.01913</v>
      </c>
      <c r="G153" s="57" t="n">
        <v>0.01673</v>
      </c>
      <c r="H153" s="57" t="n">
        <v>0.01855</v>
      </c>
    </row>
    <row r="154" customFormat="false" ht="15" hidden="false" customHeight="false" outlineLevel="0" collapsed="false">
      <c r="A154" s="52" t="n">
        <v>46069</v>
      </c>
      <c r="B154" s="57" t="n">
        <v>0.01743</v>
      </c>
      <c r="C154" s="64" t="n">
        <v>4</v>
      </c>
      <c r="D154" s="57" t="n">
        <v>0.01826</v>
      </c>
      <c r="E154" s="64" t="n">
        <v>151</v>
      </c>
      <c r="F154" s="57" t="n">
        <v>0.01966</v>
      </c>
      <c r="G154" s="57" t="n">
        <v>0.01725</v>
      </c>
      <c r="H154" s="57" t="n">
        <v>0.01904</v>
      </c>
    </row>
    <row r="155" customFormat="false" ht="15" hidden="false" customHeight="false" outlineLevel="0" collapsed="false">
      <c r="A155" s="52" t="n">
        <v>46097</v>
      </c>
      <c r="B155" s="57" t="n">
        <v>0.01724</v>
      </c>
      <c r="C155" s="64" t="n">
        <v>4</v>
      </c>
      <c r="D155" s="57" t="n">
        <v>0.01817</v>
      </c>
      <c r="E155" s="64" t="n">
        <v>150</v>
      </c>
      <c r="F155" s="57" t="n">
        <v>0.01969</v>
      </c>
      <c r="G155" s="57" t="n">
        <v>0.01715</v>
      </c>
      <c r="H155" s="57" t="n">
        <v>0.01901</v>
      </c>
    </row>
    <row r="156" customFormat="false" ht="15" hidden="false" customHeight="false" outlineLevel="0" collapsed="false">
      <c r="A156" s="52" t="n">
        <v>46127</v>
      </c>
      <c r="B156" s="57" t="n">
        <v>0.01854</v>
      </c>
      <c r="C156" s="64" t="n">
        <v>3</v>
      </c>
      <c r="D156" s="57" t="n">
        <v>0.01938</v>
      </c>
      <c r="E156" s="64" t="n">
        <v>152</v>
      </c>
      <c r="F156" s="57" t="n">
        <v>0.02082</v>
      </c>
      <c r="G156" s="57" t="n">
        <v>0.01848</v>
      </c>
      <c r="H156" s="57" t="n">
        <v>0.0202</v>
      </c>
    </row>
    <row r="157" customFormat="false" ht="15" hidden="false" customHeight="false" outlineLevel="0" collapsed="false">
      <c r="A157" s="52" t="n">
        <v>46161</v>
      </c>
      <c r="B157" s="57" t="n">
        <v>0.01957</v>
      </c>
      <c r="C157" s="64" t="n">
        <v>3</v>
      </c>
      <c r="D157" s="57" t="n">
        <v>0.0206</v>
      </c>
      <c r="E157" s="64" t="n">
        <v>150</v>
      </c>
      <c r="F157" s="57" t="n">
        <v>0.02199</v>
      </c>
      <c r="G157" s="57" t="n">
        <v>0.01956</v>
      </c>
      <c r="H157" s="57" t="n">
        <v>0.02155</v>
      </c>
    </row>
    <row r="158" customFormat="false" ht="15" hidden="false" customHeight="false" outlineLevel="0" collapsed="false">
      <c r="A158" s="52" t="n">
        <v>46189</v>
      </c>
      <c r="B158" s="57" t="n">
        <v>0.01902</v>
      </c>
      <c r="C158" s="64" t="n">
        <v>2</v>
      </c>
      <c r="D158" s="57" t="n">
        <v>0.01972</v>
      </c>
      <c r="E158" s="64" t="n">
        <v>162</v>
      </c>
      <c r="F158" s="57" t="n">
        <v>0.02127</v>
      </c>
      <c r="G158" s="57" t="n">
        <v>0.01871</v>
      </c>
      <c r="H158" s="57" t="n">
        <v>0.02073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1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2" t="s">
        <v>1236</v>
      </c>
    </row>
    <row r="2" customFormat="false" ht="15" hidden="false" customHeight="false" outlineLevel="0" collapsed="false">
      <c r="A2" s="4" t="s">
        <v>1237</v>
      </c>
    </row>
    <row r="3" customFormat="false" ht="25.35" hidden="false" customHeight="false" outlineLevel="0" collapsed="false">
      <c r="A3" s="6" t="s">
        <v>1223</v>
      </c>
      <c r="B3" s="6" t="s">
        <v>1238</v>
      </c>
      <c r="C3" s="6" t="s">
        <v>1239</v>
      </c>
      <c r="D3" s="27" t="s">
        <v>1240</v>
      </c>
    </row>
    <row r="4" customFormat="false" ht="15" hidden="false" customHeight="false" outlineLevel="0" collapsed="false">
      <c r="A4" s="52" t="n">
        <v>44200</v>
      </c>
      <c r="B4" s="57" t="n">
        <v>0.028784</v>
      </c>
      <c r="C4" s="57" t="n">
        <v>0.033656</v>
      </c>
      <c r="D4" s="57" t="n">
        <v>0.035392</v>
      </c>
    </row>
    <row r="5" customFormat="false" ht="15" hidden="false" customHeight="false" outlineLevel="0" collapsed="false">
      <c r="A5" s="52" t="n">
        <v>44201</v>
      </c>
      <c r="B5" s="57" t="n">
        <v>0.0284</v>
      </c>
      <c r="C5" s="57" t="n">
        <v>0.033668</v>
      </c>
      <c r="D5" s="57" t="n">
        <v>0.035431</v>
      </c>
    </row>
    <row r="6" customFormat="false" ht="15" hidden="false" customHeight="false" outlineLevel="0" collapsed="false">
      <c r="A6" s="52" t="n">
        <v>44202</v>
      </c>
      <c r="B6" s="57" t="n">
        <v>0.027911</v>
      </c>
      <c r="C6" s="57" t="n">
        <v>0.033352</v>
      </c>
      <c r="D6" s="57" t="n">
        <v>0.035147</v>
      </c>
    </row>
    <row r="7" customFormat="false" ht="15" hidden="false" customHeight="false" outlineLevel="0" collapsed="false">
      <c r="A7" s="52" t="n">
        <v>44203</v>
      </c>
      <c r="B7" s="57" t="n">
        <v>0.02768</v>
      </c>
      <c r="C7" s="57" t="n">
        <v>0.032867</v>
      </c>
      <c r="D7" s="57" t="n">
        <v>0.034855</v>
      </c>
    </row>
    <row r="8" customFormat="false" ht="15" hidden="false" customHeight="false" outlineLevel="0" collapsed="false">
      <c r="A8" s="52" t="n">
        <v>44204</v>
      </c>
      <c r="B8" s="57" t="n">
        <v>0.027768</v>
      </c>
      <c r="C8" s="57" t="n">
        <v>0.032772</v>
      </c>
      <c r="D8" s="57" t="n">
        <v>0.034514</v>
      </c>
    </row>
    <row r="9" customFormat="false" ht="15" hidden="false" customHeight="false" outlineLevel="0" collapsed="false">
      <c r="A9" s="52" t="n">
        <v>44207</v>
      </c>
      <c r="B9" s="57" t="n">
        <v>0.027939</v>
      </c>
      <c r="C9" s="57" t="n">
        <v>0.032919</v>
      </c>
      <c r="D9" s="57" t="n">
        <v>0.034673</v>
      </c>
    </row>
    <row r="10" customFormat="false" ht="15" hidden="false" customHeight="false" outlineLevel="0" collapsed="false">
      <c r="A10" s="52" t="n">
        <v>44208</v>
      </c>
      <c r="B10" s="57" t="n">
        <v>0.027499</v>
      </c>
      <c r="C10" s="57" t="n">
        <v>0.033137</v>
      </c>
      <c r="D10" s="57" t="n">
        <v>0.034664</v>
      </c>
    </row>
    <row r="11" customFormat="false" ht="15" hidden="false" customHeight="false" outlineLevel="0" collapsed="false">
      <c r="A11" s="52" t="n">
        <v>44209</v>
      </c>
      <c r="B11" s="57" t="n">
        <v>0.026975</v>
      </c>
      <c r="C11" s="57" t="n">
        <v>0.033136</v>
      </c>
      <c r="D11" s="57" t="n">
        <v>0.034505</v>
      </c>
    </row>
    <row r="12" customFormat="false" ht="15" hidden="false" customHeight="false" outlineLevel="0" collapsed="false">
      <c r="A12" s="52" t="n">
        <v>44210</v>
      </c>
      <c r="B12" s="57" t="n">
        <v>0.027305</v>
      </c>
      <c r="C12" s="57" t="n">
        <v>0.032716</v>
      </c>
      <c r="D12" s="57" t="n">
        <v>0.034282</v>
      </c>
    </row>
    <row r="13" customFormat="false" ht="15" hidden="false" customHeight="false" outlineLevel="0" collapsed="false">
      <c r="A13" s="52" t="n">
        <v>44211</v>
      </c>
      <c r="B13" s="57" t="n">
        <v>0.027875</v>
      </c>
      <c r="C13" s="57" t="n">
        <v>0.03286</v>
      </c>
      <c r="D13" s="57" t="n">
        <v>0.034591</v>
      </c>
    </row>
    <row r="14" customFormat="false" ht="15" hidden="false" customHeight="false" outlineLevel="0" collapsed="false">
      <c r="A14" s="52" t="n">
        <v>44214</v>
      </c>
      <c r="B14" s="57" t="n">
        <v>0.028422</v>
      </c>
      <c r="C14" s="57" t="n">
        <v>0.033492</v>
      </c>
      <c r="D14" s="57" t="n">
        <v>0.035115</v>
      </c>
    </row>
    <row r="15" customFormat="false" ht="15" hidden="false" customHeight="false" outlineLevel="0" collapsed="false">
      <c r="A15" s="52" t="n">
        <v>44215</v>
      </c>
      <c r="B15" s="57" t="n">
        <v>0.028272</v>
      </c>
      <c r="C15" s="57" t="n">
        <v>0.033574</v>
      </c>
      <c r="D15" s="57" t="n">
        <v>0.035474</v>
      </c>
    </row>
    <row r="16" customFormat="false" ht="15" hidden="false" customHeight="false" outlineLevel="0" collapsed="false">
      <c r="A16" s="52" t="n">
        <v>44216</v>
      </c>
      <c r="B16" s="57" t="n">
        <v>0.028014</v>
      </c>
      <c r="C16" s="57" t="n">
        <v>0.033569</v>
      </c>
      <c r="D16" s="57" t="n">
        <v>0.035534</v>
      </c>
    </row>
    <row r="17" customFormat="false" ht="15" hidden="false" customHeight="false" outlineLevel="0" collapsed="false">
      <c r="A17" s="52" t="n">
        <v>44217</v>
      </c>
      <c r="B17" s="57" t="n">
        <v>0.0276</v>
      </c>
      <c r="C17" s="57" t="n">
        <v>0.033327</v>
      </c>
      <c r="D17" s="57" t="n">
        <v>0.035544</v>
      </c>
    </row>
    <row r="18" customFormat="false" ht="15" hidden="false" customHeight="false" outlineLevel="0" collapsed="false">
      <c r="A18" s="52" t="n">
        <v>44218</v>
      </c>
      <c r="B18" s="57" t="n">
        <v>0.027645</v>
      </c>
      <c r="C18" s="57" t="n">
        <v>0.033284</v>
      </c>
      <c r="D18" s="57" t="n">
        <v>0.035403</v>
      </c>
    </row>
    <row r="19" customFormat="false" ht="15" hidden="false" customHeight="false" outlineLevel="0" collapsed="false">
      <c r="A19" s="52" t="n">
        <v>44221</v>
      </c>
      <c r="B19" s="57" t="n">
        <v>0.027844</v>
      </c>
      <c r="C19" s="57" t="n">
        <v>0.033268</v>
      </c>
      <c r="D19" s="57" t="n">
        <v>0.035413</v>
      </c>
    </row>
    <row r="20" customFormat="false" ht="15" hidden="false" customHeight="false" outlineLevel="0" collapsed="false">
      <c r="A20" s="52" t="n">
        <v>44222</v>
      </c>
      <c r="B20" s="57" t="n">
        <v>0.028433</v>
      </c>
      <c r="C20" s="57" t="n">
        <v>0.033724</v>
      </c>
      <c r="D20" s="57" t="n">
        <v>0.035842</v>
      </c>
    </row>
    <row r="21" customFormat="false" ht="15" hidden="false" customHeight="false" outlineLevel="0" collapsed="false">
      <c r="A21" s="52" t="n">
        <v>44223</v>
      </c>
      <c r="B21" s="57" t="n">
        <v>0.028415</v>
      </c>
      <c r="C21" s="57" t="n">
        <v>0.033884</v>
      </c>
      <c r="D21" s="57" t="n">
        <v>0.036069</v>
      </c>
    </row>
    <row r="22" customFormat="false" ht="15" hidden="false" customHeight="false" outlineLevel="0" collapsed="false">
      <c r="A22" s="52" t="n">
        <v>44224</v>
      </c>
      <c r="B22" s="57" t="n">
        <v>0.028915</v>
      </c>
      <c r="C22" s="57" t="n">
        <v>0.034623</v>
      </c>
      <c r="D22" s="57" t="n">
        <v>0.036413</v>
      </c>
    </row>
    <row r="23" customFormat="false" ht="15" hidden="false" customHeight="false" outlineLevel="0" collapsed="false">
      <c r="A23" s="52" t="n">
        <v>44225</v>
      </c>
      <c r="B23" s="57" t="n">
        <v>0.028849</v>
      </c>
      <c r="C23" s="57" t="n">
        <v>0.034785</v>
      </c>
      <c r="D23" s="57" t="n">
        <v>0.036733</v>
      </c>
    </row>
    <row r="24" customFormat="false" ht="15" hidden="false" customHeight="false" outlineLevel="0" collapsed="false">
      <c r="A24" s="52" t="n">
        <v>44228</v>
      </c>
      <c r="B24" s="57" t="n">
        <v>0.028464</v>
      </c>
      <c r="C24" s="57" t="n">
        <v>0.034459</v>
      </c>
      <c r="D24" s="57" t="n">
        <v>0.036556</v>
      </c>
    </row>
    <row r="25" customFormat="false" ht="15" hidden="false" customHeight="false" outlineLevel="0" collapsed="false">
      <c r="A25" s="52" t="n">
        <v>44229</v>
      </c>
      <c r="B25" s="57" t="n">
        <v>0.028669</v>
      </c>
      <c r="C25" s="57" t="n">
        <v>0.034387</v>
      </c>
      <c r="D25" s="57" t="n">
        <v>0.036424</v>
      </c>
    </row>
    <row r="26" customFormat="false" ht="15" hidden="false" customHeight="false" outlineLevel="0" collapsed="false">
      <c r="A26" s="52" t="n">
        <v>44230</v>
      </c>
      <c r="B26" s="57" t="n">
        <v>0.02907</v>
      </c>
      <c r="C26" s="57" t="n">
        <v>0.034304</v>
      </c>
      <c r="D26" s="57" t="n">
        <v>0.036574</v>
      </c>
    </row>
    <row r="27" customFormat="false" ht="15" hidden="false" customHeight="false" outlineLevel="0" collapsed="false">
      <c r="A27" s="52" t="n">
        <v>44231</v>
      </c>
      <c r="B27" s="57" t="n">
        <v>0.029206</v>
      </c>
      <c r="C27" s="57" t="n">
        <v>0.034406</v>
      </c>
      <c r="D27" s="57" t="n">
        <v>0.036834</v>
      </c>
    </row>
    <row r="28" customFormat="false" ht="15" hidden="false" customHeight="false" outlineLevel="0" collapsed="false">
      <c r="A28" s="52" t="n">
        <v>44232</v>
      </c>
      <c r="B28" s="57" t="n">
        <v>0.029136</v>
      </c>
      <c r="C28" s="57" t="n">
        <v>0.034682</v>
      </c>
      <c r="D28" s="57" t="n">
        <v>0.037057</v>
      </c>
    </row>
    <row r="29" customFormat="false" ht="15" hidden="false" customHeight="false" outlineLevel="0" collapsed="false">
      <c r="A29" s="52" t="n">
        <v>44234</v>
      </c>
      <c r="B29" s="57" t="n">
        <v>0.029137</v>
      </c>
      <c r="C29" s="57" t="n">
        <v>0.034612</v>
      </c>
      <c r="D29" s="57" t="n">
        <v>0.036976</v>
      </c>
    </row>
    <row r="30" customFormat="false" ht="15" hidden="false" customHeight="false" outlineLevel="0" collapsed="false">
      <c r="A30" s="52" t="n">
        <v>44235</v>
      </c>
      <c r="B30" s="57" t="n">
        <v>0.029072</v>
      </c>
      <c r="C30" s="57" t="n">
        <v>0.03476</v>
      </c>
      <c r="D30" s="57" t="n">
        <v>0.037168</v>
      </c>
    </row>
    <row r="31" customFormat="false" ht="15" hidden="false" customHeight="false" outlineLevel="0" collapsed="false">
      <c r="A31" s="52" t="n">
        <v>44236</v>
      </c>
      <c r="B31" s="57" t="n">
        <v>0.028756</v>
      </c>
      <c r="C31" s="57" t="n">
        <v>0.034722</v>
      </c>
      <c r="D31" s="57" t="n">
        <v>0.037131</v>
      </c>
    </row>
    <row r="32" customFormat="false" ht="15" hidden="false" customHeight="false" outlineLevel="0" collapsed="false">
      <c r="A32" s="52" t="n">
        <v>44237</v>
      </c>
      <c r="B32" s="57" t="n">
        <v>0.028764</v>
      </c>
      <c r="C32" s="57" t="n">
        <v>0.034708</v>
      </c>
      <c r="D32" s="57" t="n">
        <v>0.037049</v>
      </c>
    </row>
    <row r="33" customFormat="false" ht="15" hidden="false" customHeight="false" outlineLevel="0" collapsed="false">
      <c r="A33" s="52" t="n">
        <v>44245</v>
      </c>
      <c r="B33" s="57" t="n">
        <v>0.029212</v>
      </c>
      <c r="C33" s="57" t="n">
        <v>0.034956</v>
      </c>
      <c r="D33" s="57" t="n">
        <v>0.037308</v>
      </c>
    </row>
    <row r="34" customFormat="false" ht="15" hidden="false" customHeight="false" outlineLevel="0" collapsed="false">
      <c r="A34" s="52" t="n">
        <v>44246</v>
      </c>
      <c r="B34" s="57" t="n">
        <v>0.028922</v>
      </c>
      <c r="C34" s="57" t="n">
        <v>0.034949</v>
      </c>
      <c r="D34" s="57" t="n">
        <v>0.037273</v>
      </c>
    </row>
    <row r="35" customFormat="false" ht="15" hidden="false" customHeight="false" outlineLevel="0" collapsed="false">
      <c r="A35" s="52" t="n">
        <v>44247</v>
      </c>
      <c r="B35" s="57" t="n">
        <v>0.02879</v>
      </c>
      <c r="C35" s="57" t="n">
        <v>0.034616</v>
      </c>
      <c r="D35" s="57" t="n">
        <v>0.037286</v>
      </c>
    </row>
    <row r="36" customFormat="false" ht="15" hidden="false" customHeight="false" outlineLevel="0" collapsed="false">
      <c r="A36" s="52" t="n">
        <v>44249</v>
      </c>
      <c r="B36" s="57" t="n">
        <v>0.028935</v>
      </c>
      <c r="C36" s="57" t="n">
        <v>0.03457</v>
      </c>
      <c r="D36" s="57" t="n">
        <v>0.03726</v>
      </c>
    </row>
    <row r="37" customFormat="false" ht="15" hidden="false" customHeight="false" outlineLevel="0" collapsed="false">
      <c r="A37" s="52" t="n">
        <v>44250</v>
      </c>
      <c r="B37" s="57" t="n">
        <v>0.028802</v>
      </c>
      <c r="C37" s="57" t="n">
        <v>0.034471</v>
      </c>
      <c r="D37" s="57" t="n">
        <v>0.037189</v>
      </c>
    </row>
    <row r="38" customFormat="false" ht="15" hidden="false" customHeight="false" outlineLevel="0" collapsed="false">
      <c r="A38" s="52" t="n">
        <v>44251</v>
      </c>
      <c r="B38" s="57" t="n">
        <v>0.028746</v>
      </c>
      <c r="C38" s="57" t="n">
        <v>0.034449</v>
      </c>
      <c r="D38" s="57" t="n">
        <v>0.037074</v>
      </c>
    </row>
    <row r="39" customFormat="false" ht="15" hidden="false" customHeight="false" outlineLevel="0" collapsed="false">
      <c r="A39" s="52" t="n">
        <v>44252</v>
      </c>
      <c r="B39" s="57" t="n">
        <v>0.028822</v>
      </c>
      <c r="C39" s="57" t="n">
        <v>0.034252</v>
      </c>
      <c r="D39" s="57" t="n">
        <v>0.037005</v>
      </c>
    </row>
    <row r="40" customFormat="false" ht="15" hidden="false" customHeight="false" outlineLevel="0" collapsed="false">
      <c r="A40" s="52" t="n">
        <v>44253</v>
      </c>
      <c r="B40" s="57" t="n">
        <v>0.029028</v>
      </c>
      <c r="C40" s="57" t="n">
        <v>0.034137</v>
      </c>
      <c r="D40" s="57" t="n">
        <v>0.037015</v>
      </c>
    </row>
    <row r="41" customFormat="false" ht="15" hidden="false" customHeight="false" outlineLevel="0" collapsed="false">
      <c r="A41" s="52" t="n">
        <v>44256</v>
      </c>
      <c r="B41" s="57" t="n">
        <v>0.028985</v>
      </c>
      <c r="C41" s="57" t="n">
        <v>0.034051</v>
      </c>
      <c r="D41" s="57" t="n">
        <v>0.03682</v>
      </c>
    </row>
    <row r="42" customFormat="false" ht="15" hidden="false" customHeight="false" outlineLevel="0" collapsed="false">
      <c r="A42" s="52" t="n">
        <v>44257</v>
      </c>
      <c r="B42" s="57" t="n">
        <v>0.028941</v>
      </c>
      <c r="C42" s="57" t="n">
        <v>0.03404</v>
      </c>
      <c r="D42" s="57" t="n">
        <v>0.036655</v>
      </c>
    </row>
    <row r="43" customFormat="false" ht="15" hidden="false" customHeight="false" outlineLevel="0" collapsed="false">
      <c r="A43" s="52" t="n">
        <v>44258</v>
      </c>
      <c r="B43" s="57" t="n">
        <v>0.029173</v>
      </c>
      <c r="C43" s="57" t="n">
        <v>0.034037</v>
      </c>
      <c r="D43" s="57" t="n">
        <v>0.036558</v>
      </c>
    </row>
    <row r="44" customFormat="false" ht="15" hidden="false" customHeight="false" outlineLevel="0" collapsed="false">
      <c r="A44" s="52" t="n">
        <v>44259</v>
      </c>
      <c r="B44" s="57" t="n">
        <v>0.029362</v>
      </c>
      <c r="C44" s="57" t="n">
        <v>0.034086</v>
      </c>
      <c r="D44" s="57" t="n">
        <v>0.03657</v>
      </c>
    </row>
    <row r="45" customFormat="false" ht="15" hidden="false" customHeight="false" outlineLevel="0" collapsed="false">
      <c r="A45" s="52" t="n">
        <v>44260</v>
      </c>
      <c r="B45" s="57" t="n">
        <v>0.029194</v>
      </c>
      <c r="C45" s="57" t="n">
        <v>0.034107</v>
      </c>
      <c r="D45" s="57" t="n">
        <v>0.036378</v>
      </c>
    </row>
    <row r="46" customFormat="false" ht="15" hidden="false" customHeight="false" outlineLevel="0" collapsed="false">
      <c r="A46" s="52" t="n">
        <v>44263</v>
      </c>
      <c r="B46" s="57" t="n">
        <v>0.029353</v>
      </c>
      <c r="C46" s="57" t="n">
        <v>0.0341</v>
      </c>
      <c r="D46" s="57" t="n">
        <v>0.036445</v>
      </c>
    </row>
    <row r="47" customFormat="false" ht="15" hidden="false" customHeight="false" outlineLevel="0" collapsed="false">
      <c r="A47" s="52" t="n">
        <v>44264</v>
      </c>
      <c r="B47" s="57" t="n">
        <v>0.029552</v>
      </c>
      <c r="C47" s="57" t="n">
        <v>0.034121</v>
      </c>
      <c r="D47" s="57" t="n">
        <v>0.036482</v>
      </c>
    </row>
    <row r="48" customFormat="false" ht="15" hidden="false" customHeight="false" outlineLevel="0" collapsed="false">
      <c r="A48" s="52" t="n">
        <v>44265</v>
      </c>
      <c r="B48" s="57" t="n">
        <v>0.029447</v>
      </c>
      <c r="C48" s="57" t="n">
        <v>0.034089</v>
      </c>
      <c r="D48" s="57" t="n">
        <v>0.03635</v>
      </c>
    </row>
    <row r="49" customFormat="false" ht="15" hidden="false" customHeight="false" outlineLevel="0" collapsed="false">
      <c r="A49" s="52" t="n">
        <v>44266</v>
      </c>
      <c r="B49" s="57" t="n">
        <v>0.029616</v>
      </c>
      <c r="C49" s="57" t="n">
        <v>0.034104</v>
      </c>
      <c r="D49" s="57" t="n">
        <v>0.036425</v>
      </c>
    </row>
    <row r="50" customFormat="false" ht="15" hidden="false" customHeight="false" outlineLevel="0" collapsed="false">
      <c r="A50" s="52" t="n">
        <v>44267</v>
      </c>
      <c r="B50" s="57" t="n">
        <v>0.029582</v>
      </c>
      <c r="C50" s="57" t="n">
        <v>0.034105</v>
      </c>
      <c r="D50" s="57" t="n">
        <v>0.036422</v>
      </c>
    </row>
    <row r="51" customFormat="false" ht="15" hidden="false" customHeight="false" outlineLevel="0" collapsed="false">
      <c r="A51" s="52" t="n">
        <v>44270</v>
      </c>
      <c r="B51" s="57" t="n">
        <v>0.029706</v>
      </c>
      <c r="C51" s="57" t="n">
        <v>0.034295</v>
      </c>
      <c r="D51" s="57" t="n">
        <v>0.036443</v>
      </c>
    </row>
    <row r="52" customFormat="false" ht="15" hidden="false" customHeight="false" outlineLevel="0" collapsed="false">
      <c r="A52" s="52" t="n">
        <v>44271</v>
      </c>
      <c r="B52" s="57" t="n">
        <v>0.029581</v>
      </c>
      <c r="C52" s="57" t="n">
        <v>0.034263</v>
      </c>
      <c r="D52" s="57" t="n">
        <v>0.036362</v>
      </c>
    </row>
    <row r="53" customFormat="false" ht="15" hidden="false" customHeight="false" outlineLevel="0" collapsed="false">
      <c r="A53" s="52" t="n">
        <v>44272</v>
      </c>
      <c r="B53" s="57" t="n">
        <v>0.029405</v>
      </c>
      <c r="C53" s="57" t="n">
        <v>0.034047</v>
      </c>
      <c r="D53" s="57" t="n">
        <v>0.036404</v>
      </c>
    </row>
    <row r="54" customFormat="false" ht="15" hidden="false" customHeight="false" outlineLevel="0" collapsed="false">
      <c r="A54" s="52" t="n">
        <v>44273</v>
      </c>
      <c r="B54" s="57" t="n">
        <v>0.02943</v>
      </c>
      <c r="C54" s="57" t="n">
        <v>0.033899</v>
      </c>
      <c r="D54" s="57" t="n">
        <v>0.036469</v>
      </c>
    </row>
    <row r="55" customFormat="false" ht="15" hidden="false" customHeight="false" outlineLevel="0" collapsed="false">
      <c r="A55" s="52" t="n">
        <v>44274</v>
      </c>
      <c r="B55" s="57" t="n">
        <v>0.029205</v>
      </c>
      <c r="C55" s="57" t="n">
        <v>0.034002</v>
      </c>
      <c r="D55" s="57" t="n">
        <v>0.036376</v>
      </c>
    </row>
    <row r="56" customFormat="false" ht="15" hidden="false" customHeight="false" outlineLevel="0" collapsed="false">
      <c r="A56" s="52" t="n">
        <v>44277</v>
      </c>
      <c r="B56" s="57" t="n">
        <v>0.029105</v>
      </c>
      <c r="C56" s="57" t="n">
        <v>0.034244</v>
      </c>
      <c r="D56" s="57" t="n">
        <v>0.036325</v>
      </c>
    </row>
    <row r="57" customFormat="false" ht="15" hidden="false" customHeight="false" outlineLevel="0" collapsed="false">
      <c r="A57" s="52" t="n">
        <v>44278</v>
      </c>
      <c r="B57" s="57" t="n">
        <v>0.028916</v>
      </c>
      <c r="C57" s="57" t="n">
        <v>0.034169</v>
      </c>
      <c r="D57" s="57" t="n">
        <v>0.036125</v>
      </c>
    </row>
    <row r="58" customFormat="false" ht="15" hidden="false" customHeight="false" outlineLevel="0" collapsed="false">
      <c r="A58" s="52" t="n">
        <v>44279</v>
      </c>
      <c r="B58" s="57" t="n">
        <v>0.02876</v>
      </c>
      <c r="C58" s="57" t="n">
        <v>0.034019</v>
      </c>
      <c r="D58" s="57" t="n">
        <v>0.036092</v>
      </c>
    </row>
    <row r="59" customFormat="false" ht="15" hidden="false" customHeight="false" outlineLevel="0" collapsed="false">
      <c r="A59" s="52" t="n">
        <v>44280</v>
      </c>
      <c r="B59" s="57" t="n">
        <v>0.028735</v>
      </c>
      <c r="C59" s="57" t="n">
        <v>0.034002</v>
      </c>
      <c r="D59" s="57" t="n">
        <v>0.036022</v>
      </c>
    </row>
    <row r="60" customFormat="false" ht="15" hidden="false" customHeight="false" outlineLevel="0" collapsed="false">
      <c r="A60" s="52" t="n">
        <v>44281</v>
      </c>
      <c r="B60" s="57" t="n">
        <v>0.02886</v>
      </c>
      <c r="C60" s="57" t="n">
        <v>0.034302</v>
      </c>
      <c r="D60" s="57" t="n">
        <v>0.035802</v>
      </c>
    </row>
    <row r="61" customFormat="false" ht="15" hidden="false" customHeight="false" outlineLevel="0" collapsed="false">
      <c r="A61" s="52" t="n">
        <v>44284</v>
      </c>
      <c r="B61" s="57" t="n">
        <v>0.02881</v>
      </c>
      <c r="C61" s="57" t="n">
        <v>0.034394</v>
      </c>
      <c r="D61" s="57" t="n">
        <v>0.035887</v>
      </c>
    </row>
    <row r="62" customFormat="false" ht="15" hidden="false" customHeight="false" outlineLevel="0" collapsed="false">
      <c r="A62" s="52" t="n">
        <v>44285</v>
      </c>
      <c r="B62" s="57" t="n">
        <v>0.02881</v>
      </c>
      <c r="C62" s="57" t="n">
        <v>0.034344</v>
      </c>
      <c r="D62" s="57" t="n">
        <v>0.035894</v>
      </c>
    </row>
    <row r="63" customFormat="false" ht="15" hidden="false" customHeight="false" outlineLevel="0" collapsed="false">
      <c r="A63" s="52" t="n">
        <v>44286</v>
      </c>
      <c r="B63" s="57" t="n">
        <v>0.028635</v>
      </c>
      <c r="C63" s="57" t="n">
        <v>0.034315</v>
      </c>
      <c r="D63" s="57" t="n">
        <v>0.035928</v>
      </c>
    </row>
    <row r="64" customFormat="false" ht="15" hidden="false" customHeight="false" outlineLevel="0" collapsed="false">
      <c r="A64" s="52" t="n">
        <v>44287</v>
      </c>
      <c r="B64" s="57" t="n">
        <v>0.028685</v>
      </c>
      <c r="C64" s="57" t="n">
        <v>0.034258</v>
      </c>
      <c r="D64" s="57" t="n">
        <v>0.035974</v>
      </c>
    </row>
    <row r="65" customFormat="false" ht="15" hidden="false" customHeight="false" outlineLevel="0" collapsed="false">
      <c r="A65" s="52" t="n">
        <v>44288</v>
      </c>
      <c r="B65" s="57" t="n">
        <v>0.028685</v>
      </c>
      <c r="C65" s="57" t="n">
        <v>0.034211</v>
      </c>
      <c r="D65" s="57" t="n">
        <v>0.035906</v>
      </c>
    </row>
    <row r="66" customFormat="false" ht="15" hidden="false" customHeight="false" outlineLevel="0" collapsed="false">
      <c r="A66" s="52" t="n">
        <v>44292</v>
      </c>
      <c r="B66" s="57" t="n">
        <v>0.028825</v>
      </c>
      <c r="C66" s="57" t="n">
        <v>0.034227</v>
      </c>
      <c r="D66" s="57" t="n">
        <v>0.035847</v>
      </c>
    </row>
    <row r="67" customFormat="false" ht="15" hidden="false" customHeight="false" outlineLevel="0" collapsed="false">
      <c r="A67" s="52" t="n">
        <v>44293</v>
      </c>
      <c r="B67" s="57" t="n">
        <v>0.028741</v>
      </c>
      <c r="C67" s="57" t="n">
        <v>0.034211</v>
      </c>
      <c r="D67" s="57" t="n">
        <v>0.035697</v>
      </c>
    </row>
    <row r="68" customFormat="false" ht="15" hidden="false" customHeight="false" outlineLevel="0" collapsed="false">
      <c r="A68" s="52" t="n">
        <v>44294</v>
      </c>
      <c r="B68" s="57" t="n">
        <v>0.028793</v>
      </c>
      <c r="C68" s="57" t="n">
        <v>0.034238</v>
      </c>
      <c r="D68" s="57" t="n">
        <v>0.03558</v>
      </c>
    </row>
    <row r="69" customFormat="false" ht="15" hidden="false" customHeight="false" outlineLevel="0" collapsed="false">
      <c r="A69" s="52" t="n">
        <v>44295</v>
      </c>
      <c r="B69" s="57" t="n">
        <v>0.028695</v>
      </c>
      <c r="C69" s="57" t="n">
        <v>0.03407</v>
      </c>
      <c r="D69" s="57" t="n">
        <v>0.035602</v>
      </c>
    </row>
    <row r="70" customFormat="false" ht="15" hidden="false" customHeight="false" outlineLevel="0" collapsed="false">
      <c r="A70" s="52" t="n">
        <v>44298</v>
      </c>
      <c r="B70" s="57" t="n">
        <v>0.028709</v>
      </c>
      <c r="C70" s="57" t="n">
        <v>0.033998</v>
      </c>
      <c r="D70" s="57" t="n">
        <v>0.035582</v>
      </c>
    </row>
    <row r="71" customFormat="false" ht="15" hidden="false" customHeight="false" outlineLevel="0" collapsed="false">
      <c r="A71" s="52" t="n">
        <v>44299</v>
      </c>
      <c r="B71" s="57" t="n">
        <v>0.028263</v>
      </c>
      <c r="C71" s="57" t="n">
        <v>0.033595</v>
      </c>
      <c r="D71" s="57" t="n">
        <v>0.035382</v>
      </c>
    </row>
    <row r="72" customFormat="false" ht="15" hidden="false" customHeight="false" outlineLevel="0" collapsed="false">
      <c r="A72" s="52" t="n">
        <v>44300</v>
      </c>
      <c r="B72" s="57" t="n">
        <v>0.028283</v>
      </c>
      <c r="C72" s="57" t="n">
        <v>0.033494</v>
      </c>
      <c r="D72" s="57" t="n">
        <v>0.035233</v>
      </c>
    </row>
    <row r="73" customFormat="false" ht="15" hidden="false" customHeight="false" outlineLevel="0" collapsed="false">
      <c r="A73" s="52" t="n">
        <v>44301</v>
      </c>
      <c r="B73" s="57" t="n">
        <v>0.028313</v>
      </c>
      <c r="C73" s="57" t="n">
        <v>0.033512</v>
      </c>
      <c r="D73" s="57" t="n">
        <v>0.035139</v>
      </c>
    </row>
    <row r="74" customFormat="false" ht="15" hidden="false" customHeight="false" outlineLevel="0" collapsed="false">
      <c r="A74" s="52" t="n">
        <v>44302</v>
      </c>
      <c r="B74" s="57" t="n">
        <v>0.028293</v>
      </c>
      <c r="C74" s="57" t="n">
        <v>0.033461</v>
      </c>
      <c r="D74" s="57" t="n">
        <v>0.034925</v>
      </c>
    </row>
    <row r="75" customFormat="false" ht="15" hidden="false" customHeight="false" outlineLevel="0" collapsed="false">
      <c r="A75" s="52" t="n">
        <v>44305</v>
      </c>
      <c r="B75" s="57" t="n">
        <v>0.028119</v>
      </c>
      <c r="C75" s="57" t="n">
        <v>0.033444</v>
      </c>
      <c r="D75" s="57" t="n">
        <v>0.034795</v>
      </c>
    </row>
    <row r="76" customFormat="false" ht="15" hidden="false" customHeight="false" outlineLevel="0" collapsed="false">
      <c r="A76" s="52" t="n">
        <v>44306</v>
      </c>
      <c r="B76" s="57" t="n">
        <v>0.027815</v>
      </c>
      <c r="C76" s="57" t="n">
        <v>0.033294</v>
      </c>
      <c r="D76" s="57" t="n">
        <v>0.034633</v>
      </c>
    </row>
    <row r="77" customFormat="false" ht="15" hidden="false" customHeight="false" outlineLevel="0" collapsed="false">
      <c r="A77" s="52" t="n">
        <v>44307</v>
      </c>
      <c r="B77" s="57" t="n">
        <v>0.027487</v>
      </c>
      <c r="C77" s="57" t="n">
        <v>0.033212</v>
      </c>
      <c r="D77" s="57" t="n">
        <v>0.034571</v>
      </c>
    </row>
    <row r="78" customFormat="false" ht="15" hidden="false" customHeight="false" outlineLevel="0" collapsed="false">
      <c r="A78" s="52" t="n">
        <v>44308</v>
      </c>
      <c r="B78" s="57" t="n">
        <v>0.027488</v>
      </c>
      <c r="C78" s="57" t="n">
        <v>0.033134</v>
      </c>
      <c r="D78" s="57" t="n">
        <v>0.034571</v>
      </c>
    </row>
    <row r="79" customFormat="false" ht="15" hidden="false" customHeight="false" outlineLevel="0" collapsed="false">
      <c r="A79" s="52" t="n">
        <v>44309</v>
      </c>
      <c r="B79" s="57" t="n">
        <v>0.027433</v>
      </c>
      <c r="C79" s="57" t="n">
        <v>0.033186</v>
      </c>
      <c r="D79" s="57" t="n">
        <v>0.034597</v>
      </c>
    </row>
    <row r="80" customFormat="false" ht="15" hidden="false" customHeight="false" outlineLevel="0" collapsed="false">
      <c r="A80" s="52" t="n">
        <v>44311</v>
      </c>
      <c r="B80" s="57" t="n">
        <v>0.027483</v>
      </c>
      <c r="C80" s="57" t="n">
        <v>0.033199</v>
      </c>
      <c r="D80" s="57" t="n">
        <v>0.034604</v>
      </c>
    </row>
    <row r="81" customFormat="false" ht="15" hidden="false" customHeight="false" outlineLevel="0" collapsed="false">
      <c r="A81" s="52" t="n">
        <v>44312</v>
      </c>
      <c r="B81" s="57" t="n">
        <v>0.02793</v>
      </c>
      <c r="C81" s="57" t="n">
        <v>0.033373</v>
      </c>
      <c r="D81" s="57" t="n">
        <v>0.034777</v>
      </c>
    </row>
    <row r="82" customFormat="false" ht="15" hidden="false" customHeight="false" outlineLevel="0" collapsed="false">
      <c r="A82" s="52" t="n">
        <v>44313</v>
      </c>
      <c r="B82" s="57" t="n">
        <v>0.027935</v>
      </c>
      <c r="C82" s="57" t="n">
        <v>0.033444</v>
      </c>
      <c r="D82" s="57" t="n">
        <v>0.035027</v>
      </c>
    </row>
    <row r="83" customFormat="false" ht="15" hidden="false" customHeight="false" outlineLevel="0" collapsed="false">
      <c r="A83" s="52" t="n">
        <v>44314</v>
      </c>
      <c r="B83" s="57" t="n">
        <v>0.027844</v>
      </c>
      <c r="C83" s="57" t="n">
        <v>0.033444</v>
      </c>
      <c r="D83" s="57" t="n">
        <v>0.035142</v>
      </c>
    </row>
    <row r="84" customFormat="false" ht="15" hidden="false" customHeight="false" outlineLevel="0" collapsed="false">
      <c r="A84" s="52" t="n">
        <v>44315</v>
      </c>
      <c r="B84" s="57" t="n">
        <v>0.027811</v>
      </c>
      <c r="C84" s="57" t="n">
        <v>0.033351</v>
      </c>
      <c r="D84" s="57" t="n">
        <v>0.035141</v>
      </c>
    </row>
    <row r="85" customFormat="false" ht="15" hidden="false" customHeight="false" outlineLevel="0" collapsed="false">
      <c r="A85" s="52" t="n">
        <v>44316</v>
      </c>
      <c r="B85" s="57" t="n">
        <v>0.027666</v>
      </c>
      <c r="C85" s="57" t="n">
        <v>0.033298</v>
      </c>
      <c r="D85" s="57" t="n">
        <v>0.035066</v>
      </c>
    </row>
    <row r="86" customFormat="false" ht="15" hidden="false" customHeight="false" outlineLevel="0" collapsed="false">
      <c r="A86" s="52" t="n">
        <v>44322</v>
      </c>
      <c r="B86" s="57" t="n">
        <v>0.027587</v>
      </c>
      <c r="C86" s="57" t="n">
        <v>0.033094</v>
      </c>
      <c r="D86" s="57" t="n">
        <v>0.034962</v>
      </c>
    </row>
    <row r="87" customFormat="false" ht="15" hidden="false" customHeight="false" outlineLevel="0" collapsed="false">
      <c r="A87" s="52" t="n">
        <v>44323</v>
      </c>
      <c r="B87" s="57" t="n">
        <v>0.02734</v>
      </c>
      <c r="C87" s="57" t="n">
        <v>0.032964</v>
      </c>
      <c r="D87" s="57" t="n">
        <v>0.034888</v>
      </c>
    </row>
    <row r="88" customFormat="false" ht="15" hidden="false" customHeight="false" outlineLevel="0" collapsed="false">
      <c r="A88" s="52" t="n">
        <v>44324</v>
      </c>
      <c r="B88" s="57" t="n">
        <v>0.027346</v>
      </c>
      <c r="C88" s="57" t="n">
        <v>0.032968</v>
      </c>
      <c r="D88" s="57" t="n">
        <v>0.034923</v>
      </c>
    </row>
    <row r="89" customFormat="false" ht="15" hidden="false" customHeight="false" outlineLevel="0" collapsed="false">
      <c r="A89" s="52" t="n">
        <v>44326</v>
      </c>
      <c r="B89" s="57" t="n">
        <v>0.027208</v>
      </c>
      <c r="C89" s="57" t="n">
        <v>0.032812</v>
      </c>
      <c r="D89" s="57" t="n">
        <v>0.03476</v>
      </c>
    </row>
    <row r="90" customFormat="false" ht="15" hidden="false" customHeight="false" outlineLevel="0" collapsed="false">
      <c r="A90" s="52" t="n">
        <v>44327</v>
      </c>
      <c r="B90" s="57" t="n">
        <v>0.027232</v>
      </c>
      <c r="C90" s="57" t="n">
        <v>0.032577</v>
      </c>
      <c r="D90" s="57" t="n">
        <v>0.034483</v>
      </c>
    </row>
    <row r="91" customFormat="false" ht="15" hidden="false" customHeight="false" outlineLevel="0" collapsed="false">
      <c r="A91" s="52" t="n">
        <v>44328</v>
      </c>
      <c r="B91" s="57" t="n">
        <v>0.027213</v>
      </c>
      <c r="C91" s="57" t="n">
        <v>0.032363</v>
      </c>
      <c r="D91" s="57" t="n">
        <v>0.034235</v>
      </c>
    </row>
    <row r="92" customFormat="false" ht="15" hidden="false" customHeight="false" outlineLevel="0" collapsed="false">
      <c r="A92" s="52" t="n">
        <v>44329</v>
      </c>
      <c r="B92" s="57" t="n">
        <v>0.027418</v>
      </c>
      <c r="C92" s="57" t="n">
        <v>0.032511</v>
      </c>
      <c r="D92" s="57" t="n">
        <v>0.034287</v>
      </c>
    </row>
    <row r="93" customFormat="false" ht="15" hidden="false" customHeight="false" outlineLevel="0" collapsed="false">
      <c r="A93" s="52" t="n">
        <v>44330</v>
      </c>
      <c r="B93" s="57" t="n">
        <v>0.027475</v>
      </c>
      <c r="C93" s="57" t="n">
        <v>0.032345</v>
      </c>
      <c r="D93" s="57" t="n">
        <v>0.034246</v>
      </c>
    </row>
    <row r="94" customFormat="false" ht="15" hidden="false" customHeight="false" outlineLevel="0" collapsed="false">
      <c r="A94" s="52" t="n">
        <v>44333</v>
      </c>
      <c r="B94" s="57" t="n">
        <v>0.027768</v>
      </c>
      <c r="C94" s="57" t="n">
        <v>0.032326</v>
      </c>
      <c r="D94" s="57" t="n">
        <v>0.034218</v>
      </c>
    </row>
    <row r="95" customFormat="false" ht="15" hidden="false" customHeight="false" outlineLevel="0" collapsed="false">
      <c r="A95" s="52" t="n">
        <v>44334</v>
      </c>
      <c r="B95" s="57" t="n">
        <v>0.027722</v>
      </c>
      <c r="C95" s="57" t="n">
        <v>0.032319</v>
      </c>
      <c r="D95" s="57" t="n">
        <v>0.034271</v>
      </c>
    </row>
    <row r="96" customFormat="false" ht="15" hidden="false" customHeight="false" outlineLevel="0" collapsed="false">
      <c r="A96" s="52" t="n">
        <v>44335</v>
      </c>
      <c r="B96" s="57" t="n">
        <v>0.027526</v>
      </c>
      <c r="C96" s="57" t="n">
        <v>0.032268</v>
      </c>
      <c r="D96" s="57" t="n">
        <v>0.034231</v>
      </c>
    </row>
    <row r="97" customFormat="false" ht="15" hidden="false" customHeight="false" outlineLevel="0" collapsed="false">
      <c r="A97" s="52" t="n">
        <v>44336</v>
      </c>
      <c r="B97" s="57" t="n">
        <v>0.027307</v>
      </c>
      <c r="C97" s="57" t="n">
        <v>0.032151</v>
      </c>
      <c r="D97" s="57" t="n">
        <v>0.034056</v>
      </c>
    </row>
    <row r="98" customFormat="false" ht="15" hidden="false" customHeight="false" outlineLevel="0" collapsed="false">
      <c r="A98" s="52" t="n">
        <v>44337</v>
      </c>
      <c r="B98" s="57" t="n">
        <v>0.027217</v>
      </c>
      <c r="C98" s="57" t="n">
        <v>0.031845</v>
      </c>
      <c r="D98" s="57" t="n">
        <v>0.033911</v>
      </c>
    </row>
    <row r="99" customFormat="false" ht="15" hidden="false" customHeight="false" outlineLevel="0" collapsed="false">
      <c r="A99" s="52" t="n">
        <v>44340</v>
      </c>
      <c r="B99" s="57" t="n">
        <v>0.027363</v>
      </c>
      <c r="C99" s="57" t="n">
        <v>0.031733</v>
      </c>
      <c r="D99" s="57" t="n">
        <v>0.033779</v>
      </c>
    </row>
    <row r="100" customFormat="false" ht="15" hidden="false" customHeight="false" outlineLevel="0" collapsed="false">
      <c r="A100" s="52" t="n">
        <v>44341</v>
      </c>
      <c r="B100" s="57" t="n">
        <v>0.027378</v>
      </c>
      <c r="C100" s="57" t="n">
        <v>0.03177</v>
      </c>
      <c r="D100" s="57" t="n">
        <v>0.033896</v>
      </c>
    </row>
    <row r="101" customFormat="false" ht="15" hidden="false" customHeight="false" outlineLevel="0" collapsed="false">
      <c r="A101" s="52" t="n">
        <v>44342</v>
      </c>
      <c r="B101" s="57" t="n">
        <v>0.027285</v>
      </c>
      <c r="C101" s="57" t="n">
        <v>0.031662</v>
      </c>
      <c r="D101" s="57" t="n">
        <v>0.033706</v>
      </c>
    </row>
    <row r="102" customFormat="false" ht="15" hidden="false" customHeight="false" outlineLevel="0" collapsed="false">
      <c r="A102" s="52" t="n">
        <v>44343</v>
      </c>
      <c r="B102" s="57" t="n">
        <v>0.027466</v>
      </c>
      <c r="C102" s="57" t="n">
        <v>0.031661</v>
      </c>
      <c r="D102" s="57" t="n">
        <v>0.033703</v>
      </c>
    </row>
    <row r="103" customFormat="false" ht="15" hidden="false" customHeight="false" outlineLevel="0" collapsed="false">
      <c r="A103" s="52" t="n">
        <v>44344</v>
      </c>
      <c r="B103" s="57" t="n">
        <v>0.027648</v>
      </c>
      <c r="C103" s="57" t="n">
        <v>0.031772</v>
      </c>
      <c r="D103" s="57" t="n">
        <v>0.033881</v>
      </c>
    </row>
    <row r="104" customFormat="false" ht="15" hidden="false" customHeight="false" outlineLevel="0" collapsed="false">
      <c r="A104" s="52" t="n">
        <v>44347</v>
      </c>
      <c r="B104" s="57" t="n">
        <v>0.027487</v>
      </c>
      <c r="C104" s="57" t="n">
        <v>0.031869</v>
      </c>
      <c r="D104" s="57" t="n">
        <v>0.033923</v>
      </c>
    </row>
    <row r="105" customFormat="false" ht="15" hidden="false" customHeight="false" outlineLevel="0" collapsed="false">
      <c r="A105" s="52" t="n">
        <v>44348</v>
      </c>
      <c r="B105" s="57" t="n">
        <v>0.027475</v>
      </c>
      <c r="C105" s="57" t="n">
        <v>0.031789</v>
      </c>
      <c r="D105" s="57" t="n">
        <v>0.033853</v>
      </c>
    </row>
    <row r="106" customFormat="false" ht="15" hidden="false" customHeight="false" outlineLevel="0" collapsed="false">
      <c r="A106" s="52" t="n">
        <v>44349</v>
      </c>
      <c r="B106" s="57" t="n">
        <v>0.027613</v>
      </c>
      <c r="C106" s="57" t="n">
        <v>0.031632</v>
      </c>
      <c r="D106" s="57" t="n">
        <v>0.033834</v>
      </c>
    </row>
    <row r="107" customFormat="false" ht="15" hidden="false" customHeight="false" outlineLevel="0" collapsed="false">
      <c r="A107" s="52" t="n">
        <v>44350</v>
      </c>
      <c r="B107" s="57" t="n">
        <v>0.027609</v>
      </c>
      <c r="C107" s="57" t="n">
        <v>0.03177</v>
      </c>
      <c r="D107" s="57" t="n">
        <v>0.033685</v>
      </c>
    </row>
    <row r="108" customFormat="false" ht="15" hidden="false" customHeight="false" outlineLevel="0" collapsed="false">
      <c r="A108" s="52" t="n">
        <v>44351</v>
      </c>
      <c r="B108" s="57" t="n">
        <v>0.028087</v>
      </c>
      <c r="C108" s="57" t="n">
        <v>0.031695</v>
      </c>
      <c r="D108" s="57" t="n">
        <v>0.03383</v>
      </c>
    </row>
    <row r="109" customFormat="false" ht="15" hidden="false" customHeight="false" outlineLevel="0" collapsed="false">
      <c r="A109" s="52" t="n">
        <v>44354</v>
      </c>
      <c r="B109" s="57" t="n">
        <v>0.028421</v>
      </c>
      <c r="C109" s="57" t="n">
        <v>0.031995</v>
      </c>
      <c r="D109" s="57" t="n">
        <v>0.034406</v>
      </c>
    </row>
    <row r="110" customFormat="false" ht="15" hidden="false" customHeight="false" outlineLevel="0" collapsed="false">
      <c r="A110" s="52" t="n">
        <v>44355</v>
      </c>
      <c r="B110" s="57" t="n">
        <v>0.028453</v>
      </c>
      <c r="C110" s="57" t="n">
        <v>0.032049</v>
      </c>
      <c r="D110" s="57" t="n">
        <v>0.034343</v>
      </c>
    </row>
    <row r="111" customFormat="false" ht="15" hidden="false" customHeight="false" outlineLevel="0" collapsed="false">
      <c r="A111" s="52" t="n">
        <v>44356</v>
      </c>
      <c r="B111" s="57" t="n">
        <v>0.028453</v>
      </c>
      <c r="C111" s="57" t="n">
        <v>0.032353</v>
      </c>
      <c r="D111" s="57" t="n">
        <v>0.034392</v>
      </c>
    </row>
    <row r="112" customFormat="false" ht="15" hidden="false" customHeight="false" outlineLevel="0" collapsed="false">
      <c r="A112" s="52" t="n">
        <v>44357</v>
      </c>
      <c r="B112" s="57" t="n">
        <v>0.028266</v>
      </c>
      <c r="C112" s="57" t="n">
        <v>0.032207</v>
      </c>
      <c r="D112" s="57" t="n">
        <v>0.034374</v>
      </c>
    </row>
    <row r="113" customFormat="false" ht="15" hidden="false" customHeight="false" outlineLevel="0" collapsed="false">
      <c r="A113" s="52" t="n">
        <v>44358</v>
      </c>
      <c r="B113" s="57" t="n">
        <v>0.028485</v>
      </c>
      <c r="C113" s="57" t="n">
        <v>0.03217</v>
      </c>
      <c r="D113" s="57" t="n">
        <v>0.034249</v>
      </c>
    </row>
    <row r="114" customFormat="false" ht="15" hidden="false" customHeight="false" outlineLevel="0" collapsed="false">
      <c r="A114" s="52" t="n">
        <v>44362</v>
      </c>
      <c r="B114" s="57" t="n">
        <v>0.028466</v>
      </c>
      <c r="C114" s="57" t="n">
        <v>0.032318</v>
      </c>
      <c r="D114" s="57" t="n">
        <v>0.034506</v>
      </c>
    </row>
    <row r="115" customFormat="false" ht="15" hidden="false" customHeight="false" outlineLevel="0" collapsed="false">
      <c r="A115" s="52" t="n">
        <v>44363</v>
      </c>
      <c r="B115" s="57" t="n">
        <v>0.02849</v>
      </c>
      <c r="C115" s="57" t="n">
        <v>0.032507</v>
      </c>
      <c r="D115" s="57" t="n">
        <v>0.034634</v>
      </c>
    </row>
    <row r="116" customFormat="false" ht="15" hidden="false" customHeight="false" outlineLevel="0" collapsed="false">
      <c r="A116" s="52" t="n">
        <v>44364</v>
      </c>
      <c r="B116" s="57" t="n">
        <v>0.028548</v>
      </c>
      <c r="C116" s="57" t="n">
        <v>0.032712</v>
      </c>
      <c r="D116" s="57" t="n">
        <v>0.034825</v>
      </c>
    </row>
    <row r="117" customFormat="false" ht="15" hidden="false" customHeight="false" outlineLevel="0" collapsed="false">
      <c r="A117" s="52" t="n">
        <v>44365</v>
      </c>
      <c r="B117" s="57" t="n">
        <v>0.028406</v>
      </c>
      <c r="C117" s="57" t="n">
        <v>0.032896</v>
      </c>
      <c r="D117" s="57" t="n">
        <v>0.035027</v>
      </c>
    </row>
    <row r="118" customFormat="false" ht="15" hidden="false" customHeight="false" outlineLevel="0" collapsed="false">
      <c r="A118" s="52" t="n">
        <v>44368</v>
      </c>
      <c r="B118" s="57" t="n">
        <v>0.028192</v>
      </c>
      <c r="C118" s="57" t="n">
        <v>0.032896</v>
      </c>
      <c r="D118" s="57" t="n">
        <v>0.035053</v>
      </c>
    </row>
    <row r="119" customFormat="false" ht="15" hidden="false" customHeight="false" outlineLevel="0" collapsed="false">
      <c r="A119" s="52" t="n">
        <v>44369</v>
      </c>
      <c r="B119" s="57" t="n">
        <v>0.028089</v>
      </c>
      <c r="C119" s="57" t="n">
        <v>0.032896</v>
      </c>
      <c r="D119" s="57" t="n">
        <v>0.034955</v>
      </c>
    </row>
    <row r="120" customFormat="false" ht="15" hidden="false" customHeight="false" outlineLevel="0" collapsed="false">
      <c r="A120" s="52" t="n">
        <v>44370</v>
      </c>
      <c r="B120" s="57" t="n">
        <v>0.02786</v>
      </c>
      <c r="C120" s="57" t="n">
        <v>0.032696</v>
      </c>
      <c r="D120" s="57" t="n">
        <v>0.034958</v>
      </c>
    </row>
    <row r="121" customFormat="false" ht="15" hidden="false" customHeight="false" outlineLevel="0" collapsed="false">
      <c r="A121" s="52" t="n">
        <v>44371</v>
      </c>
      <c r="B121" s="57" t="n">
        <v>0.027675</v>
      </c>
      <c r="C121" s="57" t="n">
        <v>0.032459</v>
      </c>
      <c r="D121" s="57" t="n">
        <v>0.034857</v>
      </c>
    </row>
    <row r="122" customFormat="false" ht="15" hidden="false" customHeight="false" outlineLevel="0" collapsed="false">
      <c r="A122" s="52" t="n">
        <v>44372</v>
      </c>
      <c r="B122" s="57" t="n">
        <v>0.027614</v>
      </c>
      <c r="C122" s="57" t="n">
        <v>0.032247</v>
      </c>
      <c r="D122" s="57" t="n">
        <v>0.034687</v>
      </c>
    </row>
    <row r="123" customFormat="false" ht="15" hidden="false" customHeight="false" outlineLevel="0" collapsed="false">
      <c r="A123" s="52" t="n">
        <v>44375</v>
      </c>
      <c r="B123" s="57" t="n">
        <v>0.027935</v>
      </c>
      <c r="C123" s="57" t="n">
        <v>0.032071</v>
      </c>
      <c r="D123" s="57" t="n">
        <v>0.034441</v>
      </c>
    </row>
    <row r="124" customFormat="false" ht="15" hidden="false" customHeight="false" outlineLevel="0" collapsed="false">
      <c r="A124" s="52" t="n">
        <v>44376</v>
      </c>
      <c r="B124" s="57" t="n">
        <v>0.027902</v>
      </c>
      <c r="C124" s="57" t="n">
        <v>0.032049</v>
      </c>
      <c r="D124" s="57" t="n">
        <v>0.034228</v>
      </c>
    </row>
    <row r="125" customFormat="false" ht="15" hidden="false" customHeight="false" outlineLevel="0" collapsed="false">
      <c r="A125" s="52" t="n">
        <v>44377</v>
      </c>
      <c r="B125" s="57" t="n">
        <v>0.027781</v>
      </c>
      <c r="C125" s="57" t="n">
        <v>0.031869</v>
      </c>
      <c r="D125" s="57" t="n">
        <v>0.034058</v>
      </c>
    </row>
    <row r="126" customFormat="false" ht="15" hidden="false" customHeight="false" outlineLevel="0" collapsed="false">
      <c r="A126" s="52" t="n">
        <v>44378</v>
      </c>
      <c r="B126" s="57" t="n">
        <v>0.027789</v>
      </c>
      <c r="C126" s="57" t="n">
        <v>0.03182</v>
      </c>
      <c r="D126" s="57" t="n">
        <v>0.033998</v>
      </c>
    </row>
    <row r="127" customFormat="false" ht="15" hidden="false" customHeight="false" outlineLevel="0" collapsed="false">
      <c r="A127" s="52" t="n">
        <v>44379</v>
      </c>
      <c r="B127" s="57" t="n">
        <v>0.027722</v>
      </c>
      <c r="C127" s="57" t="n">
        <v>0.031669</v>
      </c>
      <c r="D127" s="57" t="n">
        <v>0.033677</v>
      </c>
    </row>
    <row r="128" customFormat="false" ht="15" hidden="false" customHeight="false" outlineLevel="0" collapsed="false">
      <c r="A128" s="52" t="n">
        <v>44382</v>
      </c>
      <c r="B128" s="57" t="n">
        <v>0.027685</v>
      </c>
      <c r="C128" s="57" t="n">
        <v>0.03141</v>
      </c>
      <c r="D128" s="57" t="n">
        <v>0.033597</v>
      </c>
    </row>
    <row r="129" customFormat="false" ht="15" hidden="false" customHeight="false" outlineLevel="0" collapsed="false">
      <c r="A129" s="52" t="n">
        <v>44383</v>
      </c>
      <c r="B129" s="57" t="n">
        <v>0.027708</v>
      </c>
      <c r="C129" s="57" t="n">
        <v>0.03152</v>
      </c>
      <c r="D129" s="57" t="n">
        <v>0.033499</v>
      </c>
    </row>
    <row r="130" customFormat="false" ht="15" hidden="false" customHeight="false" outlineLevel="0" collapsed="false">
      <c r="A130" s="52" t="n">
        <v>44384</v>
      </c>
      <c r="B130" s="57" t="n">
        <v>0.027616</v>
      </c>
      <c r="C130" s="57" t="n">
        <v>0.031423</v>
      </c>
      <c r="D130" s="57" t="n">
        <v>0.033495</v>
      </c>
    </row>
    <row r="131" customFormat="false" ht="15" hidden="false" customHeight="false" outlineLevel="0" collapsed="false">
      <c r="A131" s="52" t="n">
        <v>44385</v>
      </c>
      <c r="B131" s="57" t="n">
        <v>0.027108</v>
      </c>
      <c r="C131" s="57" t="n">
        <v>0.030812</v>
      </c>
      <c r="D131" s="57" t="n">
        <v>0.032973</v>
      </c>
    </row>
    <row r="132" customFormat="false" ht="15" hidden="false" customHeight="false" outlineLevel="0" collapsed="false">
      <c r="A132" s="52" t="n">
        <v>44386</v>
      </c>
      <c r="B132" s="57" t="n">
        <v>0.027377</v>
      </c>
      <c r="C132" s="57" t="n">
        <v>0.030897</v>
      </c>
      <c r="D132" s="57" t="n">
        <v>0.032786</v>
      </c>
    </row>
    <row r="133" customFormat="false" ht="15" hidden="false" customHeight="false" outlineLevel="0" collapsed="false">
      <c r="A133" s="52" t="n">
        <v>44389</v>
      </c>
      <c r="B133" s="57" t="n">
        <v>0.026636</v>
      </c>
      <c r="C133" s="57" t="n">
        <v>0.03034</v>
      </c>
      <c r="D133" s="57" t="n">
        <v>0.032483</v>
      </c>
    </row>
    <row r="134" customFormat="false" ht="15" hidden="false" customHeight="false" outlineLevel="0" collapsed="false">
      <c r="A134" s="52" t="n">
        <v>44390</v>
      </c>
      <c r="B134" s="57" t="n">
        <v>0.026377</v>
      </c>
      <c r="C134" s="57" t="n">
        <v>0.030012</v>
      </c>
      <c r="D134" s="57" t="n">
        <v>0.032272</v>
      </c>
    </row>
    <row r="135" customFormat="false" ht="15" hidden="false" customHeight="false" outlineLevel="0" collapsed="false">
      <c r="A135" s="52" t="n">
        <v>44391</v>
      </c>
      <c r="B135" s="57" t="n">
        <v>0.026466</v>
      </c>
      <c r="C135" s="57" t="n">
        <v>0.029723</v>
      </c>
      <c r="D135" s="57" t="n">
        <v>0.031938</v>
      </c>
    </row>
    <row r="136" customFormat="false" ht="15" hidden="false" customHeight="false" outlineLevel="0" collapsed="false">
      <c r="A136" s="52" t="n">
        <v>44392</v>
      </c>
      <c r="B136" s="57" t="n">
        <v>0.026398</v>
      </c>
      <c r="C136" s="57" t="n">
        <v>0.030035</v>
      </c>
      <c r="D136" s="57" t="n">
        <v>0.031813</v>
      </c>
    </row>
    <row r="137" customFormat="false" ht="15" hidden="false" customHeight="false" outlineLevel="0" collapsed="false">
      <c r="A137" s="52" t="n">
        <v>44393</v>
      </c>
      <c r="B137" s="57" t="n">
        <v>0.026301</v>
      </c>
      <c r="C137" s="57" t="n">
        <v>0.030216</v>
      </c>
      <c r="D137" s="57" t="n">
        <v>0.031871</v>
      </c>
    </row>
    <row r="138" customFormat="false" ht="15" hidden="false" customHeight="false" outlineLevel="0" collapsed="false">
      <c r="A138" s="52" t="n">
        <v>44396</v>
      </c>
      <c r="B138" s="57" t="n">
        <v>0.026227</v>
      </c>
      <c r="C138" s="57" t="n">
        <v>0.030172</v>
      </c>
      <c r="D138" s="57" t="n">
        <v>0.031689</v>
      </c>
    </row>
    <row r="139" customFormat="false" ht="15" hidden="false" customHeight="false" outlineLevel="0" collapsed="false">
      <c r="A139" s="52" t="n">
        <v>44397</v>
      </c>
      <c r="B139" s="57" t="n">
        <v>0.025959</v>
      </c>
      <c r="C139" s="57" t="n">
        <v>0.029766</v>
      </c>
      <c r="D139" s="57" t="n">
        <v>0.031597</v>
      </c>
    </row>
    <row r="140" customFormat="false" ht="15" hidden="false" customHeight="false" outlineLevel="0" collapsed="false">
      <c r="A140" s="52" t="n">
        <v>44398</v>
      </c>
      <c r="B140" s="57" t="n">
        <v>0.025818</v>
      </c>
      <c r="C140" s="57" t="n">
        <v>0.029412</v>
      </c>
      <c r="D140" s="57" t="n">
        <v>0.031234</v>
      </c>
    </row>
    <row r="141" customFormat="false" ht="15" hidden="false" customHeight="false" outlineLevel="0" collapsed="false">
      <c r="A141" s="52" t="n">
        <v>44399</v>
      </c>
      <c r="B141" s="57" t="n">
        <v>0.025893</v>
      </c>
      <c r="C141" s="57" t="n">
        <v>0.029234</v>
      </c>
      <c r="D141" s="57" t="n">
        <v>0.031257</v>
      </c>
    </row>
    <row r="142" customFormat="false" ht="15" hidden="false" customHeight="false" outlineLevel="0" collapsed="false">
      <c r="A142" s="52" t="n">
        <v>44400</v>
      </c>
      <c r="B142" s="57" t="n">
        <v>0.025586</v>
      </c>
      <c r="C142" s="57" t="n">
        <v>0.028909</v>
      </c>
      <c r="D142" s="57" t="n">
        <v>0.030815</v>
      </c>
    </row>
    <row r="143" customFormat="false" ht="15" hidden="false" customHeight="false" outlineLevel="0" collapsed="false">
      <c r="A143" s="52" t="n">
        <v>44403</v>
      </c>
      <c r="B143" s="57" t="n">
        <v>0.025327</v>
      </c>
      <c r="C143" s="57" t="n">
        <v>0.02892</v>
      </c>
      <c r="D143" s="57" t="n">
        <v>0.030685</v>
      </c>
    </row>
    <row r="144" customFormat="false" ht="15" hidden="false" customHeight="false" outlineLevel="0" collapsed="false">
      <c r="A144" s="52" t="n">
        <v>44404</v>
      </c>
      <c r="B144" s="57" t="n">
        <v>0.025712</v>
      </c>
      <c r="C144" s="57" t="n">
        <v>0.029158</v>
      </c>
      <c r="D144" s="57" t="n">
        <v>0.030852</v>
      </c>
    </row>
    <row r="145" customFormat="false" ht="15" hidden="false" customHeight="false" outlineLevel="0" collapsed="false">
      <c r="A145" s="52" t="n">
        <v>44405</v>
      </c>
      <c r="B145" s="57" t="n">
        <v>0.026161</v>
      </c>
      <c r="C145" s="57" t="n">
        <v>0.02925</v>
      </c>
      <c r="D145" s="57" t="n">
        <v>0.030888</v>
      </c>
    </row>
    <row r="146" customFormat="false" ht="15" hidden="false" customHeight="false" outlineLevel="0" collapsed="false">
      <c r="A146" s="52" t="n">
        <v>44406</v>
      </c>
      <c r="B146" s="57" t="n">
        <v>0.025777</v>
      </c>
      <c r="C146" s="57" t="n">
        <v>0.029259</v>
      </c>
      <c r="D146" s="57" t="n">
        <v>0.03098</v>
      </c>
    </row>
    <row r="147" customFormat="false" ht="15" hidden="false" customHeight="false" outlineLevel="0" collapsed="false">
      <c r="A147" s="52" t="n">
        <v>44407</v>
      </c>
      <c r="B147" s="57" t="n">
        <v>0.025355</v>
      </c>
      <c r="C147" s="57" t="n">
        <v>0.029043</v>
      </c>
      <c r="D147" s="57" t="n">
        <v>0.030895</v>
      </c>
    </row>
    <row r="148" customFormat="false" ht="15" hidden="false" customHeight="false" outlineLevel="0" collapsed="false">
      <c r="A148" s="52" t="n">
        <v>44410</v>
      </c>
      <c r="B148" s="57" t="n">
        <v>0.025162</v>
      </c>
      <c r="C148" s="57" t="n">
        <v>0.0289</v>
      </c>
      <c r="D148" s="57" t="n">
        <v>0.030686</v>
      </c>
    </row>
    <row r="149" customFormat="false" ht="15" hidden="false" customHeight="false" outlineLevel="0" collapsed="false">
      <c r="A149" s="52" t="n">
        <v>44411</v>
      </c>
      <c r="B149" s="57" t="n">
        <v>0.025442</v>
      </c>
      <c r="C149" s="57" t="n">
        <v>0.029001</v>
      </c>
      <c r="D149" s="57" t="n">
        <v>0.030411</v>
      </c>
    </row>
    <row r="150" customFormat="false" ht="15" hidden="false" customHeight="false" outlineLevel="0" collapsed="false">
      <c r="A150" s="52" t="n">
        <v>44412</v>
      </c>
      <c r="B150" s="57" t="n">
        <v>0.025628</v>
      </c>
      <c r="C150" s="57" t="n">
        <v>0.029014</v>
      </c>
      <c r="D150" s="57" t="n">
        <v>0.030334</v>
      </c>
    </row>
    <row r="151" customFormat="false" ht="15" hidden="false" customHeight="false" outlineLevel="0" collapsed="false">
      <c r="A151" s="52" t="n">
        <v>44413</v>
      </c>
      <c r="B151" s="57" t="n">
        <v>0.025567</v>
      </c>
      <c r="C151" s="57" t="n">
        <v>0.029063</v>
      </c>
      <c r="D151" s="57" t="n">
        <v>0.03028</v>
      </c>
    </row>
    <row r="152" customFormat="false" ht="15" hidden="false" customHeight="false" outlineLevel="0" collapsed="false">
      <c r="A152" s="52" t="n">
        <v>44414</v>
      </c>
      <c r="B152" s="57" t="n">
        <v>0.025536</v>
      </c>
      <c r="C152" s="57" t="n">
        <v>0.02892</v>
      </c>
      <c r="D152" s="57" t="n">
        <v>0.030176</v>
      </c>
    </row>
    <row r="153" customFormat="false" ht="15" hidden="false" customHeight="false" outlineLevel="0" collapsed="false">
      <c r="A153" s="52" t="n">
        <v>44417</v>
      </c>
      <c r="B153" s="57" t="n">
        <v>0.026004</v>
      </c>
      <c r="C153" s="57" t="n">
        <v>0.029205</v>
      </c>
      <c r="D153" s="57" t="n">
        <v>0.030457</v>
      </c>
    </row>
    <row r="154" customFormat="false" ht="15" hidden="false" customHeight="false" outlineLevel="0" collapsed="false">
      <c r="A154" s="52" t="n">
        <v>44418</v>
      </c>
      <c r="B154" s="57" t="n">
        <v>0.025846</v>
      </c>
      <c r="C154" s="57" t="n">
        <v>0.0293</v>
      </c>
      <c r="D154" s="57" t="n">
        <v>0.030522</v>
      </c>
    </row>
    <row r="155" customFormat="false" ht="15" hidden="false" customHeight="false" outlineLevel="0" collapsed="false">
      <c r="A155" s="52" t="n">
        <v>44419</v>
      </c>
      <c r="B155" s="57" t="n">
        <v>0.025995</v>
      </c>
      <c r="C155" s="57" t="n">
        <v>0.029325</v>
      </c>
      <c r="D155" s="57" t="n">
        <v>0.03053</v>
      </c>
    </row>
    <row r="156" customFormat="false" ht="15" hidden="false" customHeight="false" outlineLevel="0" collapsed="false">
      <c r="A156" s="52" t="n">
        <v>44420</v>
      </c>
      <c r="B156" s="57" t="n">
        <v>0.025748</v>
      </c>
      <c r="C156" s="57" t="n">
        <v>0.029237</v>
      </c>
      <c r="D156" s="57" t="n">
        <v>0.030333</v>
      </c>
    </row>
    <row r="157" customFormat="false" ht="15" hidden="false" customHeight="false" outlineLevel="0" collapsed="false">
      <c r="A157" s="52" t="n">
        <v>44421</v>
      </c>
      <c r="B157" s="57" t="n">
        <v>0.025908</v>
      </c>
      <c r="C157" s="57" t="n">
        <v>0.029225</v>
      </c>
      <c r="D157" s="57" t="n">
        <v>0.030539</v>
      </c>
    </row>
    <row r="158" customFormat="false" ht="15" hidden="false" customHeight="false" outlineLevel="0" collapsed="false">
      <c r="A158" s="52" t="n">
        <v>44424</v>
      </c>
      <c r="B158" s="57" t="n">
        <v>0.025977</v>
      </c>
      <c r="C158" s="57" t="n">
        <v>0.029245</v>
      </c>
      <c r="D158" s="57" t="n">
        <v>0.030724</v>
      </c>
    </row>
    <row r="159" customFormat="false" ht="15" hidden="false" customHeight="false" outlineLevel="0" collapsed="false">
      <c r="A159" s="52" t="n">
        <v>44425</v>
      </c>
      <c r="B159" s="57" t="n">
        <v>0.025878</v>
      </c>
      <c r="C159" s="57" t="n">
        <v>0.029224</v>
      </c>
      <c r="D159" s="57" t="n">
        <v>0.030939</v>
      </c>
    </row>
    <row r="160" customFormat="false" ht="15" hidden="false" customHeight="false" outlineLevel="0" collapsed="false">
      <c r="A160" s="52" t="n">
        <v>44426</v>
      </c>
      <c r="B160" s="57" t="n">
        <v>0.025593</v>
      </c>
      <c r="C160" s="57" t="n">
        <v>0.029146</v>
      </c>
      <c r="D160" s="57" t="n">
        <v>0.030936</v>
      </c>
    </row>
    <row r="161" customFormat="false" ht="15" hidden="false" customHeight="false" outlineLevel="0" collapsed="false">
      <c r="A161" s="52" t="n">
        <v>44427</v>
      </c>
      <c r="B161" s="57" t="n">
        <v>0.025572</v>
      </c>
      <c r="C161" s="57" t="n">
        <v>0.028975</v>
      </c>
      <c r="D161" s="57" t="n">
        <v>0.030711</v>
      </c>
    </row>
    <row r="162" customFormat="false" ht="15" hidden="false" customHeight="false" outlineLevel="0" collapsed="false">
      <c r="A162" s="52" t="n">
        <v>44428</v>
      </c>
      <c r="B162" s="57" t="n">
        <v>0.025711</v>
      </c>
      <c r="C162" s="57" t="n">
        <v>0.029093</v>
      </c>
      <c r="D162" s="57" t="n">
        <v>0.030717</v>
      </c>
    </row>
    <row r="163" customFormat="false" ht="15" hidden="false" customHeight="false" outlineLevel="0" collapsed="false">
      <c r="A163" s="52" t="n">
        <v>44431</v>
      </c>
      <c r="B163" s="57" t="n">
        <v>0.025764</v>
      </c>
      <c r="C163" s="57" t="n">
        <v>0.029197</v>
      </c>
      <c r="D163" s="57" t="n">
        <v>0.030732</v>
      </c>
    </row>
    <row r="164" customFormat="false" ht="15" hidden="false" customHeight="false" outlineLevel="0" collapsed="false">
      <c r="A164" s="52" t="n">
        <v>44432</v>
      </c>
      <c r="B164" s="57" t="n">
        <v>0.025656</v>
      </c>
      <c r="C164" s="57" t="n">
        <v>0.029221</v>
      </c>
      <c r="D164" s="57" t="n">
        <v>0.030733</v>
      </c>
    </row>
    <row r="165" customFormat="false" ht="15" hidden="false" customHeight="false" outlineLevel="0" collapsed="false">
      <c r="A165" s="52" t="n">
        <v>44433</v>
      </c>
      <c r="B165" s="57" t="n">
        <v>0.025654</v>
      </c>
      <c r="C165" s="57" t="n">
        <v>0.028961</v>
      </c>
      <c r="D165" s="57" t="n">
        <v>0.030636</v>
      </c>
    </row>
    <row r="166" customFormat="false" ht="15" hidden="false" customHeight="false" outlineLevel="0" collapsed="false">
      <c r="A166" s="52" t="n">
        <v>44434</v>
      </c>
      <c r="B166" s="57" t="n">
        <v>0.025801</v>
      </c>
      <c r="C166" s="57" t="n">
        <v>0.029226</v>
      </c>
      <c r="D166" s="57" t="n">
        <v>0.030841</v>
      </c>
    </row>
    <row r="167" customFormat="false" ht="15" hidden="false" customHeight="false" outlineLevel="0" collapsed="false">
      <c r="A167" s="52" t="n">
        <v>44435</v>
      </c>
      <c r="B167" s="57" t="n">
        <v>0.025635</v>
      </c>
      <c r="C167" s="57" t="n">
        <v>0.029559</v>
      </c>
      <c r="D167" s="57" t="n">
        <v>0.030937</v>
      </c>
    </row>
    <row r="168" customFormat="false" ht="15" hidden="false" customHeight="false" outlineLevel="0" collapsed="false">
      <c r="A168" s="52" t="n">
        <v>44438</v>
      </c>
      <c r="B168" s="57" t="n">
        <v>0.025551</v>
      </c>
      <c r="C168" s="57" t="n">
        <v>0.029774</v>
      </c>
      <c r="D168" s="57" t="n">
        <v>0.031052</v>
      </c>
    </row>
    <row r="169" customFormat="false" ht="15" hidden="false" customHeight="false" outlineLevel="0" collapsed="false">
      <c r="A169" s="52" t="n">
        <v>44439</v>
      </c>
      <c r="B169" s="57" t="n">
        <v>0.025547</v>
      </c>
      <c r="C169" s="57" t="n">
        <v>0.029716</v>
      </c>
      <c r="D169" s="57" t="n">
        <v>0.031039</v>
      </c>
    </row>
    <row r="170" customFormat="false" ht="15" hidden="false" customHeight="false" outlineLevel="0" collapsed="false">
      <c r="A170" s="52" t="n">
        <v>44440</v>
      </c>
      <c r="B170" s="57" t="n">
        <v>0.02531</v>
      </c>
      <c r="C170" s="57" t="n">
        <v>0.029419</v>
      </c>
      <c r="D170" s="57" t="n">
        <v>0.03086</v>
      </c>
    </row>
    <row r="171" customFormat="false" ht="15" hidden="false" customHeight="false" outlineLevel="0" collapsed="false">
      <c r="A171" s="52" t="n">
        <v>44441</v>
      </c>
      <c r="B171" s="57" t="n">
        <v>0.025332</v>
      </c>
      <c r="C171" s="57" t="n">
        <v>0.029322</v>
      </c>
      <c r="D171" s="57" t="n">
        <v>0.03077</v>
      </c>
    </row>
    <row r="172" customFormat="false" ht="15" hidden="false" customHeight="false" outlineLevel="0" collapsed="false">
      <c r="A172" s="52" t="n">
        <v>44442</v>
      </c>
      <c r="B172" s="57" t="n">
        <v>0.025051</v>
      </c>
      <c r="C172" s="57" t="n">
        <v>0.029222</v>
      </c>
      <c r="D172" s="57" t="n">
        <v>0.030824</v>
      </c>
    </row>
    <row r="173" customFormat="false" ht="15" hidden="false" customHeight="false" outlineLevel="0" collapsed="false">
      <c r="A173" s="52" t="n">
        <v>44445</v>
      </c>
      <c r="B173" s="57" t="n">
        <v>0.025356</v>
      </c>
      <c r="C173" s="57" t="n">
        <v>0.029224</v>
      </c>
      <c r="D173" s="57" t="n">
        <v>0.030791</v>
      </c>
    </row>
    <row r="174" customFormat="false" ht="15" hidden="false" customHeight="false" outlineLevel="0" collapsed="false">
      <c r="A174" s="52" t="n">
        <v>44446</v>
      </c>
      <c r="B174" s="57" t="n">
        <v>0.025608</v>
      </c>
      <c r="C174" s="57" t="n">
        <v>0.029245</v>
      </c>
      <c r="D174" s="57" t="n">
        <v>0.030717</v>
      </c>
    </row>
    <row r="175" customFormat="false" ht="15" hidden="false" customHeight="false" outlineLevel="0" collapsed="false">
      <c r="A175" s="52" t="n">
        <v>44447</v>
      </c>
      <c r="B175" s="57" t="n">
        <v>0.025659</v>
      </c>
      <c r="C175" s="57" t="n">
        <v>0.029243</v>
      </c>
      <c r="D175" s="57" t="n">
        <v>0.030843</v>
      </c>
    </row>
    <row r="176" customFormat="false" ht="15" hidden="false" customHeight="false" outlineLevel="0" collapsed="false">
      <c r="A176" s="52" t="n">
        <v>44448</v>
      </c>
      <c r="B176" s="57" t="n">
        <v>0.025713</v>
      </c>
      <c r="C176" s="57" t="n">
        <v>0.029371</v>
      </c>
      <c r="D176" s="57" t="n">
        <v>0.030922</v>
      </c>
    </row>
    <row r="177" customFormat="false" ht="15" hidden="false" customHeight="false" outlineLevel="0" collapsed="false">
      <c r="A177" s="52" t="n">
        <v>44449</v>
      </c>
      <c r="B177" s="57" t="n">
        <v>0.025715</v>
      </c>
      <c r="C177" s="57" t="n">
        <v>0.029452</v>
      </c>
      <c r="D177" s="57" t="n">
        <v>0.03083</v>
      </c>
    </row>
    <row r="178" customFormat="false" ht="15" hidden="false" customHeight="false" outlineLevel="0" collapsed="false">
      <c r="A178" s="52" t="n">
        <v>44452</v>
      </c>
      <c r="B178" s="57" t="n">
        <v>0.025818</v>
      </c>
      <c r="C178" s="57" t="n">
        <v>0.029515</v>
      </c>
      <c r="D178" s="57" t="n">
        <v>0.030943</v>
      </c>
    </row>
    <row r="179" customFormat="false" ht="15" hidden="false" customHeight="false" outlineLevel="0" collapsed="false">
      <c r="A179" s="52" t="n">
        <v>44453</v>
      </c>
      <c r="B179" s="57" t="n">
        <v>0.025869</v>
      </c>
      <c r="C179" s="57" t="n">
        <v>0.029718</v>
      </c>
      <c r="D179" s="57" t="n">
        <v>0.03108</v>
      </c>
    </row>
    <row r="180" customFormat="false" ht="15" hidden="false" customHeight="false" outlineLevel="0" collapsed="false">
      <c r="A180" s="52" t="n">
        <v>44454</v>
      </c>
      <c r="B180" s="57" t="n">
        <v>0.026126</v>
      </c>
      <c r="C180" s="57" t="n">
        <v>0.029668</v>
      </c>
      <c r="D180" s="57" t="n">
        <v>0.031119</v>
      </c>
    </row>
    <row r="181" customFormat="false" ht="15" hidden="false" customHeight="false" outlineLevel="0" collapsed="false">
      <c r="A181" s="52" t="n">
        <v>44455</v>
      </c>
      <c r="B181" s="57" t="n">
        <v>0.026</v>
      </c>
      <c r="C181" s="57" t="n">
        <v>0.029816</v>
      </c>
      <c r="D181" s="57" t="n">
        <v>0.031103</v>
      </c>
    </row>
    <row r="182" customFormat="false" ht="15" hidden="false" customHeight="false" outlineLevel="0" collapsed="false">
      <c r="A182" s="52" t="n">
        <v>44456</v>
      </c>
      <c r="B182" s="57" t="n">
        <v>0.025829</v>
      </c>
      <c r="C182" s="57" t="n">
        <v>0.029823</v>
      </c>
      <c r="D182" s="57" t="n">
        <v>0.031207</v>
      </c>
    </row>
    <row r="183" customFormat="false" ht="15" hidden="false" customHeight="false" outlineLevel="0" collapsed="false">
      <c r="A183" s="52" t="n">
        <v>44457</v>
      </c>
      <c r="B183" s="57" t="n">
        <v>0.025844</v>
      </c>
      <c r="C183" s="57" t="n">
        <v>0.02978</v>
      </c>
      <c r="D183" s="57" t="n">
        <v>0.031242</v>
      </c>
    </row>
    <row r="184" customFormat="false" ht="15" hidden="false" customHeight="false" outlineLevel="0" collapsed="false">
      <c r="A184" s="52" t="n">
        <v>44461</v>
      </c>
      <c r="B184" s="57" t="n">
        <v>0.025632</v>
      </c>
      <c r="C184" s="57" t="n">
        <v>0.029798</v>
      </c>
      <c r="D184" s="57" t="n">
        <v>0.031375</v>
      </c>
    </row>
    <row r="185" customFormat="false" ht="15" hidden="false" customHeight="false" outlineLevel="0" collapsed="false">
      <c r="A185" s="52" t="n">
        <v>44462</v>
      </c>
      <c r="B185" s="57" t="n">
        <v>0.025534</v>
      </c>
      <c r="C185" s="57" t="n">
        <v>0.030006</v>
      </c>
      <c r="D185" s="57" t="n">
        <v>0.031428</v>
      </c>
    </row>
    <row r="186" customFormat="false" ht="15" hidden="false" customHeight="false" outlineLevel="0" collapsed="false">
      <c r="A186" s="52" t="n">
        <v>44463</v>
      </c>
      <c r="B186" s="57" t="n">
        <v>0.025426</v>
      </c>
      <c r="C186" s="57" t="n">
        <v>0.030004</v>
      </c>
      <c r="D186" s="57" t="n">
        <v>0.031451</v>
      </c>
    </row>
    <row r="187" customFormat="false" ht="15" hidden="false" customHeight="false" outlineLevel="0" collapsed="false">
      <c r="A187" s="52" t="n">
        <v>44465</v>
      </c>
      <c r="B187" s="57" t="n">
        <v>0.025413</v>
      </c>
      <c r="C187" s="57" t="n">
        <v>0.029901</v>
      </c>
      <c r="D187" s="57" t="n">
        <v>0.031471</v>
      </c>
    </row>
    <row r="188" customFormat="false" ht="15" hidden="false" customHeight="false" outlineLevel="0" collapsed="false">
      <c r="A188" s="52" t="n">
        <v>44466</v>
      </c>
      <c r="B188" s="57" t="n">
        <v>0.025434</v>
      </c>
      <c r="C188" s="57" t="n">
        <v>0.029818</v>
      </c>
      <c r="D188" s="57" t="n">
        <v>0.031683</v>
      </c>
    </row>
    <row r="189" customFormat="false" ht="15" hidden="false" customHeight="false" outlineLevel="0" collapsed="false">
      <c r="A189" s="52" t="n">
        <v>44467</v>
      </c>
      <c r="B189" s="57" t="n">
        <v>0.025453</v>
      </c>
      <c r="C189" s="57" t="n">
        <v>0.029986</v>
      </c>
      <c r="D189" s="57" t="n">
        <v>0.031864</v>
      </c>
    </row>
    <row r="190" customFormat="false" ht="15" hidden="false" customHeight="false" outlineLevel="0" collapsed="false">
      <c r="A190" s="52" t="n">
        <v>44468</v>
      </c>
      <c r="B190" s="57" t="n">
        <v>0.025248</v>
      </c>
      <c r="C190" s="57" t="n">
        <v>0.02994</v>
      </c>
      <c r="D190" s="57" t="n">
        <v>0.031964</v>
      </c>
    </row>
    <row r="191" customFormat="false" ht="15" hidden="false" customHeight="false" outlineLevel="0" collapsed="false">
      <c r="A191" s="52" t="n">
        <v>44469</v>
      </c>
      <c r="B191" s="57" t="n">
        <v>0.025122</v>
      </c>
      <c r="C191" s="57" t="n">
        <v>0.02981</v>
      </c>
      <c r="D191" s="57" t="n">
        <v>0.031873</v>
      </c>
    </row>
    <row r="192" customFormat="false" ht="15" hidden="false" customHeight="false" outlineLevel="0" collapsed="false">
      <c r="A192" s="52" t="n">
        <v>44477</v>
      </c>
      <c r="B192" s="57" t="n">
        <v>0.025453</v>
      </c>
      <c r="C192" s="57" t="n">
        <v>0.029998</v>
      </c>
      <c r="D192" s="57" t="n">
        <v>0.032159</v>
      </c>
    </row>
    <row r="193" customFormat="false" ht="15" hidden="false" customHeight="false" outlineLevel="0" collapsed="false">
      <c r="A193" s="52" t="n">
        <v>44478</v>
      </c>
      <c r="B193" s="57" t="n">
        <v>0.025421</v>
      </c>
      <c r="C193" s="57" t="n">
        <v>0.030048</v>
      </c>
      <c r="D193" s="57" t="n">
        <v>0.032044</v>
      </c>
    </row>
    <row r="194" customFormat="false" ht="15" hidden="false" customHeight="false" outlineLevel="0" collapsed="false">
      <c r="A194" s="52" t="n">
        <v>44480</v>
      </c>
      <c r="B194" s="57" t="n">
        <v>0.025838</v>
      </c>
      <c r="C194" s="57" t="n">
        <v>0.030536</v>
      </c>
      <c r="D194" s="57" t="n">
        <v>0.03225</v>
      </c>
    </row>
    <row r="195" customFormat="false" ht="15" hidden="false" customHeight="false" outlineLevel="0" collapsed="false">
      <c r="A195" s="52" t="n">
        <v>44481</v>
      </c>
      <c r="B195" s="57" t="n">
        <v>0.025986</v>
      </c>
      <c r="C195" s="57" t="n">
        <v>0.030683</v>
      </c>
      <c r="D195" s="57" t="n">
        <v>0.032541</v>
      </c>
    </row>
    <row r="196" customFormat="false" ht="15" hidden="false" customHeight="false" outlineLevel="0" collapsed="false">
      <c r="A196" s="52" t="n">
        <v>44482</v>
      </c>
      <c r="B196" s="57" t="n">
        <v>0.026284</v>
      </c>
      <c r="C196" s="57" t="n">
        <v>0.030599</v>
      </c>
      <c r="D196" s="57" t="n">
        <v>0.032722</v>
      </c>
    </row>
    <row r="197" customFormat="false" ht="15" hidden="false" customHeight="false" outlineLevel="0" collapsed="false">
      <c r="A197" s="52" t="n">
        <v>44483</v>
      </c>
      <c r="B197" s="57" t="n">
        <v>0.026406</v>
      </c>
      <c r="C197" s="57" t="n">
        <v>0.030615</v>
      </c>
      <c r="D197" s="57" t="n">
        <v>0.032722</v>
      </c>
    </row>
    <row r="198" customFormat="false" ht="15" hidden="false" customHeight="false" outlineLevel="0" collapsed="false">
      <c r="A198" s="52" t="n">
        <v>44484</v>
      </c>
      <c r="B198" s="57" t="n">
        <v>0.026459</v>
      </c>
      <c r="C198" s="57" t="n">
        <v>0.030543</v>
      </c>
      <c r="D198" s="57" t="n">
        <v>0.032595</v>
      </c>
    </row>
    <row r="199" customFormat="false" ht="15" hidden="false" customHeight="false" outlineLevel="0" collapsed="false">
      <c r="A199" s="52" t="n">
        <v>44487</v>
      </c>
      <c r="B199" s="57" t="n">
        <v>0.027337</v>
      </c>
      <c r="C199" s="57" t="n">
        <v>0.030974</v>
      </c>
      <c r="D199" s="57" t="n">
        <v>0.033107</v>
      </c>
    </row>
    <row r="200" customFormat="false" ht="15" hidden="false" customHeight="false" outlineLevel="0" collapsed="false">
      <c r="A200" s="52" t="n">
        <v>44488</v>
      </c>
      <c r="B200" s="57" t="n">
        <v>0.027126</v>
      </c>
      <c r="C200" s="57" t="n">
        <v>0.031163</v>
      </c>
      <c r="D200" s="57" t="n">
        <v>0.033227</v>
      </c>
    </row>
    <row r="201" customFormat="false" ht="15" hidden="false" customHeight="false" outlineLevel="0" collapsed="false">
      <c r="A201" s="52" t="n">
        <v>44489</v>
      </c>
      <c r="B201" s="57" t="n">
        <v>0.026869</v>
      </c>
      <c r="C201" s="57" t="n">
        <v>0.030994</v>
      </c>
      <c r="D201" s="57" t="n">
        <v>0.033306</v>
      </c>
    </row>
    <row r="202" customFormat="false" ht="15" hidden="false" customHeight="false" outlineLevel="0" collapsed="false">
      <c r="A202" s="52" t="n">
        <v>44490</v>
      </c>
      <c r="B202" s="57" t="n">
        <v>0.026525</v>
      </c>
      <c r="C202" s="57" t="n">
        <v>0.030866</v>
      </c>
      <c r="D202" s="57" t="n">
        <v>0.033098</v>
      </c>
    </row>
    <row r="203" customFormat="false" ht="15" hidden="false" customHeight="false" outlineLevel="0" collapsed="false">
      <c r="A203" s="52" t="n">
        <v>44491</v>
      </c>
      <c r="B203" s="57" t="n">
        <v>0.026556</v>
      </c>
      <c r="C203" s="57" t="n">
        <v>0.030695</v>
      </c>
      <c r="D203" s="57" t="n">
        <v>0.032809</v>
      </c>
    </row>
    <row r="204" customFormat="false" ht="15" hidden="false" customHeight="false" outlineLevel="0" collapsed="false">
      <c r="A204" s="52" t="n">
        <v>44494</v>
      </c>
      <c r="B204" s="57" t="n">
        <v>0.026617</v>
      </c>
      <c r="C204" s="57" t="n">
        <v>0.030708</v>
      </c>
      <c r="D204" s="57" t="n">
        <v>0.032775</v>
      </c>
    </row>
    <row r="205" customFormat="false" ht="15" hidden="false" customHeight="false" outlineLevel="0" collapsed="false">
      <c r="A205" s="52" t="n">
        <v>44495</v>
      </c>
      <c r="B205" s="57" t="n">
        <v>0.026625</v>
      </c>
      <c r="C205" s="57" t="n">
        <v>0.030609</v>
      </c>
      <c r="D205" s="57" t="n">
        <v>0.032692</v>
      </c>
    </row>
    <row r="206" customFormat="false" ht="15" hidden="false" customHeight="false" outlineLevel="0" collapsed="false">
      <c r="A206" s="52" t="n">
        <v>44496</v>
      </c>
      <c r="B206" s="57" t="n">
        <v>0.026742</v>
      </c>
      <c r="C206" s="57" t="n">
        <v>0.0305</v>
      </c>
      <c r="D206" s="57" t="n">
        <v>0.03246</v>
      </c>
    </row>
    <row r="207" customFormat="false" ht="15" hidden="false" customHeight="false" outlineLevel="0" collapsed="false">
      <c r="A207" s="52" t="n">
        <v>44497</v>
      </c>
      <c r="B207" s="57" t="n">
        <v>0.026718</v>
      </c>
      <c r="C207" s="57" t="n">
        <v>0.030366</v>
      </c>
      <c r="D207" s="57" t="n">
        <v>0.032214</v>
      </c>
    </row>
    <row r="208" customFormat="false" ht="15" hidden="false" customHeight="false" outlineLevel="0" collapsed="false">
      <c r="A208" s="52" t="n">
        <v>44498</v>
      </c>
      <c r="B208" s="57" t="n">
        <v>0.026857</v>
      </c>
      <c r="C208" s="57" t="n">
        <v>0.030296</v>
      </c>
      <c r="D208" s="57" t="n">
        <v>0.032211</v>
      </c>
    </row>
    <row r="209" customFormat="false" ht="15" hidden="false" customHeight="false" outlineLevel="0" collapsed="false">
      <c r="A209" s="52" t="n">
        <v>44501</v>
      </c>
      <c r="B209" s="57" t="n">
        <v>0.026684</v>
      </c>
      <c r="C209" s="57" t="n">
        <v>0.030244</v>
      </c>
      <c r="D209" s="57" t="n">
        <v>0.03216</v>
      </c>
    </row>
    <row r="210" customFormat="false" ht="15" hidden="false" customHeight="false" outlineLevel="0" collapsed="false">
      <c r="A210" s="52" t="n">
        <v>44502</v>
      </c>
      <c r="B210" s="57" t="n">
        <v>0.026436</v>
      </c>
      <c r="C210" s="57" t="n">
        <v>0.029946</v>
      </c>
      <c r="D210" s="57" t="n">
        <v>0.031759</v>
      </c>
    </row>
    <row r="211" customFormat="false" ht="15" hidden="false" customHeight="false" outlineLevel="0" collapsed="false">
      <c r="A211" s="52" t="n">
        <v>44503</v>
      </c>
      <c r="B211" s="57" t="n">
        <v>0.026568</v>
      </c>
      <c r="C211" s="57" t="n">
        <v>0.029862</v>
      </c>
      <c r="D211" s="57" t="n">
        <v>0.03158</v>
      </c>
    </row>
    <row r="212" customFormat="false" ht="15" hidden="false" customHeight="false" outlineLevel="0" collapsed="false">
      <c r="A212" s="52" t="n">
        <v>44504</v>
      </c>
      <c r="B212" s="57" t="n">
        <v>0.026382</v>
      </c>
      <c r="C212" s="57" t="n">
        <v>0.029689</v>
      </c>
      <c r="D212" s="57" t="n">
        <v>0.031265</v>
      </c>
    </row>
    <row r="213" customFormat="false" ht="15" hidden="false" customHeight="false" outlineLevel="0" collapsed="false">
      <c r="A213" s="52" t="n">
        <v>44505</v>
      </c>
      <c r="B213" s="57" t="n">
        <v>0.026111</v>
      </c>
      <c r="C213" s="57" t="n">
        <v>0.029357</v>
      </c>
      <c r="D213" s="57" t="n">
        <v>0.031053</v>
      </c>
    </row>
    <row r="214" customFormat="false" ht="15" hidden="false" customHeight="false" outlineLevel="0" collapsed="false">
      <c r="A214" s="52" t="n">
        <v>44508</v>
      </c>
      <c r="B214" s="57" t="n">
        <v>0.026206</v>
      </c>
      <c r="C214" s="57" t="n">
        <v>0.02932</v>
      </c>
      <c r="D214" s="57" t="n">
        <v>0.030966</v>
      </c>
    </row>
    <row r="215" customFormat="false" ht="15" hidden="false" customHeight="false" outlineLevel="0" collapsed="false">
      <c r="A215" s="52" t="n">
        <v>44509</v>
      </c>
      <c r="B215" s="57" t="n">
        <v>0.02623</v>
      </c>
      <c r="C215" s="57" t="n">
        <v>0.029378</v>
      </c>
      <c r="D215" s="57" t="n">
        <v>0.031156</v>
      </c>
    </row>
    <row r="216" customFormat="false" ht="15" hidden="false" customHeight="false" outlineLevel="0" collapsed="false">
      <c r="A216" s="52" t="n">
        <v>44510</v>
      </c>
      <c r="B216" s="57" t="n">
        <v>0.026248</v>
      </c>
      <c r="C216" s="57" t="n">
        <v>0.029315</v>
      </c>
      <c r="D216" s="57" t="n">
        <v>0.03132</v>
      </c>
    </row>
    <row r="217" customFormat="false" ht="15" hidden="false" customHeight="false" outlineLevel="0" collapsed="false">
      <c r="A217" s="52" t="n">
        <v>44511</v>
      </c>
      <c r="B217" s="57" t="n">
        <v>0.026424</v>
      </c>
      <c r="C217" s="57" t="n">
        <v>0.029424</v>
      </c>
      <c r="D217" s="57" t="n">
        <v>0.031425</v>
      </c>
    </row>
    <row r="218" customFormat="false" ht="15" hidden="false" customHeight="false" outlineLevel="0" collapsed="false">
      <c r="A218" s="52" t="n">
        <v>44512</v>
      </c>
      <c r="B218" s="57" t="n">
        <v>0.026373</v>
      </c>
      <c r="C218" s="57" t="n">
        <v>0.029405</v>
      </c>
      <c r="D218" s="57" t="n">
        <v>0.031331</v>
      </c>
    </row>
    <row r="219" customFormat="false" ht="15" hidden="false" customHeight="false" outlineLevel="0" collapsed="false">
      <c r="A219" s="52" t="n">
        <v>44515</v>
      </c>
      <c r="B219" s="57" t="n">
        <v>0.026129</v>
      </c>
      <c r="C219" s="57" t="n">
        <v>0.029419</v>
      </c>
      <c r="D219" s="57" t="n">
        <v>0.031318</v>
      </c>
    </row>
    <row r="220" customFormat="false" ht="15" hidden="false" customHeight="false" outlineLevel="0" collapsed="false">
      <c r="A220" s="52" t="n">
        <v>44516</v>
      </c>
      <c r="B220" s="57" t="n">
        <v>0.026057</v>
      </c>
      <c r="C220" s="57" t="n">
        <v>0.029374</v>
      </c>
      <c r="D220" s="57" t="n">
        <v>0.031319</v>
      </c>
    </row>
    <row r="221" customFormat="false" ht="15" hidden="false" customHeight="false" outlineLevel="0" collapsed="false">
      <c r="A221" s="52" t="n">
        <v>44517</v>
      </c>
      <c r="B221" s="57" t="n">
        <v>0.026118</v>
      </c>
      <c r="C221" s="57" t="n">
        <v>0.029378</v>
      </c>
      <c r="D221" s="57" t="n">
        <v>0.031271</v>
      </c>
    </row>
    <row r="222" customFormat="false" ht="15" hidden="false" customHeight="false" outlineLevel="0" collapsed="false">
      <c r="A222" s="52" t="n">
        <v>44518</v>
      </c>
      <c r="B222" s="57" t="n">
        <v>0.02607</v>
      </c>
      <c r="C222" s="57" t="n">
        <v>0.029305</v>
      </c>
      <c r="D222" s="57" t="n">
        <v>0.031279</v>
      </c>
    </row>
    <row r="223" customFormat="false" ht="15" hidden="false" customHeight="false" outlineLevel="0" collapsed="false">
      <c r="A223" s="52" t="n">
        <v>44519</v>
      </c>
      <c r="B223" s="57" t="n">
        <v>0.026149</v>
      </c>
      <c r="C223" s="57" t="n">
        <v>0.02931</v>
      </c>
      <c r="D223" s="57" t="n">
        <v>0.031213</v>
      </c>
    </row>
    <row r="224" customFormat="false" ht="15" hidden="false" customHeight="false" outlineLevel="0" collapsed="false">
      <c r="A224" s="52" t="n">
        <v>44522</v>
      </c>
      <c r="B224" s="57" t="n">
        <v>0.025981</v>
      </c>
      <c r="C224" s="57" t="n">
        <v>0.02935</v>
      </c>
      <c r="D224" s="57" t="n">
        <v>0.031118</v>
      </c>
    </row>
    <row r="225" customFormat="false" ht="15" hidden="false" customHeight="false" outlineLevel="0" collapsed="false">
      <c r="A225" s="52" t="n">
        <v>44523</v>
      </c>
      <c r="B225" s="57" t="n">
        <v>0.026067</v>
      </c>
      <c r="C225" s="57" t="n">
        <v>0.029405</v>
      </c>
      <c r="D225" s="57" t="n">
        <v>0.031079</v>
      </c>
    </row>
    <row r="226" customFormat="false" ht="15" hidden="false" customHeight="false" outlineLevel="0" collapsed="false">
      <c r="A226" s="52" t="n">
        <v>44524</v>
      </c>
      <c r="B226" s="57" t="n">
        <v>0.025768</v>
      </c>
      <c r="C226" s="57" t="n">
        <v>0.029085</v>
      </c>
      <c r="D226" s="57" t="n">
        <v>0.030925</v>
      </c>
    </row>
    <row r="227" customFormat="false" ht="15" hidden="false" customHeight="false" outlineLevel="0" collapsed="false">
      <c r="A227" s="52" t="n">
        <v>44525</v>
      </c>
      <c r="B227" s="57" t="n">
        <v>0.025794</v>
      </c>
      <c r="C227" s="57" t="n">
        <v>0.02886</v>
      </c>
      <c r="D227" s="57" t="n">
        <v>0.030856</v>
      </c>
    </row>
    <row r="228" customFormat="false" ht="15" hidden="false" customHeight="false" outlineLevel="0" collapsed="false">
      <c r="A228" s="52" t="n">
        <v>44526</v>
      </c>
      <c r="B228" s="57" t="n">
        <v>0.025549</v>
      </c>
      <c r="C228" s="57" t="n">
        <v>0.028449</v>
      </c>
      <c r="D228" s="57" t="n">
        <v>0.030686</v>
      </c>
    </row>
    <row r="229" customFormat="false" ht="15" hidden="false" customHeight="false" outlineLevel="0" collapsed="false">
      <c r="A229" s="52" t="n">
        <v>44529</v>
      </c>
      <c r="B229" s="57" t="n">
        <v>0.025703</v>
      </c>
      <c r="C229" s="57" t="n">
        <v>0.028441</v>
      </c>
      <c r="D229" s="57" t="n">
        <v>0.030513</v>
      </c>
    </row>
    <row r="230" customFormat="false" ht="15" hidden="false" customHeight="false" outlineLevel="0" collapsed="false">
      <c r="A230" s="52" t="n">
        <v>44530</v>
      </c>
      <c r="B230" s="57" t="n">
        <v>0.025864</v>
      </c>
      <c r="C230" s="57" t="n">
        <v>0.028441</v>
      </c>
      <c r="D230" s="57" t="n">
        <v>0.030618</v>
      </c>
    </row>
    <row r="231" customFormat="false" ht="15" hidden="false" customHeight="false" outlineLevel="0" collapsed="false">
      <c r="A231" s="52" t="n">
        <v>44531</v>
      </c>
      <c r="B231" s="57" t="n">
        <v>0.025999</v>
      </c>
      <c r="C231" s="57" t="n">
        <v>0.028449</v>
      </c>
      <c r="D231" s="57" t="n">
        <v>0.03052</v>
      </c>
    </row>
    <row r="232" customFormat="false" ht="15" hidden="false" customHeight="false" outlineLevel="0" collapsed="false">
      <c r="A232" s="52" t="n">
        <v>44532</v>
      </c>
      <c r="B232" s="57" t="n">
        <v>0.026148</v>
      </c>
      <c r="C232" s="57" t="n">
        <v>0.028487</v>
      </c>
      <c r="D232" s="57" t="n">
        <v>0.030531</v>
      </c>
    </row>
    <row r="233" customFormat="false" ht="15" hidden="false" customHeight="false" outlineLevel="0" collapsed="false">
      <c r="A233" s="52" t="n">
        <v>44533</v>
      </c>
      <c r="B233" s="57" t="n">
        <v>0.02624</v>
      </c>
      <c r="C233" s="57" t="n">
        <v>0.028787</v>
      </c>
      <c r="D233" s="57" t="n">
        <v>0.03063</v>
      </c>
    </row>
    <row r="234" customFormat="false" ht="15" hidden="false" customHeight="false" outlineLevel="0" collapsed="false">
      <c r="A234" s="52" t="n">
        <v>44536</v>
      </c>
      <c r="B234" s="57" t="n">
        <v>0.025842</v>
      </c>
      <c r="C234" s="57" t="n">
        <v>0.028745</v>
      </c>
      <c r="D234" s="57" t="n">
        <v>0.030311</v>
      </c>
    </row>
    <row r="235" customFormat="false" ht="15" hidden="false" customHeight="false" outlineLevel="0" collapsed="false">
      <c r="A235" s="52" t="n">
        <v>44537</v>
      </c>
      <c r="B235" s="57" t="n">
        <v>0.02603</v>
      </c>
      <c r="C235" s="57" t="n">
        <v>0.028928</v>
      </c>
      <c r="D235" s="57" t="n">
        <v>0.030214</v>
      </c>
    </row>
    <row r="236" customFormat="false" ht="15" hidden="false" customHeight="false" outlineLevel="0" collapsed="false">
      <c r="A236" s="52" t="n">
        <v>44538</v>
      </c>
      <c r="B236" s="57" t="n">
        <v>0.026136</v>
      </c>
      <c r="C236" s="57" t="n">
        <v>0.029</v>
      </c>
      <c r="D236" s="57" t="n">
        <v>0.030343</v>
      </c>
    </row>
    <row r="237" customFormat="false" ht="15" hidden="false" customHeight="false" outlineLevel="0" collapsed="false">
      <c r="A237" s="52" t="n">
        <v>44539</v>
      </c>
      <c r="B237" s="57" t="n">
        <v>0.026113</v>
      </c>
      <c r="C237" s="57" t="n">
        <v>0.02901</v>
      </c>
      <c r="D237" s="57" t="n">
        <v>0.03028</v>
      </c>
    </row>
    <row r="238" customFormat="false" ht="15" hidden="false" customHeight="false" outlineLevel="0" collapsed="false">
      <c r="A238" s="52" t="n">
        <v>44540</v>
      </c>
      <c r="B238" s="57" t="n">
        <v>0.025956</v>
      </c>
      <c r="C238" s="57" t="n">
        <v>0.029118</v>
      </c>
      <c r="D238" s="57" t="n">
        <v>0.030257</v>
      </c>
    </row>
    <row r="239" customFormat="false" ht="15" hidden="false" customHeight="false" outlineLevel="0" collapsed="false">
      <c r="A239" s="52" t="n">
        <v>44543</v>
      </c>
      <c r="B239" s="57" t="n">
        <v>0.025877</v>
      </c>
      <c r="C239" s="57" t="n">
        <v>0.029187</v>
      </c>
      <c r="D239" s="57" t="n">
        <v>0.030269</v>
      </c>
    </row>
    <row r="240" customFormat="false" ht="15" hidden="false" customHeight="false" outlineLevel="0" collapsed="false">
      <c r="A240" s="52" t="n">
        <v>44544</v>
      </c>
      <c r="B240" s="57" t="n">
        <v>0.025751</v>
      </c>
      <c r="C240" s="57" t="n">
        <v>0.02924</v>
      </c>
      <c r="D240" s="57" t="n">
        <v>0.030202</v>
      </c>
    </row>
    <row r="241" customFormat="false" ht="15" hidden="false" customHeight="false" outlineLevel="0" collapsed="false">
      <c r="A241" s="52" t="n">
        <v>44545</v>
      </c>
      <c r="B241" s="57" t="n">
        <v>0.025686</v>
      </c>
      <c r="C241" s="57" t="n">
        <v>0.029244</v>
      </c>
      <c r="D241" s="57" t="n">
        <v>0.030226</v>
      </c>
    </row>
    <row r="242" customFormat="false" ht="15" hidden="false" customHeight="false" outlineLevel="0" collapsed="false">
      <c r="A242" s="52" t="n">
        <v>44546</v>
      </c>
      <c r="B242" s="57" t="n">
        <v>0.025733</v>
      </c>
      <c r="C242" s="57" t="n">
        <v>0.029249</v>
      </c>
      <c r="D242" s="57" t="n">
        <v>0.030152</v>
      </c>
    </row>
    <row r="243" customFormat="false" ht="15" hidden="false" customHeight="false" outlineLevel="0" collapsed="false">
      <c r="A243" s="52" t="n">
        <v>44547</v>
      </c>
      <c r="B243" s="57" t="n">
        <v>0.025726</v>
      </c>
      <c r="C243" s="57" t="n">
        <v>0.029347</v>
      </c>
      <c r="D243" s="57" t="n">
        <v>0.030019</v>
      </c>
    </row>
    <row r="244" customFormat="false" ht="15" hidden="false" customHeight="false" outlineLevel="0" collapsed="false">
      <c r="A244" s="52" t="n">
        <v>44550</v>
      </c>
      <c r="B244" s="57" t="n">
        <v>0.025918</v>
      </c>
      <c r="C244" s="57" t="n">
        <v>0.029155</v>
      </c>
      <c r="D244" s="57" t="n">
        <v>0.029995</v>
      </c>
    </row>
    <row r="245" customFormat="false" ht="15" hidden="false" customHeight="false" outlineLevel="0" collapsed="false">
      <c r="A245" s="52" t="n">
        <v>44551</v>
      </c>
      <c r="B245" s="57" t="n">
        <v>0.025893</v>
      </c>
      <c r="C245" s="57" t="n">
        <v>0.029556</v>
      </c>
      <c r="D245" s="57" t="n">
        <v>0.030081</v>
      </c>
    </row>
    <row r="246" customFormat="false" ht="15" hidden="false" customHeight="false" outlineLevel="0" collapsed="false">
      <c r="A246" s="52" t="n">
        <v>44552</v>
      </c>
      <c r="B246" s="57" t="n">
        <v>0.025755</v>
      </c>
      <c r="C246" s="57" t="n">
        <v>0.029367</v>
      </c>
      <c r="D246" s="57" t="n">
        <v>0.030011</v>
      </c>
    </row>
    <row r="247" customFormat="false" ht="15" hidden="false" customHeight="false" outlineLevel="0" collapsed="false">
      <c r="A247" s="52" t="n">
        <v>44553</v>
      </c>
      <c r="B247" s="57" t="n">
        <v>0.025463</v>
      </c>
      <c r="C247" s="57" t="n">
        <v>0.029005</v>
      </c>
      <c r="D247" s="57" t="n">
        <v>0.029882</v>
      </c>
    </row>
    <row r="248" customFormat="false" ht="15" hidden="false" customHeight="false" outlineLevel="0" collapsed="false">
      <c r="A248" s="52" t="n">
        <v>44554</v>
      </c>
      <c r="B248" s="57" t="n">
        <v>0.025596</v>
      </c>
      <c r="C248" s="57" t="n">
        <v>0.028908</v>
      </c>
      <c r="D248" s="57" t="n">
        <v>0.029817</v>
      </c>
    </row>
    <row r="249" customFormat="false" ht="15" hidden="false" customHeight="false" outlineLevel="0" collapsed="false">
      <c r="A249" s="52" t="n">
        <v>44557</v>
      </c>
      <c r="B249" s="57" t="n">
        <v>0.025445</v>
      </c>
      <c r="C249" s="57" t="n">
        <v>0.028728</v>
      </c>
      <c r="D249" s="57" t="n">
        <v>0.029622</v>
      </c>
    </row>
    <row r="250" customFormat="false" ht="15" hidden="false" customHeight="false" outlineLevel="0" collapsed="false">
      <c r="A250" s="52" t="n">
        <v>44558</v>
      </c>
      <c r="B250" s="57" t="n">
        <v>0.025308</v>
      </c>
      <c r="C250" s="57" t="n">
        <v>0.028695</v>
      </c>
      <c r="D250" s="57" t="n">
        <v>0.029485</v>
      </c>
    </row>
    <row r="251" customFormat="false" ht="15" hidden="false" customHeight="false" outlineLevel="0" collapsed="false">
      <c r="A251" s="52" t="n">
        <v>44559</v>
      </c>
      <c r="B251" s="57" t="n">
        <v>0.025066</v>
      </c>
      <c r="C251" s="57" t="n">
        <v>0.028452</v>
      </c>
      <c r="D251" s="57" t="n">
        <v>0.02929</v>
      </c>
    </row>
    <row r="252" customFormat="false" ht="15" hidden="false" customHeight="false" outlineLevel="0" collapsed="false">
      <c r="A252" s="52" t="n">
        <v>44560</v>
      </c>
      <c r="B252" s="57" t="n">
        <v>0.024614</v>
      </c>
      <c r="C252" s="57" t="n">
        <v>0.028243</v>
      </c>
      <c r="D252" s="57" t="n">
        <v>0.029254</v>
      </c>
    </row>
    <row r="253" customFormat="false" ht="15" hidden="false" customHeight="false" outlineLevel="0" collapsed="false">
      <c r="A253" s="52" t="n">
        <v>44561</v>
      </c>
      <c r="B253" s="57" t="n">
        <v>0.024584</v>
      </c>
      <c r="C253" s="57" t="n">
        <v>0.027951</v>
      </c>
      <c r="D253" s="57" t="n">
        <v>0.029116</v>
      </c>
    </row>
    <row r="254" customFormat="false" ht="15" hidden="false" customHeight="false" outlineLevel="0" collapsed="false">
      <c r="A254" s="52" t="n">
        <v>44565</v>
      </c>
      <c r="B254" s="57" t="n">
        <v>0.024438</v>
      </c>
      <c r="C254" s="57" t="n">
        <v>0.02818</v>
      </c>
      <c r="D254" s="57" t="n">
        <v>0.029077</v>
      </c>
    </row>
    <row r="255" customFormat="false" ht="15" hidden="false" customHeight="false" outlineLevel="0" collapsed="false">
      <c r="A255" s="52" t="n">
        <v>44566</v>
      </c>
      <c r="B255" s="57" t="n">
        <v>0.02449</v>
      </c>
      <c r="C255" s="57" t="n">
        <v>0.028075</v>
      </c>
      <c r="D255" s="57" t="n">
        <v>0.029065</v>
      </c>
    </row>
    <row r="256" customFormat="false" ht="15" hidden="false" customHeight="false" outlineLevel="0" collapsed="false">
      <c r="A256" s="52" t="n">
        <v>44567</v>
      </c>
      <c r="B256" s="57" t="n">
        <v>0.024812</v>
      </c>
      <c r="C256" s="57" t="n">
        <v>0.028241</v>
      </c>
      <c r="D256" s="57" t="n">
        <v>0.029176</v>
      </c>
    </row>
    <row r="257" customFormat="false" ht="15" hidden="false" customHeight="false" outlineLevel="0" collapsed="false">
      <c r="A257" s="52" t="n">
        <v>44568</v>
      </c>
      <c r="B257" s="57" t="n">
        <v>0.024734</v>
      </c>
      <c r="C257" s="57" t="n">
        <v>0.028201</v>
      </c>
      <c r="D257" s="57" t="n">
        <v>0.029291</v>
      </c>
    </row>
    <row r="258" customFormat="false" ht="15" hidden="false" customHeight="false" outlineLevel="0" collapsed="false">
      <c r="A258" s="52" t="n">
        <v>44571</v>
      </c>
      <c r="B258" s="57" t="n">
        <v>0.024513</v>
      </c>
      <c r="C258" s="57" t="n">
        <v>0.028102</v>
      </c>
      <c r="D258" s="57" t="n">
        <v>0.029254</v>
      </c>
    </row>
    <row r="259" customFormat="false" ht="15" hidden="false" customHeight="false" outlineLevel="0" collapsed="false">
      <c r="A259" s="52" t="n">
        <v>44572</v>
      </c>
      <c r="B259" s="57" t="n">
        <v>0.024229</v>
      </c>
      <c r="C259" s="57" t="n">
        <v>0.028125</v>
      </c>
      <c r="D259" s="57" t="n">
        <v>0.029116</v>
      </c>
    </row>
    <row r="260" customFormat="false" ht="15" hidden="false" customHeight="false" outlineLevel="0" collapsed="false">
      <c r="A260" s="52" t="n">
        <v>44573</v>
      </c>
      <c r="B260" s="57" t="n">
        <v>0.024231</v>
      </c>
      <c r="C260" s="57" t="n">
        <v>0.028017</v>
      </c>
      <c r="D260" s="57" t="n">
        <v>0.028954</v>
      </c>
    </row>
    <row r="261" customFormat="false" ht="15" hidden="false" customHeight="false" outlineLevel="0" collapsed="false">
      <c r="A261" s="52" t="n">
        <v>44574</v>
      </c>
      <c r="B261" s="57" t="n">
        <v>0.024266</v>
      </c>
      <c r="C261" s="57" t="n">
        <v>0.027932</v>
      </c>
      <c r="D261" s="57" t="n">
        <v>0.028927</v>
      </c>
    </row>
    <row r="262" customFormat="false" ht="15" hidden="false" customHeight="false" outlineLevel="0" collapsed="false">
      <c r="A262" s="52" t="n">
        <v>44575</v>
      </c>
      <c r="B262" s="57" t="n">
        <v>0.024298</v>
      </c>
      <c r="C262" s="57" t="n">
        <v>0.027843</v>
      </c>
      <c r="D262" s="57" t="n">
        <v>0.028964</v>
      </c>
    </row>
    <row r="263" customFormat="false" ht="15" hidden="false" customHeight="false" outlineLevel="0" collapsed="false">
      <c r="A263" s="52" t="n">
        <v>44578</v>
      </c>
      <c r="B263" s="57" t="n">
        <v>0.024162</v>
      </c>
      <c r="C263" s="57" t="n">
        <v>0.02772</v>
      </c>
      <c r="D263" s="57" t="n">
        <v>0.028825</v>
      </c>
    </row>
    <row r="264" customFormat="false" ht="15" hidden="false" customHeight="false" outlineLevel="0" collapsed="false">
      <c r="A264" s="52" t="n">
        <v>44579</v>
      </c>
      <c r="B264" s="57" t="n">
        <v>0.023542</v>
      </c>
      <c r="C264" s="57" t="n">
        <v>0.027469</v>
      </c>
      <c r="D264" s="57" t="n">
        <v>0.028638</v>
      </c>
    </row>
    <row r="265" customFormat="false" ht="15" hidden="false" customHeight="false" outlineLevel="0" collapsed="false">
      <c r="A265" s="52" t="n">
        <v>44580</v>
      </c>
      <c r="B265" s="57" t="n">
        <v>0.02332</v>
      </c>
      <c r="C265" s="57" t="n">
        <v>0.026859</v>
      </c>
      <c r="D265" s="57" t="n">
        <v>0.028094</v>
      </c>
    </row>
    <row r="266" customFormat="false" ht="15" hidden="false" customHeight="false" outlineLevel="0" collapsed="false">
      <c r="A266" s="52" t="n">
        <v>44581</v>
      </c>
      <c r="B266" s="57" t="n">
        <v>0.023038</v>
      </c>
      <c r="C266" s="57" t="n">
        <v>0.026872</v>
      </c>
      <c r="D266" s="57" t="n">
        <v>0.028009</v>
      </c>
    </row>
    <row r="267" customFormat="false" ht="15" hidden="false" customHeight="false" outlineLevel="0" collapsed="false">
      <c r="A267" s="52" t="n">
        <v>44582</v>
      </c>
      <c r="B267" s="57" t="n">
        <v>0.022614</v>
      </c>
      <c r="C267" s="57" t="n">
        <v>0.026884</v>
      </c>
      <c r="D267" s="57" t="n">
        <v>0.028007</v>
      </c>
    </row>
    <row r="268" customFormat="false" ht="15" hidden="false" customHeight="false" outlineLevel="0" collapsed="false">
      <c r="A268" s="52" t="n">
        <v>44585</v>
      </c>
      <c r="B268" s="57" t="n">
        <v>0.022188</v>
      </c>
      <c r="C268" s="57" t="n">
        <v>0.026804</v>
      </c>
      <c r="D268" s="57" t="n">
        <v>0.027664</v>
      </c>
    </row>
    <row r="269" customFormat="false" ht="15" hidden="false" customHeight="false" outlineLevel="0" collapsed="false">
      <c r="A269" s="52" t="n">
        <v>44586</v>
      </c>
      <c r="B269" s="57" t="n">
        <v>0.02261</v>
      </c>
      <c r="C269" s="57" t="n">
        <v>0.026741</v>
      </c>
      <c r="D269" s="57" t="n">
        <v>0.027627</v>
      </c>
    </row>
    <row r="270" customFormat="false" ht="15" hidden="false" customHeight="false" outlineLevel="0" collapsed="false">
      <c r="A270" s="52" t="n">
        <v>44587</v>
      </c>
      <c r="B270" s="57" t="n">
        <v>0.022653</v>
      </c>
      <c r="C270" s="57" t="n">
        <v>0.026993</v>
      </c>
      <c r="D270" s="57" t="n">
        <v>0.027744</v>
      </c>
    </row>
    <row r="271" customFormat="false" ht="15" hidden="false" customHeight="false" outlineLevel="0" collapsed="false">
      <c r="A271" s="52" t="n">
        <v>44588</v>
      </c>
      <c r="B271" s="57" t="n">
        <v>0.022815</v>
      </c>
      <c r="C271" s="57" t="n">
        <v>0.027041</v>
      </c>
      <c r="D271" s="57" t="n">
        <v>0.027844</v>
      </c>
    </row>
    <row r="272" customFormat="false" ht="15" hidden="false" customHeight="false" outlineLevel="0" collapsed="false">
      <c r="A272" s="52" t="n">
        <v>44589</v>
      </c>
      <c r="B272" s="57" t="n">
        <v>0.022415</v>
      </c>
      <c r="C272" s="57" t="n">
        <v>0.026898</v>
      </c>
      <c r="D272" s="57" t="n">
        <v>0.027743</v>
      </c>
    </row>
    <row r="273" customFormat="false" ht="15" hidden="false" customHeight="false" outlineLevel="0" collapsed="false">
      <c r="A273" s="52" t="n">
        <v>44590</v>
      </c>
      <c r="B273" s="57" t="n">
        <v>0.022327</v>
      </c>
      <c r="C273" s="57" t="n">
        <v>0.026766</v>
      </c>
      <c r="D273" s="57" t="n">
        <v>0.027611</v>
      </c>
    </row>
    <row r="274" customFormat="false" ht="15" hidden="false" customHeight="false" outlineLevel="0" collapsed="false">
      <c r="A274" s="52" t="n">
        <v>44591</v>
      </c>
      <c r="B274" s="57" t="n">
        <v>0.022318</v>
      </c>
      <c r="C274" s="57" t="n">
        <v>0.02663</v>
      </c>
      <c r="D274" s="57" t="n">
        <v>0.027475</v>
      </c>
    </row>
    <row r="275" customFormat="false" ht="15" hidden="false" customHeight="false" outlineLevel="0" collapsed="false">
      <c r="A275" s="52" t="n">
        <v>44599</v>
      </c>
      <c r="B275" s="57" t="n">
        <v>0.022697</v>
      </c>
      <c r="C275" s="57" t="n">
        <v>0.026752</v>
      </c>
      <c r="D275" s="57" t="n">
        <v>0.027724</v>
      </c>
    </row>
    <row r="276" customFormat="false" ht="15" hidden="false" customHeight="false" outlineLevel="0" collapsed="false">
      <c r="A276" s="52" t="n">
        <v>44600</v>
      </c>
      <c r="B276" s="57" t="n">
        <v>0.02278</v>
      </c>
      <c r="C276" s="57" t="n">
        <v>0.026726</v>
      </c>
      <c r="D276" s="57" t="n">
        <v>0.027809</v>
      </c>
    </row>
    <row r="277" customFormat="false" ht="15" hidden="false" customHeight="false" outlineLevel="0" collapsed="false">
      <c r="A277" s="52" t="n">
        <v>44601</v>
      </c>
      <c r="B277" s="57" t="n">
        <v>0.02299</v>
      </c>
      <c r="C277" s="57" t="n">
        <v>0.02675</v>
      </c>
      <c r="D277" s="57" t="n">
        <v>0.027823</v>
      </c>
    </row>
    <row r="278" customFormat="false" ht="15" hidden="false" customHeight="false" outlineLevel="0" collapsed="false">
      <c r="A278" s="52" t="n">
        <v>44602</v>
      </c>
      <c r="B278" s="57" t="n">
        <v>0.022965</v>
      </c>
      <c r="C278" s="57" t="n">
        <v>0.0268</v>
      </c>
      <c r="D278" s="57" t="n">
        <v>0.027753</v>
      </c>
    </row>
    <row r="279" customFormat="false" ht="15" hidden="false" customHeight="false" outlineLevel="0" collapsed="false">
      <c r="A279" s="52" t="n">
        <v>44603</v>
      </c>
      <c r="B279" s="57" t="n">
        <v>0.023465</v>
      </c>
      <c r="C279" s="57" t="n">
        <v>0.027356</v>
      </c>
      <c r="D279" s="57" t="n">
        <v>0.028142</v>
      </c>
    </row>
    <row r="280" customFormat="false" ht="15" hidden="false" customHeight="false" outlineLevel="0" collapsed="false">
      <c r="A280" s="52" t="n">
        <v>44606</v>
      </c>
      <c r="B280" s="57" t="n">
        <v>0.02359</v>
      </c>
      <c r="C280" s="57" t="n">
        <v>0.027449</v>
      </c>
      <c r="D280" s="57" t="n">
        <v>0.028295</v>
      </c>
    </row>
    <row r="281" customFormat="false" ht="15" hidden="false" customHeight="false" outlineLevel="0" collapsed="false">
      <c r="A281" s="52" t="n">
        <v>44607</v>
      </c>
      <c r="B281" s="57" t="n">
        <v>0.023472</v>
      </c>
      <c r="C281" s="57" t="n">
        <v>0.027631</v>
      </c>
      <c r="D281" s="57" t="n">
        <v>0.028452</v>
      </c>
    </row>
    <row r="282" customFormat="false" ht="15" hidden="false" customHeight="false" outlineLevel="0" collapsed="false">
      <c r="A282" s="52" t="n">
        <v>44608</v>
      </c>
      <c r="B282" s="57" t="n">
        <v>0.023281</v>
      </c>
      <c r="C282" s="57" t="n">
        <v>0.02758</v>
      </c>
      <c r="D282" s="57" t="n">
        <v>0.028525</v>
      </c>
    </row>
    <row r="283" customFormat="false" ht="15" hidden="false" customHeight="false" outlineLevel="0" collapsed="false">
      <c r="A283" s="52" t="n">
        <v>44609</v>
      </c>
      <c r="B283" s="57" t="n">
        <v>0.023013</v>
      </c>
      <c r="C283" s="57" t="n">
        <v>0.027292</v>
      </c>
      <c r="D283" s="57" t="n">
        <v>0.028529</v>
      </c>
    </row>
    <row r="284" customFormat="false" ht="15" hidden="false" customHeight="false" outlineLevel="0" collapsed="false">
      <c r="A284" s="52" t="n">
        <v>44610</v>
      </c>
      <c r="B284" s="57" t="n">
        <v>0.023088</v>
      </c>
      <c r="C284" s="57" t="n">
        <v>0.027414</v>
      </c>
      <c r="D284" s="57" t="n">
        <v>0.028468</v>
      </c>
    </row>
    <row r="285" customFormat="false" ht="15" hidden="false" customHeight="false" outlineLevel="0" collapsed="false">
      <c r="A285" s="52" t="n">
        <v>44613</v>
      </c>
      <c r="B285" s="57" t="n">
        <v>0.023408</v>
      </c>
      <c r="C285" s="57" t="n">
        <v>0.027708</v>
      </c>
      <c r="D285" s="57" t="n">
        <v>0.028825</v>
      </c>
    </row>
    <row r="286" customFormat="false" ht="15" hidden="false" customHeight="false" outlineLevel="0" collapsed="false">
      <c r="A286" s="52" t="n">
        <v>44614</v>
      </c>
      <c r="B286" s="57" t="n">
        <v>0.023561</v>
      </c>
      <c r="C286" s="57" t="n">
        <v>0.027997</v>
      </c>
      <c r="D286" s="57" t="n">
        <v>0.029375</v>
      </c>
    </row>
    <row r="287" customFormat="false" ht="15" hidden="false" customHeight="false" outlineLevel="0" collapsed="false">
      <c r="A287" s="52" t="n">
        <v>44615</v>
      </c>
      <c r="B287" s="57" t="n">
        <v>0.023486</v>
      </c>
      <c r="C287" s="57" t="n">
        <v>0.028</v>
      </c>
      <c r="D287" s="57" t="n">
        <v>0.029473</v>
      </c>
    </row>
    <row r="288" customFormat="false" ht="15" hidden="false" customHeight="false" outlineLevel="0" collapsed="false">
      <c r="A288" s="52" t="n">
        <v>44616</v>
      </c>
      <c r="B288" s="57" t="n">
        <v>0.023386</v>
      </c>
      <c r="C288" s="57" t="n">
        <v>0.027803</v>
      </c>
      <c r="D288" s="57" t="n">
        <v>0.029413</v>
      </c>
    </row>
    <row r="289" customFormat="false" ht="15" hidden="false" customHeight="false" outlineLevel="0" collapsed="false">
      <c r="A289" s="52" t="n">
        <v>44617</v>
      </c>
      <c r="B289" s="57" t="n">
        <v>0.02295</v>
      </c>
      <c r="C289" s="57" t="n">
        <v>0.02791</v>
      </c>
      <c r="D289" s="57" t="n">
        <v>0.029358</v>
      </c>
    </row>
    <row r="290" customFormat="false" ht="15" hidden="false" customHeight="false" outlineLevel="0" collapsed="false">
      <c r="A290" s="52" t="n">
        <v>44620</v>
      </c>
      <c r="B290" s="57" t="n">
        <v>0.02293</v>
      </c>
      <c r="C290" s="57" t="n">
        <v>0.027818</v>
      </c>
      <c r="D290" s="57" t="n">
        <v>0.029226</v>
      </c>
    </row>
    <row r="291" customFormat="false" ht="15" hidden="false" customHeight="false" outlineLevel="0" collapsed="false">
      <c r="A291" s="52" t="n">
        <v>44621</v>
      </c>
      <c r="B291" s="57" t="n">
        <v>0.02303</v>
      </c>
      <c r="C291" s="57" t="n">
        <v>0.027971</v>
      </c>
      <c r="D291" s="57" t="n">
        <v>0.029402</v>
      </c>
    </row>
    <row r="292" customFormat="false" ht="15" hidden="false" customHeight="false" outlineLevel="0" collapsed="false">
      <c r="A292" s="52" t="n">
        <v>44622</v>
      </c>
      <c r="B292" s="57" t="n">
        <v>0.023156</v>
      </c>
      <c r="C292" s="57" t="n">
        <v>0.02841</v>
      </c>
      <c r="D292" s="57" t="n">
        <v>0.029578</v>
      </c>
    </row>
    <row r="293" customFormat="false" ht="15" hidden="false" customHeight="false" outlineLevel="0" collapsed="false">
      <c r="A293" s="52" t="n">
        <v>44623</v>
      </c>
      <c r="B293" s="57" t="n">
        <v>0.023407</v>
      </c>
      <c r="C293" s="57" t="n">
        <v>0.028593</v>
      </c>
      <c r="D293" s="57" t="n">
        <v>0.029933</v>
      </c>
    </row>
    <row r="294" customFormat="false" ht="15" hidden="false" customHeight="false" outlineLevel="0" collapsed="false">
      <c r="A294" s="52" t="n">
        <v>44624</v>
      </c>
      <c r="B294" s="57" t="n">
        <v>0.023309</v>
      </c>
      <c r="C294" s="57" t="n">
        <v>0.028908</v>
      </c>
      <c r="D294" s="57" t="n">
        <v>0.030388</v>
      </c>
    </row>
    <row r="295" customFormat="false" ht="15" hidden="false" customHeight="false" outlineLevel="0" collapsed="false">
      <c r="A295" s="52" t="n">
        <v>44627</v>
      </c>
      <c r="B295" s="57" t="n">
        <v>0.023312</v>
      </c>
      <c r="C295" s="57" t="n">
        <v>0.028957</v>
      </c>
      <c r="D295" s="57" t="n">
        <v>0.030436</v>
      </c>
    </row>
    <row r="296" customFormat="false" ht="15" hidden="false" customHeight="false" outlineLevel="0" collapsed="false">
      <c r="A296" s="52" t="n">
        <v>44628</v>
      </c>
      <c r="B296" s="57" t="n">
        <v>0.023017</v>
      </c>
      <c r="C296" s="57" t="n">
        <v>0.028943</v>
      </c>
      <c r="D296" s="57" t="n">
        <v>0.030469</v>
      </c>
    </row>
    <row r="297" customFormat="false" ht="15" hidden="false" customHeight="false" outlineLevel="0" collapsed="false">
      <c r="A297" s="52" t="n">
        <v>44629</v>
      </c>
      <c r="B297" s="57" t="n">
        <v>0.023165</v>
      </c>
      <c r="C297" s="57" t="n">
        <v>0.029264</v>
      </c>
      <c r="D297" s="57" t="n">
        <v>0.030834</v>
      </c>
    </row>
    <row r="298" customFormat="false" ht="15" hidden="false" customHeight="false" outlineLevel="0" collapsed="false">
      <c r="A298" s="52" t="n">
        <v>44630</v>
      </c>
      <c r="B298" s="57" t="n">
        <v>0.023265</v>
      </c>
      <c r="C298" s="57" t="n">
        <v>0.029525</v>
      </c>
      <c r="D298" s="57" t="n">
        <v>0.031098</v>
      </c>
    </row>
    <row r="299" customFormat="false" ht="15" hidden="false" customHeight="false" outlineLevel="0" collapsed="false">
      <c r="A299" s="52" t="n">
        <v>44631</v>
      </c>
      <c r="B299" s="57" t="n">
        <v>0.023227</v>
      </c>
      <c r="C299" s="57" t="n">
        <v>0.029709</v>
      </c>
      <c r="D299" s="57" t="n">
        <v>0.031179</v>
      </c>
    </row>
    <row r="300" customFormat="false" ht="15" hidden="false" customHeight="false" outlineLevel="0" collapsed="false">
      <c r="A300" s="52" t="n">
        <v>44634</v>
      </c>
      <c r="B300" s="57" t="n">
        <v>0.022816</v>
      </c>
      <c r="C300" s="57" t="n">
        <v>0.029279</v>
      </c>
      <c r="D300" s="57" t="n">
        <v>0.030848</v>
      </c>
    </row>
    <row r="301" customFormat="false" ht="15" hidden="false" customHeight="false" outlineLevel="0" collapsed="false">
      <c r="A301" s="52" t="n">
        <v>44635</v>
      </c>
      <c r="B301" s="57" t="n">
        <v>0.023329</v>
      </c>
      <c r="C301" s="57" t="n">
        <v>0.030047</v>
      </c>
      <c r="D301" s="57" t="n">
        <v>0.030927</v>
      </c>
    </row>
    <row r="302" customFormat="false" ht="15" hidden="false" customHeight="false" outlineLevel="0" collapsed="false">
      <c r="A302" s="52" t="n">
        <v>44636</v>
      </c>
      <c r="B302" s="57" t="n">
        <v>0.023521</v>
      </c>
      <c r="C302" s="57" t="n">
        <v>0.0301</v>
      </c>
      <c r="D302" s="57" t="n">
        <v>0.031179</v>
      </c>
    </row>
    <row r="303" customFormat="false" ht="15" hidden="false" customHeight="false" outlineLevel="0" collapsed="false">
      <c r="A303" s="52" t="n">
        <v>44637</v>
      </c>
      <c r="B303" s="57" t="n">
        <v>0.023608</v>
      </c>
      <c r="C303" s="57" t="n">
        <v>0.030004</v>
      </c>
      <c r="D303" s="57" t="n">
        <v>0.031143</v>
      </c>
    </row>
    <row r="304" customFormat="false" ht="15" hidden="false" customHeight="false" outlineLevel="0" collapsed="false">
      <c r="A304" s="52" t="n">
        <v>44638</v>
      </c>
      <c r="B304" s="57" t="n">
        <v>0.023393</v>
      </c>
      <c r="C304" s="57" t="n">
        <v>0.029808</v>
      </c>
      <c r="D304" s="57" t="n">
        <v>0.031107</v>
      </c>
    </row>
    <row r="305" customFormat="false" ht="15" hidden="false" customHeight="false" outlineLevel="0" collapsed="false">
      <c r="A305" s="52" t="n">
        <v>44641</v>
      </c>
      <c r="B305" s="57" t="n">
        <v>0.023847</v>
      </c>
      <c r="C305" s="57" t="n">
        <v>0.029768</v>
      </c>
      <c r="D305" s="57" t="n">
        <v>0.03096</v>
      </c>
    </row>
    <row r="306" customFormat="false" ht="15" hidden="false" customHeight="false" outlineLevel="0" collapsed="false">
      <c r="A306" s="52" t="n">
        <v>44642</v>
      </c>
      <c r="B306" s="57" t="n">
        <v>0.024421</v>
      </c>
      <c r="C306" s="57" t="n">
        <v>0.030186</v>
      </c>
      <c r="D306" s="57" t="n">
        <v>0.031151</v>
      </c>
    </row>
    <row r="307" customFormat="false" ht="15" hidden="false" customHeight="false" outlineLevel="0" collapsed="false">
      <c r="A307" s="52" t="n">
        <v>44643</v>
      </c>
      <c r="B307" s="57" t="n">
        <v>0.024582</v>
      </c>
      <c r="C307" s="57" t="n">
        <v>0.030234</v>
      </c>
      <c r="D307" s="57" t="n">
        <v>0.031228</v>
      </c>
    </row>
    <row r="308" customFormat="false" ht="15" hidden="false" customHeight="false" outlineLevel="0" collapsed="false">
      <c r="A308" s="52" t="n">
        <v>44644</v>
      </c>
      <c r="B308" s="57" t="n">
        <v>0.024433</v>
      </c>
      <c r="C308" s="57" t="n">
        <v>0.030292</v>
      </c>
      <c r="D308" s="57" t="n">
        <v>0.031217</v>
      </c>
    </row>
    <row r="309" customFormat="false" ht="15" hidden="false" customHeight="false" outlineLevel="0" collapsed="false">
      <c r="A309" s="52" t="n">
        <v>44645</v>
      </c>
      <c r="B309" s="57" t="n">
        <v>0.024309</v>
      </c>
      <c r="C309" s="57" t="n">
        <v>0.030055</v>
      </c>
      <c r="D309" s="57" t="n">
        <v>0.031186</v>
      </c>
    </row>
    <row r="310" customFormat="false" ht="15" hidden="false" customHeight="false" outlineLevel="0" collapsed="false">
      <c r="A310" s="52" t="n">
        <v>44648</v>
      </c>
      <c r="B310" s="57" t="n">
        <v>0.02439</v>
      </c>
      <c r="C310" s="57" t="n">
        <v>0.029908</v>
      </c>
      <c r="D310" s="57" t="n">
        <v>0.031229</v>
      </c>
    </row>
    <row r="311" customFormat="false" ht="15" hidden="false" customHeight="false" outlineLevel="0" collapsed="false">
      <c r="A311" s="52" t="n">
        <v>44649</v>
      </c>
      <c r="B311" s="57" t="n">
        <v>0.024414</v>
      </c>
      <c r="C311" s="57" t="n">
        <v>0.029787</v>
      </c>
      <c r="D311" s="57" t="n">
        <v>0.031221</v>
      </c>
    </row>
    <row r="312" customFormat="false" ht="15" hidden="false" customHeight="false" outlineLevel="0" collapsed="false">
      <c r="A312" s="52" t="n">
        <v>44650</v>
      </c>
      <c r="B312" s="57" t="n">
        <v>0.024302</v>
      </c>
      <c r="C312" s="57" t="n">
        <v>0.02957</v>
      </c>
      <c r="D312" s="57" t="n">
        <v>0.031021</v>
      </c>
    </row>
    <row r="313" customFormat="false" ht="15" hidden="false" customHeight="false" outlineLevel="0" collapsed="false">
      <c r="A313" s="52" t="n">
        <v>44651</v>
      </c>
      <c r="B313" s="57" t="n">
        <v>0.024151</v>
      </c>
      <c r="C313" s="57" t="n">
        <v>0.029473</v>
      </c>
      <c r="D313" s="57" t="n">
        <v>0.030797</v>
      </c>
    </row>
    <row r="314" customFormat="false" ht="15" hidden="false" customHeight="false" outlineLevel="0" collapsed="false">
      <c r="A314" s="52" t="n">
        <v>44652</v>
      </c>
      <c r="B314" s="57" t="n">
        <v>0.023807</v>
      </c>
      <c r="C314" s="57" t="n">
        <v>0.029179</v>
      </c>
      <c r="D314" s="57" t="n">
        <v>0.03052</v>
      </c>
    </row>
    <row r="315" customFormat="false" ht="15" hidden="false" customHeight="false" outlineLevel="0" collapsed="false">
      <c r="A315" s="52" t="n">
        <v>44653</v>
      </c>
      <c r="B315" s="57" t="n">
        <v>0.02376</v>
      </c>
      <c r="C315" s="57" t="n">
        <v>0.02902</v>
      </c>
      <c r="D315" s="57" t="n">
        <v>0.030251</v>
      </c>
    </row>
    <row r="316" customFormat="false" ht="15" hidden="false" customHeight="false" outlineLevel="0" collapsed="false">
      <c r="A316" s="52" t="n">
        <v>44657</v>
      </c>
      <c r="B316" s="57" t="n">
        <v>0.023561</v>
      </c>
      <c r="C316" s="57" t="n">
        <v>0.028913</v>
      </c>
      <c r="D316" s="57" t="n">
        <v>0.03004</v>
      </c>
    </row>
    <row r="317" customFormat="false" ht="15" hidden="false" customHeight="false" outlineLevel="0" collapsed="false">
      <c r="A317" s="52" t="n">
        <v>44658</v>
      </c>
      <c r="B317" s="57" t="n">
        <v>0.023446</v>
      </c>
      <c r="C317" s="57" t="n">
        <v>0.028724</v>
      </c>
      <c r="D317" s="57" t="n">
        <v>0.02974</v>
      </c>
    </row>
    <row r="318" customFormat="false" ht="15" hidden="false" customHeight="false" outlineLevel="0" collapsed="false">
      <c r="A318" s="52" t="n">
        <v>44659</v>
      </c>
      <c r="B318" s="57" t="n">
        <v>0.023541</v>
      </c>
      <c r="C318" s="57" t="n">
        <v>0.028538</v>
      </c>
      <c r="D318" s="57" t="n">
        <v>0.029517</v>
      </c>
    </row>
    <row r="319" customFormat="false" ht="15" hidden="false" customHeight="false" outlineLevel="0" collapsed="false">
      <c r="A319" s="52" t="n">
        <v>44662</v>
      </c>
      <c r="B319" s="57" t="n">
        <v>0.023874</v>
      </c>
      <c r="C319" s="57" t="n">
        <v>0.028871</v>
      </c>
      <c r="D319" s="57" t="n">
        <v>0.0297</v>
      </c>
    </row>
    <row r="320" customFormat="false" ht="15" hidden="false" customHeight="false" outlineLevel="0" collapsed="false">
      <c r="A320" s="52" t="n">
        <v>44663</v>
      </c>
      <c r="B320" s="57" t="n">
        <v>0.024033</v>
      </c>
      <c r="C320" s="57" t="n">
        <v>0.028824</v>
      </c>
      <c r="D320" s="57" t="n">
        <v>0.02979</v>
      </c>
    </row>
    <row r="321" customFormat="false" ht="15" hidden="false" customHeight="false" outlineLevel="0" collapsed="false">
      <c r="A321" s="52" t="n">
        <v>44664</v>
      </c>
      <c r="B321" s="57" t="n">
        <v>0.023894</v>
      </c>
      <c r="C321" s="57" t="n">
        <v>0.028629</v>
      </c>
      <c r="D321" s="57" t="n">
        <v>0.029603</v>
      </c>
    </row>
    <row r="322" customFormat="false" ht="15" hidden="false" customHeight="false" outlineLevel="0" collapsed="false">
      <c r="A322" s="52" t="n">
        <v>44665</v>
      </c>
      <c r="B322" s="57" t="n">
        <v>0.023701</v>
      </c>
      <c r="C322" s="57" t="n">
        <v>0.028233</v>
      </c>
      <c r="D322" s="57" t="n">
        <v>0.029435</v>
      </c>
    </row>
    <row r="323" customFormat="false" ht="15" hidden="false" customHeight="false" outlineLevel="0" collapsed="false">
      <c r="A323" s="52" t="n">
        <v>44666</v>
      </c>
      <c r="B323" s="57" t="n">
        <v>0.023454</v>
      </c>
      <c r="C323" s="57" t="n">
        <v>0.028141</v>
      </c>
      <c r="D323" s="57" t="n">
        <v>0.029462</v>
      </c>
    </row>
    <row r="324" customFormat="false" ht="15" hidden="false" customHeight="false" outlineLevel="0" collapsed="false">
      <c r="A324" s="52" t="n">
        <v>44669</v>
      </c>
      <c r="B324" s="57" t="n">
        <v>0.023851</v>
      </c>
      <c r="C324" s="57" t="n">
        <v>0.028437</v>
      </c>
      <c r="D324" s="57" t="n">
        <v>0.02973</v>
      </c>
    </row>
    <row r="325" customFormat="false" ht="15" hidden="false" customHeight="false" outlineLevel="0" collapsed="false">
      <c r="A325" s="52" t="n">
        <v>44670</v>
      </c>
      <c r="B325" s="57" t="n">
        <v>0.023938</v>
      </c>
      <c r="C325" s="57" t="n">
        <v>0.028245</v>
      </c>
      <c r="D325" s="57" t="n">
        <v>0.029726</v>
      </c>
    </row>
    <row r="326" customFormat="false" ht="15" hidden="false" customHeight="false" outlineLevel="0" collapsed="false">
      <c r="A326" s="52" t="n">
        <v>44671</v>
      </c>
      <c r="B326" s="57" t="n">
        <v>0.024088</v>
      </c>
      <c r="C326" s="57" t="n">
        <v>0.028555</v>
      </c>
      <c r="D326" s="57" t="n">
        <v>0.0299</v>
      </c>
    </row>
    <row r="327" customFormat="false" ht="15" hidden="false" customHeight="false" outlineLevel="0" collapsed="false">
      <c r="A327" s="52" t="n">
        <v>44672</v>
      </c>
      <c r="B327" s="57" t="n">
        <v>0.023989</v>
      </c>
      <c r="C327" s="57" t="n">
        <v>0.028374</v>
      </c>
      <c r="D327" s="57" t="n">
        <v>0.029843</v>
      </c>
    </row>
    <row r="328" customFormat="false" ht="15" hidden="false" customHeight="false" outlineLevel="0" collapsed="false">
      <c r="A328" s="52" t="n">
        <v>44673</v>
      </c>
      <c r="B328" s="57" t="n">
        <v>0.024202</v>
      </c>
      <c r="C328" s="57" t="n">
        <v>0.028441</v>
      </c>
      <c r="D328" s="57" t="n">
        <v>0.029851</v>
      </c>
    </row>
    <row r="329" customFormat="false" ht="15" hidden="false" customHeight="false" outlineLevel="0" collapsed="false">
      <c r="A329" s="52" t="n">
        <v>44675</v>
      </c>
      <c r="B329" s="57" t="n">
        <v>0.024201</v>
      </c>
      <c r="C329" s="57" t="n">
        <v>0.028412</v>
      </c>
      <c r="D329" s="57" t="n">
        <v>0.029815</v>
      </c>
    </row>
    <row r="330" customFormat="false" ht="15" hidden="false" customHeight="false" outlineLevel="0" collapsed="false">
      <c r="A330" s="52" t="n">
        <v>44676</v>
      </c>
      <c r="B330" s="57" t="n">
        <v>0.023965</v>
      </c>
      <c r="C330" s="57" t="n">
        <v>0.028307</v>
      </c>
      <c r="D330" s="57" t="n">
        <v>0.029772</v>
      </c>
    </row>
    <row r="331" customFormat="false" ht="15" hidden="false" customHeight="false" outlineLevel="0" collapsed="false">
      <c r="A331" s="52" t="n">
        <v>44677</v>
      </c>
      <c r="B331" s="57" t="n">
        <v>0.024078</v>
      </c>
      <c r="C331" s="57" t="n">
        <v>0.028217</v>
      </c>
      <c r="D331" s="57" t="n">
        <v>0.029729</v>
      </c>
    </row>
    <row r="332" customFormat="false" ht="15" hidden="false" customHeight="false" outlineLevel="0" collapsed="false">
      <c r="A332" s="52" t="n">
        <v>44678</v>
      </c>
      <c r="B332" s="57" t="n">
        <v>0.024342</v>
      </c>
      <c r="C332" s="57" t="n">
        <v>0.028146</v>
      </c>
      <c r="D332" s="57" t="n">
        <v>0.029635</v>
      </c>
    </row>
    <row r="333" customFormat="false" ht="15" hidden="false" customHeight="false" outlineLevel="0" collapsed="false">
      <c r="A333" s="52" t="n">
        <v>44679</v>
      </c>
      <c r="B333" s="57" t="n">
        <v>0.024476</v>
      </c>
      <c r="C333" s="57" t="n">
        <v>0.028215</v>
      </c>
      <c r="D333" s="57" t="n">
        <v>0.02969</v>
      </c>
    </row>
    <row r="334" customFormat="false" ht="15" hidden="false" customHeight="false" outlineLevel="0" collapsed="false">
      <c r="A334" s="52" t="n">
        <v>44680</v>
      </c>
      <c r="B334" s="57" t="n">
        <v>0.024315</v>
      </c>
      <c r="C334" s="57" t="n">
        <v>0.028233</v>
      </c>
      <c r="D334" s="57" t="n">
        <v>0.029755</v>
      </c>
    </row>
    <row r="335" customFormat="false" ht="15" hidden="false" customHeight="false" outlineLevel="0" collapsed="false">
      <c r="A335" s="52" t="n">
        <v>44686</v>
      </c>
      <c r="B335" s="57" t="n">
        <v>0.024391</v>
      </c>
      <c r="C335" s="57" t="n">
        <v>0.02813</v>
      </c>
      <c r="D335" s="57" t="n">
        <v>0.029738</v>
      </c>
    </row>
    <row r="336" customFormat="false" ht="15" hidden="false" customHeight="false" outlineLevel="0" collapsed="false">
      <c r="A336" s="52" t="n">
        <v>44687</v>
      </c>
      <c r="B336" s="57" t="n">
        <v>0.024463</v>
      </c>
      <c r="C336" s="57" t="n">
        <v>0.028057</v>
      </c>
      <c r="D336" s="57" t="n">
        <v>0.029697</v>
      </c>
    </row>
    <row r="337" customFormat="false" ht="15" hidden="false" customHeight="false" outlineLevel="0" collapsed="false">
      <c r="A337" s="52" t="n">
        <v>44688</v>
      </c>
      <c r="B337" s="57" t="n">
        <v>0.02445</v>
      </c>
      <c r="C337" s="57" t="n">
        <v>0.028073</v>
      </c>
      <c r="D337" s="57" t="n">
        <v>0.02978</v>
      </c>
    </row>
    <row r="338" customFormat="false" ht="15" hidden="false" customHeight="false" outlineLevel="0" collapsed="false">
      <c r="A338" s="52" t="n">
        <v>44690</v>
      </c>
      <c r="B338" s="57" t="n">
        <v>0.024335</v>
      </c>
      <c r="C338" s="57" t="n">
        <v>0.027954</v>
      </c>
      <c r="D338" s="57" t="n">
        <v>0.029488</v>
      </c>
    </row>
    <row r="339" customFormat="false" ht="15" hidden="false" customHeight="false" outlineLevel="0" collapsed="false">
      <c r="A339" s="52" t="n">
        <v>44691</v>
      </c>
      <c r="B339" s="57" t="n">
        <v>0.024117</v>
      </c>
      <c r="C339" s="57" t="n">
        <v>0.027655</v>
      </c>
      <c r="D339" s="57" t="n">
        <v>0.029221</v>
      </c>
    </row>
    <row r="340" customFormat="false" ht="15" hidden="false" customHeight="false" outlineLevel="0" collapsed="false">
      <c r="A340" s="52" t="n">
        <v>44692</v>
      </c>
      <c r="B340" s="57" t="n">
        <v>0.024121</v>
      </c>
      <c r="C340" s="57" t="n">
        <v>0.027712</v>
      </c>
      <c r="D340" s="57" t="n">
        <v>0.029118</v>
      </c>
    </row>
    <row r="341" customFormat="false" ht="15" hidden="false" customHeight="false" outlineLevel="0" collapsed="false">
      <c r="A341" s="52" t="n">
        <v>44693</v>
      </c>
      <c r="B341" s="57" t="n">
        <v>0.023923</v>
      </c>
      <c r="C341" s="57" t="n">
        <v>0.027574</v>
      </c>
      <c r="D341" s="57" t="n">
        <v>0.028925</v>
      </c>
    </row>
    <row r="342" customFormat="false" ht="15" hidden="false" customHeight="false" outlineLevel="0" collapsed="false">
      <c r="A342" s="52" t="n">
        <v>44694</v>
      </c>
      <c r="B342" s="57" t="n">
        <v>0.023909</v>
      </c>
      <c r="C342" s="57" t="n">
        <v>0.027497</v>
      </c>
      <c r="D342" s="57" t="n">
        <v>0.028812</v>
      </c>
    </row>
    <row r="343" customFormat="false" ht="15" hidden="false" customHeight="false" outlineLevel="0" collapsed="false">
      <c r="A343" s="52" t="n">
        <v>44697</v>
      </c>
      <c r="B343" s="57" t="n">
        <v>0.023802</v>
      </c>
      <c r="C343" s="57" t="n">
        <v>0.027602</v>
      </c>
      <c r="D343" s="57" t="n">
        <v>0.028798</v>
      </c>
    </row>
    <row r="344" customFormat="false" ht="15" hidden="false" customHeight="false" outlineLevel="0" collapsed="false">
      <c r="A344" s="52" t="n">
        <v>44698</v>
      </c>
      <c r="B344" s="57" t="n">
        <v>0.02357</v>
      </c>
      <c r="C344" s="57" t="n">
        <v>0.027357</v>
      </c>
      <c r="D344" s="57" t="n">
        <v>0.028535</v>
      </c>
    </row>
    <row r="345" customFormat="false" ht="15" hidden="false" customHeight="false" outlineLevel="0" collapsed="false">
      <c r="A345" s="52" t="n">
        <v>44699</v>
      </c>
      <c r="B345" s="57" t="n">
        <v>0.023356</v>
      </c>
      <c r="C345" s="57" t="n">
        <v>0.027157</v>
      </c>
      <c r="D345" s="57" t="n">
        <v>0.028342</v>
      </c>
    </row>
    <row r="346" customFormat="false" ht="15" hidden="false" customHeight="false" outlineLevel="0" collapsed="false">
      <c r="A346" s="52" t="n">
        <v>44700</v>
      </c>
      <c r="B346" s="57" t="n">
        <v>0.023386</v>
      </c>
      <c r="C346" s="57" t="n">
        <v>0.027052</v>
      </c>
      <c r="D346" s="57" t="n">
        <v>0.028202</v>
      </c>
    </row>
    <row r="347" customFormat="false" ht="15" hidden="false" customHeight="false" outlineLevel="0" collapsed="false">
      <c r="A347" s="52" t="n">
        <v>44701</v>
      </c>
      <c r="B347" s="57" t="n">
        <v>0.023524</v>
      </c>
      <c r="C347" s="57" t="n">
        <v>0.027121</v>
      </c>
      <c r="D347" s="57" t="n">
        <v>0.028347</v>
      </c>
    </row>
    <row r="348" customFormat="false" ht="15" hidden="false" customHeight="false" outlineLevel="0" collapsed="false">
      <c r="A348" s="52" t="n">
        <v>44704</v>
      </c>
      <c r="B348" s="57" t="n">
        <v>0.023426</v>
      </c>
      <c r="C348" s="57" t="n">
        <v>0.027035</v>
      </c>
      <c r="D348" s="57" t="n">
        <v>0.028021</v>
      </c>
    </row>
    <row r="349" customFormat="false" ht="15" hidden="false" customHeight="false" outlineLevel="0" collapsed="false">
      <c r="A349" s="52" t="n">
        <v>44705</v>
      </c>
      <c r="B349" s="57" t="n">
        <v>0.023505</v>
      </c>
      <c r="C349" s="57" t="n">
        <v>0.027114</v>
      </c>
      <c r="D349" s="57" t="n">
        <v>0.028027</v>
      </c>
    </row>
    <row r="350" customFormat="false" ht="15" hidden="false" customHeight="false" outlineLevel="0" collapsed="false">
      <c r="A350" s="52" t="n">
        <v>44706</v>
      </c>
      <c r="B350" s="57" t="n">
        <v>0.023527</v>
      </c>
      <c r="C350" s="57" t="n">
        <v>0.027128</v>
      </c>
      <c r="D350" s="57" t="n">
        <v>0.027982</v>
      </c>
    </row>
    <row r="351" customFormat="false" ht="15" hidden="false" customHeight="false" outlineLevel="0" collapsed="false">
      <c r="A351" s="52" t="n">
        <v>44707</v>
      </c>
      <c r="B351" s="57" t="n">
        <v>0.023156</v>
      </c>
      <c r="C351" s="57" t="n">
        <v>0.026785</v>
      </c>
      <c r="D351" s="57" t="n">
        <v>0.027837</v>
      </c>
    </row>
    <row r="352" customFormat="false" ht="15" hidden="false" customHeight="false" outlineLevel="0" collapsed="false">
      <c r="A352" s="52" t="n">
        <v>44708</v>
      </c>
      <c r="B352" s="57" t="n">
        <v>0.022905</v>
      </c>
      <c r="C352" s="57" t="n">
        <v>0.026703</v>
      </c>
      <c r="D352" s="57" t="n">
        <v>0.027742</v>
      </c>
    </row>
    <row r="353" customFormat="false" ht="15" hidden="false" customHeight="false" outlineLevel="0" collapsed="false">
      <c r="A353" s="52" t="n">
        <v>44711</v>
      </c>
      <c r="B353" s="57" t="n">
        <v>0.023036</v>
      </c>
      <c r="C353" s="57" t="n">
        <v>0.026877</v>
      </c>
      <c r="D353" s="57" t="n">
        <v>0.027957</v>
      </c>
    </row>
    <row r="354" customFormat="false" ht="15" hidden="false" customHeight="false" outlineLevel="0" collapsed="false">
      <c r="A354" s="52" t="n">
        <v>44712</v>
      </c>
      <c r="B354" s="57" t="n">
        <v>0.023413</v>
      </c>
      <c r="C354" s="57" t="n">
        <v>0.027379</v>
      </c>
      <c r="D354" s="57" t="n">
        <v>0.028221</v>
      </c>
    </row>
    <row r="355" customFormat="false" ht="15" hidden="false" customHeight="false" outlineLevel="0" collapsed="false">
      <c r="A355" s="52" t="n">
        <v>44713</v>
      </c>
      <c r="B355" s="57" t="n">
        <v>0.023463</v>
      </c>
      <c r="C355" s="57" t="n">
        <v>0.02741</v>
      </c>
      <c r="D355" s="57" t="n">
        <v>0.028493</v>
      </c>
    </row>
    <row r="356" customFormat="false" ht="15" hidden="false" customHeight="false" outlineLevel="0" collapsed="false">
      <c r="A356" s="52" t="n">
        <v>44714</v>
      </c>
      <c r="B356" s="57" t="n">
        <v>0.023413</v>
      </c>
      <c r="C356" s="57" t="n">
        <v>0.027685</v>
      </c>
      <c r="D356" s="57" t="n">
        <v>0.028795</v>
      </c>
    </row>
    <row r="357" customFormat="false" ht="15" hidden="false" customHeight="false" outlineLevel="0" collapsed="false">
      <c r="A357" s="52" t="n">
        <v>44718</v>
      </c>
      <c r="B357" s="57" t="n">
        <v>0.023743</v>
      </c>
      <c r="C357" s="57" t="n">
        <v>0.028309</v>
      </c>
      <c r="D357" s="57" t="n">
        <v>0.029125</v>
      </c>
    </row>
    <row r="358" customFormat="false" ht="15" hidden="false" customHeight="false" outlineLevel="0" collapsed="false">
      <c r="A358" s="52" t="n">
        <v>44719</v>
      </c>
      <c r="B358" s="57" t="n">
        <v>0.023674</v>
      </c>
      <c r="C358" s="57" t="n">
        <v>0.02824</v>
      </c>
      <c r="D358" s="57" t="n">
        <v>0.029433</v>
      </c>
    </row>
    <row r="359" customFormat="false" ht="15" hidden="false" customHeight="false" outlineLevel="0" collapsed="false">
      <c r="A359" s="52" t="n">
        <v>44720</v>
      </c>
      <c r="B359" s="57" t="n">
        <v>0.023625</v>
      </c>
      <c r="C359" s="57" t="n">
        <v>0.028144</v>
      </c>
      <c r="D359" s="57" t="n">
        <v>0.029748</v>
      </c>
    </row>
    <row r="360" customFormat="false" ht="15" hidden="false" customHeight="false" outlineLevel="0" collapsed="false">
      <c r="A360" s="52" t="n">
        <v>44721</v>
      </c>
      <c r="B360" s="57" t="n">
        <v>0.023533</v>
      </c>
      <c r="C360" s="57" t="n">
        <v>0.028008</v>
      </c>
      <c r="D360" s="57" t="n">
        <v>0.029589</v>
      </c>
    </row>
    <row r="361" customFormat="false" ht="15" hidden="false" customHeight="false" outlineLevel="0" collapsed="false">
      <c r="A361" s="52" t="n">
        <v>44722</v>
      </c>
      <c r="B361" s="57" t="n">
        <v>0.023478</v>
      </c>
      <c r="C361" s="57" t="n">
        <v>0.028027</v>
      </c>
      <c r="D361" s="57" t="n">
        <v>0.029367</v>
      </c>
    </row>
    <row r="362" customFormat="false" ht="15" hidden="false" customHeight="false" outlineLevel="0" collapsed="false">
      <c r="A362" s="52" t="n">
        <v>44725</v>
      </c>
      <c r="B362" s="57" t="n">
        <v>0.023531</v>
      </c>
      <c r="C362" s="57" t="n">
        <v>0.028128</v>
      </c>
      <c r="D362" s="57" t="n">
        <v>0.029205</v>
      </c>
    </row>
    <row r="363" customFormat="false" ht="15" hidden="false" customHeight="false" outlineLevel="0" collapsed="false">
      <c r="A363" s="52" t="n">
        <v>44726</v>
      </c>
      <c r="B363" s="57" t="n">
        <v>0.023587</v>
      </c>
      <c r="C363" s="57" t="n">
        <v>0.028176</v>
      </c>
      <c r="D363" s="57" t="n">
        <v>0.029427</v>
      </c>
    </row>
    <row r="364" customFormat="false" ht="15" hidden="false" customHeight="false" outlineLevel="0" collapsed="false">
      <c r="A364" s="52" t="n">
        <v>44727</v>
      </c>
      <c r="B364" s="57" t="n">
        <v>0.023637</v>
      </c>
      <c r="C364" s="57" t="n">
        <v>0.02821</v>
      </c>
      <c r="D364" s="57" t="n">
        <v>0.02945</v>
      </c>
    </row>
    <row r="365" customFormat="false" ht="15" hidden="false" customHeight="false" outlineLevel="0" collapsed="false">
      <c r="A365" s="52" t="n">
        <v>44728</v>
      </c>
      <c r="B365" s="57" t="n">
        <v>0.02354</v>
      </c>
      <c r="C365" s="57" t="n">
        <v>0.028158</v>
      </c>
      <c r="D365" s="57" t="n">
        <v>0.029439</v>
      </c>
    </row>
    <row r="366" customFormat="false" ht="15" hidden="false" customHeight="false" outlineLevel="0" collapsed="false">
      <c r="A366" s="52" t="n">
        <v>44729</v>
      </c>
      <c r="B366" s="57" t="n">
        <v>0.023449</v>
      </c>
      <c r="C366" s="57" t="n">
        <v>0.027899</v>
      </c>
      <c r="D366" s="57" t="n">
        <v>0.029347</v>
      </c>
    </row>
    <row r="367" customFormat="false" ht="15" hidden="false" customHeight="false" outlineLevel="0" collapsed="false">
      <c r="A367" s="52" t="n">
        <v>44732</v>
      </c>
      <c r="B367" s="57" t="n">
        <v>0.023492</v>
      </c>
      <c r="C367" s="57" t="n">
        <v>0.028102</v>
      </c>
      <c r="D367" s="57" t="n">
        <v>0.02934</v>
      </c>
    </row>
    <row r="368" customFormat="false" ht="15" hidden="false" customHeight="false" outlineLevel="0" collapsed="false">
      <c r="A368" s="52" t="n">
        <v>44733</v>
      </c>
      <c r="B368" s="57" t="n">
        <v>0.023785</v>
      </c>
      <c r="C368" s="57" t="n">
        <v>0.028147</v>
      </c>
      <c r="D368" s="57" t="n">
        <v>0.029435</v>
      </c>
    </row>
    <row r="369" customFormat="false" ht="15" hidden="false" customHeight="false" outlineLevel="0" collapsed="false">
      <c r="A369" s="52" t="n">
        <v>44734</v>
      </c>
      <c r="B369" s="57" t="n">
        <v>0.02374</v>
      </c>
      <c r="C369" s="57" t="n">
        <v>0.028038</v>
      </c>
      <c r="D369" s="57" t="n">
        <v>0.029457</v>
      </c>
    </row>
    <row r="370" customFormat="false" ht="15" hidden="false" customHeight="false" outlineLevel="0" collapsed="false">
      <c r="A370" s="52" t="n">
        <v>44735</v>
      </c>
      <c r="B370" s="57" t="n">
        <v>0.023719</v>
      </c>
      <c r="C370" s="57" t="n">
        <v>0.027908</v>
      </c>
      <c r="D370" s="57" t="n">
        <v>0.029293</v>
      </c>
    </row>
    <row r="371" customFormat="false" ht="15" hidden="false" customHeight="false" outlineLevel="0" collapsed="false">
      <c r="A371" s="52" t="n">
        <v>44736</v>
      </c>
      <c r="B371" s="57" t="n">
        <v>0.023826</v>
      </c>
      <c r="C371" s="57" t="n">
        <v>0.027898</v>
      </c>
      <c r="D371" s="57" t="n">
        <v>0.029241</v>
      </c>
    </row>
    <row r="372" customFormat="false" ht="15" hidden="false" customHeight="false" outlineLevel="0" collapsed="false">
      <c r="A372" s="52" t="n">
        <v>44739</v>
      </c>
      <c r="B372" s="57" t="n">
        <v>0.024517</v>
      </c>
      <c r="C372" s="57" t="n">
        <v>0.028323</v>
      </c>
      <c r="D372" s="57" t="n">
        <v>0.029628</v>
      </c>
    </row>
    <row r="373" customFormat="false" ht="15" hidden="false" customHeight="false" outlineLevel="0" collapsed="false">
      <c r="A373" s="52" t="n">
        <v>44740</v>
      </c>
      <c r="B373" s="57" t="n">
        <v>0.024732</v>
      </c>
      <c r="C373" s="57" t="n">
        <v>0.028455</v>
      </c>
      <c r="D373" s="57" t="n">
        <v>0.029635</v>
      </c>
    </row>
    <row r="374" customFormat="false" ht="15" hidden="false" customHeight="false" outlineLevel="0" collapsed="false">
      <c r="A374" s="52" t="n">
        <v>44741</v>
      </c>
      <c r="B374" s="57" t="n">
        <v>0.024615</v>
      </c>
      <c r="C374" s="57" t="n">
        <v>0.028383</v>
      </c>
      <c r="D374" s="57" t="n">
        <v>0.029714</v>
      </c>
    </row>
    <row r="375" customFormat="false" ht="15" hidden="false" customHeight="false" outlineLevel="0" collapsed="false">
      <c r="A375" s="52" t="n">
        <v>44742</v>
      </c>
      <c r="B375" s="57" t="n">
        <v>0.024491</v>
      </c>
      <c r="C375" s="57" t="n">
        <v>0.028142</v>
      </c>
      <c r="D375" s="57" t="n">
        <v>0.029519</v>
      </c>
    </row>
    <row r="376" customFormat="false" ht="15" hidden="false" customHeight="false" outlineLevel="0" collapsed="false">
      <c r="A376" s="52" t="n">
        <v>44743</v>
      </c>
      <c r="B376" s="57" t="n">
        <v>0.024455</v>
      </c>
      <c r="C376" s="57" t="n">
        <v>0.028066</v>
      </c>
      <c r="D376" s="57" t="n">
        <v>0.029303</v>
      </c>
    </row>
    <row r="377" customFormat="false" ht="15" hidden="false" customHeight="false" outlineLevel="0" collapsed="false">
      <c r="A377" s="52" t="n">
        <v>44746</v>
      </c>
      <c r="B377" s="57" t="n">
        <v>0.02492</v>
      </c>
      <c r="C377" s="57" t="n">
        <v>0.028578</v>
      </c>
      <c r="D377" s="57" t="n">
        <v>0.029602</v>
      </c>
    </row>
    <row r="378" customFormat="false" ht="15" hidden="false" customHeight="false" outlineLevel="0" collapsed="false">
      <c r="A378" s="52" t="n">
        <v>44747</v>
      </c>
      <c r="B378" s="57" t="n">
        <v>0.025045</v>
      </c>
      <c r="C378" s="57" t="n">
        <v>0.028702</v>
      </c>
      <c r="D378" s="57" t="n">
        <v>0.029618</v>
      </c>
    </row>
    <row r="379" customFormat="false" ht="15" hidden="false" customHeight="false" outlineLevel="0" collapsed="false">
      <c r="A379" s="52" t="n">
        <v>44748</v>
      </c>
      <c r="B379" s="57" t="n">
        <v>0.025079</v>
      </c>
      <c r="C379" s="57" t="n">
        <v>0.028491</v>
      </c>
      <c r="D379" s="57" t="n">
        <v>0.02948</v>
      </c>
    </row>
    <row r="380" customFormat="false" ht="15" hidden="false" customHeight="false" outlineLevel="0" collapsed="false">
      <c r="A380" s="52" t="n">
        <v>44749</v>
      </c>
      <c r="B380" s="57" t="n">
        <v>0.025028</v>
      </c>
      <c r="C380" s="57" t="n">
        <v>0.028473</v>
      </c>
      <c r="D380" s="57" t="n">
        <v>0.029387</v>
      </c>
    </row>
    <row r="381" customFormat="false" ht="15" hidden="false" customHeight="false" outlineLevel="0" collapsed="false">
      <c r="A381" s="52" t="n">
        <v>44750</v>
      </c>
      <c r="B381" s="57" t="n">
        <v>0.024962</v>
      </c>
      <c r="C381" s="57" t="n">
        <v>0.028434</v>
      </c>
      <c r="D381" s="57" t="n">
        <v>0.029294</v>
      </c>
    </row>
    <row r="382" customFormat="false" ht="15" hidden="false" customHeight="false" outlineLevel="0" collapsed="false">
      <c r="A382" s="52" t="n">
        <v>44753</v>
      </c>
      <c r="B382" s="57" t="n">
        <v>0.02456</v>
      </c>
      <c r="C382" s="57" t="n">
        <v>0.028242</v>
      </c>
      <c r="D382" s="57" t="n">
        <v>0.029063</v>
      </c>
    </row>
    <row r="383" customFormat="false" ht="15" hidden="false" customHeight="false" outlineLevel="0" collapsed="false">
      <c r="A383" s="52" t="n">
        <v>44754</v>
      </c>
      <c r="B383" s="57" t="n">
        <v>0.024304</v>
      </c>
      <c r="C383" s="57" t="n">
        <v>0.027935</v>
      </c>
      <c r="D383" s="57" t="n">
        <v>0.02887</v>
      </c>
    </row>
    <row r="384" customFormat="false" ht="15" hidden="false" customHeight="false" outlineLevel="0" collapsed="false">
      <c r="A384" s="52" t="n">
        <v>44755</v>
      </c>
      <c r="B384" s="57" t="n">
        <v>0.024294</v>
      </c>
      <c r="C384" s="57" t="n">
        <v>0.02774</v>
      </c>
      <c r="D384" s="57" t="n">
        <v>0.028625</v>
      </c>
    </row>
    <row r="385" customFormat="false" ht="15" hidden="false" customHeight="false" outlineLevel="0" collapsed="false">
      <c r="A385" s="52" t="n">
        <v>44756</v>
      </c>
      <c r="B385" s="57" t="n">
        <v>0.023964</v>
      </c>
      <c r="C385" s="57" t="n">
        <v>0.027656</v>
      </c>
      <c r="D385" s="57" t="n">
        <v>0.028306</v>
      </c>
    </row>
    <row r="386" customFormat="false" ht="15" hidden="false" customHeight="false" outlineLevel="0" collapsed="false">
      <c r="A386" s="52" t="n">
        <v>44757</v>
      </c>
      <c r="B386" s="57" t="n">
        <v>0.023953</v>
      </c>
      <c r="C386" s="57" t="n">
        <v>0.027571</v>
      </c>
      <c r="D386" s="57" t="n">
        <v>0.028216</v>
      </c>
    </row>
    <row r="387" customFormat="false" ht="15" hidden="false" customHeight="false" outlineLevel="0" collapsed="false">
      <c r="A387" s="52" t="n">
        <v>44760</v>
      </c>
      <c r="B387" s="57" t="n">
        <v>0.023784</v>
      </c>
      <c r="C387" s="57" t="n">
        <v>0.027318</v>
      </c>
      <c r="D387" s="57" t="n">
        <v>0.028016</v>
      </c>
    </row>
    <row r="388" customFormat="false" ht="15" hidden="false" customHeight="false" outlineLevel="0" collapsed="false">
      <c r="A388" s="52" t="n">
        <v>44761</v>
      </c>
      <c r="B388" s="57" t="n">
        <v>0.023805</v>
      </c>
      <c r="C388" s="57" t="n">
        <v>0.027463</v>
      </c>
      <c r="D388" s="57" t="n">
        <v>0.028026</v>
      </c>
    </row>
    <row r="389" customFormat="false" ht="15" hidden="false" customHeight="false" outlineLevel="0" collapsed="false">
      <c r="A389" s="52" t="n">
        <v>44762</v>
      </c>
      <c r="B389" s="57" t="n">
        <v>0.0237</v>
      </c>
      <c r="C389" s="57" t="n">
        <v>0.027348</v>
      </c>
      <c r="D389" s="57" t="n">
        <v>0.027827</v>
      </c>
    </row>
    <row r="390" customFormat="false" ht="15" hidden="false" customHeight="false" outlineLevel="0" collapsed="false">
      <c r="A390" s="52" t="n">
        <v>44763</v>
      </c>
      <c r="B390" s="57" t="n">
        <v>0.023575</v>
      </c>
      <c r="C390" s="57" t="n">
        <v>0.027005</v>
      </c>
      <c r="D390" s="57" t="n">
        <v>0.027566</v>
      </c>
    </row>
    <row r="391" customFormat="false" ht="15" hidden="false" customHeight="false" outlineLevel="0" collapsed="false">
      <c r="A391" s="52" t="n">
        <v>44764</v>
      </c>
      <c r="B391" s="57" t="n">
        <v>0.023762</v>
      </c>
      <c r="C391" s="57" t="n">
        <v>0.027068</v>
      </c>
      <c r="D391" s="57" t="n">
        <v>0.02755</v>
      </c>
    </row>
    <row r="392" customFormat="false" ht="15" hidden="false" customHeight="false" outlineLevel="0" collapsed="false">
      <c r="A392" s="52" t="n">
        <v>44767</v>
      </c>
      <c r="B392" s="57" t="n">
        <v>0.02365</v>
      </c>
      <c r="C392" s="57" t="n">
        <v>0.026947</v>
      </c>
      <c r="D392" s="57" t="n">
        <v>0.0275</v>
      </c>
    </row>
    <row r="393" customFormat="false" ht="15" hidden="false" customHeight="false" outlineLevel="0" collapsed="false">
      <c r="A393" s="52" t="n">
        <v>44768</v>
      </c>
      <c r="B393" s="57" t="n">
        <v>0.023355</v>
      </c>
      <c r="C393" s="57" t="n">
        <v>0.026754</v>
      </c>
      <c r="D393" s="57" t="n">
        <v>0.027249</v>
      </c>
    </row>
    <row r="394" customFormat="false" ht="15" hidden="false" customHeight="false" outlineLevel="0" collapsed="false">
      <c r="A394" s="52" t="n">
        <v>44769</v>
      </c>
      <c r="B394" s="57" t="n">
        <v>0.023337</v>
      </c>
      <c r="C394" s="57" t="n">
        <v>0.026564</v>
      </c>
      <c r="D394" s="57" t="n">
        <v>0.02712</v>
      </c>
    </row>
    <row r="395" customFormat="false" ht="15" hidden="false" customHeight="false" outlineLevel="0" collapsed="false">
      <c r="A395" s="52" t="n">
        <v>44770</v>
      </c>
      <c r="B395" s="57" t="n">
        <v>0.023613</v>
      </c>
      <c r="C395" s="57" t="n">
        <v>0.026617</v>
      </c>
      <c r="D395" s="57" t="n">
        <v>0.02712</v>
      </c>
    </row>
    <row r="396" customFormat="false" ht="15" hidden="false" customHeight="false" outlineLevel="0" collapsed="false">
      <c r="A396" s="52" t="n">
        <v>44771</v>
      </c>
      <c r="B396" s="57" t="n">
        <v>0.023228</v>
      </c>
      <c r="C396" s="57" t="n">
        <v>0.026231</v>
      </c>
      <c r="D396" s="57" t="n">
        <v>0.02691</v>
      </c>
    </row>
    <row r="397" customFormat="false" ht="15" hidden="false" customHeight="false" outlineLevel="0" collapsed="false">
      <c r="A397" s="52" t="n">
        <v>44774</v>
      </c>
      <c r="B397" s="57" t="n">
        <v>0.022912</v>
      </c>
      <c r="C397" s="57" t="n">
        <v>0.025807</v>
      </c>
      <c r="D397" s="57" t="n">
        <v>0.026543</v>
      </c>
    </row>
    <row r="398" customFormat="false" ht="15" hidden="false" customHeight="false" outlineLevel="0" collapsed="false">
      <c r="A398" s="52" t="n">
        <v>44775</v>
      </c>
      <c r="B398" s="57" t="n">
        <v>0.022855</v>
      </c>
      <c r="C398" s="57" t="n">
        <v>0.025487</v>
      </c>
      <c r="D398" s="57" t="n">
        <v>0.026193</v>
      </c>
    </row>
    <row r="399" customFormat="false" ht="15" hidden="false" customHeight="false" outlineLevel="0" collapsed="false">
      <c r="A399" s="52" t="n">
        <v>44776</v>
      </c>
      <c r="B399" s="57" t="n">
        <v>0.022495</v>
      </c>
      <c r="C399" s="57" t="n">
        <v>0.025397</v>
      </c>
      <c r="D399" s="57" t="n">
        <v>0.025965</v>
      </c>
    </row>
    <row r="400" customFormat="false" ht="15" hidden="false" customHeight="false" outlineLevel="0" collapsed="false">
      <c r="A400" s="52" t="n">
        <v>44777</v>
      </c>
      <c r="B400" s="57" t="n">
        <v>0.022448</v>
      </c>
      <c r="C400" s="57" t="n">
        <v>0.025055</v>
      </c>
      <c r="D400" s="57" t="n">
        <v>0.025685</v>
      </c>
    </row>
    <row r="401" customFormat="false" ht="15" hidden="false" customHeight="false" outlineLevel="0" collapsed="false">
      <c r="A401" s="52" t="n">
        <v>44778</v>
      </c>
      <c r="B401" s="57" t="n">
        <v>0.0227</v>
      </c>
      <c r="C401" s="57" t="n">
        <v>0.025211</v>
      </c>
      <c r="D401" s="57" t="n">
        <v>0.025694</v>
      </c>
    </row>
    <row r="402" customFormat="false" ht="15" hidden="false" customHeight="false" outlineLevel="0" collapsed="false">
      <c r="A402" s="52" t="n">
        <v>44781</v>
      </c>
      <c r="B402" s="57" t="n">
        <v>0.022822</v>
      </c>
      <c r="C402" s="57" t="n">
        <v>0.02528</v>
      </c>
      <c r="D402" s="57" t="n">
        <v>0.025841</v>
      </c>
    </row>
    <row r="403" customFormat="false" ht="15" hidden="false" customHeight="false" outlineLevel="0" collapsed="false">
      <c r="A403" s="52" t="n">
        <v>44782</v>
      </c>
      <c r="B403" s="57" t="n">
        <v>0.023116</v>
      </c>
      <c r="C403" s="57" t="n">
        <v>0.025686</v>
      </c>
      <c r="D403" s="57" t="n">
        <v>0.02614</v>
      </c>
    </row>
    <row r="404" customFormat="false" ht="15" hidden="false" customHeight="false" outlineLevel="0" collapsed="false">
      <c r="A404" s="52" t="n">
        <v>44783</v>
      </c>
      <c r="B404" s="57" t="n">
        <v>0.023287</v>
      </c>
      <c r="C404" s="57" t="n">
        <v>0.025645</v>
      </c>
      <c r="D404" s="57" t="n">
        <v>0.026176</v>
      </c>
    </row>
    <row r="405" customFormat="false" ht="15" hidden="false" customHeight="false" outlineLevel="0" collapsed="false">
      <c r="A405" s="52" t="n">
        <v>44784</v>
      </c>
      <c r="B405" s="57" t="n">
        <v>0.023357</v>
      </c>
      <c r="C405" s="57" t="n">
        <v>0.02583</v>
      </c>
      <c r="D405" s="57" t="n">
        <v>0.026448</v>
      </c>
    </row>
    <row r="406" customFormat="false" ht="15" hidden="false" customHeight="false" outlineLevel="0" collapsed="false">
      <c r="A406" s="52" t="n">
        <v>44785</v>
      </c>
      <c r="B406" s="57" t="n">
        <v>0.023358</v>
      </c>
      <c r="C406" s="57" t="n">
        <v>0.025796</v>
      </c>
      <c r="D406" s="57" t="n">
        <v>0.026539</v>
      </c>
    </row>
    <row r="407" customFormat="false" ht="15" hidden="false" customHeight="false" outlineLevel="0" collapsed="false">
      <c r="A407" s="52" t="n">
        <v>44788</v>
      </c>
      <c r="B407" s="57" t="n">
        <v>0.022433</v>
      </c>
      <c r="C407" s="57" t="n">
        <v>0.025042</v>
      </c>
      <c r="D407" s="57" t="n">
        <v>0.026065</v>
      </c>
    </row>
    <row r="408" customFormat="false" ht="15" hidden="false" customHeight="false" outlineLevel="0" collapsed="false">
      <c r="A408" s="52" t="n">
        <v>44789</v>
      </c>
      <c r="B408" s="57" t="n">
        <v>0.022449</v>
      </c>
      <c r="C408" s="57" t="n">
        <v>0.024659</v>
      </c>
      <c r="D408" s="57" t="n">
        <v>0.025632</v>
      </c>
    </row>
    <row r="409" customFormat="false" ht="15" hidden="false" customHeight="false" outlineLevel="0" collapsed="false">
      <c r="A409" s="52" t="n">
        <v>44790</v>
      </c>
      <c r="B409" s="57" t="n">
        <v>0.022475</v>
      </c>
      <c r="C409" s="57" t="n">
        <v>0.024917</v>
      </c>
      <c r="D409" s="57" t="n">
        <v>0.025766</v>
      </c>
    </row>
    <row r="410" customFormat="false" ht="15" hidden="false" customHeight="false" outlineLevel="0" collapsed="false">
      <c r="A410" s="52" t="n">
        <v>44791</v>
      </c>
      <c r="B410" s="57" t="n">
        <v>0.022235</v>
      </c>
      <c r="C410" s="57" t="n">
        <v>0.024856</v>
      </c>
      <c r="D410" s="57" t="n">
        <v>0.025722</v>
      </c>
    </row>
    <row r="411" customFormat="false" ht="15" hidden="false" customHeight="false" outlineLevel="0" collapsed="false">
      <c r="A411" s="52" t="n">
        <v>44792</v>
      </c>
      <c r="B411" s="57" t="n">
        <v>0.022279</v>
      </c>
      <c r="C411" s="57" t="n">
        <v>0.024821</v>
      </c>
      <c r="D411" s="57" t="n">
        <v>0.025791</v>
      </c>
    </row>
    <row r="412" customFormat="false" ht="15" hidden="false" customHeight="false" outlineLevel="0" collapsed="false">
      <c r="A412" s="52" t="n">
        <v>44795</v>
      </c>
      <c r="B412" s="57" t="n">
        <v>0.022432</v>
      </c>
      <c r="C412" s="57" t="n">
        <v>0.024866</v>
      </c>
      <c r="D412" s="57" t="n">
        <v>0.025891</v>
      </c>
    </row>
    <row r="413" customFormat="false" ht="15" hidden="false" customHeight="false" outlineLevel="0" collapsed="false">
      <c r="A413" s="52" t="n">
        <v>44796</v>
      </c>
      <c r="B413" s="57" t="n">
        <v>0.022719</v>
      </c>
      <c r="C413" s="57" t="n">
        <v>0.025075</v>
      </c>
      <c r="D413" s="57" t="n">
        <v>0.025997</v>
      </c>
    </row>
    <row r="414" customFormat="false" ht="15" hidden="false" customHeight="false" outlineLevel="0" collapsed="false">
      <c r="A414" s="52" t="n">
        <v>44797</v>
      </c>
      <c r="B414" s="57" t="n">
        <v>0.022629</v>
      </c>
      <c r="C414" s="57" t="n">
        <v>0.025133</v>
      </c>
      <c r="D414" s="57" t="n">
        <v>0.026124</v>
      </c>
    </row>
    <row r="415" customFormat="false" ht="15" hidden="false" customHeight="false" outlineLevel="0" collapsed="false">
      <c r="A415" s="52" t="n">
        <v>44798</v>
      </c>
      <c r="B415" s="57" t="n">
        <v>0.022829</v>
      </c>
      <c r="C415" s="57" t="n">
        <v>0.025492</v>
      </c>
      <c r="D415" s="57" t="n">
        <v>0.026416</v>
      </c>
    </row>
    <row r="416" customFormat="false" ht="15" hidden="false" customHeight="false" outlineLevel="0" collapsed="false">
      <c r="A416" s="52" t="n">
        <v>44799</v>
      </c>
      <c r="B416" s="57" t="n">
        <v>0.022629</v>
      </c>
      <c r="C416" s="57" t="n">
        <v>0.025593</v>
      </c>
      <c r="D416" s="57" t="n">
        <v>0.026598</v>
      </c>
    </row>
    <row r="417" customFormat="false" ht="15" hidden="false" customHeight="false" outlineLevel="0" collapsed="false">
      <c r="A417" s="52" t="n">
        <v>44802</v>
      </c>
      <c r="B417" s="57" t="n">
        <v>0.022165</v>
      </c>
      <c r="C417" s="57" t="n">
        <v>0.025614</v>
      </c>
      <c r="D417" s="57" t="n">
        <v>0.026654</v>
      </c>
    </row>
    <row r="418" customFormat="false" ht="15" hidden="false" customHeight="false" outlineLevel="0" collapsed="false">
      <c r="A418" s="52" t="n">
        <v>44803</v>
      </c>
      <c r="B418" s="57" t="n">
        <v>0.021916</v>
      </c>
      <c r="C418" s="57" t="n">
        <v>0.025369</v>
      </c>
      <c r="D418" s="57" t="n">
        <v>0.026439</v>
      </c>
    </row>
    <row r="419" customFormat="false" ht="15" hidden="false" customHeight="false" outlineLevel="0" collapsed="false">
      <c r="A419" s="52" t="n">
        <v>44804</v>
      </c>
      <c r="B419" s="57" t="n">
        <v>0.021918</v>
      </c>
      <c r="C419" s="57" t="n">
        <v>0.02527</v>
      </c>
      <c r="D419" s="57" t="n">
        <v>0.026163</v>
      </c>
    </row>
    <row r="420" customFormat="false" ht="15" hidden="false" customHeight="false" outlineLevel="0" collapsed="false">
      <c r="A420" s="52" t="n">
        <v>44805</v>
      </c>
      <c r="B420" s="57" t="n">
        <v>0.0219</v>
      </c>
      <c r="C420" s="57" t="n">
        <v>0.025111</v>
      </c>
      <c r="D420" s="57" t="n">
        <v>0.026071</v>
      </c>
    </row>
    <row r="421" customFormat="false" ht="15" hidden="false" customHeight="false" outlineLevel="0" collapsed="false">
      <c r="A421" s="52" t="n">
        <v>44806</v>
      </c>
      <c r="B421" s="57" t="n">
        <v>0.02183</v>
      </c>
      <c r="C421" s="57" t="n">
        <v>0.024812</v>
      </c>
      <c r="D421" s="57" t="n">
        <v>0.025944</v>
      </c>
    </row>
    <row r="422" customFormat="false" ht="15" hidden="false" customHeight="false" outlineLevel="0" collapsed="false">
      <c r="A422" s="52" t="n">
        <v>44809</v>
      </c>
      <c r="B422" s="57" t="n">
        <v>0.021743</v>
      </c>
      <c r="C422" s="57" t="n">
        <v>0.024617</v>
      </c>
      <c r="D422" s="57" t="n">
        <v>0.025887</v>
      </c>
    </row>
    <row r="423" customFormat="false" ht="15" hidden="false" customHeight="false" outlineLevel="0" collapsed="false">
      <c r="A423" s="52" t="n">
        <v>44810</v>
      </c>
      <c r="B423" s="57" t="n">
        <v>0.021696</v>
      </c>
      <c r="C423" s="57" t="n">
        <v>0.024523</v>
      </c>
      <c r="D423" s="57" t="n">
        <v>0.025736</v>
      </c>
    </row>
    <row r="424" customFormat="false" ht="15" hidden="false" customHeight="false" outlineLevel="0" collapsed="false">
      <c r="A424" s="52" t="n">
        <v>44811</v>
      </c>
      <c r="B424" s="57" t="n">
        <v>0.021748</v>
      </c>
      <c r="C424" s="57" t="n">
        <v>0.024511</v>
      </c>
      <c r="D424" s="57" t="n">
        <v>0.025712</v>
      </c>
    </row>
    <row r="425" customFormat="false" ht="15" hidden="false" customHeight="false" outlineLevel="0" collapsed="false">
      <c r="A425" s="52" t="n">
        <v>44812</v>
      </c>
      <c r="B425" s="57" t="n">
        <v>0.021752</v>
      </c>
      <c r="C425" s="57" t="n">
        <v>0.024523</v>
      </c>
      <c r="D425" s="57" t="n">
        <v>0.025815</v>
      </c>
    </row>
    <row r="426" customFormat="false" ht="15" hidden="false" customHeight="false" outlineLevel="0" collapsed="false">
      <c r="A426" s="52" t="n">
        <v>44813</v>
      </c>
      <c r="B426" s="57" t="n">
        <v>0.021779</v>
      </c>
      <c r="C426" s="57" t="n">
        <v>0.024528</v>
      </c>
      <c r="D426" s="57" t="n">
        <v>0.025822</v>
      </c>
    </row>
    <row r="427" customFormat="false" ht="15" hidden="false" customHeight="false" outlineLevel="0" collapsed="false">
      <c r="A427" s="52" t="n">
        <v>44817</v>
      </c>
      <c r="B427" s="57" t="n">
        <v>0.021897</v>
      </c>
      <c r="C427" s="57" t="n">
        <v>0.024628</v>
      </c>
      <c r="D427" s="57" t="n">
        <v>0.025795</v>
      </c>
    </row>
    <row r="428" customFormat="false" ht="15" hidden="false" customHeight="false" outlineLevel="0" collapsed="false">
      <c r="A428" s="52" t="n">
        <v>44818</v>
      </c>
      <c r="B428" s="57" t="n">
        <v>0.022133</v>
      </c>
      <c r="C428" s="57" t="n">
        <v>0.024606</v>
      </c>
      <c r="D428" s="57" t="n">
        <v>0.025822</v>
      </c>
    </row>
    <row r="429" customFormat="false" ht="15" hidden="false" customHeight="false" outlineLevel="0" collapsed="false">
      <c r="A429" s="52" t="n">
        <v>44819</v>
      </c>
      <c r="B429" s="57" t="n">
        <v>0.022241</v>
      </c>
      <c r="C429" s="57" t="n">
        <v>0.02452</v>
      </c>
      <c r="D429" s="57" t="n">
        <v>0.025754</v>
      </c>
    </row>
    <row r="430" customFormat="false" ht="15" hidden="false" customHeight="false" outlineLevel="0" collapsed="false">
      <c r="A430" s="52" t="n">
        <v>44820</v>
      </c>
      <c r="B430" s="57" t="n">
        <v>0.022496</v>
      </c>
      <c r="C430" s="57" t="n">
        <v>0.024613</v>
      </c>
      <c r="D430" s="57" t="n">
        <v>0.025873</v>
      </c>
    </row>
    <row r="431" customFormat="false" ht="15" hidden="false" customHeight="false" outlineLevel="0" collapsed="false">
      <c r="A431" s="52" t="n">
        <v>44823</v>
      </c>
      <c r="B431" s="57" t="n">
        <v>0.022606</v>
      </c>
      <c r="C431" s="57" t="n">
        <v>0.024675</v>
      </c>
      <c r="D431" s="57" t="n">
        <v>0.025878</v>
      </c>
    </row>
    <row r="432" customFormat="false" ht="15" hidden="false" customHeight="false" outlineLevel="0" collapsed="false">
      <c r="A432" s="52" t="n">
        <v>44824</v>
      </c>
      <c r="B432" s="57" t="n">
        <v>0.022514</v>
      </c>
      <c r="C432" s="57" t="n">
        <v>0.024651</v>
      </c>
      <c r="D432" s="57" t="n">
        <v>0.025832</v>
      </c>
    </row>
    <row r="433" customFormat="false" ht="15" hidden="false" customHeight="false" outlineLevel="0" collapsed="false">
      <c r="A433" s="52" t="n">
        <v>44825</v>
      </c>
      <c r="B433" s="57" t="n">
        <v>0.022386</v>
      </c>
      <c r="C433" s="57" t="n">
        <v>0.02447</v>
      </c>
      <c r="D433" s="57" t="n">
        <v>0.025769</v>
      </c>
    </row>
    <row r="434" customFormat="false" ht="15" hidden="false" customHeight="false" outlineLevel="0" collapsed="false">
      <c r="A434" s="52" t="n">
        <v>44826</v>
      </c>
      <c r="B434" s="57" t="n">
        <v>0.022353</v>
      </c>
      <c r="C434" s="57" t="n">
        <v>0.024373</v>
      </c>
      <c r="D434" s="57" t="n">
        <v>0.02564</v>
      </c>
    </row>
    <row r="435" customFormat="false" ht="15" hidden="false" customHeight="false" outlineLevel="0" collapsed="false">
      <c r="A435" s="52" t="n">
        <v>44827</v>
      </c>
      <c r="B435" s="57" t="n">
        <v>0.022491</v>
      </c>
      <c r="C435" s="57" t="n">
        <v>0.024474</v>
      </c>
      <c r="D435" s="57" t="n">
        <v>0.025756</v>
      </c>
    </row>
    <row r="436" customFormat="false" ht="15" hidden="false" customHeight="false" outlineLevel="0" collapsed="false">
      <c r="A436" s="52" t="n">
        <v>44830</v>
      </c>
      <c r="B436" s="57" t="n">
        <v>0.022916</v>
      </c>
      <c r="C436" s="57" t="n">
        <v>0.024656</v>
      </c>
      <c r="D436" s="57" t="n">
        <v>0.025995</v>
      </c>
    </row>
    <row r="437" customFormat="false" ht="15" hidden="false" customHeight="false" outlineLevel="0" collapsed="false">
      <c r="A437" s="52" t="n">
        <v>44831</v>
      </c>
      <c r="B437" s="57" t="n">
        <v>0.022857</v>
      </c>
      <c r="C437" s="57" t="n">
        <v>0.024967</v>
      </c>
      <c r="D437" s="57" t="n">
        <v>0.026337</v>
      </c>
    </row>
    <row r="438" customFormat="false" ht="15" hidden="false" customHeight="false" outlineLevel="0" collapsed="false">
      <c r="A438" s="52" t="n">
        <v>44832</v>
      </c>
      <c r="B438" s="57" t="n">
        <v>0.02308</v>
      </c>
      <c r="C438" s="57" t="n">
        <v>0.025074</v>
      </c>
      <c r="D438" s="57" t="n">
        <v>0.026485</v>
      </c>
    </row>
    <row r="439" customFormat="false" ht="15" hidden="false" customHeight="false" outlineLevel="0" collapsed="false">
      <c r="A439" s="52" t="n">
        <v>44833</v>
      </c>
      <c r="B439" s="57" t="n">
        <v>0.023326</v>
      </c>
      <c r="C439" s="57" t="n">
        <v>0.025201</v>
      </c>
      <c r="D439" s="57" t="n">
        <v>0.026535</v>
      </c>
    </row>
    <row r="440" customFormat="false" ht="15" hidden="false" customHeight="false" outlineLevel="0" collapsed="false">
      <c r="A440" s="52" t="n">
        <v>44834</v>
      </c>
      <c r="B440" s="57" t="n">
        <v>0.023341</v>
      </c>
      <c r="C440" s="57" t="n">
        <v>0.025299</v>
      </c>
      <c r="D440" s="57" t="n">
        <v>0.026701</v>
      </c>
    </row>
    <row r="441" customFormat="false" ht="15" hidden="false" customHeight="false" outlineLevel="0" collapsed="false">
      <c r="A441" s="52" t="n">
        <v>44842</v>
      </c>
      <c r="B441" s="57" t="n">
        <v>0.023404</v>
      </c>
      <c r="C441" s="57" t="n">
        <v>0.025316</v>
      </c>
      <c r="D441" s="57" t="n">
        <v>0.026651</v>
      </c>
    </row>
    <row r="442" customFormat="false" ht="15" hidden="false" customHeight="false" outlineLevel="0" collapsed="false">
      <c r="A442" s="52" t="n">
        <v>44843</v>
      </c>
      <c r="B442" s="57" t="n">
        <v>0.022832</v>
      </c>
      <c r="C442" s="57" t="n">
        <v>0.025316</v>
      </c>
      <c r="D442" s="57" t="n">
        <v>0.026701</v>
      </c>
    </row>
    <row r="443" customFormat="false" ht="15" hidden="false" customHeight="false" outlineLevel="0" collapsed="false">
      <c r="A443" s="52" t="n">
        <v>44844</v>
      </c>
      <c r="B443" s="57" t="n">
        <v>0.022784</v>
      </c>
      <c r="C443" s="57" t="n">
        <v>0.025121</v>
      </c>
      <c r="D443" s="57" t="n">
        <v>0.026612</v>
      </c>
    </row>
    <row r="444" customFormat="false" ht="15" hidden="false" customHeight="false" outlineLevel="0" collapsed="false">
      <c r="A444" s="52" t="n">
        <v>44845</v>
      </c>
      <c r="B444" s="57" t="n">
        <v>0.022959</v>
      </c>
      <c r="C444" s="57" t="n">
        <v>0.024892</v>
      </c>
      <c r="D444" s="57" t="n">
        <v>0.026463</v>
      </c>
    </row>
    <row r="445" customFormat="false" ht="15" hidden="false" customHeight="false" outlineLevel="0" collapsed="false">
      <c r="A445" s="52" t="n">
        <v>44846</v>
      </c>
      <c r="B445" s="57" t="n">
        <v>0.02295</v>
      </c>
      <c r="C445" s="57" t="n">
        <v>0.024854</v>
      </c>
      <c r="D445" s="57" t="n">
        <v>0.026416</v>
      </c>
    </row>
    <row r="446" customFormat="false" ht="15" hidden="false" customHeight="false" outlineLevel="0" collapsed="false">
      <c r="A446" s="52" t="n">
        <v>44847</v>
      </c>
      <c r="B446" s="57" t="n">
        <v>0.022875</v>
      </c>
      <c r="C446" s="57" t="n">
        <v>0.024721</v>
      </c>
      <c r="D446" s="57" t="n">
        <v>0.026254</v>
      </c>
    </row>
    <row r="447" customFormat="false" ht="15" hidden="false" customHeight="false" outlineLevel="0" collapsed="false">
      <c r="A447" s="52" t="n">
        <v>44848</v>
      </c>
      <c r="B447" s="57" t="n">
        <v>0.022598</v>
      </c>
      <c r="C447" s="57" t="n">
        <v>0.024627</v>
      </c>
      <c r="D447" s="57" t="n">
        <v>0.026178</v>
      </c>
    </row>
    <row r="448" customFormat="false" ht="15" hidden="false" customHeight="false" outlineLevel="0" collapsed="false">
      <c r="A448" s="52" t="n">
        <v>44851</v>
      </c>
      <c r="B448" s="57" t="n">
        <v>0.022752</v>
      </c>
      <c r="C448" s="57" t="n">
        <v>0.024537</v>
      </c>
      <c r="D448" s="57" t="n">
        <v>0.025935</v>
      </c>
    </row>
    <row r="449" customFormat="false" ht="15" hidden="false" customHeight="false" outlineLevel="0" collapsed="false">
      <c r="A449" s="52" t="n">
        <v>44852</v>
      </c>
      <c r="B449" s="57" t="n">
        <v>0.022725</v>
      </c>
      <c r="C449" s="57" t="n">
        <v>0.024372</v>
      </c>
      <c r="D449" s="57" t="n">
        <v>0.025718</v>
      </c>
    </row>
    <row r="450" customFormat="false" ht="15" hidden="false" customHeight="false" outlineLevel="0" collapsed="false">
      <c r="A450" s="52" t="n">
        <v>44853</v>
      </c>
      <c r="B450" s="57" t="n">
        <v>0.022622</v>
      </c>
      <c r="C450" s="57" t="n">
        <v>0.024205</v>
      </c>
      <c r="D450" s="57" t="n">
        <v>0.025544</v>
      </c>
    </row>
    <row r="451" customFormat="false" ht="15" hidden="false" customHeight="false" outlineLevel="0" collapsed="false">
      <c r="A451" s="52" t="n">
        <v>44854</v>
      </c>
      <c r="B451" s="57" t="n">
        <v>0.022676</v>
      </c>
      <c r="C451" s="57" t="n">
        <v>0.024272</v>
      </c>
      <c r="D451" s="57" t="n">
        <v>0.025556</v>
      </c>
    </row>
    <row r="452" customFormat="false" ht="15" hidden="false" customHeight="false" outlineLevel="0" collapsed="false">
      <c r="A452" s="52" t="n">
        <v>44855</v>
      </c>
      <c r="B452" s="57" t="n">
        <v>0.022802</v>
      </c>
      <c r="C452" s="57" t="n">
        <v>0.024504</v>
      </c>
      <c r="D452" s="57" t="n">
        <v>0.025505</v>
      </c>
    </row>
    <row r="453" customFormat="false" ht="15" hidden="false" customHeight="false" outlineLevel="0" collapsed="false">
      <c r="A453" s="52" t="n">
        <v>44858</v>
      </c>
      <c r="B453" s="57" t="n">
        <v>0.022794</v>
      </c>
      <c r="C453" s="57" t="n">
        <v>0.024538</v>
      </c>
      <c r="D453" s="57" t="n">
        <v>0.025554</v>
      </c>
    </row>
    <row r="454" customFormat="false" ht="15" hidden="false" customHeight="false" outlineLevel="0" collapsed="false">
      <c r="A454" s="52" t="n">
        <v>44859</v>
      </c>
      <c r="B454" s="57" t="n">
        <v>0.022899</v>
      </c>
      <c r="C454" s="57" t="n">
        <v>0.024619</v>
      </c>
      <c r="D454" s="57" t="n">
        <v>0.025778</v>
      </c>
    </row>
    <row r="455" customFormat="false" ht="15" hidden="false" customHeight="false" outlineLevel="0" collapsed="false">
      <c r="A455" s="52" t="n">
        <v>44860</v>
      </c>
      <c r="B455" s="57" t="n">
        <v>0.022611</v>
      </c>
      <c r="C455" s="57" t="n">
        <v>0.02457</v>
      </c>
      <c r="D455" s="57" t="n">
        <v>0.025736</v>
      </c>
    </row>
    <row r="456" customFormat="false" ht="15" hidden="false" customHeight="false" outlineLevel="0" collapsed="false">
      <c r="A456" s="52" t="n">
        <v>44861</v>
      </c>
      <c r="B456" s="57" t="n">
        <v>0.022573</v>
      </c>
      <c r="C456" s="57" t="n">
        <v>0.024523</v>
      </c>
      <c r="D456" s="57" t="n">
        <v>0.025688</v>
      </c>
    </row>
    <row r="457" customFormat="false" ht="15" hidden="false" customHeight="false" outlineLevel="0" collapsed="false">
      <c r="A457" s="52" t="n">
        <v>44862</v>
      </c>
      <c r="B457" s="57" t="n">
        <v>0.022416</v>
      </c>
      <c r="C457" s="57" t="n">
        <v>0.02448</v>
      </c>
      <c r="D457" s="57" t="n">
        <v>0.025663</v>
      </c>
    </row>
    <row r="458" customFormat="false" ht="15" hidden="false" customHeight="false" outlineLevel="0" collapsed="false">
      <c r="A458" s="52" t="n">
        <v>44865</v>
      </c>
      <c r="B458" s="57" t="n">
        <v>0.022263</v>
      </c>
      <c r="C458" s="57" t="n">
        <v>0.024295</v>
      </c>
      <c r="D458" s="57" t="n">
        <v>0.02542</v>
      </c>
    </row>
    <row r="459" customFormat="false" ht="15" hidden="false" customHeight="false" outlineLevel="0" collapsed="false">
      <c r="A459" s="52" t="n">
        <v>44866</v>
      </c>
      <c r="B459" s="57" t="n">
        <v>0.022451</v>
      </c>
      <c r="C459" s="57" t="n">
        <v>0.024343</v>
      </c>
      <c r="D459" s="57" t="n">
        <v>0.025487</v>
      </c>
    </row>
    <row r="460" customFormat="false" ht="15" hidden="false" customHeight="false" outlineLevel="0" collapsed="false">
      <c r="A460" s="52" t="n">
        <v>44867</v>
      </c>
      <c r="B460" s="57" t="n">
        <v>0.02265</v>
      </c>
      <c r="C460" s="57" t="n">
        <v>0.024449</v>
      </c>
      <c r="D460" s="57" t="n">
        <v>0.025596</v>
      </c>
    </row>
    <row r="461" customFormat="false" ht="15" hidden="false" customHeight="false" outlineLevel="0" collapsed="false">
      <c r="A461" s="52" t="n">
        <v>44868</v>
      </c>
      <c r="B461" s="57" t="n">
        <v>0.022663</v>
      </c>
      <c r="C461" s="57" t="n">
        <v>0.024404</v>
      </c>
      <c r="D461" s="57" t="n">
        <v>0.025601</v>
      </c>
    </row>
    <row r="462" customFormat="false" ht="15" hidden="false" customHeight="false" outlineLevel="0" collapsed="false">
      <c r="A462" s="52" t="n">
        <v>44869</v>
      </c>
      <c r="B462" s="57" t="n">
        <v>0.022848</v>
      </c>
      <c r="C462" s="57" t="n">
        <v>0.024588</v>
      </c>
      <c r="D462" s="57" t="n">
        <v>0.025697</v>
      </c>
    </row>
    <row r="463" customFormat="false" ht="15" hidden="false" customHeight="false" outlineLevel="0" collapsed="false">
      <c r="A463" s="52" t="n">
        <v>44872</v>
      </c>
      <c r="B463" s="57" t="n">
        <v>0.022956</v>
      </c>
      <c r="C463" s="57" t="n">
        <v>0.024597</v>
      </c>
      <c r="D463" s="57" t="n">
        <v>0.02583</v>
      </c>
    </row>
    <row r="464" customFormat="false" ht="15" hidden="false" customHeight="false" outlineLevel="0" collapsed="false">
      <c r="A464" s="52" t="n">
        <v>44873</v>
      </c>
      <c r="B464" s="57" t="n">
        <v>0.023097</v>
      </c>
      <c r="C464" s="57" t="n">
        <v>0.024947</v>
      </c>
      <c r="D464" s="57" t="n">
        <v>0.026083</v>
      </c>
    </row>
    <row r="465" customFormat="false" ht="15" hidden="false" customHeight="false" outlineLevel="0" collapsed="false">
      <c r="A465" s="52" t="n">
        <v>44874</v>
      </c>
      <c r="B465" s="57" t="n">
        <v>0.023222</v>
      </c>
      <c r="C465" s="57" t="n">
        <v>0.024997</v>
      </c>
      <c r="D465" s="57" t="n">
        <v>0.026289</v>
      </c>
    </row>
    <row r="466" customFormat="false" ht="15" hidden="false" customHeight="false" outlineLevel="0" collapsed="false">
      <c r="A466" s="52" t="n">
        <v>44875</v>
      </c>
      <c r="B466" s="57" t="n">
        <v>0.023229</v>
      </c>
      <c r="C466" s="57" t="n">
        <v>0.025336</v>
      </c>
      <c r="D466" s="57" t="n">
        <v>0.026535</v>
      </c>
    </row>
    <row r="467" customFormat="false" ht="15" hidden="false" customHeight="false" outlineLevel="0" collapsed="false">
      <c r="A467" s="52" t="n">
        <v>44876</v>
      </c>
      <c r="B467" s="57" t="n">
        <v>0.023641</v>
      </c>
      <c r="C467" s="57" t="n">
        <v>0.026274</v>
      </c>
      <c r="D467" s="57" t="n">
        <v>0.026935</v>
      </c>
    </row>
    <row r="468" customFormat="false" ht="15" hidden="false" customHeight="false" outlineLevel="0" collapsed="false">
      <c r="A468" s="52" t="n">
        <v>44879</v>
      </c>
      <c r="B468" s="57" t="n">
        <v>0.024939</v>
      </c>
      <c r="C468" s="57" t="n">
        <v>0.028175</v>
      </c>
      <c r="D468" s="57" t="n">
        <v>0.028567</v>
      </c>
    </row>
    <row r="469" customFormat="false" ht="15" hidden="false" customHeight="false" outlineLevel="0" collapsed="false">
      <c r="A469" s="52" t="n">
        <v>44880</v>
      </c>
      <c r="B469" s="57" t="n">
        <v>0.024978</v>
      </c>
      <c r="C469" s="57" t="n">
        <v>0.02845</v>
      </c>
      <c r="D469" s="57" t="n">
        <v>0.029435</v>
      </c>
    </row>
    <row r="470" customFormat="false" ht="15" hidden="false" customHeight="false" outlineLevel="0" collapsed="false">
      <c r="A470" s="52" t="n">
        <v>44881</v>
      </c>
      <c r="B470" s="57" t="n">
        <v>0.025405</v>
      </c>
      <c r="C470" s="57" t="n">
        <v>0.029164</v>
      </c>
      <c r="D470" s="57" t="n">
        <v>0.030423</v>
      </c>
    </row>
    <row r="471" customFormat="false" ht="15" hidden="false" customHeight="false" outlineLevel="0" collapsed="false">
      <c r="A471" s="52" t="n">
        <v>44882</v>
      </c>
      <c r="B471" s="57" t="n">
        <v>0.024831</v>
      </c>
      <c r="C471" s="57" t="n">
        <v>0.029011</v>
      </c>
      <c r="D471" s="57" t="n">
        <v>0.030856</v>
      </c>
    </row>
    <row r="472" customFormat="false" ht="15" hidden="false" customHeight="false" outlineLevel="0" collapsed="false">
      <c r="A472" s="52" t="n">
        <v>44883</v>
      </c>
      <c r="B472" s="57" t="n">
        <v>0.024793</v>
      </c>
      <c r="C472" s="57" t="n">
        <v>0.028559</v>
      </c>
      <c r="D472" s="57" t="n">
        <v>0.030601</v>
      </c>
    </row>
    <row r="473" customFormat="false" ht="15" hidden="false" customHeight="false" outlineLevel="0" collapsed="false">
      <c r="A473" s="52" t="n">
        <v>44886</v>
      </c>
      <c r="B473" s="57" t="n">
        <v>0.024526</v>
      </c>
      <c r="C473" s="57" t="n">
        <v>0.028021</v>
      </c>
      <c r="D473" s="57" t="n">
        <v>0.030375</v>
      </c>
    </row>
    <row r="474" customFormat="false" ht="15" hidden="false" customHeight="false" outlineLevel="0" collapsed="false">
      <c r="A474" s="52" t="n">
        <v>44887</v>
      </c>
      <c r="B474" s="57" t="n">
        <v>0.024253</v>
      </c>
      <c r="C474" s="57" t="n">
        <v>0.027911</v>
      </c>
      <c r="D474" s="57" t="n">
        <v>0.030286</v>
      </c>
    </row>
    <row r="475" customFormat="false" ht="15" hidden="false" customHeight="false" outlineLevel="0" collapsed="false">
      <c r="A475" s="52" t="n">
        <v>44888</v>
      </c>
      <c r="B475" s="57" t="n">
        <v>0.023857</v>
      </c>
      <c r="C475" s="57" t="n">
        <v>0.027601</v>
      </c>
      <c r="D475" s="57" t="n">
        <v>0.030033</v>
      </c>
    </row>
    <row r="476" customFormat="false" ht="15" hidden="false" customHeight="false" outlineLevel="0" collapsed="false">
      <c r="A476" s="52" t="n">
        <v>44889</v>
      </c>
      <c r="B476" s="57" t="n">
        <v>0.023604</v>
      </c>
      <c r="C476" s="57" t="n">
        <v>0.026925</v>
      </c>
      <c r="D476" s="57" t="n">
        <v>0.029315</v>
      </c>
    </row>
    <row r="477" customFormat="false" ht="15" hidden="false" customHeight="false" outlineLevel="0" collapsed="false">
      <c r="A477" s="52" t="n">
        <v>44890</v>
      </c>
      <c r="B477" s="57" t="n">
        <v>0.024154</v>
      </c>
      <c r="C477" s="57" t="n">
        <v>0.027319</v>
      </c>
      <c r="D477" s="57" t="n">
        <v>0.029414</v>
      </c>
    </row>
    <row r="478" customFormat="false" ht="15" hidden="false" customHeight="false" outlineLevel="0" collapsed="false">
      <c r="A478" s="52" t="n">
        <v>44893</v>
      </c>
      <c r="B478" s="57" t="n">
        <v>0.024304</v>
      </c>
      <c r="C478" s="57" t="n">
        <v>0.027414</v>
      </c>
      <c r="D478" s="57" t="n">
        <v>0.029619</v>
      </c>
    </row>
    <row r="479" customFormat="false" ht="15" hidden="false" customHeight="false" outlineLevel="0" collapsed="false">
      <c r="A479" s="52" t="n">
        <v>44894</v>
      </c>
      <c r="B479" s="57" t="n">
        <v>0.024715</v>
      </c>
      <c r="C479" s="57" t="n">
        <v>0.028633</v>
      </c>
      <c r="D479" s="57" t="n">
        <v>0.030446</v>
      </c>
    </row>
    <row r="480" customFormat="false" ht="15" hidden="false" customHeight="false" outlineLevel="0" collapsed="false">
      <c r="A480" s="52" t="n">
        <v>44895</v>
      </c>
      <c r="B480" s="57" t="n">
        <v>0.024717</v>
      </c>
      <c r="C480" s="57" t="n">
        <v>0.028713</v>
      </c>
      <c r="D480" s="57" t="n">
        <v>0.03097</v>
      </c>
    </row>
    <row r="481" customFormat="false" ht="15" hidden="false" customHeight="false" outlineLevel="0" collapsed="false">
      <c r="A481" s="52" t="n">
        <v>44896</v>
      </c>
      <c r="B481" s="57" t="n">
        <v>0.024517</v>
      </c>
      <c r="C481" s="57" t="n">
        <v>0.028765</v>
      </c>
      <c r="D481" s="57" t="n">
        <v>0.031384</v>
      </c>
    </row>
    <row r="482" customFormat="false" ht="15" hidden="false" customHeight="false" outlineLevel="0" collapsed="false">
      <c r="A482" s="52" t="n">
        <v>44897</v>
      </c>
      <c r="B482" s="57" t="n">
        <v>0.024473</v>
      </c>
      <c r="C482" s="57" t="n">
        <v>0.028588</v>
      </c>
      <c r="D482" s="57" t="n">
        <v>0.031375</v>
      </c>
    </row>
    <row r="483" customFormat="false" ht="15" hidden="false" customHeight="false" outlineLevel="0" collapsed="false">
      <c r="A483" s="52" t="n">
        <v>44900</v>
      </c>
      <c r="B483" s="57" t="n">
        <v>0.024533</v>
      </c>
      <c r="C483" s="57" t="n">
        <v>0.028502</v>
      </c>
      <c r="D483" s="57" t="n">
        <v>0.031708</v>
      </c>
    </row>
    <row r="484" customFormat="false" ht="15" hidden="false" customHeight="false" outlineLevel="0" collapsed="false">
      <c r="A484" s="52" t="n">
        <v>44901</v>
      </c>
      <c r="B484" s="57" t="n">
        <v>0.02483</v>
      </c>
      <c r="C484" s="57" t="n">
        <v>0.029173</v>
      </c>
      <c r="D484" s="57" t="n">
        <v>0.032302</v>
      </c>
    </row>
    <row r="485" customFormat="false" ht="15" hidden="false" customHeight="false" outlineLevel="0" collapsed="false">
      <c r="A485" s="52" t="n">
        <v>44902</v>
      </c>
      <c r="B485" s="57" t="n">
        <v>0.024833</v>
      </c>
      <c r="C485" s="57" t="n">
        <v>0.029796</v>
      </c>
      <c r="D485" s="57" t="n">
        <v>0.033286</v>
      </c>
    </row>
    <row r="486" customFormat="false" ht="15" hidden="false" customHeight="false" outlineLevel="0" collapsed="false">
      <c r="A486" s="52" t="n">
        <v>44903</v>
      </c>
      <c r="B486" s="57" t="n">
        <v>0.024936</v>
      </c>
      <c r="C486" s="57" t="n">
        <v>0.029598</v>
      </c>
      <c r="D486" s="57" t="n">
        <v>0.033315</v>
      </c>
    </row>
    <row r="487" customFormat="false" ht="15" hidden="false" customHeight="false" outlineLevel="0" collapsed="false">
      <c r="A487" s="52" t="n">
        <v>44904</v>
      </c>
      <c r="B487" s="57" t="n">
        <v>0.025033</v>
      </c>
      <c r="C487" s="57" t="n">
        <v>0.029565</v>
      </c>
      <c r="D487" s="57" t="n">
        <v>0.03363</v>
      </c>
    </row>
    <row r="488" customFormat="false" ht="15" hidden="false" customHeight="false" outlineLevel="0" collapsed="false">
      <c r="A488" s="52" t="n">
        <v>44907</v>
      </c>
      <c r="B488" s="57" t="n">
        <v>0.025349</v>
      </c>
      <c r="C488" s="57" t="n">
        <v>0.029731</v>
      </c>
      <c r="D488" s="57" t="n">
        <v>0.034246</v>
      </c>
    </row>
    <row r="489" customFormat="false" ht="15" hidden="false" customHeight="false" outlineLevel="0" collapsed="false">
      <c r="A489" s="52" t="n">
        <v>44908</v>
      </c>
      <c r="B489" s="57" t="n">
        <v>0.025797</v>
      </c>
      <c r="C489" s="57" t="n">
        <v>0.030396</v>
      </c>
      <c r="D489" s="57" t="n">
        <v>0.035616</v>
      </c>
    </row>
    <row r="490" customFormat="false" ht="15" hidden="false" customHeight="false" outlineLevel="0" collapsed="false">
      <c r="A490" s="52" t="n">
        <v>44909</v>
      </c>
      <c r="B490" s="57" t="n">
        <v>0.025252</v>
      </c>
      <c r="C490" s="57" t="n">
        <v>0.030196</v>
      </c>
      <c r="D490" s="57" t="n">
        <v>0.03531</v>
      </c>
    </row>
    <row r="491" customFormat="false" ht="15" hidden="false" customHeight="false" outlineLevel="0" collapsed="false">
      <c r="A491" s="52" t="n">
        <v>44910</v>
      </c>
      <c r="B491" s="57" t="n">
        <v>0.0252</v>
      </c>
      <c r="C491" s="57" t="n">
        <v>0.029939</v>
      </c>
      <c r="D491" s="57" t="n">
        <v>0.034808</v>
      </c>
    </row>
    <row r="492" customFormat="false" ht="15" hidden="false" customHeight="false" outlineLevel="0" collapsed="false">
      <c r="A492" s="52" t="n">
        <v>44911</v>
      </c>
      <c r="B492" s="57" t="n">
        <v>0.02531</v>
      </c>
      <c r="C492" s="57" t="n">
        <v>0.029995</v>
      </c>
      <c r="D492" s="57" t="n">
        <v>0.034775</v>
      </c>
    </row>
    <row r="493" customFormat="false" ht="15" hidden="false" customHeight="false" outlineLevel="0" collapsed="false">
      <c r="A493" s="52" t="n">
        <v>44914</v>
      </c>
      <c r="B493" s="57" t="n">
        <v>0.025018</v>
      </c>
      <c r="C493" s="57" t="n">
        <v>0.029787</v>
      </c>
      <c r="D493" s="57" t="n">
        <v>0.03438</v>
      </c>
    </row>
    <row r="494" customFormat="false" ht="15" hidden="false" customHeight="false" outlineLevel="0" collapsed="false">
      <c r="A494" s="52" t="n">
        <v>44915</v>
      </c>
      <c r="B494" s="57" t="n">
        <v>0.025074</v>
      </c>
      <c r="C494" s="57" t="n">
        <v>0.029678</v>
      </c>
      <c r="D494" s="57" t="n">
        <v>0.033899</v>
      </c>
    </row>
    <row r="495" customFormat="false" ht="15" hidden="false" customHeight="false" outlineLevel="0" collapsed="false">
      <c r="A495" s="52" t="n">
        <v>44916</v>
      </c>
      <c r="B495" s="57" t="n">
        <v>0.024917</v>
      </c>
      <c r="C495" s="57" t="n">
        <v>0.029434</v>
      </c>
      <c r="D495" s="57" t="n">
        <v>0.033557</v>
      </c>
    </row>
    <row r="496" customFormat="false" ht="15" hidden="false" customHeight="false" outlineLevel="0" collapsed="false">
      <c r="A496" s="52" t="n">
        <v>44917</v>
      </c>
      <c r="B496" s="57" t="n">
        <v>0.024773</v>
      </c>
      <c r="C496" s="57" t="n">
        <v>0.029368</v>
      </c>
      <c r="D496" s="57" t="n">
        <v>0.03316</v>
      </c>
    </row>
    <row r="497" customFormat="false" ht="15" hidden="false" customHeight="false" outlineLevel="0" collapsed="false">
      <c r="A497" s="52" t="n">
        <v>44918</v>
      </c>
      <c r="B497" s="57" t="n">
        <v>0.024608</v>
      </c>
      <c r="C497" s="57" t="n">
        <v>0.02895</v>
      </c>
      <c r="D497" s="57" t="n">
        <v>0.032668</v>
      </c>
    </row>
    <row r="498" customFormat="false" ht="15" hidden="false" customHeight="false" outlineLevel="0" collapsed="false">
      <c r="A498" s="52" t="n">
        <v>44921</v>
      </c>
      <c r="B498" s="57" t="n">
        <v>0.024684</v>
      </c>
      <c r="C498" s="57" t="n">
        <v>0.028706</v>
      </c>
      <c r="D498" s="57" t="n">
        <v>0.032371</v>
      </c>
    </row>
    <row r="499" customFormat="false" ht="15" hidden="false" customHeight="false" outlineLevel="0" collapsed="false">
      <c r="A499" s="52" t="n">
        <v>44922</v>
      </c>
      <c r="B499" s="57" t="n">
        <v>0.024663</v>
      </c>
      <c r="C499" s="57" t="n">
        <v>0.028895</v>
      </c>
      <c r="D499" s="57" t="n">
        <v>0.032327</v>
      </c>
    </row>
    <row r="500" customFormat="false" ht="15" hidden="false" customHeight="false" outlineLevel="0" collapsed="false">
      <c r="A500" s="52" t="n">
        <v>44923</v>
      </c>
      <c r="B500" s="57" t="n">
        <v>0.024712</v>
      </c>
      <c r="C500" s="57" t="n">
        <v>0.028845</v>
      </c>
      <c r="D500" s="57" t="n">
        <v>0.032307</v>
      </c>
    </row>
    <row r="501" customFormat="false" ht="15" hidden="false" customHeight="false" outlineLevel="0" collapsed="false">
      <c r="A501" s="52" t="n">
        <v>44924</v>
      </c>
      <c r="B501" s="57" t="n">
        <v>0.024165</v>
      </c>
      <c r="C501" s="57" t="n">
        <v>0.028672</v>
      </c>
      <c r="D501" s="57" t="n">
        <v>0.03202</v>
      </c>
    </row>
    <row r="502" customFormat="false" ht="15" hidden="false" customHeight="false" outlineLevel="0" collapsed="false">
      <c r="A502" s="52" t="n">
        <v>44925</v>
      </c>
      <c r="B502" s="57" t="n">
        <v>0.02404</v>
      </c>
      <c r="C502" s="57" t="n">
        <v>0.028502</v>
      </c>
      <c r="D502" s="57" t="n">
        <v>0.03174</v>
      </c>
    </row>
    <row r="503" customFormat="false" ht="15" hidden="false" customHeight="false" outlineLevel="0" collapsed="false">
      <c r="A503" s="52" t="n">
        <v>44926</v>
      </c>
      <c r="B503" s="57" t="n">
        <v>0.02404</v>
      </c>
      <c r="C503" s="57" t="n">
        <v>0.028502</v>
      </c>
      <c r="D503" s="57" t="n">
        <v>0.03174</v>
      </c>
    </row>
    <row r="504" customFormat="false" ht="15" hidden="false" customHeight="false" outlineLevel="0" collapsed="false">
      <c r="A504" s="52" t="n">
        <v>44929</v>
      </c>
      <c r="B504" s="57" t="n">
        <v>0.024096</v>
      </c>
      <c r="C504" s="57" t="n">
        <v>0.028026</v>
      </c>
      <c r="D504" s="57" t="n">
        <v>0.031368</v>
      </c>
    </row>
    <row r="505" customFormat="false" ht="15" hidden="false" customHeight="false" outlineLevel="0" collapsed="false">
      <c r="A505" s="52" t="n">
        <v>44930</v>
      </c>
      <c r="B505" s="57" t="n">
        <v>0.023964</v>
      </c>
      <c r="C505" s="57" t="n">
        <v>0.027429</v>
      </c>
      <c r="D505" s="57" t="n">
        <v>0.03078</v>
      </c>
    </row>
    <row r="506" customFormat="false" ht="15" hidden="false" customHeight="false" outlineLevel="0" collapsed="false">
      <c r="A506" s="52" t="n">
        <v>44931</v>
      </c>
      <c r="B506" s="57" t="n">
        <v>0.024111</v>
      </c>
      <c r="C506" s="57" t="n">
        <v>0.027441</v>
      </c>
      <c r="D506" s="57" t="n">
        <v>0.030306</v>
      </c>
    </row>
    <row r="507" customFormat="false" ht="15" hidden="false" customHeight="false" outlineLevel="0" collapsed="false">
      <c r="A507" s="52" t="n">
        <v>44932</v>
      </c>
      <c r="B507" s="57" t="n">
        <v>0.024419</v>
      </c>
      <c r="C507" s="57" t="n">
        <v>0.027982</v>
      </c>
      <c r="D507" s="57" t="n">
        <v>0.030627</v>
      </c>
    </row>
    <row r="508" customFormat="false" ht="15" hidden="false" customHeight="false" outlineLevel="0" collapsed="false">
      <c r="A508" s="52" t="n">
        <v>44935</v>
      </c>
      <c r="B508" s="57" t="n">
        <v>0.024627</v>
      </c>
      <c r="C508" s="57" t="n">
        <v>0.028199</v>
      </c>
      <c r="D508" s="57" t="n">
        <v>0.030684</v>
      </c>
    </row>
    <row r="509" customFormat="false" ht="15" hidden="false" customHeight="false" outlineLevel="0" collapsed="false">
      <c r="A509" s="52" t="n">
        <v>44936</v>
      </c>
      <c r="B509" s="57" t="n">
        <v>0.025036</v>
      </c>
      <c r="C509" s="57" t="n">
        <v>0.028895</v>
      </c>
      <c r="D509" s="57" t="n">
        <v>0.031097</v>
      </c>
    </row>
    <row r="510" customFormat="false" ht="15" hidden="false" customHeight="false" outlineLevel="0" collapsed="false">
      <c r="A510" s="52" t="n">
        <v>44937</v>
      </c>
      <c r="B510" s="57" t="n">
        <v>0.025131</v>
      </c>
      <c r="C510" s="57" t="n">
        <v>0.029084</v>
      </c>
      <c r="D510" s="57" t="n">
        <v>0.0314</v>
      </c>
    </row>
    <row r="511" customFormat="false" ht="15" hidden="false" customHeight="false" outlineLevel="0" collapsed="false">
      <c r="A511" s="52" t="n">
        <v>44938</v>
      </c>
      <c r="B511" s="57" t="n">
        <v>0.025029</v>
      </c>
      <c r="C511" s="57" t="n">
        <v>0.028967</v>
      </c>
      <c r="D511" s="57" t="n">
        <v>0.031535</v>
      </c>
    </row>
    <row r="512" customFormat="false" ht="15" hidden="false" customHeight="false" outlineLevel="0" collapsed="false">
      <c r="A512" s="52" t="n">
        <v>44939</v>
      </c>
      <c r="B512" s="57" t="n">
        <v>0.025188</v>
      </c>
      <c r="C512" s="57" t="n">
        <v>0.028881</v>
      </c>
      <c r="D512" s="57" t="n">
        <v>0.031527</v>
      </c>
    </row>
    <row r="513" customFormat="false" ht="15" hidden="false" customHeight="false" outlineLevel="0" collapsed="false">
      <c r="A513" s="52" t="n">
        <v>44942</v>
      </c>
      <c r="B513" s="57" t="n">
        <v>0.025552</v>
      </c>
      <c r="C513" s="57" t="n">
        <v>0.029296</v>
      </c>
      <c r="D513" s="57" t="n">
        <v>0.031858</v>
      </c>
    </row>
    <row r="514" customFormat="false" ht="15" hidden="false" customHeight="false" outlineLevel="0" collapsed="false">
      <c r="A514" s="52" t="n">
        <v>44943</v>
      </c>
      <c r="B514" s="57" t="n">
        <v>0.025461</v>
      </c>
      <c r="C514" s="57" t="n">
        <v>0.029269</v>
      </c>
      <c r="D514" s="57" t="n">
        <v>0.031963</v>
      </c>
    </row>
    <row r="515" customFormat="false" ht="15" hidden="false" customHeight="false" outlineLevel="0" collapsed="false">
      <c r="A515" s="52" t="n">
        <v>44944</v>
      </c>
      <c r="B515" s="57" t="n">
        <v>0.025486</v>
      </c>
      <c r="C515" s="57" t="n">
        <v>0.02912</v>
      </c>
      <c r="D515" s="57" t="n">
        <v>0.031915</v>
      </c>
    </row>
    <row r="516" customFormat="false" ht="15" hidden="false" customHeight="false" outlineLevel="0" collapsed="false">
      <c r="A516" s="52" t="n">
        <v>44945</v>
      </c>
      <c r="B516" s="57" t="n">
        <v>0.025418</v>
      </c>
      <c r="C516" s="57" t="n">
        <v>0.02912</v>
      </c>
      <c r="D516" s="57" t="n">
        <v>0.031958</v>
      </c>
    </row>
    <row r="517" customFormat="false" ht="15" hidden="false" customHeight="false" outlineLevel="0" collapsed="false">
      <c r="A517" s="52" t="n">
        <v>44946</v>
      </c>
      <c r="B517" s="57" t="n">
        <v>0.025379</v>
      </c>
      <c r="C517" s="57" t="n">
        <v>0.028964</v>
      </c>
      <c r="D517" s="57" t="n">
        <v>0.032004</v>
      </c>
    </row>
    <row r="518" customFormat="false" ht="15" hidden="false" customHeight="false" outlineLevel="0" collapsed="false">
      <c r="A518" s="52" t="n">
        <v>44954</v>
      </c>
      <c r="B518" s="57" t="n">
        <v>0.025465</v>
      </c>
      <c r="C518" s="57" t="n">
        <v>0.029056</v>
      </c>
      <c r="D518" s="57" t="n">
        <v>0.032096</v>
      </c>
    </row>
    <row r="519" customFormat="false" ht="15" hidden="false" customHeight="false" outlineLevel="0" collapsed="false">
      <c r="A519" s="52" t="n">
        <v>44955</v>
      </c>
      <c r="B519" s="57" t="n">
        <v>0.025307</v>
      </c>
      <c r="C519" s="57" t="n">
        <v>0.028817</v>
      </c>
      <c r="D519" s="57" t="n">
        <v>0.032081</v>
      </c>
    </row>
    <row r="520" customFormat="false" ht="15" hidden="false" customHeight="false" outlineLevel="0" collapsed="false">
      <c r="A520" s="52" t="n">
        <v>44956</v>
      </c>
      <c r="B520" s="57" t="n">
        <v>0.025405</v>
      </c>
      <c r="C520" s="57" t="n">
        <v>0.028823</v>
      </c>
      <c r="D520" s="57" t="n">
        <v>0.032296</v>
      </c>
    </row>
    <row r="521" customFormat="false" ht="15" hidden="false" customHeight="false" outlineLevel="0" collapsed="false">
      <c r="A521" s="52" t="n">
        <v>44957</v>
      </c>
      <c r="B521" s="57" t="n">
        <v>0.02529</v>
      </c>
      <c r="C521" s="57" t="n">
        <v>0.028755</v>
      </c>
      <c r="D521" s="57" t="n">
        <v>0.032403</v>
      </c>
    </row>
    <row r="522" customFormat="false" ht="15" hidden="false" customHeight="false" outlineLevel="0" collapsed="false">
      <c r="A522" s="52" t="n">
        <v>44958</v>
      </c>
      <c r="B522" s="57" t="n">
        <v>0.025388</v>
      </c>
      <c r="C522" s="57" t="n">
        <v>0.028816</v>
      </c>
      <c r="D522" s="57" t="n">
        <v>0.032623</v>
      </c>
    </row>
    <row r="523" customFormat="false" ht="15" hidden="false" customHeight="false" outlineLevel="0" collapsed="false">
      <c r="A523" s="52" t="n">
        <v>44959</v>
      </c>
      <c r="B523" s="57" t="n">
        <v>0.025151</v>
      </c>
      <c r="C523" s="57" t="n">
        <v>0.028627</v>
      </c>
      <c r="D523" s="57" t="n">
        <v>0.032487</v>
      </c>
    </row>
    <row r="524" customFormat="false" ht="15" hidden="false" customHeight="false" outlineLevel="0" collapsed="false">
      <c r="A524" s="52" t="n">
        <v>44960</v>
      </c>
      <c r="B524" s="57" t="n">
        <v>0.025244</v>
      </c>
      <c r="C524" s="57" t="n">
        <v>0.028278</v>
      </c>
      <c r="D524" s="57" t="n">
        <v>0.03234</v>
      </c>
    </row>
    <row r="525" customFormat="false" ht="15" hidden="false" customHeight="false" outlineLevel="0" collapsed="false">
      <c r="A525" s="52" t="n">
        <v>44963</v>
      </c>
      <c r="B525" s="57" t="n">
        <v>0.025311</v>
      </c>
      <c r="C525" s="57" t="n">
        <v>0.028394</v>
      </c>
      <c r="D525" s="57" t="n">
        <v>0.032188</v>
      </c>
    </row>
    <row r="526" customFormat="false" ht="15" hidden="false" customHeight="false" outlineLevel="0" collapsed="false">
      <c r="A526" s="52" t="n">
        <v>44964</v>
      </c>
      <c r="B526" s="57" t="n">
        <v>0.0254</v>
      </c>
      <c r="C526" s="57" t="n">
        <v>0.028531</v>
      </c>
      <c r="D526" s="57" t="n">
        <v>0.032087</v>
      </c>
    </row>
    <row r="527" customFormat="false" ht="15" hidden="false" customHeight="false" outlineLevel="0" collapsed="false">
      <c r="A527" s="52" t="n">
        <v>44965</v>
      </c>
      <c r="B527" s="57" t="n">
        <v>0.025443</v>
      </c>
      <c r="C527" s="57" t="n">
        <v>0.028618</v>
      </c>
      <c r="D527" s="57" t="n">
        <v>0.031987</v>
      </c>
    </row>
    <row r="528" customFormat="false" ht="15" hidden="false" customHeight="false" outlineLevel="0" collapsed="false">
      <c r="A528" s="52" t="n">
        <v>44966</v>
      </c>
      <c r="B528" s="57" t="n">
        <v>0.025322</v>
      </c>
      <c r="C528" s="57" t="n">
        <v>0.028542</v>
      </c>
      <c r="D528" s="57" t="n">
        <v>0.031649</v>
      </c>
    </row>
    <row r="529" customFormat="false" ht="15" hidden="false" customHeight="false" outlineLevel="0" collapsed="false">
      <c r="A529" s="52" t="n">
        <v>44967</v>
      </c>
      <c r="B529" s="57" t="n">
        <v>0.025383</v>
      </c>
      <c r="C529" s="57" t="n">
        <v>0.028387</v>
      </c>
      <c r="D529" s="57" t="n">
        <v>0.031425</v>
      </c>
    </row>
    <row r="530" customFormat="false" ht="15" hidden="false" customHeight="false" outlineLevel="0" collapsed="false">
      <c r="A530" s="52" t="n">
        <v>44970</v>
      </c>
      <c r="B530" s="57" t="n">
        <v>0.025426</v>
      </c>
      <c r="C530" s="57" t="n">
        <v>0.028421</v>
      </c>
      <c r="D530" s="57" t="n">
        <v>0.031373</v>
      </c>
    </row>
    <row r="531" customFormat="false" ht="15" hidden="false" customHeight="false" outlineLevel="0" collapsed="false">
      <c r="A531" s="52" t="n">
        <v>44971</v>
      </c>
      <c r="B531" s="57" t="n">
        <v>0.025374</v>
      </c>
      <c r="C531" s="57" t="n">
        <v>0.028562</v>
      </c>
      <c r="D531" s="57" t="n">
        <v>0.031215</v>
      </c>
    </row>
    <row r="532" customFormat="false" ht="15" hidden="false" customHeight="false" outlineLevel="0" collapsed="false">
      <c r="A532" s="52" t="n">
        <v>44972</v>
      </c>
      <c r="B532" s="57" t="n">
        <v>0.025431</v>
      </c>
      <c r="C532" s="57" t="n">
        <v>0.02851</v>
      </c>
      <c r="D532" s="57" t="n">
        <v>0.031131</v>
      </c>
    </row>
    <row r="533" customFormat="false" ht="15" hidden="false" customHeight="false" outlineLevel="0" collapsed="false">
      <c r="A533" s="52" t="n">
        <v>44973</v>
      </c>
      <c r="B533" s="57" t="n">
        <v>0.025429</v>
      </c>
      <c r="C533" s="57" t="n">
        <v>0.028573</v>
      </c>
      <c r="D533" s="57" t="n">
        <v>0.030844</v>
      </c>
    </row>
    <row r="534" customFormat="false" ht="15" hidden="false" customHeight="false" outlineLevel="0" collapsed="false">
      <c r="A534" s="52" t="n">
        <v>44974</v>
      </c>
      <c r="B534" s="57" t="n">
        <v>0.025329</v>
      </c>
      <c r="C534" s="57" t="n">
        <v>0.028674</v>
      </c>
      <c r="D534" s="57" t="n">
        <v>0.030725</v>
      </c>
    </row>
    <row r="535" customFormat="false" ht="15" hidden="false" customHeight="false" outlineLevel="0" collapsed="false">
      <c r="A535" s="52" t="n">
        <v>44977</v>
      </c>
      <c r="B535" s="57" t="n">
        <v>0.025511</v>
      </c>
      <c r="C535" s="57" t="n">
        <v>0.029109</v>
      </c>
      <c r="D535" s="57" t="n">
        <v>0.030877</v>
      </c>
    </row>
    <row r="536" customFormat="false" ht="15" hidden="false" customHeight="false" outlineLevel="0" collapsed="false">
      <c r="A536" s="52" t="n">
        <v>44978</v>
      </c>
      <c r="B536" s="57" t="n">
        <v>0.025614</v>
      </c>
      <c r="C536" s="57" t="n">
        <v>0.029478</v>
      </c>
      <c r="D536" s="57" t="n">
        <v>0.031381</v>
      </c>
    </row>
    <row r="537" customFormat="false" ht="15" hidden="false" customHeight="false" outlineLevel="0" collapsed="false">
      <c r="A537" s="52" t="n">
        <v>44979</v>
      </c>
      <c r="B537" s="57" t="n">
        <v>0.025568</v>
      </c>
      <c r="C537" s="57" t="n">
        <v>0.029442</v>
      </c>
      <c r="D537" s="57" t="n">
        <v>0.031503</v>
      </c>
    </row>
    <row r="538" customFormat="false" ht="15" hidden="false" customHeight="false" outlineLevel="0" collapsed="false">
      <c r="A538" s="52" t="n">
        <v>44980</v>
      </c>
      <c r="B538" s="57" t="n">
        <v>0.025619</v>
      </c>
      <c r="C538" s="57" t="n">
        <v>0.029456</v>
      </c>
      <c r="D538" s="57" t="n">
        <v>0.03159</v>
      </c>
    </row>
    <row r="539" customFormat="false" ht="15" hidden="false" customHeight="false" outlineLevel="0" collapsed="false">
      <c r="A539" s="52" t="n">
        <v>44981</v>
      </c>
      <c r="B539" s="57" t="n">
        <v>0.025647</v>
      </c>
      <c r="C539" s="57" t="n">
        <v>0.029456</v>
      </c>
      <c r="D539" s="57" t="n">
        <v>0.03165</v>
      </c>
    </row>
    <row r="540" customFormat="false" ht="15" hidden="false" customHeight="false" outlineLevel="0" collapsed="false">
      <c r="A540" s="52" t="n">
        <v>44984</v>
      </c>
      <c r="B540" s="57" t="n">
        <v>0.02573</v>
      </c>
      <c r="C540" s="57" t="n">
        <v>0.029495</v>
      </c>
      <c r="D540" s="57" t="n">
        <v>0.031884</v>
      </c>
    </row>
    <row r="541" customFormat="false" ht="15" hidden="false" customHeight="false" outlineLevel="0" collapsed="false">
      <c r="A541" s="52" t="n">
        <v>44985</v>
      </c>
      <c r="B541" s="57" t="n">
        <v>0.025734</v>
      </c>
      <c r="C541" s="57" t="n">
        <v>0.029595</v>
      </c>
      <c r="D541" s="57" t="n">
        <v>0.032048</v>
      </c>
    </row>
    <row r="542" customFormat="false" ht="15" hidden="false" customHeight="false" outlineLevel="0" collapsed="false">
      <c r="A542" s="52" t="n">
        <v>44986</v>
      </c>
      <c r="B542" s="57" t="n">
        <v>0.025692</v>
      </c>
      <c r="C542" s="57" t="n">
        <v>0.029603</v>
      </c>
      <c r="D542" s="57" t="n">
        <v>0.032047</v>
      </c>
    </row>
    <row r="543" customFormat="false" ht="15" hidden="false" customHeight="false" outlineLevel="0" collapsed="false">
      <c r="A543" s="52" t="n">
        <v>44987</v>
      </c>
      <c r="B543" s="57" t="n">
        <v>0.025691</v>
      </c>
      <c r="C543" s="57" t="n">
        <v>0.029712</v>
      </c>
      <c r="D543" s="57" t="n">
        <v>0.03207</v>
      </c>
    </row>
    <row r="544" customFormat="false" ht="15" hidden="false" customHeight="false" outlineLevel="0" collapsed="false">
      <c r="A544" s="52" t="n">
        <v>44988</v>
      </c>
      <c r="B544" s="57" t="n">
        <v>0.025672</v>
      </c>
      <c r="C544" s="57" t="n">
        <v>0.029813</v>
      </c>
      <c r="D544" s="57" t="n">
        <v>0.032153</v>
      </c>
    </row>
    <row r="545" customFormat="false" ht="15" hidden="false" customHeight="false" outlineLevel="0" collapsed="false">
      <c r="A545" s="52" t="n">
        <v>44991</v>
      </c>
      <c r="B545" s="57" t="n">
        <v>0.025506</v>
      </c>
      <c r="C545" s="57" t="n">
        <v>0.029656</v>
      </c>
      <c r="D545" s="57" t="n">
        <v>0.031972</v>
      </c>
    </row>
    <row r="546" customFormat="false" ht="15" hidden="false" customHeight="false" outlineLevel="0" collapsed="false">
      <c r="A546" s="52" t="n">
        <v>44992</v>
      </c>
      <c r="B546" s="57" t="n">
        <v>0.025464</v>
      </c>
      <c r="C546" s="57" t="n">
        <v>0.029543</v>
      </c>
      <c r="D546" s="57" t="n">
        <v>0.031818</v>
      </c>
    </row>
    <row r="547" customFormat="false" ht="15" hidden="false" customHeight="false" outlineLevel="0" collapsed="false">
      <c r="A547" s="52" t="n">
        <v>44993</v>
      </c>
      <c r="B547" s="57" t="n">
        <v>0.025412</v>
      </c>
      <c r="C547" s="57" t="n">
        <v>0.029438</v>
      </c>
      <c r="D547" s="57" t="n">
        <v>0.031512</v>
      </c>
    </row>
    <row r="548" customFormat="false" ht="15" hidden="false" customHeight="false" outlineLevel="0" collapsed="false">
      <c r="A548" s="52" t="n">
        <v>44994</v>
      </c>
      <c r="B548" s="57" t="n">
        <v>0.025311</v>
      </c>
      <c r="C548" s="57" t="n">
        <v>0.029534</v>
      </c>
      <c r="D548" s="57" t="n">
        <v>0.03136</v>
      </c>
    </row>
    <row r="549" customFormat="false" ht="15" hidden="false" customHeight="false" outlineLevel="0" collapsed="false">
      <c r="A549" s="52" t="n">
        <v>44995</v>
      </c>
      <c r="B549" s="57" t="n">
        <v>0.025239</v>
      </c>
      <c r="C549" s="57" t="n">
        <v>0.029217</v>
      </c>
      <c r="D549" s="57" t="n">
        <v>0.03116</v>
      </c>
    </row>
    <row r="550" customFormat="false" ht="15" hidden="false" customHeight="false" outlineLevel="0" collapsed="false">
      <c r="A550" s="52" t="n">
        <v>44998</v>
      </c>
      <c r="B550" s="57" t="n">
        <v>0.025324</v>
      </c>
      <c r="C550" s="57" t="n">
        <v>0.029104</v>
      </c>
      <c r="D550" s="57" t="n">
        <v>0.031253</v>
      </c>
    </row>
    <row r="551" customFormat="false" ht="15" hidden="false" customHeight="false" outlineLevel="0" collapsed="false">
      <c r="A551" s="52" t="n">
        <v>44999</v>
      </c>
      <c r="B551" s="57" t="n">
        <v>0.025277</v>
      </c>
      <c r="C551" s="57" t="n">
        <v>0.029104</v>
      </c>
      <c r="D551" s="57" t="n">
        <v>0.03126</v>
      </c>
    </row>
    <row r="552" customFormat="false" ht="15" hidden="false" customHeight="false" outlineLevel="0" collapsed="false">
      <c r="A552" s="52" t="n">
        <v>45000</v>
      </c>
      <c r="B552" s="57" t="n">
        <v>0.025328</v>
      </c>
      <c r="C552" s="57" t="n">
        <v>0.029235</v>
      </c>
      <c r="D552" s="57" t="n">
        <v>0.031233</v>
      </c>
    </row>
    <row r="553" customFormat="false" ht="15" hidden="false" customHeight="false" outlineLevel="0" collapsed="false">
      <c r="A553" s="52" t="n">
        <v>45001</v>
      </c>
      <c r="B553" s="57" t="n">
        <v>0.025235</v>
      </c>
      <c r="C553" s="57" t="n">
        <v>0.029174</v>
      </c>
      <c r="D553" s="57" t="n">
        <v>0.03121</v>
      </c>
    </row>
    <row r="554" customFormat="false" ht="15" hidden="false" customHeight="false" outlineLevel="0" collapsed="false">
      <c r="A554" s="52" t="n">
        <v>45002</v>
      </c>
      <c r="B554" s="57" t="n">
        <v>0.025236</v>
      </c>
      <c r="C554" s="57" t="n">
        <v>0.029143</v>
      </c>
      <c r="D554" s="57" t="n">
        <v>0.031104</v>
      </c>
    </row>
    <row r="555" customFormat="false" ht="15" hidden="false" customHeight="false" outlineLevel="0" collapsed="false">
      <c r="A555" s="52" t="n">
        <v>45005</v>
      </c>
      <c r="B555" s="57" t="n">
        <v>0.025025</v>
      </c>
      <c r="C555" s="57" t="n">
        <v>0.028661</v>
      </c>
      <c r="D555" s="57" t="n">
        <v>0.030819</v>
      </c>
    </row>
    <row r="556" customFormat="false" ht="15" hidden="false" customHeight="false" outlineLevel="0" collapsed="false">
      <c r="A556" s="52" t="n">
        <v>45006</v>
      </c>
      <c r="B556" s="57" t="n">
        <v>0.025153</v>
      </c>
      <c r="C556" s="57" t="n">
        <v>0.028627</v>
      </c>
      <c r="D556" s="57" t="n">
        <v>0.030617</v>
      </c>
    </row>
    <row r="557" customFormat="false" ht="15" hidden="false" customHeight="false" outlineLevel="0" collapsed="false">
      <c r="A557" s="52" t="n">
        <v>45007</v>
      </c>
      <c r="B557" s="57" t="n">
        <v>0.025209</v>
      </c>
      <c r="C557" s="57" t="n">
        <v>0.028733</v>
      </c>
      <c r="D557" s="57" t="n">
        <v>0.030723</v>
      </c>
    </row>
    <row r="558" customFormat="false" ht="15" hidden="false" customHeight="false" outlineLevel="0" collapsed="false">
      <c r="A558" s="52" t="n">
        <v>45008</v>
      </c>
      <c r="B558" s="57" t="n">
        <v>0.02521</v>
      </c>
      <c r="C558" s="57" t="n">
        <v>0.028762</v>
      </c>
      <c r="D558" s="57" t="n">
        <v>0.030827</v>
      </c>
    </row>
    <row r="559" customFormat="false" ht="15" hidden="false" customHeight="false" outlineLevel="0" collapsed="false">
      <c r="A559" s="52" t="n">
        <v>45009</v>
      </c>
      <c r="B559" s="57" t="n">
        <v>0.025377</v>
      </c>
      <c r="C559" s="57" t="n">
        <v>0.028765</v>
      </c>
      <c r="D559" s="57" t="n">
        <v>0.031032</v>
      </c>
    </row>
    <row r="560" customFormat="false" ht="15" hidden="false" customHeight="false" outlineLevel="0" collapsed="false">
      <c r="A560" s="52" t="n">
        <v>45012</v>
      </c>
      <c r="B560" s="57" t="n">
        <v>0.025279</v>
      </c>
      <c r="C560" s="57" t="n">
        <v>0.028829</v>
      </c>
      <c r="D560" s="57" t="n">
        <v>0.031045</v>
      </c>
    </row>
    <row r="561" customFormat="false" ht="15" hidden="false" customHeight="false" outlineLevel="0" collapsed="false">
      <c r="A561" s="52" t="n">
        <v>45013</v>
      </c>
      <c r="B561" s="57" t="n">
        <v>0.025302</v>
      </c>
      <c r="C561" s="57" t="n">
        <v>0.028731</v>
      </c>
      <c r="D561" s="57" t="n">
        <v>0.030995</v>
      </c>
    </row>
    <row r="562" customFormat="false" ht="15" hidden="false" customHeight="false" outlineLevel="0" collapsed="false">
      <c r="A562" s="52" t="n">
        <v>45014</v>
      </c>
      <c r="B562" s="57" t="n">
        <v>0.025227</v>
      </c>
      <c r="C562" s="57" t="n">
        <v>0.028698</v>
      </c>
      <c r="D562" s="57" t="n">
        <v>0.030952</v>
      </c>
    </row>
    <row r="563" customFormat="false" ht="15" hidden="false" customHeight="false" outlineLevel="0" collapsed="false">
      <c r="A563" s="52" t="n">
        <v>45015</v>
      </c>
      <c r="B563" s="57" t="n">
        <v>0.025258</v>
      </c>
      <c r="C563" s="57" t="n">
        <v>0.0287</v>
      </c>
      <c r="D563" s="57" t="n">
        <v>0.030849</v>
      </c>
    </row>
    <row r="564" customFormat="false" ht="15" hidden="false" customHeight="false" outlineLevel="0" collapsed="false">
      <c r="A564" s="52" t="n">
        <v>45016</v>
      </c>
      <c r="B564" s="57" t="n">
        <v>0.025089</v>
      </c>
      <c r="C564" s="57" t="n">
        <v>0.028447</v>
      </c>
      <c r="D564" s="57" t="n">
        <v>0.030669</v>
      </c>
    </row>
    <row r="565" customFormat="false" ht="15" hidden="false" customHeight="false" outlineLevel="0" collapsed="false">
      <c r="A565" s="52" t="n">
        <v>45019</v>
      </c>
      <c r="B565" s="57" t="n">
        <v>0.025118</v>
      </c>
      <c r="C565" s="57" t="n">
        <v>0.028304</v>
      </c>
      <c r="D565" s="57" t="n">
        <v>0.030665</v>
      </c>
    </row>
    <row r="566" customFormat="false" ht="15" hidden="false" customHeight="false" outlineLevel="0" collapsed="false">
      <c r="A566" s="52" t="n">
        <v>45020</v>
      </c>
      <c r="B566" s="57" t="n">
        <v>0.025118</v>
      </c>
      <c r="C566" s="57" t="n">
        <v>0.028254</v>
      </c>
      <c r="D566" s="57" t="n">
        <v>0.030675</v>
      </c>
    </row>
    <row r="567" customFormat="false" ht="15" hidden="false" customHeight="false" outlineLevel="0" collapsed="false">
      <c r="A567" s="52" t="n">
        <v>45022</v>
      </c>
      <c r="B567" s="57" t="n">
        <v>0.025146</v>
      </c>
      <c r="C567" s="57" t="n">
        <v>0.028251</v>
      </c>
      <c r="D567" s="57" t="n">
        <v>0.030683</v>
      </c>
    </row>
    <row r="568" customFormat="false" ht="15" hidden="false" customHeight="false" outlineLevel="0" collapsed="false">
      <c r="A568" s="52" t="n">
        <v>45023</v>
      </c>
      <c r="B568" s="57" t="n">
        <v>0.025095</v>
      </c>
      <c r="C568" s="57" t="n">
        <v>0.028301</v>
      </c>
      <c r="D568" s="57" t="n">
        <v>0.030684</v>
      </c>
    </row>
    <row r="569" customFormat="false" ht="15" hidden="false" customHeight="false" outlineLevel="0" collapsed="false">
      <c r="A569" s="52" t="n">
        <v>45026</v>
      </c>
      <c r="B569" s="57" t="n">
        <v>0.025047</v>
      </c>
      <c r="C569" s="57" t="n">
        <v>0.028272</v>
      </c>
      <c r="D569" s="57" t="n">
        <v>0.030683</v>
      </c>
    </row>
    <row r="570" customFormat="false" ht="15" hidden="false" customHeight="false" outlineLevel="0" collapsed="false">
      <c r="A570" s="52" t="n">
        <v>45027</v>
      </c>
      <c r="B570" s="57" t="n">
        <v>0.024936</v>
      </c>
      <c r="C570" s="57" t="n">
        <v>0.028214</v>
      </c>
      <c r="D570" s="57" t="n">
        <v>0.030551</v>
      </c>
    </row>
    <row r="571" customFormat="false" ht="15" hidden="false" customHeight="false" outlineLevel="0" collapsed="false">
      <c r="A571" s="52" t="n">
        <v>45028</v>
      </c>
      <c r="B571" s="57" t="n">
        <v>0.024866</v>
      </c>
      <c r="C571" s="57" t="n">
        <v>0.028108</v>
      </c>
      <c r="D571" s="57" t="n">
        <v>0.030444</v>
      </c>
    </row>
    <row r="572" customFormat="false" ht="15" hidden="false" customHeight="false" outlineLevel="0" collapsed="false">
      <c r="A572" s="52" t="n">
        <v>45029</v>
      </c>
      <c r="B572" s="57" t="n">
        <v>0.024895</v>
      </c>
      <c r="C572" s="57" t="n">
        <v>0.028253</v>
      </c>
      <c r="D572" s="57" t="n">
        <v>0.030465</v>
      </c>
    </row>
    <row r="573" customFormat="false" ht="15" hidden="false" customHeight="false" outlineLevel="0" collapsed="false">
      <c r="A573" s="52" t="n">
        <v>45030</v>
      </c>
      <c r="B573" s="57" t="n">
        <v>0.024922</v>
      </c>
      <c r="C573" s="57" t="n">
        <v>0.028297</v>
      </c>
      <c r="D573" s="57" t="n">
        <v>0.030392</v>
      </c>
    </row>
    <row r="574" customFormat="false" ht="15" hidden="false" customHeight="false" outlineLevel="0" collapsed="false">
      <c r="A574" s="52" t="n">
        <v>45033</v>
      </c>
      <c r="B574" s="57" t="n">
        <v>0.025041</v>
      </c>
      <c r="C574" s="57" t="n">
        <v>0.028303</v>
      </c>
      <c r="D574" s="57" t="n">
        <v>0.030408</v>
      </c>
    </row>
    <row r="575" customFormat="false" ht="15" hidden="false" customHeight="false" outlineLevel="0" collapsed="false">
      <c r="A575" s="52" t="n">
        <v>45034</v>
      </c>
      <c r="B575" s="57" t="n">
        <v>0.024997</v>
      </c>
      <c r="C575" s="57" t="n">
        <v>0.028327</v>
      </c>
      <c r="D575" s="57" t="n">
        <v>0.030257</v>
      </c>
    </row>
    <row r="576" customFormat="false" ht="15" hidden="false" customHeight="false" outlineLevel="0" collapsed="false">
      <c r="A576" s="52" t="n">
        <v>45035</v>
      </c>
      <c r="B576" s="57" t="n">
        <v>0.024881</v>
      </c>
      <c r="C576" s="57" t="n">
        <v>0.028272</v>
      </c>
      <c r="D576" s="57" t="n">
        <v>0.030215</v>
      </c>
    </row>
    <row r="577" customFormat="false" ht="15" hidden="false" customHeight="false" outlineLevel="0" collapsed="false">
      <c r="A577" s="52" t="n">
        <v>45036</v>
      </c>
      <c r="B577" s="57" t="n">
        <v>0.024915</v>
      </c>
      <c r="C577" s="57" t="n">
        <v>0.028272</v>
      </c>
      <c r="D577" s="57" t="n">
        <v>0.030215</v>
      </c>
    </row>
    <row r="578" customFormat="false" ht="15" hidden="false" customHeight="false" outlineLevel="0" collapsed="false">
      <c r="A578" s="52" t="n">
        <v>45037</v>
      </c>
      <c r="B578" s="57" t="n">
        <v>0.02492</v>
      </c>
      <c r="C578" s="57" t="n">
        <v>0.028261</v>
      </c>
      <c r="D578" s="57" t="n">
        <v>0.030122</v>
      </c>
    </row>
    <row r="579" customFormat="false" ht="15" hidden="false" customHeight="false" outlineLevel="0" collapsed="false">
      <c r="A579" s="52" t="n">
        <v>45039</v>
      </c>
      <c r="B579" s="57" t="n">
        <v>0.024914</v>
      </c>
      <c r="C579" s="57" t="n">
        <v>0.028312</v>
      </c>
      <c r="D579" s="57" t="n">
        <v>0.030123</v>
      </c>
    </row>
    <row r="580" customFormat="false" ht="15" hidden="false" customHeight="false" outlineLevel="0" collapsed="false">
      <c r="A580" s="52" t="n">
        <v>45040</v>
      </c>
      <c r="B580" s="57" t="n">
        <v>0.024894</v>
      </c>
      <c r="C580" s="57" t="n">
        <v>0.028319</v>
      </c>
      <c r="D580" s="57" t="n">
        <v>0.030068</v>
      </c>
    </row>
    <row r="581" customFormat="false" ht="15" hidden="false" customHeight="false" outlineLevel="0" collapsed="false">
      <c r="A581" s="52" t="n">
        <v>45041</v>
      </c>
      <c r="B581" s="57" t="n">
        <v>0.024887</v>
      </c>
      <c r="C581" s="57" t="n">
        <v>0.028297</v>
      </c>
      <c r="D581" s="57" t="n">
        <v>0.030073</v>
      </c>
    </row>
    <row r="582" customFormat="false" ht="15" hidden="false" customHeight="false" outlineLevel="0" collapsed="false">
      <c r="A582" s="52" t="n">
        <v>45042</v>
      </c>
      <c r="B582" s="57" t="n">
        <v>0.024782</v>
      </c>
      <c r="C582" s="57" t="n">
        <v>0.028297</v>
      </c>
      <c r="D582" s="57" t="n">
        <v>0.029928</v>
      </c>
    </row>
    <row r="583" customFormat="false" ht="15" hidden="false" customHeight="false" outlineLevel="0" collapsed="false">
      <c r="A583" s="52" t="n">
        <v>45043</v>
      </c>
      <c r="B583" s="57" t="n">
        <v>0.024527</v>
      </c>
      <c r="C583" s="57" t="n">
        <v>0.028049</v>
      </c>
      <c r="D583" s="57" t="n">
        <v>0.029674</v>
      </c>
    </row>
    <row r="584" customFormat="false" ht="15" hidden="false" customHeight="false" outlineLevel="0" collapsed="false">
      <c r="A584" s="52" t="n">
        <v>45044</v>
      </c>
      <c r="B584" s="57" t="n">
        <v>0.024501</v>
      </c>
      <c r="C584" s="57" t="n">
        <v>0.028049</v>
      </c>
      <c r="D584" s="57" t="n">
        <v>0.029652</v>
      </c>
    </row>
    <row r="585" customFormat="false" ht="15" hidden="false" customHeight="false" outlineLevel="0" collapsed="false">
      <c r="A585" s="52" t="n">
        <v>45050</v>
      </c>
      <c r="B585" s="57" t="n">
        <v>0.024366</v>
      </c>
      <c r="C585" s="57" t="n">
        <v>0.027945</v>
      </c>
      <c r="D585" s="57" t="n">
        <v>0.029487</v>
      </c>
    </row>
    <row r="586" customFormat="false" ht="15" hidden="false" customHeight="false" outlineLevel="0" collapsed="false">
      <c r="A586" s="52" t="n">
        <v>45051</v>
      </c>
      <c r="B586" s="57" t="n">
        <v>0.024083</v>
      </c>
      <c r="C586" s="57" t="n">
        <v>0.027773</v>
      </c>
      <c r="D586" s="57" t="n">
        <v>0.029285</v>
      </c>
    </row>
    <row r="587" customFormat="false" ht="15" hidden="false" customHeight="false" outlineLevel="0" collapsed="false">
      <c r="A587" s="52" t="n">
        <v>45052</v>
      </c>
      <c r="B587" s="57" t="n">
        <v>0.024084</v>
      </c>
      <c r="C587" s="57" t="n">
        <v>0.027697</v>
      </c>
      <c r="D587" s="57" t="n">
        <v>0.029235</v>
      </c>
    </row>
    <row r="588" customFormat="false" ht="15" hidden="false" customHeight="false" outlineLevel="0" collapsed="false">
      <c r="A588" s="52" t="n">
        <v>45054</v>
      </c>
      <c r="B588" s="57" t="n">
        <v>0.024203</v>
      </c>
      <c r="C588" s="57" t="n">
        <v>0.027918</v>
      </c>
      <c r="D588" s="57" t="n">
        <v>0.029286</v>
      </c>
    </row>
    <row r="589" customFormat="false" ht="15" hidden="false" customHeight="false" outlineLevel="0" collapsed="false">
      <c r="A589" s="52" t="n">
        <v>45055</v>
      </c>
      <c r="B589" s="57" t="n">
        <v>0.02416</v>
      </c>
      <c r="C589" s="57" t="n">
        <v>0.027904</v>
      </c>
      <c r="D589" s="57" t="n">
        <v>0.0293</v>
      </c>
    </row>
    <row r="590" customFormat="false" ht="15" hidden="false" customHeight="false" outlineLevel="0" collapsed="false">
      <c r="A590" s="52" t="n">
        <v>45056</v>
      </c>
      <c r="B590" s="57" t="n">
        <v>0.023882</v>
      </c>
      <c r="C590" s="57" t="n">
        <v>0.027785</v>
      </c>
      <c r="D590" s="57" t="n">
        <v>0.029123</v>
      </c>
    </row>
    <row r="591" customFormat="false" ht="15" hidden="false" customHeight="false" outlineLevel="0" collapsed="false">
      <c r="A591" s="52" t="n">
        <v>45057</v>
      </c>
      <c r="B591" s="57" t="n">
        <v>0.023551</v>
      </c>
      <c r="C591" s="57" t="n">
        <v>0.027545</v>
      </c>
      <c r="D591" s="57" t="n">
        <v>0.028928</v>
      </c>
    </row>
    <row r="592" customFormat="false" ht="15" hidden="false" customHeight="false" outlineLevel="0" collapsed="false">
      <c r="A592" s="52" t="n">
        <v>45058</v>
      </c>
      <c r="B592" s="57" t="n">
        <v>0.023523</v>
      </c>
      <c r="C592" s="57" t="n">
        <v>0.027624</v>
      </c>
      <c r="D592" s="57" t="n">
        <v>0.028959</v>
      </c>
    </row>
    <row r="593" customFormat="false" ht="15" hidden="false" customHeight="false" outlineLevel="0" collapsed="false">
      <c r="A593" s="52" t="n">
        <v>45061</v>
      </c>
      <c r="B593" s="57" t="n">
        <v>0.023761</v>
      </c>
      <c r="C593" s="57" t="n">
        <v>0.027728</v>
      </c>
      <c r="D593" s="57" t="n">
        <v>0.028998</v>
      </c>
    </row>
    <row r="594" customFormat="false" ht="15" hidden="false" customHeight="false" outlineLevel="0" collapsed="false">
      <c r="A594" s="52" t="n">
        <v>45062</v>
      </c>
      <c r="B594" s="57" t="n">
        <v>0.023776</v>
      </c>
      <c r="C594" s="57" t="n">
        <v>0.027699</v>
      </c>
      <c r="D594" s="57" t="n">
        <v>0.029053</v>
      </c>
    </row>
    <row r="595" customFormat="false" ht="15" hidden="false" customHeight="false" outlineLevel="0" collapsed="false">
      <c r="A595" s="52" t="n">
        <v>45063</v>
      </c>
      <c r="B595" s="57" t="n">
        <v>0.023654</v>
      </c>
      <c r="C595" s="57" t="n">
        <v>0.027701</v>
      </c>
      <c r="D595" s="57" t="n">
        <v>0.029081</v>
      </c>
    </row>
    <row r="596" customFormat="false" ht="15" hidden="false" customHeight="false" outlineLevel="0" collapsed="false">
      <c r="A596" s="52" t="n">
        <v>45064</v>
      </c>
      <c r="B596" s="57" t="n">
        <v>0.023757</v>
      </c>
      <c r="C596" s="57" t="n">
        <v>0.027879</v>
      </c>
      <c r="D596" s="57" t="n">
        <v>0.029226</v>
      </c>
    </row>
    <row r="597" customFormat="false" ht="15" hidden="false" customHeight="false" outlineLevel="0" collapsed="false">
      <c r="A597" s="52" t="n">
        <v>45065</v>
      </c>
      <c r="B597" s="57" t="n">
        <v>0.023583</v>
      </c>
      <c r="C597" s="57" t="n">
        <v>0.027752</v>
      </c>
      <c r="D597" s="57" t="n">
        <v>0.029231</v>
      </c>
    </row>
    <row r="598" customFormat="false" ht="15" hidden="false" customHeight="false" outlineLevel="0" collapsed="false">
      <c r="A598" s="52" t="n">
        <v>45068</v>
      </c>
      <c r="B598" s="57" t="n">
        <v>0.023267</v>
      </c>
      <c r="C598" s="57" t="n">
        <v>0.02766</v>
      </c>
      <c r="D598" s="57" t="n">
        <v>0.029181</v>
      </c>
    </row>
    <row r="599" customFormat="false" ht="15" hidden="false" customHeight="false" outlineLevel="0" collapsed="false">
      <c r="A599" s="52" t="n">
        <v>45069</v>
      </c>
      <c r="B599" s="57" t="n">
        <v>0.023069</v>
      </c>
      <c r="C599" s="57" t="n">
        <v>0.027312</v>
      </c>
      <c r="D599" s="57" t="n">
        <v>0.029</v>
      </c>
    </row>
    <row r="600" customFormat="false" ht="15" hidden="false" customHeight="false" outlineLevel="0" collapsed="false">
      <c r="A600" s="52" t="n">
        <v>45070</v>
      </c>
      <c r="B600" s="57" t="n">
        <v>0.023153</v>
      </c>
      <c r="C600" s="57" t="n">
        <v>0.027318</v>
      </c>
      <c r="D600" s="57" t="n">
        <v>0.0289</v>
      </c>
    </row>
    <row r="601" customFormat="false" ht="15" hidden="false" customHeight="false" outlineLevel="0" collapsed="false">
      <c r="A601" s="52" t="n">
        <v>45071</v>
      </c>
      <c r="B601" s="57" t="n">
        <v>0.023175</v>
      </c>
      <c r="C601" s="57" t="n">
        <v>0.027371</v>
      </c>
      <c r="D601" s="57" t="n">
        <v>0.028883</v>
      </c>
    </row>
    <row r="602" customFormat="false" ht="15" hidden="false" customHeight="false" outlineLevel="0" collapsed="false">
      <c r="A602" s="52" t="n">
        <v>45072</v>
      </c>
      <c r="B602" s="57" t="n">
        <v>0.023203</v>
      </c>
      <c r="C602" s="57" t="n">
        <v>0.027424</v>
      </c>
      <c r="D602" s="57" t="n">
        <v>0.028956</v>
      </c>
    </row>
    <row r="603" customFormat="false" ht="15" hidden="false" customHeight="false" outlineLevel="0" collapsed="false">
      <c r="A603" s="52" t="n">
        <v>45075</v>
      </c>
      <c r="B603" s="57" t="n">
        <v>0.022985</v>
      </c>
      <c r="C603" s="57" t="n">
        <v>0.027382</v>
      </c>
      <c r="D603" s="57" t="n">
        <v>0.028983</v>
      </c>
    </row>
    <row r="604" customFormat="false" ht="15" hidden="false" customHeight="false" outlineLevel="0" collapsed="false">
      <c r="A604" s="52" t="n">
        <v>45076</v>
      </c>
      <c r="B604" s="57" t="n">
        <v>0.022889</v>
      </c>
      <c r="C604" s="57" t="n">
        <v>0.027137</v>
      </c>
      <c r="D604" s="57" t="n">
        <v>0.028837</v>
      </c>
    </row>
    <row r="605" customFormat="false" ht="15" hidden="false" customHeight="false" outlineLevel="0" collapsed="false">
      <c r="A605" s="52" t="n">
        <v>45077</v>
      </c>
      <c r="B605" s="57" t="n">
        <v>0.02251</v>
      </c>
      <c r="C605" s="57" t="n">
        <v>0.027099</v>
      </c>
      <c r="D605" s="57" t="n">
        <v>0.028798</v>
      </c>
    </row>
    <row r="606" customFormat="false" ht="15" hidden="false" customHeight="false" outlineLevel="0" collapsed="false">
      <c r="A606" s="52" t="n">
        <v>45078</v>
      </c>
      <c r="B606" s="57" t="n">
        <v>0.022363</v>
      </c>
      <c r="C606" s="57" t="n">
        <v>0.026972</v>
      </c>
      <c r="D606" s="57" t="n">
        <v>0.028592</v>
      </c>
    </row>
    <row r="607" customFormat="false" ht="15" hidden="false" customHeight="false" outlineLevel="0" collapsed="false">
      <c r="A607" s="52" t="n">
        <v>45079</v>
      </c>
      <c r="B607" s="57" t="n">
        <v>0.022646</v>
      </c>
      <c r="C607" s="57" t="n">
        <v>0.027084</v>
      </c>
      <c r="D607" s="57" t="n">
        <v>0.028508</v>
      </c>
    </row>
    <row r="608" customFormat="false" ht="15" hidden="false" customHeight="false" outlineLevel="0" collapsed="false">
      <c r="A608" s="52" t="n">
        <v>45082</v>
      </c>
      <c r="B608" s="57" t="n">
        <v>0.022537</v>
      </c>
      <c r="C608" s="57" t="n">
        <v>0.027057</v>
      </c>
      <c r="D608" s="57" t="n">
        <v>0.028409</v>
      </c>
    </row>
    <row r="609" customFormat="false" ht="15" hidden="false" customHeight="false" outlineLevel="0" collapsed="false">
      <c r="A609" s="52" t="n">
        <v>45083</v>
      </c>
      <c r="B609" s="57" t="n">
        <v>0.022348</v>
      </c>
      <c r="C609" s="57" t="n">
        <v>0.026923</v>
      </c>
      <c r="D609" s="57" t="n">
        <v>0.02821</v>
      </c>
    </row>
    <row r="610" customFormat="false" ht="15" hidden="false" customHeight="false" outlineLevel="0" collapsed="false">
      <c r="A610" s="52" t="n">
        <v>45084</v>
      </c>
      <c r="B610" s="57" t="n">
        <v>0.02227</v>
      </c>
      <c r="C610" s="57" t="n">
        <v>0.026679</v>
      </c>
      <c r="D610" s="57" t="n">
        <v>0.027934</v>
      </c>
    </row>
    <row r="611" customFormat="false" ht="15" hidden="false" customHeight="false" outlineLevel="0" collapsed="false">
      <c r="A611" s="52" t="n">
        <v>45085</v>
      </c>
      <c r="B611" s="57" t="n">
        <v>0.02242</v>
      </c>
      <c r="C611" s="57" t="n">
        <v>0.026728</v>
      </c>
      <c r="D611" s="57" t="n">
        <v>0.027912</v>
      </c>
    </row>
    <row r="612" customFormat="false" ht="15" hidden="false" customHeight="false" outlineLevel="0" collapsed="false">
      <c r="A612" s="52" t="n">
        <v>45086</v>
      </c>
      <c r="B612" s="57" t="n">
        <v>0.022213</v>
      </c>
      <c r="C612" s="57" t="n">
        <v>0.026633</v>
      </c>
      <c r="D612" s="57" t="n">
        <v>0.027708</v>
      </c>
    </row>
    <row r="613" customFormat="false" ht="15" hidden="false" customHeight="false" outlineLevel="0" collapsed="false">
      <c r="A613" s="52" t="n">
        <v>45089</v>
      </c>
      <c r="B613" s="57" t="n">
        <v>0.022421</v>
      </c>
      <c r="C613" s="57" t="n">
        <v>0.026544</v>
      </c>
      <c r="D613" s="57" t="n">
        <v>0.027646</v>
      </c>
    </row>
    <row r="614" customFormat="false" ht="15" hidden="false" customHeight="false" outlineLevel="0" collapsed="false">
      <c r="A614" s="52" t="n">
        <v>45090</v>
      </c>
      <c r="B614" s="57" t="n">
        <v>0.02224</v>
      </c>
      <c r="C614" s="57" t="n">
        <v>0.026317</v>
      </c>
      <c r="D614" s="57" t="n">
        <v>0.027497</v>
      </c>
    </row>
    <row r="615" customFormat="false" ht="15" hidden="false" customHeight="false" outlineLevel="0" collapsed="false">
      <c r="A615" s="52" t="n">
        <v>45091</v>
      </c>
      <c r="B615" s="57" t="n">
        <v>0.02224</v>
      </c>
      <c r="C615" s="57" t="n">
        <v>0.026071</v>
      </c>
      <c r="D615" s="57" t="n">
        <v>0.027267</v>
      </c>
    </row>
    <row r="616" customFormat="false" ht="15" hidden="false" customHeight="false" outlineLevel="0" collapsed="false">
      <c r="A616" s="52" t="n">
        <v>45092</v>
      </c>
      <c r="B616" s="57" t="n">
        <v>0.02247</v>
      </c>
      <c r="C616" s="57" t="n">
        <v>0.026453</v>
      </c>
      <c r="D616" s="57" t="n">
        <v>0.027388</v>
      </c>
    </row>
    <row r="617" customFormat="false" ht="15" hidden="false" customHeight="false" outlineLevel="0" collapsed="false">
      <c r="A617" s="52" t="n">
        <v>45093</v>
      </c>
      <c r="B617" s="57" t="n">
        <v>0.022687</v>
      </c>
      <c r="C617" s="57" t="n">
        <v>0.026853</v>
      </c>
      <c r="D617" s="57" t="n">
        <v>0.027798</v>
      </c>
    </row>
    <row r="618" customFormat="false" ht="15" hidden="false" customHeight="false" outlineLevel="0" collapsed="false">
      <c r="A618" s="52" t="n">
        <v>45096</v>
      </c>
      <c r="B618" s="57" t="n">
        <v>0.023207</v>
      </c>
      <c r="C618" s="57" t="n">
        <v>0.027253</v>
      </c>
      <c r="D618" s="57" t="n">
        <v>0.028283</v>
      </c>
    </row>
    <row r="619" customFormat="false" ht="15" hidden="false" customHeight="false" outlineLevel="0" collapsed="false">
      <c r="A619" s="52" t="n">
        <v>45097</v>
      </c>
      <c r="B619" s="57" t="n">
        <v>0.023006</v>
      </c>
      <c r="C619" s="57" t="n">
        <v>0.02701</v>
      </c>
      <c r="D619" s="57" t="n">
        <v>0.028272</v>
      </c>
    </row>
    <row r="620" customFormat="false" ht="15" hidden="false" customHeight="false" outlineLevel="0" collapsed="false">
      <c r="A620" s="52" t="n">
        <v>45098</v>
      </c>
      <c r="B620" s="57" t="n">
        <v>0.022799</v>
      </c>
      <c r="C620" s="57" t="n">
        <v>0.026705</v>
      </c>
      <c r="D620" s="57" t="n">
        <v>0.028275</v>
      </c>
    </row>
    <row r="621" customFormat="false" ht="15" hidden="false" customHeight="false" outlineLevel="0" collapsed="false">
      <c r="A621" s="52" t="n">
        <v>45102</v>
      </c>
      <c r="B621" s="57" t="n">
        <v>0.022634</v>
      </c>
      <c r="C621" s="57" t="n">
        <v>0.026712</v>
      </c>
      <c r="D621" s="57" t="n">
        <v>0.028275</v>
      </c>
    </row>
    <row r="622" customFormat="false" ht="15" hidden="false" customHeight="false" outlineLevel="0" collapsed="false">
      <c r="A622" s="52" t="n">
        <v>45103</v>
      </c>
      <c r="B622" s="57" t="n">
        <v>0.022824</v>
      </c>
      <c r="C622" s="57" t="n">
        <v>0.026574</v>
      </c>
      <c r="D622" s="57" t="n">
        <v>0.028204</v>
      </c>
    </row>
    <row r="623" customFormat="false" ht="15" hidden="false" customHeight="false" outlineLevel="0" collapsed="false">
      <c r="A623" s="52" t="n">
        <v>45104</v>
      </c>
      <c r="B623" s="57" t="n">
        <v>0.022923</v>
      </c>
      <c r="C623" s="57" t="n">
        <v>0.026762</v>
      </c>
      <c r="D623" s="57" t="n">
        <v>0.028137</v>
      </c>
    </row>
    <row r="624" customFormat="false" ht="15" hidden="false" customHeight="false" outlineLevel="0" collapsed="false">
      <c r="A624" s="52" t="n">
        <v>45105</v>
      </c>
      <c r="B624" s="57" t="n">
        <v>0.022709</v>
      </c>
      <c r="C624" s="57" t="n">
        <v>0.0267</v>
      </c>
      <c r="D624" s="57" t="n">
        <v>0.028001</v>
      </c>
    </row>
    <row r="625" customFormat="false" ht="15" hidden="false" customHeight="false" outlineLevel="0" collapsed="false">
      <c r="A625" s="52" t="n">
        <v>45106</v>
      </c>
      <c r="B625" s="57" t="n">
        <v>0.022565</v>
      </c>
      <c r="C625" s="57" t="n">
        <v>0.026574</v>
      </c>
      <c r="D625" s="57" t="n">
        <v>0.028003</v>
      </c>
    </row>
    <row r="626" customFormat="false" ht="15" hidden="false" customHeight="false" outlineLevel="0" collapsed="false">
      <c r="A626" s="52" t="n">
        <v>45107</v>
      </c>
      <c r="B626" s="57" t="n">
        <v>0.022253</v>
      </c>
      <c r="C626" s="57" t="n">
        <v>0.026174</v>
      </c>
      <c r="D626" s="57" t="n">
        <v>0.027814</v>
      </c>
    </row>
    <row r="627" customFormat="false" ht="15" hidden="false" customHeight="false" outlineLevel="0" collapsed="false">
      <c r="A627" s="52" t="n">
        <v>45110</v>
      </c>
      <c r="B627" s="57" t="n">
        <v>0.022324</v>
      </c>
      <c r="C627" s="57" t="n">
        <v>0.026233</v>
      </c>
      <c r="D627" s="57" t="n">
        <v>0.027667</v>
      </c>
    </row>
    <row r="628" customFormat="false" ht="15" hidden="false" customHeight="false" outlineLevel="0" collapsed="false">
      <c r="A628" s="52" t="n">
        <v>45111</v>
      </c>
      <c r="B628" s="57" t="n">
        <v>0.02246</v>
      </c>
      <c r="C628" s="57" t="n">
        <v>0.026236</v>
      </c>
      <c r="D628" s="57" t="n">
        <v>0.027469</v>
      </c>
    </row>
    <row r="629" customFormat="false" ht="15" hidden="false" customHeight="false" outlineLevel="0" collapsed="false">
      <c r="A629" s="52" t="n">
        <v>45112</v>
      </c>
      <c r="B629" s="57" t="n">
        <v>0.02241</v>
      </c>
      <c r="C629" s="57" t="n">
        <v>0.026156</v>
      </c>
      <c r="D629" s="57" t="n">
        <v>0.027379</v>
      </c>
    </row>
    <row r="630" customFormat="false" ht="15" hidden="false" customHeight="false" outlineLevel="0" collapsed="false">
      <c r="A630" s="52" t="n">
        <v>45113</v>
      </c>
      <c r="B630" s="57" t="n">
        <v>0.022423</v>
      </c>
      <c r="C630" s="57" t="n">
        <v>0.026037</v>
      </c>
      <c r="D630" s="57" t="n">
        <v>0.027207</v>
      </c>
    </row>
    <row r="631" customFormat="false" ht="15" hidden="false" customHeight="false" outlineLevel="0" collapsed="false">
      <c r="A631" s="52" t="n">
        <v>45114</v>
      </c>
      <c r="B631" s="57" t="n">
        <v>0.022411</v>
      </c>
      <c r="C631" s="57" t="n">
        <v>0.025888</v>
      </c>
      <c r="D631" s="57" t="n">
        <v>0.027009</v>
      </c>
    </row>
    <row r="632" customFormat="false" ht="15" hidden="false" customHeight="false" outlineLevel="0" collapsed="false">
      <c r="A632" s="52" t="n">
        <v>45117</v>
      </c>
      <c r="B632" s="57" t="n">
        <v>0.022471</v>
      </c>
      <c r="C632" s="57" t="n">
        <v>0.026044</v>
      </c>
      <c r="D632" s="57" t="n">
        <v>0.02697</v>
      </c>
    </row>
    <row r="633" customFormat="false" ht="15" hidden="false" customHeight="false" outlineLevel="0" collapsed="false">
      <c r="A633" s="52" t="n">
        <v>45118</v>
      </c>
      <c r="B633" s="57" t="n">
        <v>0.022467</v>
      </c>
      <c r="C633" s="57" t="n">
        <v>0.025936</v>
      </c>
      <c r="D633" s="57" t="n">
        <v>0.026923</v>
      </c>
    </row>
    <row r="634" customFormat="false" ht="15" hidden="false" customHeight="false" outlineLevel="0" collapsed="false">
      <c r="A634" s="52" t="n">
        <v>45119</v>
      </c>
      <c r="B634" s="57" t="n">
        <v>0.022505</v>
      </c>
      <c r="C634" s="57" t="n">
        <v>0.026043</v>
      </c>
      <c r="D634" s="57" t="n">
        <v>0.026976</v>
      </c>
    </row>
    <row r="635" customFormat="false" ht="15" hidden="false" customHeight="false" outlineLevel="0" collapsed="false">
      <c r="A635" s="52" t="n">
        <v>45120</v>
      </c>
      <c r="B635" s="57" t="n">
        <v>0.022563</v>
      </c>
      <c r="C635" s="57" t="n">
        <v>0.026245</v>
      </c>
      <c r="D635" s="57" t="n">
        <v>0.02698</v>
      </c>
    </row>
    <row r="636" customFormat="false" ht="15" hidden="false" customHeight="false" outlineLevel="0" collapsed="false">
      <c r="A636" s="52" t="n">
        <v>45121</v>
      </c>
      <c r="B636" s="57" t="n">
        <v>0.022488</v>
      </c>
      <c r="C636" s="57" t="n">
        <v>0.026367</v>
      </c>
      <c r="D636" s="57" t="n">
        <v>0.027135</v>
      </c>
    </row>
    <row r="637" customFormat="false" ht="15" hidden="false" customHeight="false" outlineLevel="0" collapsed="false">
      <c r="A637" s="52" t="n">
        <v>45124</v>
      </c>
      <c r="B637" s="57" t="n">
        <v>0.022328</v>
      </c>
      <c r="C637" s="57" t="n">
        <v>0.026225</v>
      </c>
      <c r="D637" s="57" t="n">
        <v>0.027085</v>
      </c>
    </row>
    <row r="638" customFormat="false" ht="15" hidden="false" customHeight="false" outlineLevel="0" collapsed="false">
      <c r="A638" s="52" t="n">
        <v>45125</v>
      </c>
      <c r="B638" s="57" t="n">
        <v>0.022222</v>
      </c>
      <c r="C638" s="57" t="n">
        <v>0.026057</v>
      </c>
      <c r="D638" s="57" t="n">
        <v>0.026947</v>
      </c>
    </row>
    <row r="639" customFormat="false" ht="15" hidden="false" customHeight="false" outlineLevel="0" collapsed="false">
      <c r="A639" s="52" t="n">
        <v>45126</v>
      </c>
      <c r="B639" s="57" t="n">
        <v>0.022199</v>
      </c>
      <c r="C639" s="57" t="n">
        <v>0.026043</v>
      </c>
      <c r="D639" s="57" t="n">
        <v>0.026848</v>
      </c>
    </row>
    <row r="640" customFormat="false" ht="15" hidden="false" customHeight="false" outlineLevel="0" collapsed="false">
      <c r="A640" s="52" t="n">
        <v>45127</v>
      </c>
      <c r="B640" s="57" t="n">
        <v>0.022169</v>
      </c>
      <c r="C640" s="57" t="n">
        <v>0.0261</v>
      </c>
      <c r="D640" s="57" t="n">
        <v>0.026851</v>
      </c>
    </row>
    <row r="641" customFormat="false" ht="15" hidden="false" customHeight="false" outlineLevel="0" collapsed="false">
      <c r="A641" s="52" t="n">
        <v>45128</v>
      </c>
      <c r="B641" s="57" t="n">
        <v>0.022063</v>
      </c>
      <c r="C641" s="57" t="n">
        <v>0.026057</v>
      </c>
      <c r="D641" s="57" t="n">
        <v>0.026704</v>
      </c>
    </row>
    <row r="642" customFormat="false" ht="15" hidden="false" customHeight="false" outlineLevel="0" collapsed="false">
      <c r="A642" s="52" t="n">
        <v>45131</v>
      </c>
      <c r="B642" s="57" t="n">
        <v>0.022054</v>
      </c>
      <c r="C642" s="57" t="n">
        <v>0.026051</v>
      </c>
      <c r="D642" s="57" t="n">
        <v>0.026673</v>
      </c>
    </row>
    <row r="643" customFormat="false" ht="15" hidden="false" customHeight="false" outlineLevel="0" collapsed="false">
      <c r="A643" s="52" t="n">
        <v>45132</v>
      </c>
      <c r="B643" s="57" t="n">
        <v>0.022697</v>
      </c>
      <c r="C643" s="57" t="n">
        <v>0.026779</v>
      </c>
      <c r="D643" s="57" t="n">
        <v>0.027232</v>
      </c>
    </row>
    <row r="644" customFormat="false" ht="15" hidden="false" customHeight="false" outlineLevel="0" collapsed="false">
      <c r="A644" s="52" t="n">
        <v>45133</v>
      </c>
      <c r="B644" s="57" t="n">
        <v>0.022477</v>
      </c>
      <c r="C644" s="57" t="n">
        <v>0.026619</v>
      </c>
      <c r="D644" s="57" t="n">
        <v>0.027478</v>
      </c>
    </row>
    <row r="645" customFormat="false" ht="15" hidden="false" customHeight="false" outlineLevel="0" collapsed="false">
      <c r="A645" s="52" t="n">
        <v>45134</v>
      </c>
      <c r="B645" s="57" t="n">
        <v>0.022327</v>
      </c>
      <c r="C645" s="57" t="n">
        <v>0.026411</v>
      </c>
      <c r="D645" s="57" t="n">
        <v>0.027279</v>
      </c>
    </row>
    <row r="646" customFormat="false" ht="15" hidden="false" customHeight="false" outlineLevel="0" collapsed="false">
      <c r="A646" s="52" t="n">
        <v>45135</v>
      </c>
      <c r="B646" s="57" t="n">
        <v>0.022448</v>
      </c>
      <c r="C646" s="57" t="n">
        <v>0.026501</v>
      </c>
      <c r="D646" s="57" t="n">
        <v>0.027375</v>
      </c>
    </row>
    <row r="647" customFormat="false" ht="15" hidden="false" customHeight="false" outlineLevel="0" collapsed="false">
      <c r="A647" s="52" t="n">
        <v>45138</v>
      </c>
      <c r="B647" s="57" t="n">
        <v>0.022566</v>
      </c>
      <c r="C647" s="57" t="n">
        <v>0.026868</v>
      </c>
      <c r="D647" s="57" t="n">
        <v>0.027682</v>
      </c>
    </row>
    <row r="648" customFormat="false" ht="15" hidden="false" customHeight="false" outlineLevel="0" collapsed="false">
      <c r="A648" s="52" t="n">
        <v>45139</v>
      </c>
      <c r="B648" s="57" t="n">
        <v>0.022533</v>
      </c>
      <c r="C648" s="57" t="n">
        <v>0.026728</v>
      </c>
      <c r="D648" s="57" t="n">
        <v>0.027649</v>
      </c>
    </row>
    <row r="649" customFormat="false" ht="15" hidden="false" customHeight="false" outlineLevel="0" collapsed="false">
      <c r="A649" s="52" t="n">
        <v>45140</v>
      </c>
      <c r="B649" s="57" t="n">
        <v>0.022493</v>
      </c>
      <c r="C649" s="57" t="n">
        <v>0.026616</v>
      </c>
      <c r="D649" s="57" t="n">
        <v>0.027618</v>
      </c>
    </row>
    <row r="650" customFormat="false" ht="15" hidden="false" customHeight="false" outlineLevel="0" collapsed="false">
      <c r="A650" s="52" t="n">
        <v>45141</v>
      </c>
      <c r="B650" s="57" t="n">
        <v>0.022265</v>
      </c>
      <c r="C650" s="57" t="n">
        <v>0.026405</v>
      </c>
      <c r="D650" s="57" t="n">
        <v>0.027556</v>
      </c>
    </row>
    <row r="651" customFormat="false" ht="15" hidden="false" customHeight="false" outlineLevel="0" collapsed="false">
      <c r="A651" s="52" t="n">
        <v>45142</v>
      </c>
      <c r="B651" s="57" t="n">
        <v>0.022376</v>
      </c>
      <c r="C651" s="57" t="n">
        <v>0.026343</v>
      </c>
      <c r="D651" s="57" t="n">
        <v>0.0274</v>
      </c>
    </row>
    <row r="652" customFormat="false" ht="15" hidden="false" customHeight="false" outlineLevel="0" collapsed="false">
      <c r="A652" s="52" t="n">
        <v>45145</v>
      </c>
      <c r="B652" s="57" t="n">
        <v>0.022512</v>
      </c>
      <c r="C652" s="57" t="n">
        <v>0.026325</v>
      </c>
      <c r="D652" s="57" t="n">
        <v>0.027342</v>
      </c>
    </row>
    <row r="653" customFormat="false" ht="15" hidden="false" customHeight="false" outlineLevel="0" collapsed="false">
      <c r="A653" s="52" t="n">
        <v>45146</v>
      </c>
      <c r="B653" s="57" t="n">
        <v>0.022495</v>
      </c>
      <c r="C653" s="57" t="n">
        <v>0.026283</v>
      </c>
      <c r="D653" s="57" t="n">
        <v>0.027227</v>
      </c>
    </row>
    <row r="654" customFormat="false" ht="15" hidden="false" customHeight="false" outlineLevel="0" collapsed="false">
      <c r="A654" s="52" t="n">
        <v>45147</v>
      </c>
      <c r="B654" s="57" t="n">
        <v>0.02256</v>
      </c>
      <c r="C654" s="57" t="n">
        <v>0.026245</v>
      </c>
      <c r="D654" s="57" t="n">
        <v>0.02715</v>
      </c>
    </row>
    <row r="655" customFormat="false" ht="15" hidden="false" customHeight="false" outlineLevel="0" collapsed="false">
      <c r="A655" s="52" t="n">
        <v>45148</v>
      </c>
      <c r="B655" s="57" t="n">
        <v>0.022623</v>
      </c>
      <c r="C655" s="57" t="n">
        <v>0.026213</v>
      </c>
      <c r="D655" s="57" t="n">
        <v>0.027133</v>
      </c>
    </row>
    <row r="656" customFormat="false" ht="15" hidden="false" customHeight="false" outlineLevel="0" collapsed="false">
      <c r="A656" s="52" t="n">
        <v>45149</v>
      </c>
      <c r="B656" s="57" t="n">
        <v>0.022573</v>
      </c>
      <c r="C656" s="57" t="n">
        <v>0.02613</v>
      </c>
      <c r="D656" s="57" t="n">
        <v>0.026964</v>
      </c>
    </row>
    <row r="657" customFormat="false" ht="15" hidden="false" customHeight="false" outlineLevel="0" collapsed="false">
      <c r="A657" s="52" t="n">
        <v>45152</v>
      </c>
      <c r="B657" s="57" t="n">
        <v>0.022416</v>
      </c>
      <c r="C657" s="57" t="n">
        <v>0.026002</v>
      </c>
      <c r="D657" s="57" t="n">
        <v>0.02689</v>
      </c>
    </row>
    <row r="658" customFormat="false" ht="15" hidden="false" customHeight="false" outlineLevel="0" collapsed="false">
      <c r="A658" s="52" t="n">
        <v>45153</v>
      </c>
      <c r="B658" s="57" t="n">
        <v>0.022247</v>
      </c>
      <c r="C658" s="57" t="n">
        <v>0.025652</v>
      </c>
      <c r="D658" s="57" t="n">
        <v>0.026663</v>
      </c>
    </row>
    <row r="659" customFormat="false" ht="15" hidden="false" customHeight="false" outlineLevel="0" collapsed="false">
      <c r="A659" s="52" t="n">
        <v>45154</v>
      </c>
      <c r="B659" s="57" t="n">
        <v>0.022108</v>
      </c>
      <c r="C659" s="57" t="n">
        <v>0.025652</v>
      </c>
      <c r="D659" s="57" t="n">
        <v>0.026538</v>
      </c>
    </row>
    <row r="660" customFormat="false" ht="15" hidden="false" customHeight="false" outlineLevel="0" collapsed="false">
      <c r="A660" s="52" t="n">
        <v>45155</v>
      </c>
      <c r="B660" s="57" t="n">
        <v>0.022081</v>
      </c>
      <c r="C660" s="57" t="n">
        <v>0.02571</v>
      </c>
      <c r="D660" s="57" t="n">
        <v>0.02653</v>
      </c>
    </row>
    <row r="661" customFormat="false" ht="15" hidden="false" customHeight="false" outlineLevel="0" collapsed="false">
      <c r="A661" s="52" t="n">
        <v>45156</v>
      </c>
      <c r="B661" s="57" t="n">
        <v>0.021984</v>
      </c>
      <c r="C661" s="57" t="n">
        <v>0.025664</v>
      </c>
      <c r="D661" s="57" t="n">
        <v>0.026498</v>
      </c>
    </row>
    <row r="662" customFormat="false" ht="15" hidden="false" customHeight="false" outlineLevel="0" collapsed="false">
      <c r="A662" s="52" t="n">
        <v>45159</v>
      </c>
      <c r="B662" s="57" t="n">
        <v>0.021942</v>
      </c>
      <c r="C662" s="57" t="n">
        <v>0.025571</v>
      </c>
      <c r="D662" s="57" t="n">
        <v>0.026454</v>
      </c>
    </row>
    <row r="663" customFormat="false" ht="15" hidden="false" customHeight="false" outlineLevel="0" collapsed="false">
      <c r="A663" s="52" t="n">
        <v>45160</v>
      </c>
      <c r="B663" s="57" t="n">
        <v>0.02207</v>
      </c>
      <c r="C663" s="57" t="n">
        <v>0.025578</v>
      </c>
      <c r="D663" s="57" t="n">
        <v>0.026417</v>
      </c>
    </row>
    <row r="664" customFormat="false" ht="15" hidden="false" customHeight="false" outlineLevel="0" collapsed="false">
      <c r="A664" s="52" t="n">
        <v>45161</v>
      </c>
      <c r="B664" s="57" t="n">
        <v>0.022047</v>
      </c>
      <c r="C664" s="57" t="n">
        <v>0.025605</v>
      </c>
      <c r="D664" s="57" t="n">
        <v>0.026402</v>
      </c>
    </row>
    <row r="665" customFormat="false" ht="15" hidden="false" customHeight="false" outlineLevel="0" collapsed="false">
      <c r="A665" s="52" t="n">
        <v>45162</v>
      </c>
      <c r="B665" s="57" t="n">
        <v>0.022025</v>
      </c>
      <c r="C665" s="57" t="n">
        <v>0.025631</v>
      </c>
      <c r="D665" s="57" t="n">
        <v>0.026429</v>
      </c>
    </row>
    <row r="666" customFormat="false" ht="15" hidden="false" customHeight="false" outlineLevel="0" collapsed="false">
      <c r="A666" s="52" t="n">
        <v>45163</v>
      </c>
      <c r="B666" s="57" t="n">
        <v>0.022226</v>
      </c>
      <c r="C666" s="57" t="n">
        <v>0.025735</v>
      </c>
      <c r="D666" s="57" t="n">
        <v>0.026482</v>
      </c>
    </row>
    <row r="667" customFormat="false" ht="15" hidden="false" customHeight="false" outlineLevel="0" collapsed="false">
      <c r="A667" s="52" t="n">
        <v>45166</v>
      </c>
      <c r="B667" s="57" t="n">
        <v>0.022483</v>
      </c>
      <c r="C667" s="57" t="n">
        <v>0.026009</v>
      </c>
      <c r="D667" s="57" t="n">
        <v>0.026768</v>
      </c>
    </row>
    <row r="668" customFormat="false" ht="15" hidden="false" customHeight="false" outlineLevel="0" collapsed="false">
      <c r="A668" s="52" t="n">
        <v>45167</v>
      </c>
      <c r="B668" s="57" t="n">
        <v>0.022634</v>
      </c>
      <c r="C668" s="57" t="n">
        <v>0.026211</v>
      </c>
      <c r="D668" s="57" t="n">
        <v>0.02697</v>
      </c>
    </row>
    <row r="669" customFormat="false" ht="15" hidden="false" customHeight="false" outlineLevel="0" collapsed="false">
      <c r="A669" s="52" t="n">
        <v>45168</v>
      </c>
      <c r="B669" s="57" t="n">
        <v>0.022288</v>
      </c>
      <c r="C669" s="57" t="n">
        <v>0.026017</v>
      </c>
      <c r="D669" s="57" t="n">
        <v>0.026925</v>
      </c>
    </row>
    <row r="670" customFormat="false" ht="15" hidden="false" customHeight="false" outlineLevel="0" collapsed="false">
      <c r="A670" s="52" t="n">
        <v>45169</v>
      </c>
      <c r="B670" s="57" t="n">
        <v>0.022215</v>
      </c>
      <c r="C670" s="57" t="n">
        <v>0.025919</v>
      </c>
      <c r="D670" s="57" t="n">
        <v>0.026965</v>
      </c>
    </row>
    <row r="671" customFormat="false" ht="15" hidden="false" customHeight="false" outlineLevel="0" collapsed="false">
      <c r="A671" s="52" t="n">
        <v>45170</v>
      </c>
      <c r="B671" s="57" t="n">
        <v>0.02244</v>
      </c>
      <c r="C671" s="57" t="n">
        <v>0.026116</v>
      </c>
      <c r="D671" s="57" t="n">
        <v>0.02713</v>
      </c>
    </row>
    <row r="672" customFormat="false" ht="15" hidden="false" customHeight="false" outlineLevel="0" collapsed="false">
      <c r="A672" s="52" t="n">
        <v>45173</v>
      </c>
      <c r="B672" s="57" t="n">
        <v>0.022752</v>
      </c>
      <c r="C672" s="57" t="n">
        <v>0.026721</v>
      </c>
      <c r="D672" s="57" t="n">
        <v>0.027611</v>
      </c>
    </row>
    <row r="673" customFormat="false" ht="15" hidden="false" customHeight="false" outlineLevel="0" collapsed="false">
      <c r="A673" s="52" t="n">
        <v>45174</v>
      </c>
      <c r="B673" s="57" t="n">
        <v>0.022704</v>
      </c>
      <c r="C673" s="57" t="n">
        <v>0.026681</v>
      </c>
      <c r="D673" s="57" t="n">
        <v>0.027563</v>
      </c>
    </row>
    <row r="674" customFormat="false" ht="15" hidden="false" customHeight="false" outlineLevel="0" collapsed="false">
      <c r="A674" s="52" t="n">
        <v>45175</v>
      </c>
      <c r="B674" s="57" t="n">
        <v>0.023205</v>
      </c>
      <c r="C674" s="57" t="n">
        <v>0.027061</v>
      </c>
      <c r="D674" s="57" t="n">
        <v>0.027938</v>
      </c>
    </row>
    <row r="675" customFormat="false" ht="15" hidden="false" customHeight="false" outlineLevel="0" collapsed="false">
      <c r="A675" s="52" t="n">
        <v>45176</v>
      </c>
      <c r="B675" s="57" t="n">
        <v>0.023254</v>
      </c>
      <c r="C675" s="57" t="n">
        <v>0.027497</v>
      </c>
      <c r="D675" s="57" t="n">
        <v>0.028529</v>
      </c>
    </row>
    <row r="676" customFormat="false" ht="15" hidden="false" customHeight="false" outlineLevel="0" collapsed="false">
      <c r="A676" s="52" t="n">
        <v>45177</v>
      </c>
      <c r="B676" s="57" t="n">
        <v>0.023337</v>
      </c>
      <c r="C676" s="57" t="n">
        <v>0.027514</v>
      </c>
      <c r="D676" s="57" t="n">
        <v>0.028809</v>
      </c>
    </row>
    <row r="677" customFormat="false" ht="15" hidden="false" customHeight="false" outlineLevel="0" collapsed="false">
      <c r="A677" s="52" t="n">
        <v>45180</v>
      </c>
      <c r="B677" s="57" t="n">
        <v>0.023455</v>
      </c>
      <c r="C677" s="57" t="n">
        <v>0.027752</v>
      </c>
      <c r="D677" s="57" t="n">
        <v>0.029198</v>
      </c>
    </row>
    <row r="678" customFormat="false" ht="15" hidden="false" customHeight="false" outlineLevel="0" collapsed="false">
      <c r="A678" s="52" t="n">
        <v>45181</v>
      </c>
      <c r="B678" s="57" t="n">
        <v>0.023423</v>
      </c>
      <c r="C678" s="57" t="n">
        <v>0.027317</v>
      </c>
      <c r="D678" s="57" t="n">
        <v>0.029098</v>
      </c>
    </row>
    <row r="679" customFormat="false" ht="15" hidden="false" customHeight="false" outlineLevel="0" collapsed="false">
      <c r="A679" s="52" t="n">
        <v>45182</v>
      </c>
      <c r="B679" s="57" t="n">
        <v>0.02323</v>
      </c>
      <c r="C679" s="57" t="n">
        <v>0.026839</v>
      </c>
      <c r="D679" s="57" t="n">
        <v>0.028765</v>
      </c>
    </row>
    <row r="680" customFormat="false" ht="15" hidden="false" customHeight="false" outlineLevel="0" collapsed="false">
      <c r="A680" s="52" t="n">
        <v>45183</v>
      </c>
      <c r="B680" s="57" t="n">
        <v>0.023421</v>
      </c>
      <c r="C680" s="57" t="n">
        <v>0.026692</v>
      </c>
      <c r="D680" s="57" t="n">
        <v>0.028682</v>
      </c>
    </row>
    <row r="681" customFormat="false" ht="15" hidden="false" customHeight="false" outlineLevel="0" collapsed="false">
      <c r="A681" s="52" t="n">
        <v>45184</v>
      </c>
      <c r="B681" s="57" t="n">
        <v>0.02349</v>
      </c>
      <c r="C681" s="57" t="n">
        <v>0.026793</v>
      </c>
      <c r="D681" s="57" t="n">
        <v>0.028582</v>
      </c>
    </row>
    <row r="682" customFormat="false" ht="15" hidden="false" customHeight="false" outlineLevel="0" collapsed="false">
      <c r="A682" s="52" t="n">
        <v>45187</v>
      </c>
      <c r="B682" s="57" t="n">
        <v>0.023854</v>
      </c>
      <c r="C682" s="57" t="n">
        <v>0.027307</v>
      </c>
      <c r="D682" s="57" t="n">
        <v>0.028808</v>
      </c>
    </row>
    <row r="683" customFormat="false" ht="15" hidden="false" customHeight="false" outlineLevel="0" collapsed="false">
      <c r="A683" s="52" t="n">
        <v>45188</v>
      </c>
      <c r="B683" s="57" t="n">
        <v>0.023882</v>
      </c>
      <c r="C683" s="57" t="n">
        <v>0.027279</v>
      </c>
      <c r="D683" s="57" t="n">
        <v>0.028747</v>
      </c>
    </row>
    <row r="684" customFormat="false" ht="15" hidden="false" customHeight="false" outlineLevel="0" collapsed="false">
      <c r="A684" s="52" t="n">
        <v>45189</v>
      </c>
      <c r="B684" s="57" t="n">
        <v>0.023871</v>
      </c>
      <c r="C684" s="57" t="n">
        <v>0.027264</v>
      </c>
      <c r="D684" s="57" t="n">
        <v>0.028675</v>
      </c>
    </row>
    <row r="685" customFormat="false" ht="15" hidden="false" customHeight="false" outlineLevel="0" collapsed="false">
      <c r="A685" s="52" t="n">
        <v>45190</v>
      </c>
      <c r="B685" s="57" t="n">
        <v>0.023696</v>
      </c>
      <c r="C685" s="57" t="n">
        <v>0.027078</v>
      </c>
      <c r="D685" s="57" t="n">
        <v>0.028404</v>
      </c>
    </row>
    <row r="686" customFormat="false" ht="15" hidden="false" customHeight="false" outlineLevel="0" collapsed="false">
      <c r="A686" s="52" t="n">
        <v>45191</v>
      </c>
      <c r="B686" s="57" t="n">
        <v>0.023907</v>
      </c>
      <c r="C686" s="57" t="n">
        <v>0.027034</v>
      </c>
      <c r="D686" s="57" t="n">
        <v>0.028405</v>
      </c>
    </row>
    <row r="687" customFormat="false" ht="15" hidden="false" customHeight="false" outlineLevel="0" collapsed="false">
      <c r="A687" s="52" t="n">
        <v>45194</v>
      </c>
      <c r="B687" s="57" t="n">
        <v>0.024002</v>
      </c>
      <c r="C687" s="57" t="n">
        <v>0.027193</v>
      </c>
      <c r="D687" s="57" t="n">
        <v>0.028578</v>
      </c>
    </row>
    <row r="688" customFormat="false" ht="15" hidden="false" customHeight="false" outlineLevel="0" collapsed="false">
      <c r="A688" s="52" t="n">
        <v>45195</v>
      </c>
      <c r="B688" s="57" t="n">
        <v>0.024152</v>
      </c>
      <c r="C688" s="57" t="n">
        <v>0.027253</v>
      </c>
      <c r="D688" s="57" t="n">
        <v>0.028916</v>
      </c>
    </row>
    <row r="689" customFormat="false" ht="15" hidden="false" customHeight="false" outlineLevel="0" collapsed="false">
      <c r="A689" s="52" t="n">
        <v>45196</v>
      </c>
      <c r="B689" s="57" t="n">
        <v>0.024059</v>
      </c>
      <c r="C689" s="57" t="n">
        <v>0.02725</v>
      </c>
      <c r="D689" s="57" t="n">
        <v>0.028952</v>
      </c>
    </row>
    <row r="690" customFormat="false" ht="15" hidden="false" customHeight="false" outlineLevel="0" collapsed="false">
      <c r="A690" s="52" t="n">
        <v>45197</v>
      </c>
      <c r="B690" s="57" t="n">
        <v>0.023713</v>
      </c>
      <c r="C690" s="57" t="n">
        <v>0.027002</v>
      </c>
      <c r="D690" s="57" t="n">
        <v>0.028744</v>
      </c>
    </row>
    <row r="691" customFormat="false" ht="15" hidden="false" customHeight="false" outlineLevel="0" collapsed="false">
      <c r="A691" s="52" t="n">
        <v>45206</v>
      </c>
      <c r="B691" s="57" t="n">
        <v>0.023702</v>
      </c>
      <c r="C691" s="57" t="n">
        <v>0.026942</v>
      </c>
      <c r="D691" s="57" t="n">
        <v>0.028775</v>
      </c>
    </row>
    <row r="692" customFormat="false" ht="15" hidden="false" customHeight="false" outlineLevel="0" collapsed="false">
      <c r="A692" s="52" t="n">
        <v>45207</v>
      </c>
      <c r="B692" s="57" t="n">
        <v>0.023677</v>
      </c>
      <c r="C692" s="57" t="n">
        <v>0.026957</v>
      </c>
      <c r="D692" s="57" t="n">
        <v>0.028775</v>
      </c>
    </row>
    <row r="693" customFormat="false" ht="15" hidden="false" customHeight="false" outlineLevel="0" collapsed="false">
      <c r="A693" s="52" t="n">
        <v>45208</v>
      </c>
      <c r="B693" s="57" t="n">
        <v>0.023968</v>
      </c>
      <c r="C693" s="57" t="n">
        <v>0.027234</v>
      </c>
      <c r="D693" s="57" t="n">
        <v>0.028654</v>
      </c>
    </row>
    <row r="694" customFormat="false" ht="15" hidden="false" customHeight="false" outlineLevel="0" collapsed="false">
      <c r="A694" s="52" t="n">
        <v>45209</v>
      </c>
      <c r="B694" s="57" t="n">
        <v>0.024389</v>
      </c>
      <c r="C694" s="57" t="n">
        <v>0.027432</v>
      </c>
      <c r="D694" s="57" t="n">
        <v>0.028654</v>
      </c>
    </row>
    <row r="695" customFormat="false" ht="15" hidden="false" customHeight="false" outlineLevel="0" collapsed="false">
      <c r="A695" s="52" t="n">
        <v>45210</v>
      </c>
      <c r="B695" s="57" t="n">
        <v>0.024901</v>
      </c>
      <c r="C695" s="57" t="n">
        <v>0.027831</v>
      </c>
      <c r="D695" s="57" t="n">
        <v>0.029008</v>
      </c>
    </row>
    <row r="696" customFormat="false" ht="15" hidden="false" customHeight="false" outlineLevel="0" collapsed="false">
      <c r="A696" s="52" t="n">
        <v>45211</v>
      </c>
      <c r="B696" s="57" t="n">
        <v>0.024687</v>
      </c>
      <c r="C696" s="57" t="n">
        <v>0.027895</v>
      </c>
      <c r="D696" s="57" t="n">
        <v>0.02911</v>
      </c>
    </row>
    <row r="697" customFormat="false" ht="15" hidden="false" customHeight="false" outlineLevel="0" collapsed="false">
      <c r="A697" s="52" t="n">
        <v>45212</v>
      </c>
      <c r="B697" s="57" t="n">
        <v>0.02451</v>
      </c>
      <c r="C697" s="57" t="n">
        <v>0.027733</v>
      </c>
      <c r="D697" s="57" t="n">
        <v>0.02917</v>
      </c>
    </row>
    <row r="698" customFormat="false" ht="15" hidden="false" customHeight="false" outlineLevel="0" collapsed="false">
      <c r="A698" s="52" t="n">
        <v>45215</v>
      </c>
      <c r="B698" s="57" t="n">
        <v>0.024758</v>
      </c>
      <c r="C698" s="57" t="n">
        <v>0.027721</v>
      </c>
      <c r="D698" s="57" t="n">
        <v>0.029187</v>
      </c>
    </row>
    <row r="699" customFormat="false" ht="15" hidden="false" customHeight="false" outlineLevel="0" collapsed="false">
      <c r="A699" s="52" t="n">
        <v>45216</v>
      </c>
      <c r="B699" s="57" t="n">
        <v>0.02487</v>
      </c>
      <c r="C699" s="57" t="n">
        <v>0.027831</v>
      </c>
      <c r="D699" s="57" t="n">
        <v>0.029239</v>
      </c>
    </row>
    <row r="700" customFormat="false" ht="15" hidden="false" customHeight="false" outlineLevel="0" collapsed="false">
      <c r="A700" s="52" t="n">
        <v>45217</v>
      </c>
      <c r="B700" s="57" t="n">
        <v>0.025117</v>
      </c>
      <c r="C700" s="57" t="n">
        <v>0.028014</v>
      </c>
      <c r="D700" s="57" t="n">
        <v>0.029233</v>
      </c>
    </row>
    <row r="701" customFormat="false" ht="15" hidden="false" customHeight="false" outlineLevel="0" collapsed="false">
      <c r="A701" s="52" t="n">
        <v>45218</v>
      </c>
      <c r="B701" s="57" t="n">
        <v>0.025348</v>
      </c>
      <c r="C701" s="57" t="n">
        <v>0.028476</v>
      </c>
      <c r="D701" s="57" t="n">
        <v>0.029596</v>
      </c>
    </row>
    <row r="702" customFormat="false" ht="15" hidden="false" customHeight="false" outlineLevel="0" collapsed="false">
      <c r="A702" s="52" t="n">
        <v>45219</v>
      </c>
      <c r="B702" s="57" t="n">
        <v>0.02501</v>
      </c>
      <c r="C702" s="57" t="n">
        <v>0.028377</v>
      </c>
      <c r="D702" s="57" t="n">
        <v>0.029596</v>
      </c>
    </row>
    <row r="703" customFormat="false" ht="15" hidden="false" customHeight="false" outlineLevel="0" collapsed="false">
      <c r="A703" s="52" t="n">
        <v>45222</v>
      </c>
      <c r="B703" s="57" t="n">
        <v>0.024895</v>
      </c>
      <c r="C703" s="57" t="n">
        <v>0.028195</v>
      </c>
      <c r="D703" s="57" t="n">
        <v>0.029598</v>
      </c>
    </row>
    <row r="704" customFormat="false" ht="15" hidden="false" customHeight="false" outlineLevel="0" collapsed="false">
      <c r="A704" s="52" t="n">
        <v>45223</v>
      </c>
      <c r="B704" s="57" t="n">
        <v>0.02495</v>
      </c>
      <c r="C704" s="57" t="n">
        <v>0.028449</v>
      </c>
      <c r="D704" s="57" t="n">
        <v>0.029792</v>
      </c>
    </row>
    <row r="705" customFormat="false" ht="15" hidden="false" customHeight="false" outlineLevel="0" collapsed="false">
      <c r="A705" s="52" t="n">
        <v>45224</v>
      </c>
      <c r="B705" s="57" t="n">
        <v>0.024484</v>
      </c>
      <c r="C705" s="57" t="n">
        <v>0.028151</v>
      </c>
      <c r="D705" s="57" t="n">
        <v>0.02972</v>
      </c>
    </row>
    <row r="706" customFormat="false" ht="15" hidden="false" customHeight="false" outlineLevel="0" collapsed="false">
      <c r="A706" s="52" t="n">
        <v>45225</v>
      </c>
      <c r="B706" s="57" t="n">
        <v>0.024646</v>
      </c>
      <c r="C706" s="57" t="n">
        <v>0.028079</v>
      </c>
      <c r="D706" s="57" t="n">
        <v>0.029474</v>
      </c>
    </row>
    <row r="707" customFormat="false" ht="15" hidden="false" customHeight="false" outlineLevel="0" collapsed="false">
      <c r="A707" s="52" t="n">
        <v>45226</v>
      </c>
      <c r="B707" s="57" t="n">
        <v>0.02448</v>
      </c>
      <c r="C707" s="57" t="n">
        <v>0.028146</v>
      </c>
      <c r="D707" s="57" t="n">
        <v>0.029392</v>
      </c>
    </row>
    <row r="708" customFormat="false" ht="15" hidden="false" customHeight="false" outlineLevel="0" collapsed="false">
      <c r="A708" s="52" t="n">
        <v>45229</v>
      </c>
      <c r="B708" s="57" t="n">
        <v>0.024337</v>
      </c>
      <c r="C708" s="57" t="n">
        <v>0.027965</v>
      </c>
      <c r="D708" s="57" t="n">
        <v>0.029277</v>
      </c>
    </row>
    <row r="709" customFormat="false" ht="15" hidden="false" customHeight="false" outlineLevel="0" collapsed="false">
      <c r="A709" s="52" t="n">
        <v>45230</v>
      </c>
      <c r="B709" s="57" t="n">
        <v>0.024301</v>
      </c>
      <c r="C709" s="57" t="n">
        <v>0.02784</v>
      </c>
      <c r="D709" s="57" t="n">
        <v>0.029035</v>
      </c>
    </row>
    <row r="710" customFormat="false" ht="15" hidden="false" customHeight="false" outlineLevel="0" collapsed="false">
      <c r="A710" s="52" t="n">
        <v>45231</v>
      </c>
      <c r="B710" s="57" t="n">
        <v>0.024376</v>
      </c>
      <c r="C710" s="57" t="n">
        <v>0.027907</v>
      </c>
      <c r="D710" s="57" t="n">
        <v>0.028976</v>
      </c>
    </row>
    <row r="711" customFormat="false" ht="15" hidden="false" customHeight="false" outlineLevel="0" collapsed="false">
      <c r="A711" s="52" t="n">
        <v>45232</v>
      </c>
      <c r="B711" s="57" t="n">
        <v>0.024077</v>
      </c>
      <c r="C711" s="57" t="n">
        <v>0.027805</v>
      </c>
      <c r="D711" s="57" t="n">
        <v>0.028824</v>
      </c>
    </row>
    <row r="712" customFormat="false" ht="15" hidden="false" customHeight="false" outlineLevel="0" collapsed="false">
      <c r="A712" s="52" t="n">
        <v>45233</v>
      </c>
      <c r="B712" s="57" t="n">
        <v>0.024225</v>
      </c>
      <c r="C712" s="57" t="n">
        <v>0.027705</v>
      </c>
      <c r="D712" s="57" t="n">
        <v>0.028817</v>
      </c>
    </row>
    <row r="713" customFormat="false" ht="15" hidden="false" customHeight="false" outlineLevel="0" collapsed="false">
      <c r="A713" s="52" t="n">
        <v>45236</v>
      </c>
      <c r="B713" s="57" t="n">
        <v>0.024249</v>
      </c>
      <c r="C713" s="57" t="n">
        <v>0.027805</v>
      </c>
      <c r="D713" s="57" t="n">
        <v>0.028719</v>
      </c>
    </row>
    <row r="714" customFormat="false" ht="15" hidden="false" customHeight="false" outlineLevel="0" collapsed="false">
      <c r="A714" s="52" t="n">
        <v>45237</v>
      </c>
      <c r="B714" s="57" t="n">
        <v>0.024454</v>
      </c>
      <c r="C714" s="57" t="n">
        <v>0.02786</v>
      </c>
      <c r="D714" s="57" t="n">
        <v>0.028762</v>
      </c>
    </row>
    <row r="715" customFormat="false" ht="15" hidden="false" customHeight="false" outlineLevel="0" collapsed="false">
      <c r="A715" s="52" t="n">
        <v>45238</v>
      </c>
      <c r="B715" s="57" t="n">
        <v>0.024385</v>
      </c>
      <c r="C715" s="57" t="n">
        <v>0.027856</v>
      </c>
      <c r="D715" s="57" t="n">
        <v>0.028763</v>
      </c>
    </row>
    <row r="716" customFormat="false" ht="15" hidden="false" customHeight="false" outlineLevel="0" collapsed="false">
      <c r="A716" s="52" t="n">
        <v>45239</v>
      </c>
      <c r="B716" s="57" t="n">
        <v>0.024474</v>
      </c>
      <c r="C716" s="57" t="n">
        <v>0.027858</v>
      </c>
      <c r="D716" s="57" t="n">
        <v>0.028764</v>
      </c>
    </row>
    <row r="717" customFormat="false" ht="15" hidden="false" customHeight="false" outlineLevel="0" collapsed="false">
      <c r="A717" s="52" t="n">
        <v>45240</v>
      </c>
      <c r="B717" s="57" t="n">
        <v>0.024365</v>
      </c>
      <c r="C717" s="57" t="n">
        <v>0.027977</v>
      </c>
      <c r="D717" s="57" t="n">
        <v>0.028814</v>
      </c>
    </row>
    <row r="718" customFormat="false" ht="15" hidden="false" customHeight="false" outlineLevel="0" collapsed="false">
      <c r="A718" s="52" t="n">
        <v>45243</v>
      </c>
      <c r="B718" s="57" t="n">
        <v>0.024237</v>
      </c>
      <c r="C718" s="57" t="n">
        <v>0.027905</v>
      </c>
      <c r="D718" s="57" t="n">
        <v>0.028814</v>
      </c>
    </row>
    <row r="719" customFormat="false" ht="15" hidden="false" customHeight="false" outlineLevel="0" collapsed="false">
      <c r="A719" s="52" t="n">
        <v>45244</v>
      </c>
      <c r="B719" s="57" t="n">
        <v>0.024263</v>
      </c>
      <c r="C719" s="57" t="n">
        <v>0.027902</v>
      </c>
      <c r="D719" s="57" t="n">
        <v>0.028814</v>
      </c>
    </row>
    <row r="720" customFormat="false" ht="15" hidden="false" customHeight="false" outlineLevel="0" collapsed="false">
      <c r="A720" s="52" t="n">
        <v>45245</v>
      </c>
      <c r="B720" s="57" t="n">
        <v>0.024063</v>
      </c>
      <c r="C720" s="57" t="n">
        <v>0.027804</v>
      </c>
      <c r="D720" s="57" t="n">
        <v>0.028814</v>
      </c>
    </row>
    <row r="721" customFormat="false" ht="15" hidden="false" customHeight="false" outlineLevel="0" collapsed="false">
      <c r="A721" s="52" t="n">
        <v>45246</v>
      </c>
      <c r="B721" s="57" t="n">
        <v>0.023938</v>
      </c>
      <c r="C721" s="57" t="n">
        <v>0.027675</v>
      </c>
      <c r="D721" s="57" t="n">
        <v>0.028665</v>
      </c>
    </row>
    <row r="722" customFormat="false" ht="15" hidden="false" customHeight="false" outlineLevel="0" collapsed="false">
      <c r="A722" s="52" t="n">
        <v>45247</v>
      </c>
      <c r="B722" s="57" t="n">
        <v>0.023852</v>
      </c>
      <c r="C722" s="57" t="n">
        <v>0.027613</v>
      </c>
      <c r="D722" s="57" t="n">
        <v>0.028496</v>
      </c>
    </row>
    <row r="723" customFormat="false" ht="15" hidden="false" customHeight="false" outlineLevel="0" collapsed="false">
      <c r="A723" s="52" t="n">
        <v>45250</v>
      </c>
      <c r="B723" s="57" t="n">
        <v>0.02403</v>
      </c>
      <c r="C723" s="57" t="n">
        <v>0.027799</v>
      </c>
      <c r="D723" s="57" t="n">
        <v>0.028513</v>
      </c>
    </row>
    <row r="724" customFormat="false" ht="15" hidden="false" customHeight="false" outlineLevel="0" collapsed="false">
      <c r="A724" s="52" t="n">
        <v>45251</v>
      </c>
      <c r="B724" s="57" t="n">
        <v>0.024331</v>
      </c>
      <c r="C724" s="57" t="n">
        <v>0.027903</v>
      </c>
      <c r="D724" s="57" t="n">
        <v>0.028521</v>
      </c>
    </row>
    <row r="725" customFormat="false" ht="15" hidden="false" customHeight="false" outlineLevel="0" collapsed="false">
      <c r="A725" s="52" t="n">
        <v>45252</v>
      </c>
      <c r="B725" s="57" t="n">
        <v>0.024559</v>
      </c>
      <c r="C725" s="57" t="n">
        <v>0.028003</v>
      </c>
      <c r="D725" s="57" t="n">
        <v>0.02872</v>
      </c>
    </row>
    <row r="726" customFormat="false" ht="15" hidden="false" customHeight="false" outlineLevel="0" collapsed="false">
      <c r="A726" s="52" t="n">
        <v>45253</v>
      </c>
      <c r="B726" s="57" t="n">
        <v>0.024861</v>
      </c>
      <c r="C726" s="57" t="n">
        <v>0.028304</v>
      </c>
      <c r="D726" s="57" t="n">
        <v>0.029122</v>
      </c>
    </row>
    <row r="727" customFormat="false" ht="15" hidden="false" customHeight="false" outlineLevel="0" collapsed="false">
      <c r="A727" s="52" t="n">
        <v>45254</v>
      </c>
      <c r="B727" s="57" t="n">
        <v>0.024911</v>
      </c>
      <c r="C727" s="57" t="n">
        <v>0.028215</v>
      </c>
      <c r="D727" s="57" t="n">
        <v>0.029118</v>
      </c>
    </row>
    <row r="728" customFormat="false" ht="15" hidden="false" customHeight="false" outlineLevel="0" collapsed="false">
      <c r="A728" s="52" t="n">
        <v>45257</v>
      </c>
      <c r="B728" s="57" t="n">
        <v>0.025037</v>
      </c>
      <c r="C728" s="57" t="n">
        <v>0.028376</v>
      </c>
      <c r="D728" s="57" t="n">
        <v>0.029357</v>
      </c>
    </row>
    <row r="729" customFormat="false" ht="15" hidden="false" customHeight="false" outlineLevel="0" collapsed="false">
      <c r="A729" s="52" t="n">
        <v>45258</v>
      </c>
      <c r="B729" s="57" t="n">
        <v>0.024817</v>
      </c>
      <c r="C729" s="57" t="n">
        <v>0.028252</v>
      </c>
      <c r="D729" s="57" t="n">
        <v>0.029352</v>
      </c>
    </row>
    <row r="730" customFormat="false" ht="15" hidden="false" customHeight="false" outlineLevel="0" collapsed="false">
      <c r="A730" s="52" t="n">
        <v>45259</v>
      </c>
      <c r="B730" s="57" t="n">
        <v>0.024842</v>
      </c>
      <c r="C730" s="57" t="n">
        <v>0.028302</v>
      </c>
      <c r="D730" s="57" t="n">
        <v>0.029419</v>
      </c>
    </row>
    <row r="731" customFormat="false" ht="15" hidden="false" customHeight="false" outlineLevel="0" collapsed="false">
      <c r="A731" s="52" t="n">
        <v>45260</v>
      </c>
      <c r="B731" s="57" t="n">
        <v>0.024721</v>
      </c>
      <c r="C731" s="57" t="n">
        <v>0.028256</v>
      </c>
      <c r="D731" s="57" t="n">
        <v>0.029348</v>
      </c>
    </row>
    <row r="732" customFormat="false" ht="15" hidden="false" customHeight="false" outlineLevel="0" collapsed="false">
      <c r="A732" s="52" t="n">
        <v>45261</v>
      </c>
      <c r="B732" s="57" t="n">
        <v>0.024725</v>
      </c>
      <c r="C732" s="57" t="n">
        <v>0.028292</v>
      </c>
      <c r="D732" s="57" t="n">
        <v>0.029362</v>
      </c>
    </row>
    <row r="733" customFormat="false" ht="15" hidden="false" customHeight="false" outlineLevel="0" collapsed="false">
      <c r="A733" s="52" t="n">
        <v>45264</v>
      </c>
      <c r="B733" s="57" t="n">
        <v>0.024947</v>
      </c>
      <c r="C733" s="57" t="n">
        <v>0.028308</v>
      </c>
      <c r="D733" s="57" t="n">
        <v>0.029529</v>
      </c>
    </row>
    <row r="734" customFormat="false" ht="15" hidden="false" customHeight="false" outlineLevel="0" collapsed="false">
      <c r="A734" s="52" t="n">
        <v>45265</v>
      </c>
      <c r="B734" s="57" t="n">
        <v>0.024924</v>
      </c>
      <c r="C734" s="57" t="n">
        <v>0.028371</v>
      </c>
      <c r="D734" s="57" t="n">
        <v>0.02962</v>
      </c>
    </row>
    <row r="735" customFormat="false" ht="15" hidden="false" customHeight="false" outlineLevel="0" collapsed="false">
      <c r="A735" s="52" t="n">
        <v>45266</v>
      </c>
      <c r="B735" s="57" t="n">
        <v>0.025102</v>
      </c>
      <c r="C735" s="57" t="n">
        <v>0.02831</v>
      </c>
      <c r="D735" s="57" t="n">
        <v>0.029757</v>
      </c>
    </row>
    <row r="736" customFormat="false" ht="15" hidden="false" customHeight="false" outlineLevel="0" collapsed="false">
      <c r="A736" s="52" t="n">
        <v>45267</v>
      </c>
      <c r="B736" s="57" t="n">
        <v>0.024773</v>
      </c>
      <c r="C736" s="57" t="n">
        <v>0.028223</v>
      </c>
      <c r="D736" s="57" t="n">
        <v>0.029757</v>
      </c>
    </row>
    <row r="737" customFormat="false" ht="15" hidden="false" customHeight="false" outlineLevel="0" collapsed="false">
      <c r="A737" s="52" t="n">
        <v>45268</v>
      </c>
      <c r="B737" s="57" t="n">
        <v>0.024724</v>
      </c>
      <c r="C737" s="57" t="n">
        <v>0.028199</v>
      </c>
      <c r="D737" s="57" t="n">
        <v>0.029784</v>
      </c>
    </row>
    <row r="738" customFormat="false" ht="15" hidden="false" customHeight="false" outlineLevel="0" collapsed="false">
      <c r="A738" s="52" t="n">
        <v>45271</v>
      </c>
      <c r="B738" s="57" t="n">
        <v>0.024649</v>
      </c>
      <c r="C738" s="57" t="n">
        <v>0.028113</v>
      </c>
      <c r="D738" s="57" t="n">
        <v>0.029704</v>
      </c>
    </row>
    <row r="739" customFormat="false" ht="15" hidden="false" customHeight="false" outlineLevel="0" collapsed="false">
      <c r="A739" s="52" t="n">
        <v>45272</v>
      </c>
      <c r="B739" s="57" t="n">
        <v>0.024622</v>
      </c>
      <c r="C739" s="57" t="n">
        <v>0.028094</v>
      </c>
      <c r="D739" s="57" t="n">
        <v>0.0298</v>
      </c>
    </row>
    <row r="740" customFormat="false" ht="15" hidden="false" customHeight="false" outlineLevel="0" collapsed="false">
      <c r="A740" s="52" t="n">
        <v>45273</v>
      </c>
      <c r="B740" s="57" t="n">
        <v>0.024279</v>
      </c>
      <c r="C740" s="57" t="n">
        <v>0.027734</v>
      </c>
      <c r="D740" s="57" t="n">
        <v>0.029607</v>
      </c>
    </row>
    <row r="741" customFormat="false" ht="15" hidden="false" customHeight="false" outlineLevel="0" collapsed="false">
      <c r="A741" s="52" t="n">
        <v>45274</v>
      </c>
      <c r="B741" s="57" t="n">
        <v>0.024188</v>
      </c>
      <c r="C741" s="57" t="n">
        <v>0.027631</v>
      </c>
      <c r="D741" s="57" t="n">
        <v>0.029288</v>
      </c>
    </row>
    <row r="742" customFormat="false" ht="15" hidden="false" customHeight="false" outlineLevel="0" collapsed="false">
      <c r="A742" s="52" t="n">
        <v>45275</v>
      </c>
      <c r="B742" s="57" t="n">
        <v>0.023915</v>
      </c>
      <c r="C742" s="57" t="n">
        <v>0.027431</v>
      </c>
      <c r="D742" s="57" t="n">
        <v>0.029019</v>
      </c>
    </row>
    <row r="743" customFormat="false" ht="15" hidden="false" customHeight="false" outlineLevel="0" collapsed="false">
      <c r="A743" s="52" t="n">
        <v>45278</v>
      </c>
      <c r="B743" s="57" t="n">
        <v>0.023901</v>
      </c>
      <c r="C743" s="57" t="n">
        <v>0.02737</v>
      </c>
      <c r="D743" s="57" t="n">
        <v>0.028731</v>
      </c>
    </row>
    <row r="744" customFormat="false" ht="15" hidden="false" customHeight="false" outlineLevel="0" collapsed="false">
      <c r="A744" s="52" t="n">
        <v>45279</v>
      </c>
      <c r="B744" s="57" t="n">
        <v>0.024148</v>
      </c>
      <c r="C744" s="57" t="n">
        <v>0.027336</v>
      </c>
      <c r="D744" s="57" t="n">
        <v>0.028598</v>
      </c>
    </row>
    <row r="745" customFormat="false" ht="15" hidden="false" customHeight="false" outlineLevel="0" collapsed="false">
      <c r="A745" s="52" t="n">
        <v>45280</v>
      </c>
      <c r="B745" s="57" t="n">
        <v>0.024142</v>
      </c>
      <c r="C745" s="57" t="n">
        <v>0.027279</v>
      </c>
      <c r="D745" s="57" t="n">
        <v>0.028454</v>
      </c>
    </row>
    <row r="746" customFormat="false" ht="15" hidden="false" customHeight="false" outlineLevel="0" collapsed="false">
      <c r="A746" s="52" t="n">
        <v>45281</v>
      </c>
      <c r="B746" s="57" t="n">
        <v>0.023948</v>
      </c>
      <c r="C746" s="57" t="n">
        <v>0.027252</v>
      </c>
      <c r="D746" s="57" t="n">
        <v>0.028434</v>
      </c>
    </row>
    <row r="747" customFormat="false" ht="15" hidden="false" customHeight="false" outlineLevel="0" collapsed="false">
      <c r="A747" s="52" t="n">
        <v>45282</v>
      </c>
      <c r="B747" s="57" t="n">
        <v>0.023726</v>
      </c>
      <c r="C747" s="57" t="n">
        <v>0.027206</v>
      </c>
      <c r="D747" s="57" t="n">
        <v>0.028155</v>
      </c>
    </row>
    <row r="748" customFormat="false" ht="15" hidden="false" customHeight="false" outlineLevel="0" collapsed="false">
      <c r="A748" s="52" t="n">
        <v>45285</v>
      </c>
      <c r="B748" s="57" t="n">
        <v>0.02335</v>
      </c>
      <c r="C748" s="57" t="n">
        <v>0.027068</v>
      </c>
      <c r="D748" s="57" t="n">
        <v>0.028038</v>
      </c>
    </row>
    <row r="749" customFormat="false" ht="15" hidden="false" customHeight="false" outlineLevel="0" collapsed="false">
      <c r="A749" s="52" t="n">
        <v>45286</v>
      </c>
      <c r="B749" s="57" t="n">
        <v>0.022945</v>
      </c>
      <c r="C749" s="57" t="n">
        <v>0.026817</v>
      </c>
      <c r="D749" s="57" t="n">
        <v>0.027861</v>
      </c>
    </row>
    <row r="750" customFormat="false" ht="15" hidden="false" customHeight="false" outlineLevel="0" collapsed="false">
      <c r="A750" s="52" t="n">
        <v>45287</v>
      </c>
      <c r="B750" s="57" t="n">
        <v>0.022597</v>
      </c>
      <c r="C750" s="57" t="n">
        <v>0.026499</v>
      </c>
      <c r="D750" s="57" t="n">
        <v>0.027561</v>
      </c>
    </row>
    <row r="751" customFormat="false" ht="15" hidden="false" customHeight="false" outlineLevel="0" collapsed="false">
      <c r="A751" s="52" t="n">
        <v>45288</v>
      </c>
      <c r="B751" s="57" t="n">
        <v>0.022876</v>
      </c>
      <c r="C751" s="57" t="n">
        <v>0.026367</v>
      </c>
      <c r="D751" s="57" t="n">
        <v>0.027314</v>
      </c>
    </row>
    <row r="752" customFormat="false" ht="15" hidden="false" customHeight="false" outlineLevel="0" collapsed="false">
      <c r="A752" s="52" t="n">
        <v>45289</v>
      </c>
      <c r="B752" s="57" t="n">
        <v>0.022894</v>
      </c>
      <c r="C752" s="57" t="n">
        <v>0.026365</v>
      </c>
      <c r="D752" s="57" t="n">
        <v>0.027139</v>
      </c>
    </row>
    <row r="753" customFormat="false" ht="15" hidden="false" customHeight="false" outlineLevel="0" collapsed="false">
      <c r="A753" s="52" t="n">
        <v>45291</v>
      </c>
      <c r="B753" s="57" t="n">
        <v>0.022894</v>
      </c>
      <c r="C753" s="57" t="n">
        <v>0.026365</v>
      </c>
      <c r="D753" s="57" t="n">
        <v>0.027139</v>
      </c>
    </row>
    <row r="754" customFormat="false" ht="15" hidden="false" customHeight="false" outlineLevel="0" collapsed="false">
      <c r="A754" s="52" t="n">
        <v>45293</v>
      </c>
      <c r="B754" s="57" t="n">
        <v>0.02342</v>
      </c>
      <c r="C754" s="57" t="n">
        <v>0.026489</v>
      </c>
      <c r="D754" s="57" t="n">
        <v>0.027134</v>
      </c>
    </row>
    <row r="755" customFormat="false" ht="15" hidden="false" customHeight="false" outlineLevel="0" collapsed="false">
      <c r="A755" s="52" t="n">
        <v>45294</v>
      </c>
      <c r="B755" s="57" t="n">
        <v>0.023381</v>
      </c>
      <c r="C755" s="57" t="n">
        <v>0.026738</v>
      </c>
      <c r="D755" s="57" t="n">
        <v>0.027437</v>
      </c>
    </row>
    <row r="756" customFormat="false" ht="15" hidden="false" customHeight="false" outlineLevel="0" collapsed="false">
      <c r="A756" s="52" t="n">
        <v>45295</v>
      </c>
      <c r="B756" s="57" t="n">
        <v>0.023269</v>
      </c>
      <c r="C756" s="57" t="n">
        <v>0.026594</v>
      </c>
      <c r="D756" s="57" t="n">
        <v>0.027377</v>
      </c>
    </row>
    <row r="757" customFormat="false" ht="15" hidden="false" customHeight="false" outlineLevel="0" collapsed="false">
      <c r="A757" s="52" t="n">
        <v>45296</v>
      </c>
      <c r="B757" s="57" t="n">
        <v>0.022931</v>
      </c>
      <c r="C757" s="57" t="n">
        <v>0.026375</v>
      </c>
      <c r="D757" s="57" t="n">
        <v>0.027213</v>
      </c>
    </row>
    <row r="758" customFormat="false" ht="15" hidden="false" customHeight="false" outlineLevel="0" collapsed="false">
      <c r="A758" s="52" t="n">
        <v>45299</v>
      </c>
      <c r="B758" s="57" t="n">
        <v>0.023083</v>
      </c>
      <c r="C758" s="57" t="n">
        <v>0.026364</v>
      </c>
      <c r="D758" s="57" t="n">
        <v>0.027008</v>
      </c>
    </row>
    <row r="759" customFormat="false" ht="15" hidden="false" customHeight="false" outlineLevel="0" collapsed="false">
      <c r="A759" s="52" t="n">
        <v>45300</v>
      </c>
      <c r="B759" s="57" t="n">
        <v>0.022909</v>
      </c>
      <c r="C759" s="57" t="n">
        <v>0.026275</v>
      </c>
      <c r="D759" s="57" t="n">
        <v>0.026808</v>
      </c>
    </row>
    <row r="760" customFormat="false" ht="15" hidden="false" customHeight="false" outlineLevel="0" collapsed="false">
      <c r="A760" s="52" t="n">
        <v>45301</v>
      </c>
      <c r="B760" s="57" t="n">
        <v>0.022973</v>
      </c>
      <c r="C760" s="57" t="n">
        <v>0.02628</v>
      </c>
      <c r="D760" s="57" t="n">
        <v>0.026896</v>
      </c>
    </row>
    <row r="761" customFormat="false" ht="15" hidden="false" customHeight="false" outlineLevel="0" collapsed="false">
      <c r="A761" s="52" t="n">
        <v>45302</v>
      </c>
      <c r="B761" s="57" t="n">
        <v>0.022942</v>
      </c>
      <c r="C761" s="57" t="n">
        <v>0.026278</v>
      </c>
      <c r="D761" s="57" t="n">
        <v>0.027032</v>
      </c>
    </row>
    <row r="762" customFormat="false" ht="15" hidden="false" customHeight="false" outlineLevel="0" collapsed="false">
      <c r="A762" s="52" t="n">
        <v>45303</v>
      </c>
      <c r="B762" s="57" t="n">
        <v>0.022941</v>
      </c>
      <c r="C762" s="57" t="n">
        <v>0.026362</v>
      </c>
      <c r="D762" s="57" t="n">
        <v>0.027082</v>
      </c>
    </row>
    <row r="763" customFormat="false" ht="15" hidden="false" customHeight="false" outlineLevel="0" collapsed="false">
      <c r="A763" s="52" t="n">
        <v>45306</v>
      </c>
      <c r="B763" s="57" t="n">
        <v>0.023008</v>
      </c>
      <c r="C763" s="57" t="n">
        <v>0.026293</v>
      </c>
      <c r="D763" s="57" t="n">
        <v>0.027109</v>
      </c>
    </row>
    <row r="764" customFormat="false" ht="15" hidden="false" customHeight="false" outlineLevel="0" collapsed="false">
      <c r="A764" s="52" t="n">
        <v>45307</v>
      </c>
      <c r="B764" s="57" t="n">
        <v>0.02315</v>
      </c>
      <c r="C764" s="57" t="n">
        <v>0.026248</v>
      </c>
      <c r="D764" s="57" t="n">
        <v>0.027157</v>
      </c>
    </row>
    <row r="765" customFormat="false" ht="15" hidden="false" customHeight="false" outlineLevel="0" collapsed="false">
      <c r="A765" s="52" t="n">
        <v>45308</v>
      </c>
      <c r="B765" s="57" t="n">
        <v>0.023055</v>
      </c>
      <c r="C765" s="57" t="n">
        <v>0.026179</v>
      </c>
      <c r="D765" s="57" t="n">
        <v>0.027136</v>
      </c>
    </row>
    <row r="766" customFormat="false" ht="15" hidden="false" customHeight="false" outlineLevel="0" collapsed="false">
      <c r="A766" s="52" t="n">
        <v>45309</v>
      </c>
      <c r="B766" s="57" t="n">
        <v>0.023072</v>
      </c>
      <c r="C766" s="57" t="n">
        <v>0.026053</v>
      </c>
      <c r="D766" s="57" t="n">
        <v>0.027066</v>
      </c>
    </row>
    <row r="767" customFormat="false" ht="15" hidden="false" customHeight="false" outlineLevel="0" collapsed="false">
      <c r="A767" s="52" t="n">
        <v>45310</v>
      </c>
      <c r="B767" s="57" t="n">
        <v>0.022901</v>
      </c>
      <c r="C767" s="57" t="n">
        <v>0.025875</v>
      </c>
      <c r="D767" s="57" t="n">
        <v>0.027013</v>
      </c>
    </row>
    <row r="768" customFormat="false" ht="15" hidden="false" customHeight="false" outlineLevel="0" collapsed="false">
      <c r="A768" s="52" t="n">
        <v>45313</v>
      </c>
      <c r="B768" s="57" t="n">
        <v>0.022813</v>
      </c>
      <c r="C768" s="57" t="n">
        <v>0.025778</v>
      </c>
      <c r="D768" s="57" t="n">
        <v>0.026775</v>
      </c>
    </row>
    <row r="769" customFormat="false" ht="15" hidden="false" customHeight="false" outlineLevel="0" collapsed="false">
      <c r="A769" s="52" t="n">
        <v>45314</v>
      </c>
      <c r="B769" s="57" t="n">
        <v>0.022975</v>
      </c>
      <c r="C769" s="57" t="n">
        <v>0.025879</v>
      </c>
      <c r="D769" s="57" t="n">
        <v>0.026685</v>
      </c>
    </row>
    <row r="770" customFormat="false" ht="15" hidden="false" customHeight="false" outlineLevel="0" collapsed="false">
      <c r="A770" s="52" t="n">
        <v>45315</v>
      </c>
      <c r="B770" s="57" t="n">
        <v>0.022675</v>
      </c>
      <c r="C770" s="57" t="n">
        <v>0.025775</v>
      </c>
      <c r="D770" s="57" t="n">
        <v>0.026681</v>
      </c>
    </row>
    <row r="771" customFormat="false" ht="15" hidden="false" customHeight="false" outlineLevel="0" collapsed="false">
      <c r="A771" s="52" t="n">
        <v>45316</v>
      </c>
      <c r="B771" s="57" t="n">
        <v>0.022358</v>
      </c>
      <c r="C771" s="57" t="n">
        <v>0.025563</v>
      </c>
      <c r="D771" s="57" t="n">
        <v>0.026612</v>
      </c>
    </row>
    <row r="772" customFormat="false" ht="15" hidden="false" customHeight="false" outlineLevel="0" collapsed="false">
      <c r="A772" s="52" t="n">
        <v>45317</v>
      </c>
      <c r="B772" s="57" t="n">
        <v>0.022391</v>
      </c>
      <c r="C772" s="57" t="n">
        <v>0.025578</v>
      </c>
      <c r="D772" s="57" t="n">
        <v>0.02653</v>
      </c>
    </row>
    <row r="773" customFormat="false" ht="15" hidden="false" customHeight="false" outlineLevel="0" collapsed="false">
      <c r="A773" s="52" t="n">
        <v>45320</v>
      </c>
      <c r="B773" s="57" t="n">
        <v>0.022158</v>
      </c>
      <c r="C773" s="57" t="n">
        <v>0.025575</v>
      </c>
      <c r="D773" s="57" t="n">
        <v>0.026501</v>
      </c>
    </row>
    <row r="774" customFormat="false" ht="15" hidden="false" customHeight="false" outlineLevel="0" collapsed="false">
      <c r="A774" s="52" t="n">
        <v>45321</v>
      </c>
      <c r="B774" s="57" t="n">
        <v>0.021721</v>
      </c>
      <c r="C774" s="57" t="n">
        <v>0.0253</v>
      </c>
      <c r="D774" s="57" t="n">
        <v>0.026305</v>
      </c>
    </row>
    <row r="775" customFormat="false" ht="15" hidden="false" customHeight="false" outlineLevel="0" collapsed="false">
      <c r="A775" s="52" t="n">
        <v>45322</v>
      </c>
      <c r="B775" s="57" t="n">
        <v>0.02193</v>
      </c>
      <c r="C775" s="57" t="n">
        <v>0.025073</v>
      </c>
      <c r="D775" s="57" t="n">
        <v>0.026031</v>
      </c>
    </row>
    <row r="776" customFormat="false" ht="15" hidden="false" customHeight="false" outlineLevel="0" collapsed="false">
      <c r="A776" s="52" t="n">
        <v>45323</v>
      </c>
      <c r="B776" s="57" t="n">
        <v>0.022107</v>
      </c>
      <c r="C776" s="57" t="n">
        <v>0.025096</v>
      </c>
      <c r="D776" s="57" t="n">
        <v>0.025881</v>
      </c>
    </row>
    <row r="777" customFormat="false" ht="15" hidden="false" customHeight="false" outlineLevel="0" collapsed="false">
      <c r="A777" s="52" t="n">
        <v>45324</v>
      </c>
      <c r="B777" s="57" t="n">
        <v>0.021886</v>
      </c>
      <c r="C777" s="57" t="n">
        <v>0.025131</v>
      </c>
      <c r="D777" s="57" t="n">
        <v>0.025868</v>
      </c>
    </row>
    <row r="778" customFormat="false" ht="15" hidden="false" customHeight="false" outlineLevel="0" collapsed="false">
      <c r="A778" s="52" t="n">
        <v>45326</v>
      </c>
      <c r="B778" s="57" t="n">
        <v>0.021743</v>
      </c>
      <c r="C778" s="57" t="n">
        <v>0.025002</v>
      </c>
      <c r="D778" s="57" t="n">
        <v>0.025717</v>
      </c>
    </row>
    <row r="779" customFormat="false" ht="15" hidden="false" customHeight="false" outlineLevel="0" collapsed="false">
      <c r="A779" s="52" t="n">
        <v>45327</v>
      </c>
      <c r="B779" s="57" t="n">
        <v>0.021887</v>
      </c>
      <c r="C779" s="57" t="n">
        <v>0.025007</v>
      </c>
      <c r="D779" s="57" t="n">
        <v>0.025611</v>
      </c>
    </row>
    <row r="780" customFormat="false" ht="15" hidden="false" customHeight="false" outlineLevel="0" collapsed="false">
      <c r="A780" s="52" t="n">
        <v>45328</v>
      </c>
      <c r="B780" s="57" t="n">
        <v>0.022405</v>
      </c>
      <c r="C780" s="57" t="n">
        <v>0.025181</v>
      </c>
      <c r="D780" s="57" t="n">
        <v>0.025785</v>
      </c>
    </row>
    <row r="781" customFormat="false" ht="15" hidden="false" customHeight="false" outlineLevel="0" collapsed="false">
      <c r="A781" s="52" t="n">
        <v>45329</v>
      </c>
      <c r="B781" s="57" t="n">
        <v>0.021864</v>
      </c>
      <c r="C781" s="57" t="n">
        <v>0.025085</v>
      </c>
      <c r="D781" s="57" t="n">
        <v>0.025767</v>
      </c>
    </row>
    <row r="782" customFormat="false" ht="15" hidden="false" customHeight="false" outlineLevel="0" collapsed="false">
      <c r="A782" s="52" t="n">
        <v>45330</v>
      </c>
      <c r="B782" s="57" t="n">
        <v>0.021891</v>
      </c>
      <c r="C782" s="57" t="n">
        <v>0.025086</v>
      </c>
      <c r="D782" s="57" t="n">
        <v>0.025771</v>
      </c>
    </row>
    <row r="783" customFormat="false" ht="15" hidden="false" customHeight="false" outlineLevel="0" collapsed="false">
      <c r="A783" s="52" t="n">
        <v>45331</v>
      </c>
      <c r="B783" s="57" t="n">
        <v>0.021891</v>
      </c>
      <c r="C783" s="57" t="n">
        <v>0.025085</v>
      </c>
      <c r="D783" s="57" t="n">
        <v>0.025771</v>
      </c>
    </row>
    <row r="784" customFormat="false" ht="15" hidden="false" customHeight="false" outlineLevel="0" collapsed="false">
      <c r="A784" s="52" t="n">
        <v>45340</v>
      </c>
      <c r="B784" s="57" t="n">
        <v>0.021884</v>
      </c>
      <c r="C784" s="57" t="n">
        <v>0.025101</v>
      </c>
      <c r="D784" s="57" t="n">
        <v>0.025787</v>
      </c>
    </row>
    <row r="785" customFormat="false" ht="15" hidden="false" customHeight="false" outlineLevel="0" collapsed="false">
      <c r="A785" s="52" t="n">
        <v>45341</v>
      </c>
      <c r="B785" s="57" t="n">
        <v>0.021909</v>
      </c>
      <c r="C785" s="57" t="n">
        <v>0.024888</v>
      </c>
      <c r="D785" s="57" t="n">
        <v>0.025697</v>
      </c>
    </row>
    <row r="786" customFormat="false" ht="15" hidden="false" customHeight="false" outlineLevel="0" collapsed="false">
      <c r="A786" s="52" t="n">
        <v>45342</v>
      </c>
      <c r="B786" s="57" t="n">
        <v>0.021634</v>
      </c>
      <c r="C786" s="57" t="n">
        <v>0.024667</v>
      </c>
      <c r="D786" s="57" t="n">
        <v>0.025646</v>
      </c>
    </row>
    <row r="787" customFormat="false" ht="15" hidden="false" customHeight="false" outlineLevel="0" collapsed="false">
      <c r="A787" s="52" t="n">
        <v>45343</v>
      </c>
      <c r="B787" s="57" t="n">
        <v>0.021634</v>
      </c>
      <c r="C787" s="57" t="n">
        <v>0.024659</v>
      </c>
      <c r="D787" s="57" t="n">
        <v>0.025529</v>
      </c>
    </row>
    <row r="788" customFormat="false" ht="15" hidden="false" customHeight="false" outlineLevel="0" collapsed="false">
      <c r="A788" s="52" t="n">
        <v>45344</v>
      </c>
      <c r="B788" s="57" t="n">
        <v>0.021284</v>
      </c>
      <c r="C788" s="57" t="n">
        <v>0.024414</v>
      </c>
      <c r="D788" s="57" t="n">
        <v>0.025392</v>
      </c>
    </row>
    <row r="789" customFormat="false" ht="15" hidden="false" customHeight="false" outlineLevel="0" collapsed="false">
      <c r="A789" s="52" t="n">
        <v>45345</v>
      </c>
      <c r="B789" s="57" t="n">
        <v>0.021234</v>
      </c>
      <c r="C789" s="57" t="n">
        <v>0.024207</v>
      </c>
      <c r="D789" s="57" t="n">
        <v>0.025252</v>
      </c>
    </row>
    <row r="790" customFormat="false" ht="15" hidden="false" customHeight="false" outlineLevel="0" collapsed="false">
      <c r="A790" s="52" t="n">
        <v>45348</v>
      </c>
      <c r="B790" s="57" t="n">
        <v>0.021134</v>
      </c>
      <c r="C790" s="57" t="n">
        <v>0.024143</v>
      </c>
      <c r="D790" s="57" t="n">
        <v>0.025069</v>
      </c>
    </row>
    <row r="791" customFormat="false" ht="15" hidden="false" customHeight="false" outlineLevel="0" collapsed="false">
      <c r="A791" s="52" t="n">
        <v>45349</v>
      </c>
      <c r="B791" s="57" t="n">
        <v>0.021334</v>
      </c>
      <c r="C791" s="57" t="n">
        <v>0.023948</v>
      </c>
      <c r="D791" s="57" t="n">
        <v>0.024944</v>
      </c>
    </row>
    <row r="792" customFormat="false" ht="15" hidden="false" customHeight="false" outlineLevel="0" collapsed="false">
      <c r="A792" s="52" t="n">
        <v>45350</v>
      </c>
      <c r="B792" s="57" t="n">
        <v>0.021103</v>
      </c>
      <c r="C792" s="57" t="n">
        <v>0.023848</v>
      </c>
      <c r="D792" s="57" t="n">
        <v>0.024785</v>
      </c>
    </row>
    <row r="793" customFormat="false" ht="15" hidden="false" customHeight="false" outlineLevel="0" collapsed="false">
      <c r="A793" s="52" t="n">
        <v>45351</v>
      </c>
      <c r="B793" s="57" t="n">
        <v>0.021005</v>
      </c>
      <c r="C793" s="57" t="n">
        <v>0.023746</v>
      </c>
      <c r="D793" s="57" t="n">
        <v>0.024595</v>
      </c>
    </row>
    <row r="794" customFormat="false" ht="15" hidden="false" customHeight="false" outlineLevel="0" collapsed="false">
      <c r="A794" s="52" t="n">
        <v>45352</v>
      </c>
      <c r="B794" s="57" t="n">
        <v>0.021405</v>
      </c>
      <c r="C794" s="57" t="n">
        <v>0.02399</v>
      </c>
      <c r="D794" s="57" t="n">
        <v>0.024827</v>
      </c>
    </row>
    <row r="795" customFormat="false" ht="15" hidden="false" customHeight="false" outlineLevel="0" collapsed="false">
      <c r="A795" s="52" t="n">
        <v>45355</v>
      </c>
      <c r="B795" s="57" t="n">
        <v>0.02123</v>
      </c>
      <c r="C795" s="57" t="n">
        <v>0.023845</v>
      </c>
      <c r="D795" s="57" t="n">
        <v>0.024825</v>
      </c>
    </row>
    <row r="796" customFormat="false" ht="15" hidden="false" customHeight="false" outlineLevel="0" collapsed="false">
      <c r="A796" s="52" t="n">
        <v>45356</v>
      </c>
      <c r="B796" s="57" t="n">
        <v>0.021108</v>
      </c>
      <c r="C796" s="57" t="n">
        <v>0.023779</v>
      </c>
      <c r="D796" s="57" t="n">
        <v>0.024811</v>
      </c>
    </row>
    <row r="797" customFormat="false" ht="15" hidden="false" customHeight="false" outlineLevel="0" collapsed="false">
      <c r="A797" s="52" t="n">
        <v>45357</v>
      </c>
      <c r="B797" s="57" t="n">
        <v>0.020708</v>
      </c>
      <c r="C797" s="57" t="n">
        <v>0.023646</v>
      </c>
      <c r="D797" s="57" t="n">
        <v>0.024808</v>
      </c>
    </row>
    <row r="798" customFormat="false" ht="15" hidden="false" customHeight="false" outlineLevel="0" collapsed="false">
      <c r="A798" s="52" t="n">
        <v>45358</v>
      </c>
      <c r="B798" s="57" t="n">
        <v>0.020857</v>
      </c>
      <c r="C798" s="57" t="n">
        <v>0.023506</v>
      </c>
      <c r="D798" s="57" t="n">
        <v>0.024546</v>
      </c>
    </row>
    <row r="799" customFormat="false" ht="15" hidden="false" customHeight="false" outlineLevel="0" collapsed="false">
      <c r="A799" s="52" t="n">
        <v>45359</v>
      </c>
      <c r="B799" s="57" t="n">
        <v>0.020906</v>
      </c>
      <c r="C799" s="57" t="n">
        <v>0.023551</v>
      </c>
      <c r="D799" s="57" t="n">
        <v>0.024608</v>
      </c>
    </row>
    <row r="800" customFormat="false" ht="15" hidden="false" customHeight="false" outlineLevel="0" collapsed="false">
      <c r="A800" s="52" t="n">
        <v>45362</v>
      </c>
      <c r="B800" s="57" t="n">
        <v>0.02111</v>
      </c>
      <c r="C800" s="57" t="n">
        <v>0.023561</v>
      </c>
      <c r="D800" s="57" t="n">
        <v>0.0247</v>
      </c>
    </row>
    <row r="801" customFormat="false" ht="15" hidden="false" customHeight="false" outlineLevel="0" collapsed="false">
      <c r="A801" s="52" t="n">
        <v>45363</v>
      </c>
      <c r="B801" s="57" t="n">
        <v>0.021517</v>
      </c>
      <c r="C801" s="57" t="n">
        <v>0.023989</v>
      </c>
      <c r="D801" s="57" t="n">
        <v>0.025008</v>
      </c>
    </row>
    <row r="802" customFormat="false" ht="15" hidden="false" customHeight="false" outlineLevel="0" collapsed="false">
      <c r="A802" s="52" t="n">
        <v>45364</v>
      </c>
      <c r="B802" s="57" t="n">
        <v>0.021548</v>
      </c>
      <c r="C802" s="57" t="n">
        <v>0.02417</v>
      </c>
      <c r="D802" s="57" t="n">
        <v>0.025158</v>
      </c>
    </row>
    <row r="803" customFormat="false" ht="15" hidden="false" customHeight="false" outlineLevel="0" collapsed="false">
      <c r="A803" s="52" t="n">
        <v>45365</v>
      </c>
      <c r="B803" s="57" t="n">
        <v>0.021528</v>
      </c>
      <c r="C803" s="57" t="n">
        <v>0.024502</v>
      </c>
      <c r="D803" s="57" t="n">
        <v>0.025461</v>
      </c>
    </row>
    <row r="804" customFormat="false" ht="15" hidden="false" customHeight="false" outlineLevel="0" collapsed="false">
      <c r="A804" s="52" t="n">
        <v>45366</v>
      </c>
      <c r="B804" s="57" t="n">
        <v>0.021276</v>
      </c>
      <c r="C804" s="57" t="n">
        <v>0.024367</v>
      </c>
      <c r="D804" s="57" t="n">
        <v>0.025469</v>
      </c>
    </row>
    <row r="805" customFormat="false" ht="15" hidden="false" customHeight="false" outlineLevel="0" collapsed="false">
      <c r="A805" s="52" t="n">
        <v>45369</v>
      </c>
      <c r="B805" s="57" t="n">
        <v>0.020812</v>
      </c>
      <c r="C805" s="57" t="n">
        <v>0.024211</v>
      </c>
      <c r="D805" s="57" t="n">
        <v>0.0255</v>
      </c>
    </row>
    <row r="806" customFormat="false" ht="15" hidden="false" customHeight="false" outlineLevel="0" collapsed="false">
      <c r="A806" s="52" t="n">
        <v>45370</v>
      </c>
      <c r="B806" s="57" t="n">
        <v>0.020742</v>
      </c>
      <c r="C806" s="57" t="n">
        <v>0.024064</v>
      </c>
      <c r="D806" s="57" t="n">
        <v>0.0255</v>
      </c>
    </row>
    <row r="807" customFormat="false" ht="15" hidden="false" customHeight="false" outlineLevel="0" collapsed="false">
      <c r="A807" s="52" t="n">
        <v>45371</v>
      </c>
      <c r="B807" s="57" t="n">
        <v>0.020828</v>
      </c>
      <c r="C807" s="57" t="n">
        <v>0.024087</v>
      </c>
      <c r="D807" s="57" t="n">
        <v>0.025289</v>
      </c>
    </row>
    <row r="808" customFormat="false" ht="15" hidden="false" customHeight="false" outlineLevel="0" collapsed="false">
      <c r="A808" s="52" t="n">
        <v>45372</v>
      </c>
      <c r="B808" s="57" t="n">
        <v>0.02063</v>
      </c>
      <c r="C808" s="57" t="n">
        <v>0.02408</v>
      </c>
      <c r="D808" s="57" t="n">
        <v>0.025271</v>
      </c>
    </row>
    <row r="809" customFormat="false" ht="15" hidden="false" customHeight="false" outlineLevel="0" collapsed="false">
      <c r="A809" s="52" t="n">
        <v>45373</v>
      </c>
      <c r="B809" s="57" t="n">
        <v>0.020695</v>
      </c>
      <c r="C809" s="57" t="n">
        <v>0.024056</v>
      </c>
      <c r="D809" s="57" t="n">
        <v>0.025216</v>
      </c>
    </row>
    <row r="810" customFormat="false" ht="15" hidden="false" customHeight="false" outlineLevel="0" collapsed="false">
      <c r="A810" s="52" t="n">
        <v>45376</v>
      </c>
      <c r="B810" s="57" t="n">
        <v>0.020793</v>
      </c>
      <c r="C810" s="57" t="n">
        <v>0.024152</v>
      </c>
      <c r="D810" s="57" t="n">
        <v>0.025323</v>
      </c>
    </row>
    <row r="811" customFormat="false" ht="15" hidden="false" customHeight="false" outlineLevel="0" collapsed="false">
      <c r="A811" s="52" t="n">
        <v>45377</v>
      </c>
      <c r="B811" s="57" t="n">
        <v>0.0208</v>
      </c>
      <c r="C811" s="57" t="n">
        <v>0.024363</v>
      </c>
      <c r="D811" s="57" t="n">
        <v>0.025397</v>
      </c>
    </row>
    <row r="812" customFormat="false" ht="15" hidden="false" customHeight="false" outlineLevel="0" collapsed="false">
      <c r="A812" s="52" t="n">
        <v>45378</v>
      </c>
      <c r="B812" s="57" t="n">
        <v>0.020545</v>
      </c>
      <c r="C812" s="57" t="n">
        <v>0.024245</v>
      </c>
      <c r="D812" s="57" t="n">
        <v>0.02531</v>
      </c>
    </row>
    <row r="813" customFormat="false" ht="15" hidden="false" customHeight="false" outlineLevel="0" collapsed="false">
      <c r="A813" s="52" t="n">
        <v>45379</v>
      </c>
      <c r="B813" s="57" t="n">
        <v>0.020549</v>
      </c>
      <c r="C813" s="57" t="n">
        <v>0.024043</v>
      </c>
      <c r="D813" s="57" t="n">
        <v>0.025112</v>
      </c>
    </row>
    <row r="814" customFormat="false" ht="15" hidden="false" customHeight="false" outlineLevel="0" collapsed="false">
      <c r="A814" s="52" t="n">
        <v>45380</v>
      </c>
      <c r="B814" s="57" t="n">
        <v>0.020315</v>
      </c>
      <c r="C814" s="57" t="n">
        <v>0.024044</v>
      </c>
      <c r="D814" s="57" t="n">
        <v>0.025035</v>
      </c>
    </row>
    <row r="815" customFormat="false" ht="15" hidden="false" customHeight="false" outlineLevel="0" collapsed="false">
      <c r="A815" s="52" t="n">
        <v>45383</v>
      </c>
      <c r="B815" s="57" t="n">
        <v>0.020643</v>
      </c>
      <c r="C815" s="57" t="n">
        <v>0.024243</v>
      </c>
      <c r="D815" s="57" t="n">
        <v>0.025021</v>
      </c>
    </row>
    <row r="816" customFormat="false" ht="15" hidden="false" customHeight="false" outlineLevel="0" collapsed="false">
      <c r="A816" s="52" t="n">
        <v>45384</v>
      </c>
      <c r="B816" s="57" t="n">
        <v>0.020553</v>
      </c>
      <c r="C816" s="57" t="n">
        <v>0.024075</v>
      </c>
      <c r="D816" s="57" t="n">
        <v>0.024822</v>
      </c>
    </row>
    <row r="817" customFormat="false" ht="15" hidden="false" customHeight="false" outlineLevel="0" collapsed="false">
      <c r="A817" s="52" t="n">
        <v>45385</v>
      </c>
      <c r="B817" s="57" t="n">
        <v>0.020428</v>
      </c>
      <c r="C817" s="57" t="n">
        <v>0.023766</v>
      </c>
      <c r="D817" s="57" t="n">
        <v>0.024624</v>
      </c>
    </row>
    <row r="818" customFormat="false" ht="15" hidden="false" customHeight="false" outlineLevel="0" collapsed="false">
      <c r="A818" s="52" t="n">
        <v>45389</v>
      </c>
      <c r="B818" s="57" t="n">
        <v>0.020446</v>
      </c>
      <c r="C818" s="57" t="n">
        <v>0.023783</v>
      </c>
      <c r="D818" s="57" t="n">
        <v>0.024643</v>
      </c>
    </row>
    <row r="819" customFormat="false" ht="15" hidden="false" customHeight="false" outlineLevel="0" collapsed="false">
      <c r="A819" s="52" t="n">
        <v>45390</v>
      </c>
      <c r="B819" s="57" t="n">
        <v>0.0202</v>
      </c>
      <c r="C819" s="57" t="n">
        <v>0.023627</v>
      </c>
      <c r="D819" s="57" t="n">
        <v>0.024459</v>
      </c>
    </row>
    <row r="820" customFormat="false" ht="15" hidden="false" customHeight="false" outlineLevel="0" collapsed="false">
      <c r="A820" s="52" t="n">
        <v>45391</v>
      </c>
      <c r="B820" s="57" t="n">
        <v>0.020183</v>
      </c>
      <c r="C820" s="57" t="n">
        <v>0.023434</v>
      </c>
      <c r="D820" s="57" t="n">
        <v>0.024135</v>
      </c>
    </row>
    <row r="821" customFormat="false" ht="15" hidden="false" customHeight="false" outlineLevel="0" collapsed="false">
      <c r="A821" s="52" t="n">
        <v>45392</v>
      </c>
      <c r="B821" s="57" t="n">
        <v>0.020187</v>
      </c>
      <c r="C821" s="57" t="n">
        <v>0.023361</v>
      </c>
      <c r="D821" s="57" t="n">
        <v>0.023931</v>
      </c>
    </row>
    <row r="822" customFormat="false" ht="15" hidden="false" customHeight="false" outlineLevel="0" collapsed="false">
      <c r="A822" s="52" t="n">
        <v>45393</v>
      </c>
      <c r="B822" s="57" t="n">
        <v>0.020164</v>
      </c>
      <c r="C822" s="57" t="n">
        <v>0.023172</v>
      </c>
      <c r="D822" s="57" t="n">
        <v>0.023738</v>
      </c>
    </row>
    <row r="823" customFormat="false" ht="15" hidden="false" customHeight="false" outlineLevel="0" collapsed="false">
      <c r="A823" s="52" t="n">
        <v>45394</v>
      </c>
      <c r="B823" s="57" t="n">
        <v>0.019925</v>
      </c>
      <c r="C823" s="57" t="n">
        <v>0.022752</v>
      </c>
      <c r="D823" s="57" t="n">
        <v>0.023357</v>
      </c>
    </row>
    <row r="824" customFormat="false" ht="15" hidden="false" customHeight="false" outlineLevel="0" collapsed="false">
      <c r="A824" s="52" t="n">
        <v>45397</v>
      </c>
      <c r="B824" s="57" t="n">
        <v>0.020135</v>
      </c>
      <c r="C824" s="57" t="n">
        <v>0.022703</v>
      </c>
      <c r="D824" s="57" t="n">
        <v>0.0232</v>
      </c>
    </row>
    <row r="825" customFormat="false" ht="15" hidden="false" customHeight="false" outlineLevel="0" collapsed="false">
      <c r="A825" s="52" t="n">
        <v>45398</v>
      </c>
      <c r="B825" s="57" t="n">
        <v>0.020212</v>
      </c>
      <c r="C825" s="57" t="n">
        <v>0.022757</v>
      </c>
      <c r="D825" s="57" t="n">
        <v>0.023216</v>
      </c>
    </row>
    <row r="826" customFormat="false" ht="15" hidden="false" customHeight="false" outlineLevel="0" collapsed="false">
      <c r="A826" s="52" t="n">
        <v>45399</v>
      </c>
      <c r="B826" s="57" t="n">
        <v>0.020161</v>
      </c>
      <c r="C826" s="57" t="n">
        <v>0.022555</v>
      </c>
      <c r="D826" s="57" t="n">
        <v>0.023006</v>
      </c>
    </row>
    <row r="827" customFormat="false" ht="15" hidden="false" customHeight="false" outlineLevel="0" collapsed="false">
      <c r="A827" s="52" t="n">
        <v>45400</v>
      </c>
      <c r="B827" s="57" t="n">
        <v>0.019935</v>
      </c>
      <c r="C827" s="57" t="n">
        <v>0.022247</v>
      </c>
      <c r="D827" s="57" t="n">
        <v>0.022848</v>
      </c>
    </row>
    <row r="828" customFormat="false" ht="15" hidden="false" customHeight="false" outlineLevel="0" collapsed="false">
      <c r="A828" s="52" t="n">
        <v>45401</v>
      </c>
      <c r="B828" s="57" t="n">
        <v>0.019931</v>
      </c>
      <c r="C828" s="57" t="n">
        <v>0.022047</v>
      </c>
      <c r="D828" s="57" t="n">
        <v>0.022675</v>
      </c>
    </row>
    <row r="829" customFormat="false" ht="15" hidden="false" customHeight="false" outlineLevel="0" collapsed="false">
      <c r="A829" s="52" t="n">
        <v>45404</v>
      </c>
      <c r="B829" s="57" t="n">
        <v>0.019774</v>
      </c>
      <c r="C829" s="57" t="n">
        <v>0.021669</v>
      </c>
      <c r="D829" s="57" t="n">
        <v>0.022484</v>
      </c>
    </row>
    <row r="830" customFormat="false" ht="15" hidden="false" customHeight="false" outlineLevel="0" collapsed="false">
      <c r="A830" s="52" t="n">
        <v>45405</v>
      </c>
      <c r="B830" s="57" t="n">
        <v>0.019457</v>
      </c>
      <c r="C830" s="57" t="n">
        <v>0.021362</v>
      </c>
      <c r="D830" s="57" t="n">
        <v>0.02227</v>
      </c>
    </row>
    <row r="831" customFormat="false" ht="15" hidden="false" customHeight="false" outlineLevel="0" collapsed="false">
      <c r="A831" s="52" t="n">
        <v>45406</v>
      </c>
      <c r="B831" s="57" t="n">
        <v>0.019853</v>
      </c>
      <c r="C831" s="57" t="n">
        <v>0.02192</v>
      </c>
      <c r="D831" s="57" t="n">
        <v>0.022673</v>
      </c>
    </row>
    <row r="832" customFormat="false" ht="15" hidden="false" customHeight="false" outlineLevel="0" collapsed="false">
      <c r="A832" s="52" t="n">
        <v>45407</v>
      </c>
      <c r="B832" s="57" t="n">
        <v>0.019443</v>
      </c>
      <c r="C832" s="57" t="n">
        <v>0.022088</v>
      </c>
      <c r="D832" s="57" t="n">
        <v>0.022955</v>
      </c>
    </row>
    <row r="833" customFormat="false" ht="15" hidden="false" customHeight="false" outlineLevel="0" collapsed="false">
      <c r="A833" s="52" t="n">
        <v>45408</v>
      </c>
      <c r="B833" s="57" t="n">
        <v>0.019981</v>
      </c>
      <c r="C833" s="57" t="n">
        <v>0.02263</v>
      </c>
      <c r="D833" s="57" t="n">
        <v>0.023502</v>
      </c>
    </row>
    <row r="834" customFormat="false" ht="15" hidden="false" customHeight="false" outlineLevel="0" collapsed="false">
      <c r="A834" s="52" t="n">
        <v>45410</v>
      </c>
      <c r="B834" s="57" t="n">
        <v>0.020333</v>
      </c>
      <c r="C834" s="57" t="n">
        <v>0.0232</v>
      </c>
      <c r="D834" s="57" t="n">
        <v>0.023633</v>
      </c>
    </row>
    <row r="835" customFormat="false" ht="15" hidden="false" customHeight="false" outlineLevel="0" collapsed="false">
      <c r="A835" s="52" t="n">
        <v>45411</v>
      </c>
      <c r="B835" s="57" t="n">
        <v>0.020647</v>
      </c>
      <c r="C835" s="57" t="n">
        <v>0.0237</v>
      </c>
      <c r="D835" s="57" t="n">
        <v>0.024177</v>
      </c>
    </row>
    <row r="836" customFormat="false" ht="15" hidden="false" customHeight="false" outlineLevel="0" collapsed="false">
      <c r="A836" s="52" t="n">
        <v>45412</v>
      </c>
      <c r="B836" s="57" t="n">
        <v>0.019836</v>
      </c>
      <c r="C836" s="57" t="n">
        <v>0.023132</v>
      </c>
      <c r="D836" s="57" t="n">
        <v>0.023886</v>
      </c>
    </row>
    <row r="837" customFormat="false" ht="15" hidden="false" customHeight="false" outlineLevel="0" collapsed="false">
      <c r="A837" s="52" t="n">
        <v>45418</v>
      </c>
      <c r="B837" s="57" t="n">
        <v>0.019819</v>
      </c>
      <c r="C837" s="57" t="n">
        <v>0.022837</v>
      </c>
      <c r="D837" s="57" t="n">
        <v>0.023615</v>
      </c>
    </row>
    <row r="838" customFormat="false" ht="15" hidden="false" customHeight="false" outlineLevel="0" collapsed="false">
      <c r="A838" s="52" t="n">
        <v>45419</v>
      </c>
      <c r="B838" s="57" t="n">
        <v>0.0196</v>
      </c>
      <c r="C838" s="57" t="n">
        <v>0.022321</v>
      </c>
      <c r="D838" s="57" t="n">
        <v>0.02318</v>
      </c>
    </row>
    <row r="839" customFormat="false" ht="15" hidden="false" customHeight="false" outlineLevel="0" collapsed="false">
      <c r="A839" s="52" t="n">
        <v>45420</v>
      </c>
      <c r="B839" s="57" t="n">
        <v>0.019797</v>
      </c>
      <c r="C839" s="57" t="n">
        <v>0.022202</v>
      </c>
      <c r="D839" s="57" t="n">
        <v>0.022916</v>
      </c>
    </row>
    <row r="840" customFormat="false" ht="15" hidden="false" customHeight="false" outlineLevel="0" collapsed="false">
      <c r="A840" s="52" t="n">
        <v>45421</v>
      </c>
      <c r="B840" s="57" t="n">
        <v>0.020084</v>
      </c>
      <c r="C840" s="57" t="n">
        <v>0.022494</v>
      </c>
      <c r="D840" s="57" t="n">
        <v>0.023128</v>
      </c>
    </row>
    <row r="841" customFormat="false" ht="15" hidden="false" customHeight="false" outlineLevel="0" collapsed="false">
      <c r="A841" s="52" t="n">
        <v>45422</v>
      </c>
      <c r="B841" s="57" t="n">
        <v>0.01993</v>
      </c>
      <c r="C841" s="57" t="n">
        <v>0.022634</v>
      </c>
      <c r="D841" s="57" t="n">
        <v>0.023326</v>
      </c>
    </row>
    <row r="842" customFormat="false" ht="15" hidden="false" customHeight="false" outlineLevel="0" collapsed="false">
      <c r="A842" s="52" t="n">
        <v>45423</v>
      </c>
      <c r="B842" s="57" t="n">
        <v>0.02009</v>
      </c>
      <c r="C842" s="57" t="n">
        <v>0.022931</v>
      </c>
      <c r="D842" s="57" t="n">
        <v>0.023507</v>
      </c>
    </row>
    <row r="843" customFormat="false" ht="15" hidden="false" customHeight="false" outlineLevel="0" collapsed="false">
      <c r="A843" s="52" t="n">
        <v>45425</v>
      </c>
      <c r="B843" s="57" t="n">
        <v>0.019517</v>
      </c>
      <c r="C843" s="57" t="n">
        <v>0.022434</v>
      </c>
      <c r="D843" s="57" t="n">
        <v>0.023242</v>
      </c>
    </row>
    <row r="844" customFormat="false" ht="15" hidden="false" customHeight="false" outlineLevel="0" collapsed="false">
      <c r="A844" s="52" t="n">
        <v>45426</v>
      </c>
      <c r="B844" s="57" t="n">
        <v>0.019482</v>
      </c>
      <c r="C844" s="57" t="n">
        <v>0.022237</v>
      </c>
      <c r="D844" s="57" t="n">
        <v>0.023063</v>
      </c>
    </row>
    <row r="845" customFormat="false" ht="15" hidden="false" customHeight="false" outlineLevel="0" collapsed="false">
      <c r="A845" s="52" t="n">
        <v>45427</v>
      </c>
      <c r="B845" s="57" t="n">
        <v>0.019446</v>
      </c>
      <c r="C845" s="57" t="n">
        <v>0.022241</v>
      </c>
      <c r="D845" s="57" t="n">
        <v>0.022986</v>
      </c>
    </row>
    <row r="846" customFormat="false" ht="15" hidden="false" customHeight="false" outlineLevel="0" collapsed="false">
      <c r="A846" s="52" t="n">
        <v>45428</v>
      </c>
      <c r="B846" s="57" t="n">
        <v>0.019696</v>
      </c>
      <c r="C846" s="57" t="n">
        <v>0.022361</v>
      </c>
      <c r="D846" s="57" t="n">
        <v>0.022948</v>
      </c>
    </row>
    <row r="847" customFormat="false" ht="15" hidden="false" customHeight="false" outlineLevel="0" collapsed="false">
      <c r="A847" s="52" t="n">
        <v>45429</v>
      </c>
      <c r="B847" s="57" t="n">
        <v>0.019206</v>
      </c>
      <c r="C847" s="57" t="n">
        <v>0.022484</v>
      </c>
      <c r="D847" s="57" t="n">
        <v>0.023159</v>
      </c>
    </row>
    <row r="848" customFormat="false" ht="15" hidden="false" customHeight="false" outlineLevel="0" collapsed="false">
      <c r="A848" s="52" t="n">
        <v>45432</v>
      </c>
      <c r="B848" s="57" t="n">
        <v>0.019315</v>
      </c>
      <c r="C848" s="57" t="n">
        <v>0.022255</v>
      </c>
      <c r="D848" s="57" t="n">
        <v>0.023066</v>
      </c>
    </row>
    <row r="849" customFormat="false" ht="15" hidden="false" customHeight="false" outlineLevel="0" collapsed="false">
      <c r="A849" s="52" t="n">
        <v>45433</v>
      </c>
      <c r="B849" s="57" t="n">
        <v>0.01952</v>
      </c>
      <c r="C849" s="57" t="n">
        <v>0.022358</v>
      </c>
      <c r="D849" s="57" t="n">
        <v>0.023012</v>
      </c>
    </row>
    <row r="850" customFormat="false" ht="15" hidden="false" customHeight="false" outlineLevel="0" collapsed="false">
      <c r="A850" s="52" t="n">
        <v>45434</v>
      </c>
      <c r="B850" s="57" t="n">
        <v>0.019372</v>
      </c>
      <c r="C850" s="57" t="n">
        <v>0.022285</v>
      </c>
      <c r="D850" s="57" t="n">
        <v>0.022866</v>
      </c>
    </row>
    <row r="851" customFormat="false" ht="15" hidden="false" customHeight="false" outlineLevel="0" collapsed="false">
      <c r="A851" s="52" t="n">
        <v>45435</v>
      </c>
      <c r="B851" s="57" t="n">
        <v>0.019327</v>
      </c>
      <c r="C851" s="57" t="n">
        <v>0.022213</v>
      </c>
      <c r="D851" s="57" t="n">
        <v>0.02277</v>
      </c>
    </row>
    <row r="852" customFormat="false" ht="15" hidden="false" customHeight="false" outlineLevel="0" collapsed="false">
      <c r="A852" s="52" t="n">
        <v>45436</v>
      </c>
      <c r="B852" s="57" t="n">
        <v>0.01943</v>
      </c>
      <c r="C852" s="57" t="n">
        <v>0.022282</v>
      </c>
      <c r="D852" s="57" t="n">
        <v>0.022714</v>
      </c>
    </row>
    <row r="853" customFormat="false" ht="15" hidden="false" customHeight="false" outlineLevel="0" collapsed="false">
      <c r="A853" s="52" t="n">
        <v>45439</v>
      </c>
      <c r="B853" s="57" t="n">
        <v>0.01954</v>
      </c>
      <c r="C853" s="57" t="n">
        <v>0.022226</v>
      </c>
      <c r="D853" s="57" t="n">
        <v>0.022733</v>
      </c>
    </row>
    <row r="854" customFormat="false" ht="15" hidden="false" customHeight="false" outlineLevel="0" collapsed="false">
      <c r="A854" s="52" t="n">
        <v>45440</v>
      </c>
      <c r="B854" s="57" t="n">
        <v>0.019391</v>
      </c>
      <c r="C854" s="57" t="n">
        <v>0.022064</v>
      </c>
      <c r="D854" s="57" t="n">
        <v>0.022637</v>
      </c>
    </row>
    <row r="855" customFormat="false" ht="15" hidden="false" customHeight="false" outlineLevel="0" collapsed="false">
      <c r="A855" s="52" t="n">
        <v>45441</v>
      </c>
      <c r="B855" s="57" t="n">
        <v>0.019295</v>
      </c>
      <c r="C855" s="57" t="n">
        <v>0.021961</v>
      </c>
      <c r="D855" s="57" t="n">
        <v>0.022478</v>
      </c>
    </row>
    <row r="856" customFormat="false" ht="15" hidden="false" customHeight="false" outlineLevel="0" collapsed="false">
      <c r="A856" s="52" t="n">
        <v>45442</v>
      </c>
      <c r="B856" s="57" t="n">
        <v>0.019275</v>
      </c>
      <c r="C856" s="57" t="n">
        <v>0.022023</v>
      </c>
      <c r="D856" s="57" t="n">
        <v>0.022386</v>
      </c>
    </row>
    <row r="857" customFormat="false" ht="15" hidden="false" customHeight="false" outlineLevel="0" collapsed="false">
      <c r="A857" s="52" t="n">
        <v>45443</v>
      </c>
      <c r="B857" s="57" t="n">
        <v>0.01936</v>
      </c>
      <c r="C857" s="57" t="n">
        <v>0.022029</v>
      </c>
      <c r="D857" s="57" t="n">
        <v>0.022422</v>
      </c>
    </row>
    <row r="858" customFormat="false" ht="15" hidden="false" customHeight="false" outlineLevel="0" collapsed="false">
      <c r="A858" s="52" t="n">
        <v>45446</v>
      </c>
      <c r="B858" s="57" t="n">
        <v>0.019324</v>
      </c>
      <c r="C858" s="57" t="n">
        <v>0.021887</v>
      </c>
      <c r="D858" s="57" t="n">
        <v>0.0223</v>
      </c>
    </row>
    <row r="859" customFormat="false" ht="15" hidden="false" customHeight="false" outlineLevel="0" collapsed="false">
      <c r="A859" s="52" t="n">
        <v>45447</v>
      </c>
      <c r="B859" s="57" t="n">
        <v>0.019197</v>
      </c>
      <c r="C859" s="57" t="n">
        <v>0.021711</v>
      </c>
      <c r="D859" s="57" t="n">
        <v>0.022204</v>
      </c>
    </row>
    <row r="860" customFormat="false" ht="15" hidden="false" customHeight="false" outlineLevel="0" collapsed="false">
      <c r="A860" s="52" t="n">
        <v>45448</v>
      </c>
      <c r="B860" s="57" t="n">
        <v>0.018969</v>
      </c>
      <c r="C860" s="57" t="n">
        <v>0.021564</v>
      </c>
      <c r="D860" s="57" t="n">
        <v>0.022034</v>
      </c>
    </row>
    <row r="861" customFormat="false" ht="15" hidden="false" customHeight="false" outlineLevel="0" collapsed="false">
      <c r="A861" s="52" t="n">
        <v>45449</v>
      </c>
      <c r="B861" s="57" t="n">
        <v>0.018922</v>
      </c>
      <c r="C861" s="57" t="n">
        <v>0.021478</v>
      </c>
      <c r="D861" s="57" t="n">
        <v>0.021899</v>
      </c>
    </row>
    <row r="862" customFormat="false" ht="15" hidden="false" customHeight="false" outlineLevel="0" collapsed="false">
      <c r="A862" s="52" t="n">
        <v>45450</v>
      </c>
      <c r="B862" s="57" t="n">
        <v>0.018932</v>
      </c>
      <c r="C862" s="57" t="n">
        <v>0.021422</v>
      </c>
      <c r="D862" s="57" t="n">
        <v>0.021833</v>
      </c>
    </row>
    <row r="863" customFormat="false" ht="15" hidden="false" customHeight="false" outlineLevel="0" collapsed="false">
      <c r="A863" s="52" t="n">
        <v>45454</v>
      </c>
      <c r="B863" s="57" t="n">
        <v>0.018923</v>
      </c>
      <c r="C863" s="57" t="n">
        <v>0.021336</v>
      </c>
      <c r="D863" s="57" t="n">
        <v>0.021854</v>
      </c>
    </row>
    <row r="864" customFormat="false" ht="15" hidden="false" customHeight="false" outlineLevel="0" collapsed="false">
      <c r="A864" s="52" t="n">
        <v>45455</v>
      </c>
      <c r="B864" s="57" t="n">
        <v>0.018976</v>
      </c>
      <c r="C864" s="57" t="n">
        <v>0.021287</v>
      </c>
      <c r="D864" s="57" t="n">
        <v>0.021862</v>
      </c>
    </row>
    <row r="865" customFormat="false" ht="15" hidden="false" customHeight="false" outlineLevel="0" collapsed="false">
      <c r="A865" s="52" t="n">
        <v>45456</v>
      </c>
      <c r="B865" s="57" t="n">
        <v>0.019024</v>
      </c>
      <c r="C865" s="57" t="n">
        <v>0.021249</v>
      </c>
      <c r="D865" s="57" t="n">
        <v>0.021775</v>
      </c>
    </row>
    <row r="866" customFormat="false" ht="15" hidden="false" customHeight="false" outlineLevel="0" collapsed="false">
      <c r="A866" s="52" t="n">
        <v>45457</v>
      </c>
      <c r="B866" s="57" t="n">
        <v>0.018953</v>
      </c>
      <c r="C866" s="57" t="n">
        <v>0.021178</v>
      </c>
      <c r="D866" s="57" t="n">
        <v>0.021765</v>
      </c>
    </row>
    <row r="867" customFormat="false" ht="15" hidden="false" customHeight="false" outlineLevel="0" collapsed="false">
      <c r="A867" s="52" t="n">
        <v>45460</v>
      </c>
      <c r="B867" s="57" t="n">
        <v>0.019109</v>
      </c>
      <c r="C867" s="57" t="n">
        <v>0.02114</v>
      </c>
      <c r="D867" s="57" t="n">
        <v>0.021774</v>
      </c>
    </row>
    <row r="868" customFormat="false" ht="15" hidden="false" customHeight="false" outlineLevel="0" collapsed="false">
      <c r="A868" s="52" t="n">
        <v>45461</v>
      </c>
      <c r="B868" s="57" t="n">
        <v>0.019039</v>
      </c>
      <c r="C868" s="57" t="n">
        <v>0.021096</v>
      </c>
      <c r="D868" s="57" t="n">
        <v>0.021774</v>
      </c>
    </row>
    <row r="869" customFormat="false" ht="15" hidden="false" customHeight="false" outlineLevel="0" collapsed="false">
      <c r="A869" s="52" t="n">
        <v>45462</v>
      </c>
      <c r="B869" s="57" t="n">
        <v>0.018776</v>
      </c>
      <c r="C869" s="57" t="n">
        <v>0.021097</v>
      </c>
      <c r="D869" s="57" t="n">
        <v>0.021773</v>
      </c>
    </row>
    <row r="870" customFormat="false" ht="15" hidden="false" customHeight="false" outlineLevel="0" collapsed="false">
      <c r="A870" s="52" t="n">
        <v>45463</v>
      </c>
      <c r="B870" s="57" t="n">
        <v>0.018823</v>
      </c>
      <c r="C870" s="57" t="n">
        <v>0.02101</v>
      </c>
      <c r="D870" s="57" t="n">
        <v>0.021652</v>
      </c>
    </row>
    <row r="871" customFormat="false" ht="15" hidden="false" customHeight="false" outlineLevel="0" collapsed="false">
      <c r="A871" s="52" t="n">
        <v>45464</v>
      </c>
      <c r="B871" s="57" t="n">
        <v>0.018969</v>
      </c>
      <c r="C871" s="57" t="n">
        <v>0.021217</v>
      </c>
      <c r="D871" s="57" t="n">
        <v>0.021651</v>
      </c>
    </row>
    <row r="872" customFormat="false" ht="15" hidden="false" customHeight="false" outlineLevel="0" collapsed="false">
      <c r="A872" s="52" t="n">
        <v>45467</v>
      </c>
      <c r="B872" s="57" t="n">
        <v>0.018805</v>
      </c>
      <c r="C872" s="57" t="n">
        <v>0.021144</v>
      </c>
      <c r="D872" s="57" t="n">
        <v>0.021624</v>
      </c>
    </row>
    <row r="873" customFormat="false" ht="15" hidden="false" customHeight="false" outlineLevel="0" collapsed="false">
      <c r="A873" s="52" t="n">
        <v>45468</v>
      </c>
      <c r="B873" s="57" t="n">
        <v>0.01856</v>
      </c>
      <c r="C873" s="57" t="n">
        <v>0.020913</v>
      </c>
      <c r="D873" s="57" t="n">
        <v>0.021553</v>
      </c>
    </row>
    <row r="874" customFormat="false" ht="15" hidden="false" customHeight="false" outlineLevel="0" collapsed="false">
      <c r="A874" s="52" t="n">
        <v>45469</v>
      </c>
      <c r="B874" s="57" t="n">
        <v>0.018397</v>
      </c>
      <c r="C874" s="57" t="n">
        <v>0.02088</v>
      </c>
      <c r="D874" s="57" t="n">
        <v>0.021545</v>
      </c>
    </row>
    <row r="875" customFormat="false" ht="15" hidden="false" customHeight="false" outlineLevel="0" collapsed="false">
      <c r="A875" s="52" t="n">
        <v>45470</v>
      </c>
      <c r="B875" s="57" t="n">
        <v>0.018088</v>
      </c>
      <c r="C875" s="57" t="n">
        <v>0.020764</v>
      </c>
      <c r="D875" s="57" t="n">
        <v>0.02147</v>
      </c>
    </row>
    <row r="876" customFormat="false" ht="15" hidden="false" customHeight="false" outlineLevel="0" collapsed="false">
      <c r="A876" s="52" t="n">
        <v>45471</v>
      </c>
      <c r="B876" s="57" t="n">
        <v>0.01796</v>
      </c>
      <c r="C876" s="57" t="n">
        <v>0.020615</v>
      </c>
      <c r="D876" s="57" t="n">
        <v>0.021362</v>
      </c>
    </row>
    <row r="877" customFormat="false" ht="15" hidden="false" customHeight="false" outlineLevel="0" collapsed="false">
      <c r="A877" s="52" t="n">
        <v>45474</v>
      </c>
      <c r="B877" s="57" t="n">
        <v>0.018257</v>
      </c>
      <c r="C877" s="57" t="n">
        <v>0.020871</v>
      </c>
      <c r="D877" s="57" t="n">
        <v>0.021407</v>
      </c>
    </row>
    <row r="878" customFormat="false" ht="15" hidden="false" customHeight="false" outlineLevel="0" collapsed="false">
      <c r="A878" s="52" t="n">
        <v>45475</v>
      </c>
      <c r="B878" s="57" t="n">
        <v>0.017936</v>
      </c>
      <c r="C878" s="57" t="n">
        <v>0.02072</v>
      </c>
      <c r="D878" s="57" t="n">
        <v>0.021355</v>
      </c>
    </row>
    <row r="879" customFormat="false" ht="15" hidden="false" customHeight="false" outlineLevel="0" collapsed="false">
      <c r="A879" s="52" t="n">
        <v>45476</v>
      </c>
      <c r="B879" s="57" t="n">
        <v>0.017838</v>
      </c>
      <c r="C879" s="57" t="n">
        <v>0.0205</v>
      </c>
      <c r="D879" s="57" t="n">
        <v>0.021276</v>
      </c>
    </row>
    <row r="880" customFormat="false" ht="15" hidden="false" customHeight="false" outlineLevel="0" collapsed="false">
      <c r="A880" s="52" t="n">
        <v>45477</v>
      </c>
      <c r="B880" s="57" t="n">
        <v>0.018035</v>
      </c>
      <c r="C880" s="57" t="n">
        <v>0.020439</v>
      </c>
      <c r="D880" s="57" t="n">
        <v>0.021131</v>
      </c>
    </row>
    <row r="881" customFormat="false" ht="15" hidden="false" customHeight="false" outlineLevel="0" collapsed="false">
      <c r="A881" s="52" t="n">
        <v>45478</v>
      </c>
      <c r="B881" s="57" t="n">
        <v>0.018255</v>
      </c>
      <c r="C881" s="57" t="n">
        <v>0.020629</v>
      </c>
      <c r="D881" s="57" t="n">
        <v>0.021242</v>
      </c>
    </row>
    <row r="882" customFormat="false" ht="15" hidden="false" customHeight="false" outlineLevel="0" collapsed="false">
      <c r="A882" s="52" t="n">
        <v>45481</v>
      </c>
      <c r="B882" s="57" t="n">
        <v>0.018654</v>
      </c>
      <c r="C882" s="57" t="n">
        <v>0.021042</v>
      </c>
      <c r="D882" s="57" t="n">
        <v>0.021601</v>
      </c>
    </row>
    <row r="883" customFormat="false" ht="15" hidden="false" customHeight="false" outlineLevel="0" collapsed="false">
      <c r="A883" s="52" t="n">
        <v>45482</v>
      </c>
      <c r="B883" s="57" t="n">
        <v>0.018401</v>
      </c>
      <c r="C883" s="57" t="n">
        <v>0.020859</v>
      </c>
      <c r="D883" s="57" t="n">
        <v>0.021427</v>
      </c>
    </row>
    <row r="884" customFormat="false" ht="15" hidden="false" customHeight="false" outlineLevel="0" collapsed="false">
      <c r="A884" s="52" t="n">
        <v>45483</v>
      </c>
      <c r="B884" s="57" t="n">
        <v>0.018406</v>
      </c>
      <c r="C884" s="57" t="n">
        <v>0.020823</v>
      </c>
      <c r="D884" s="57" t="n">
        <v>0.021435</v>
      </c>
    </row>
    <row r="885" customFormat="false" ht="15" hidden="false" customHeight="false" outlineLevel="0" collapsed="false">
      <c r="A885" s="52" t="n">
        <v>45484</v>
      </c>
      <c r="B885" s="57" t="n">
        <v>0.018272</v>
      </c>
      <c r="C885" s="57" t="n">
        <v>0.020784</v>
      </c>
      <c r="D885" s="57" t="n">
        <v>0.021336</v>
      </c>
    </row>
    <row r="886" customFormat="false" ht="15" hidden="false" customHeight="false" outlineLevel="0" collapsed="false">
      <c r="A886" s="52" t="n">
        <v>45485</v>
      </c>
      <c r="B886" s="57" t="n">
        <v>0.018237</v>
      </c>
      <c r="C886" s="57" t="n">
        <v>0.020657</v>
      </c>
      <c r="D886" s="57" t="n">
        <v>0.021208</v>
      </c>
    </row>
    <row r="887" customFormat="false" ht="15" hidden="false" customHeight="false" outlineLevel="0" collapsed="false">
      <c r="A887" s="52" t="n">
        <v>45488</v>
      </c>
      <c r="B887" s="57" t="n">
        <v>0.018169</v>
      </c>
      <c r="C887" s="57" t="n">
        <v>0.020568</v>
      </c>
      <c r="D887" s="57" t="n">
        <v>0.021158</v>
      </c>
    </row>
    <row r="888" customFormat="false" ht="15" hidden="false" customHeight="false" outlineLevel="0" collapsed="false">
      <c r="A888" s="52" t="n">
        <v>45489</v>
      </c>
      <c r="B888" s="57" t="n">
        <v>0.01817</v>
      </c>
      <c r="C888" s="57" t="n">
        <v>0.020519</v>
      </c>
      <c r="D888" s="57" t="n">
        <v>0.021124</v>
      </c>
    </row>
    <row r="889" customFormat="false" ht="15" hidden="false" customHeight="false" outlineLevel="0" collapsed="false">
      <c r="A889" s="52" t="n">
        <v>45490</v>
      </c>
      <c r="B889" s="57" t="n">
        <v>0.01817</v>
      </c>
      <c r="C889" s="57" t="n">
        <v>0.020509</v>
      </c>
      <c r="D889" s="57" t="n">
        <v>0.021042</v>
      </c>
    </row>
    <row r="890" customFormat="false" ht="15" hidden="false" customHeight="false" outlineLevel="0" collapsed="false">
      <c r="A890" s="52" t="n">
        <v>45491</v>
      </c>
      <c r="B890" s="57" t="n">
        <v>0.018188</v>
      </c>
      <c r="C890" s="57" t="n">
        <v>0.020612</v>
      </c>
      <c r="D890" s="57" t="n">
        <v>0.020946</v>
      </c>
    </row>
    <row r="891" customFormat="false" ht="15" hidden="false" customHeight="false" outlineLevel="0" collapsed="false">
      <c r="A891" s="52" t="n">
        <v>45492</v>
      </c>
      <c r="B891" s="57" t="n">
        <v>0.018004</v>
      </c>
      <c r="C891" s="57" t="n">
        <v>0.020625</v>
      </c>
      <c r="D891" s="57" t="n">
        <v>0.021061</v>
      </c>
    </row>
    <row r="892" customFormat="false" ht="15" hidden="false" customHeight="false" outlineLevel="0" collapsed="false">
      <c r="A892" s="52" t="n">
        <v>45495</v>
      </c>
      <c r="B892" s="57" t="n">
        <v>0.017674</v>
      </c>
      <c r="C892" s="57" t="n">
        <v>0.020276</v>
      </c>
      <c r="D892" s="57" t="n">
        <v>0.020766</v>
      </c>
    </row>
    <row r="893" customFormat="false" ht="15" hidden="false" customHeight="false" outlineLevel="0" collapsed="false">
      <c r="A893" s="52" t="n">
        <v>45496</v>
      </c>
      <c r="B893" s="57" t="n">
        <v>0.017432</v>
      </c>
      <c r="C893" s="57" t="n">
        <v>0.020088</v>
      </c>
      <c r="D893" s="57" t="n">
        <v>0.020558</v>
      </c>
    </row>
    <row r="894" customFormat="false" ht="15" hidden="false" customHeight="false" outlineLevel="0" collapsed="false">
      <c r="A894" s="52" t="n">
        <v>45497</v>
      </c>
      <c r="B894" s="57" t="n">
        <v>0.017401</v>
      </c>
      <c r="C894" s="57" t="n">
        <v>0.020066</v>
      </c>
      <c r="D894" s="57" t="n">
        <v>0.020458</v>
      </c>
    </row>
    <row r="895" customFormat="false" ht="15" hidden="false" customHeight="false" outlineLevel="0" collapsed="false">
      <c r="A895" s="52" t="n">
        <v>45498</v>
      </c>
      <c r="B895" s="57" t="n">
        <v>0.017431</v>
      </c>
      <c r="C895" s="57" t="n">
        <v>0.019947</v>
      </c>
      <c r="D895" s="57" t="n">
        <v>0.020357</v>
      </c>
    </row>
    <row r="896" customFormat="false" ht="15" hidden="false" customHeight="false" outlineLevel="0" collapsed="false">
      <c r="A896" s="52" t="n">
        <v>45499</v>
      </c>
      <c r="B896" s="57" t="n">
        <v>0.017468</v>
      </c>
      <c r="C896" s="57" t="n">
        <v>0.019717</v>
      </c>
      <c r="D896" s="57" t="n">
        <v>0.020207</v>
      </c>
    </row>
    <row r="897" customFormat="false" ht="15" hidden="false" customHeight="false" outlineLevel="0" collapsed="false">
      <c r="A897" s="52" t="n">
        <v>45502</v>
      </c>
      <c r="B897" s="57" t="n">
        <v>0.017393</v>
      </c>
      <c r="C897" s="57" t="n">
        <v>0.019741</v>
      </c>
      <c r="D897" s="57" t="n">
        <v>0.020108</v>
      </c>
    </row>
    <row r="898" customFormat="false" ht="15" hidden="false" customHeight="false" outlineLevel="0" collapsed="false">
      <c r="A898" s="52" t="n">
        <v>45503</v>
      </c>
      <c r="B898" s="57" t="n">
        <v>0.017222</v>
      </c>
      <c r="C898" s="57" t="n">
        <v>0.019655</v>
      </c>
      <c r="D898" s="57" t="n">
        <v>0.020059</v>
      </c>
    </row>
    <row r="899" customFormat="false" ht="15" hidden="false" customHeight="false" outlineLevel="0" collapsed="false">
      <c r="A899" s="52" t="n">
        <v>45504</v>
      </c>
      <c r="B899" s="57" t="n">
        <v>0.017062</v>
      </c>
      <c r="C899" s="57" t="n">
        <v>0.019504</v>
      </c>
      <c r="D899" s="57" t="n">
        <v>0.020008</v>
      </c>
    </row>
    <row r="900" customFormat="false" ht="15" hidden="false" customHeight="false" outlineLevel="0" collapsed="false">
      <c r="A900" s="52" t="n">
        <v>45505</v>
      </c>
      <c r="B900" s="57" t="n">
        <v>0.016827</v>
      </c>
      <c r="C900" s="57" t="n">
        <v>0.019421</v>
      </c>
      <c r="D900" s="57" t="n">
        <v>0.019905</v>
      </c>
    </row>
    <row r="901" customFormat="false" ht="15" hidden="false" customHeight="false" outlineLevel="0" collapsed="false">
      <c r="A901" s="52" t="n">
        <v>45506</v>
      </c>
      <c r="B901" s="57" t="n">
        <v>0.016741</v>
      </c>
      <c r="C901" s="57" t="n">
        <v>0.019327</v>
      </c>
      <c r="D901" s="57" t="n">
        <v>0.019879</v>
      </c>
    </row>
    <row r="902" customFormat="false" ht="15" hidden="false" customHeight="false" outlineLevel="0" collapsed="false">
      <c r="A902" s="52" t="n">
        <v>45509</v>
      </c>
      <c r="B902" s="57" t="n">
        <v>0.01674</v>
      </c>
      <c r="C902" s="57" t="n">
        <v>0.01918</v>
      </c>
      <c r="D902" s="57" t="n">
        <v>0.019827</v>
      </c>
    </row>
    <row r="903" customFormat="false" ht="15" hidden="false" customHeight="false" outlineLevel="0" collapsed="false">
      <c r="A903" s="52" t="n">
        <v>45510</v>
      </c>
      <c r="B903" s="57" t="n">
        <v>0.016813</v>
      </c>
      <c r="C903" s="57" t="n">
        <v>0.01953</v>
      </c>
      <c r="D903" s="57" t="n">
        <v>0.019956</v>
      </c>
    </row>
    <row r="904" customFormat="false" ht="15" hidden="false" customHeight="false" outlineLevel="0" collapsed="false">
      <c r="A904" s="52" t="n">
        <v>45511</v>
      </c>
      <c r="B904" s="57" t="n">
        <v>0.016734</v>
      </c>
      <c r="C904" s="57" t="n">
        <v>0.019439</v>
      </c>
      <c r="D904" s="57" t="n">
        <v>0.019929</v>
      </c>
    </row>
    <row r="905" customFormat="false" ht="15" hidden="false" customHeight="false" outlineLevel="0" collapsed="false">
      <c r="A905" s="52" t="n">
        <v>45512</v>
      </c>
      <c r="B905" s="57" t="n">
        <v>0.017024</v>
      </c>
      <c r="C905" s="57" t="n">
        <v>0.019606</v>
      </c>
      <c r="D905" s="57" t="n">
        <v>0.020084</v>
      </c>
    </row>
    <row r="906" customFormat="false" ht="15" hidden="false" customHeight="false" outlineLevel="0" collapsed="false">
      <c r="A906" s="52" t="n">
        <v>45513</v>
      </c>
      <c r="B906" s="57" t="n">
        <v>0.017215</v>
      </c>
      <c r="C906" s="57" t="n">
        <v>0.019851</v>
      </c>
      <c r="D906" s="57" t="n">
        <v>0.02033</v>
      </c>
    </row>
    <row r="907" customFormat="false" ht="15" hidden="false" customHeight="false" outlineLevel="0" collapsed="false">
      <c r="A907" s="52" t="n">
        <v>45516</v>
      </c>
      <c r="B907" s="57" t="n">
        <v>0.018032</v>
      </c>
      <c r="C907" s="57" t="n">
        <v>0.020588</v>
      </c>
      <c r="D907" s="57" t="n">
        <v>0.020834</v>
      </c>
    </row>
    <row r="908" customFormat="false" ht="15" hidden="false" customHeight="false" outlineLevel="0" collapsed="false">
      <c r="A908" s="52" t="n">
        <v>45517</v>
      </c>
      <c r="B908" s="57" t="n">
        <v>0.017687</v>
      </c>
      <c r="C908" s="57" t="n">
        <v>0.020289</v>
      </c>
      <c r="D908" s="57" t="n">
        <v>0.020833</v>
      </c>
    </row>
    <row r="909" customFormat="false" ht="15" hidden="false" customHeight="false" outlineLevel="0" collapsed="false">
      <c r="A909" s="52" t="n">
        <v>45518</v>
      </c>
      <c r="B909" s="57" t="n">
        <v>0.01761</v>
      </c>
      <c r="C909" s="57" t="n">
        <v>0.019982</v>
      </c>
      <c r="D909" s="57" t="n">
        <v>0.020519</v>
      </c>
    </row>
    <row r="910" customFormat="false" ht="15" hidden="false" customHeight="false" outlineLevel="0" collapsed="false">
      <c r="A910" s="52" t="n">
        <v>45519</v>
      </c>
      <c r="B910" s="57" t="n">
        <v>0.01776</v>
      </c>
      <c r="C910" s="57" t="n">
        <v>0.020239</v>
      </c>
      <c r="D910" s="57" t="n">
        <v>0.020578</v>
      </c>
    </row>
    <row r="911" customFormat="false" ht="15" hidden="false" customHeight="false" outlineLevel="0" collapsed="false">
      <c r="A911" s="52" t="n">
        <v>45520</v>
      </c>
      <c r="B911" s="57" t="n">
        <v>0.01781</v>
      </c>
      <c r="C911" s="57" t="n">
        <v>0.020239</v>
      </c>
      <c r="D911" s="57" t="n">
        <v>0.020575</v>
      </c>
    </row>
    <row r="912" customFormat="false" ht="15" hidden="false" customHeight="false" outlineLevel="0" collapsed="false">
      <c r="A912" s="52" t="n">
        <v>45523</v>
      </c>
      <c r="B912" s="57" t="n">
        <v>0.017711</v>
      </c>
      <c r="C912" s="57" t="n">
        <v>0.020238</v>
      </c>
      <c r="D912" s="57" t="n">
        <v>0.02055</v>
      </c>
    </row>
    <row r="913" customFormat="false" ht="15" hidden="false" customHeight="false" outlineLevel="0" collapsed="false">
      <c r="A913" s="52" t="n">
        <v>45524</v>
      </c>
      <c r="B913" s="57" t="n">
        <v>0.017765</v>
      </c>
      <c r="C913" s="57" t="n">
        <v>0.020355</v>
      </c>
      <c r="D913" s="57" t="n">
        <v>0.020588</v>
      </c>
    </row>
    <row r="914" customFormat="false" ht="15" hidden="false" customHeight="false" outlineLevel="0" collapsed="false">
      <c r="A914" s="52" t="n">
        <v>45525</v>
      </c>
      <c r="B914" s="57" t="n">
        <v>0.017668</v>
      </c>
      <c r="C914" s="57" t="n">
        <v>0.020592</v>
      </c>
      <c r="D914" s="57" t="n">
        <v>0.020861</v>
      </c>
    </row>
    <row r="915" customFormat="false" ht="15" hidden="false" customHeight="false" outlineLevel="0" collapsed="false">
      <c r="A915" s="52" t="n">
        <v>45526</v>
      </c>
      <c r="B915" s="57" t="n">
        <v>0.01732</v>
      </c>
      <c r="C915" s="57" t="n">
        <v>0.020547</v>
      </c>
      <c r="D915" s="57" t="n">
        <v>0.020954</v>
      </c>
    </row>
    <row r="916" customFormat="false" ht="15" hidden="false" customHeight="false" outlineLevel="0" collapsed="false">
      <c r="A916" s="52" t="n">
        <v>45527</v>
      </c>
      <c r="B916" s="57" t="n">
        <v>0.016924</v>
      </c>
      <c r="C916" s="57" t="n">
        <v>0.020651</v>
      </c>
      <c r="D916" s="57" t="n">
        <v>0.021063</v>
      </c>
    </row>
    <row r="917" customFormat="false" ht="15" hidden="false" customHeight="false" outlineLevel="0" collapsed="false">
      <c r="A917" s="52" t="n">
        <v>45530</v>
      </c>
      <c r="B917" s="57" t="n">
        <v>0.016836</v>
      </c>
      <c r="C917" s="57" t="n">
        <v>0.020786</v>
      </c>
      <c r="D917" s="57" t="n">
        <v>0.021289</v>
      </c>
    </row>
    <row r="918" customFormat="false" ht="15" hidden="false" customHeight="false" outlineLevel="0" collapsed="false">
      <c r="A918" s="52" t="n">
        <v>45531</v>
      </c>
      <c r="B918" s="57" t="n">
        <v>0.016942</v>
      </c>
      <c r="C918" s="57" t="n">
        <v>0.021306</v>
      </c>
      <c r="D918" s="57" t="n">
        <v>0.021716</v>
      </c>
    </row>
    <row r="919" customFormat="false" ht="15" hidden="false" customHeight="false" outlineLevel="0" collapsed="false">
      <c r="A919" s="52" t="n">
        <v>45532</v>
      </c>
      <c r="B919" s="57" t="n">
        <v>0.01695</v>
      </c>
      <c r="C919" s="57" t="n">
        <v>0.021078</v>
      </c>
      <c r="D919" s="57" t="n">
        <v>0.021721</v>
      </c>
    </row>
    <row r="920" customFormat="false" ht="15" hidden="false" customHeight="false" outlineLevel="0" collapsed="false">
      <c r="A920" s="52" t="n">
        <v>45533</v>
      </c>
      <c r="B920" s="57" t="n">
        <v>0.016772</v>
      </c>
      <c r="C920" s="57" t="n">
        <v>0.020859</v>
      </c>
      <c r="D920" s="57" t="n">
        <v>0.02161</v>
      </c>
    </row>
    <row r="921" customFormat="false" ht="15" hidden="false" customHeight="false" outlineLevel="0" collapsed="false">
      <c r="A921" s="52" t="n">
        <v>45534</v>
      </c>
      <c r="B921" s="57" t="n">
        <v>0.016679</v>
      </c>
      <c r="C921" s="57" t="n">
        <v>0.020736</v>
      </c>
      <c r="D921" s="57" t="n">
        <v>0.021405</v>
      </c>
    </row>
    <row r="922" customFormat="false" ht="15" hidden="false" customHeight="false" outlineLevel="0" collapsed="false">
      <c r="A922" s="52" t="n">
        <v>45537</v>
      </c>
      <c r="B922" s="57" t="n">
        <v>0.016157</v>
      </c>
      <c r="C922" s="57" t="n">
        <v>0.020424</v>
      </c>
      <c r="D922" s="57" t="n">
        <v>0.021152</v>
      </c>
    </row>
    <row r="923" customFormat="false" ht="15" hidden="false" customHeight="false" outlineLevel="0" collapsed="false">
      <c r="A923" s="52" t="n">
        <v>45538</v>
      </c>
      <c r="B923" s="57" t="n">
        <v>0.015705</v>
      </c>
      <c r="C923" s="57" t="n">
        <v>0.020388</v>
      </c>
      <c r="D923" s="57" t="n">
        <v>0.021003</v>
      </c>
    </row>
    <row r="924" customFormat="false" ht="15" hidden="false" customHeight="false" outlineLevel="0" collapsed="false">
      <c r="A924" s="52" t="n">
        <v>45539</v>
      </c>
      <c r="B924" s="57" t="n">
        <v>0.015651</v>
      </c>
      <c r="C924" s="57" t="n">
        <v>0.020315</v>
      </c>
      <c r="D924" s="57" t="n">
        <v>0.020816</v>
      </c>
    </row>
    <row r="925" customFormat="false" ht="15" hidden="false" customHeight="false" outlineLevel="0" collapsed="false">
      <c r="A925" s="52" t="n">
        <v>45540</v>
      </c>
      <c r="B925" s="57" t="n">
        <v>0.0155</v>
      </c>
      <c r="C925" s="57" t="n">
        <v>0.020269</v>
      </c>
      <c r="D925" s="57" t="n">
        <v>0.020856</v>
      </c>
    </row>
    <row r="926" customFormat="false" ht="15" hidden="false" customHeight="false" outlineLevel="0" collapsed="false">
      <c r="A926" s="52" t="n">
        <v>45541</v>
      </c>
      <c r="B926" s="57" t="n">
        <v>0.015508</v>
      </c>
      <c r="C926" s="57" t="n">
        <v>0.02032</v>
      </c>
      <c r="D926" s="57" t="n">
        <v>0.020858</v>
      </c>
    </row>
    <row r="927" customFormat="false" ht="15" hidden="false" customHeight="false" outlineLevel="0" collapsed="false">
      <c r="A927" s="52" t="n">
        <v>45544</v>
      </c>
      <c r="B927" s="57" t="n">
        <v>0.015368</v>
      </c>
      <c r="C927" s="57" t="n">
        <v>0.020424</v>
      </c>
      <c r="D927" s="57" t="n">
        <v>0.020893</v>
      </c>
    </row>
    <row r="928" customFormat="false" ht="15" hidden="false" customHeight="false" outlineLevel="0" collapsed="false">
      <c r="A928" s="52" t="n">
        <v>45545</v>
      </c>
      <c r="B928" s="57" t="n">
        <v>0.014866</v>
      </c>
      <c r="C928" s="57" t="n">
        <v>0.02032</v>
      </c>
      <c r="D928" s="57" t="n">
        <v>0.021064</v>
      </c>
    </row>
    <row r="929" customFormat="false" ht="15" hidden="false" customHeight="false" outlineLevel="0" collapsed="false">
      <c r="A929" s="52" t="n">
        <v>45546</v>
      </c>
      <c r="B929" s="57" t="n">
        <v>0.014608</v>
      </c>
      <c r="C929" s="57" t="n">
        <v>0.020168</v>
      </c>
      <c r="D929" s="57" t="n">
        <v>0.020947</v>
      </c>
    </row>
    <row r="930" customFormat="false" ht="15" hidden="false" customHeight="false" outlineLevel="0" collapsed="false">
      <c r="A930" s="52" t="n">
        <v>45547</v>
      </c>
      <c r="B930" s="57" t="n">
        <v>0.014603</v>
      </c>
      <c r="C930" s="57" t="n">
        <v>0.019968</v>
      </c>
      <c r="D930" s="57" t="n">
        <v>0.020905</v>
      </c>
    </row>
    <row r="931" customFormat="false" ht="15" hidden="false" customHeight="false" outlineLevel="0" collapsed="false">
      <c r="A931" s="52" t="n">
        <v>45548</v>
      </c>
      <c r="B931" s="57" t="n">
        <v>0.01463</v>
      </c>
      <c r="C931" s="57" t="n">
        <v>0.019757</v>
      </c>
      <c r="D931" s="57" t="n">
        <v>0.02076</v>
      </c>
    </row>
    <row r="932" customFormat="false" ht="15" hidden="false" customHeight="false" outlineLevel="0" collapsed="false">
      <c r="A932" s="52" t="n">
        <v>45549</v>
      </c>
      <c r="B932" s="57" t="n">
        <v>0.014428</v>
      </c>
      <c r="C932" s="57" t="n">
        <v>0.019696</v>
      </c>
      <c r="D932" s="57" t="n">
        <v>0.020719</v>
      </c>
    </row>
    <row r="933" customFormat="false" ht="15" hidden="false" customHeight="false" outlineLevel="0" collapsed="false">
      <c r="A933" s="52" t="n">
        <v>45553</v>
      </c>
      <c r="B933" s="57" t="n">
        <v>0.014705</v>
      </c>
      <c r="C933" s="57" t="n">
        <v>0.019676</v>
      </c>
      <c r="D933" s="57" t="n">
        <v>0.020574</v>
      </c>
    </row>
    <row r="934" customFormat="false" ht="15" hidden="false" customHeight="false" outlineLevel="0" collapsed="false">
      <c r="A934" s="52" t="n">
        <v>45554</v>
      </c>
      <c r="B934" s="57" t="n">
        <v>0.015003</v>
      </c>
      <c r="C934" s="57" t="n">
        <v>0.019776</v>
      </c>
      <c r="D934" s="57" t="n">
        <v>0.020828</v>
      </c>
    </row>
    <row r="935" customFormat="false" ht="15" hidden="false" customHeight="false" outlineLevel="0" collapsed="false">
      <c r="A935" s="52" t="n">
        <v>45555</v>
      </c>
      <c r="B935" s="57" t="n">
        <v>0.014963</v>
      </c>
      <c r="C935" s="57" t="n">
        <v>0.019818</v>
      </c>
      <c r="D935" s="57" t="n">
        <v>0.020979</v>
      </c>
    </row>
    <row r="936" customFormat="false" ht="15" hidden="false" customHeight="false" outlineLevel="0" collapsed="false">
      <c r="A936" s="52" t="n">
        <v>45558</v>
      </c>
      <c r="B936" s="57" t="n">
        <v>0.014993</v>
      </c>
      <c r="C936" s="57" t="n">
        <v>0.019873</v>
      </c>
      <c r="D936" s="57" t="n">
        <v>0.020826</v>
      </c>
    </row>
    <row r="937" customFormat="false" ht="15" hidden="false" customHeight="false" outlineLevel="0" collapsed="false">
      <c r="A937" s="52" t="n">
        <v>45559</v>
      </c>
      <c r="B937" s="57" t="n">
        <v>0.015158</v>
      </c>
      <c r="C937" s="57" t="n">
        <v>0.019825</v>
      </c>
      <c r="D937" s="57" t="n">
        <v>0.020813</v>
      </c>
    </row>
    <row r="938" customFormat="false" ht="15" hidden="false" customHeight="false" outlineLevel="0" collapsed="false">
      <c r="A938" s="52" t="n">
        <v>45560</v>
      </c>
      <c r="B938" s="57" t="n">
        <v>0.015048</v>
      </c>
      <c r="C938" s="57" t="n">
        <v>0.0194</v>
      </c>
      <c r="D938" s="57" t="n">
        <v>0.020601</v>
      </c>
    </row>
    <row r="939" customFormat="false" ht="15" hidden="false" customHeight="false" outlineLevel="0" collapsed="false">
      <c r="A939" s="52" t="n">
        <v>45561</v>
      </c>
      <c r="B939" s="57" t="n">
        <v>0.015142</v>
      </c>
      <c r="C939" s="57" t="n">
        <v>0.0195</v>
      </c>
      <c r="D939" s="57" t="n">
        <v>0.020602</v>
      </c>
    </row>
    <row r="940" customFormat="false" ht="15" hidden="false" customHeight="false" outlineLevel="0" collapsed="false">
      <c r="A940" s="52" t="n">
        <v>45562</v>
      </c>
      <c r="B940" s="57" t="n">
        <v>0.015649</v>
      </c>
      <c r="C940" s="57" t="n">
        <v>0.020245</v>
      </c>
      <c r="D940" s="57" t="n">
        <v>0.021515</v>
      </c>
    </row>
    <row r="941" customFormat="false" ht="15" hidden="false" customHeight="false" outlineLevel="0" collapsed="false">
      <c r="A941" s="52" t="n">
        <v>45564</v>
      </c>
      <c r="B941" s="57" t="n">
        <v>0.016616</v>
      </c>
      <c r="C941" s="57" t="n">
        <v>0.021345</v>
      </c>
      <c r="D941" s="57" t="n">
        <v>0.023001</v>
      </c>
    </row>
    <row r="942" customFormat="false" ht="15" hidden="false" customHeight="false" outlineLevel="0" collapsed="false">
      <c r="A942" s="52" t="n">
        <v>45565</v>
      </c>
      <c r="B942" s="57" t="n">
        <v>0.015636</v>
      </c>
      <c r="C942" s="57" t="n">
        <v>0.0213</v>
      </c>
      <c r="D942" s="57" t="n">
        <v>0.023238</v>
      </c>
    </row>
    <row r="943" customFormat="false" ht="15" hidden="false" customHeight="false" outlineLevel="0" collapsed="false">
      <c r="A943" s="52" t="n">
        <v>45573</v>
      </c>
      <c r="B943" s="57" t="n">
        <v>0.016379</v>
      </c>
      <c r="C943" s="57" t="n">
        <v>0.022158</v>
      </c>
      <c r="D943" s="57" t="n">
        <v>0.02418</v>
      </c>
    </row>
    <row r="944" customFormat="false" ht="15" hidden="false" customHeight="false" outlineLevel="0" collapsed="false">
      <c r="A944" s="52" t="n">
        <v>45574</v>
      </c>
      <c r="B944" s="57" t="n">
        <v>0.016935</v>
      </c>
      <c r="C944" s="57" t="n">
        <v>0.022499</v>
      </c>
      <c r="D944" s="57" t="n">
        <v>0.024681</v>
      </c>
    </row>
    <row r="945" customFormat="false" ht="15" hidden="false" customHeight="false" outlineLevel="0" collapsed="false">
      <c r="A945" s="52" t="n">
        <v>45575</v>
      </c>
      <c r="B945" s="57" t="n">
        <v>0.016459</v>
      </c>
      <c r="C945" s="57" t="n">
        <v>0.021402</v>
      </c>
      <c r="D945" s="57" t="n">
        <v>0.02422</v>
      </c>
    </row>
    <row r="946" customFormat="false" ht="15" hidden="false" customHeight="false" outlineLevel="0" collapsed="false">
      <c r="A946" s="52" t="n">
        <v>45576</v>
      </c>
      <c r="B946" s="57" t="n">
        <v>0.016432</v>
      </c>
      <c r="C946" s="57" t="n">
        <v>0.020708</v>
      </c>
      <c r="D946" s="57" t="n">
        <v>0.022997</v>
      </c>
    </row>
    <row r="947" customFormat="false" ht="15" hidden="false" customHeight="false" outlineLevel="0" collapsed="false">
      <c r="A947" s="52" t="n">
        <v>45577</v>
      </c>
      <c r="B947" s="57" t="n">
        <v>0.01644</v>
      </c>
      <c r="C947" s="57" t="n">
        <v>0.020516</v>
      </c>
      <c r="D947" s="57" t="n">
        <v>0.022516</v>
      </c>
    </row>
    <row r="948" customFormat="false" ht="15" hidden="false" customHeight="false" outlineLevel="0" collapsed="false">
      <c r="A948" s="52" t="n">
        <v>45579</v>
      </c>
      <c r="B948" s="57" t="n">
        <v>0.016619</v>
      </c>
      <c r="C948" s="57" t="n">
        <v>0.020334</v>
      </c>
      <c r="D948" s="57" t="n">
        <v>0.022016</v>
      </c>
    </row>
    <row r="949" customFormat="false" ht="15" hidden="false" customHeight="false" outlineLevel="0" collapsed="false">
      <c r="A949" s="52" t="n">
        <v>45580</v>
      </c>
      <c r="B949" s="57" t="n">
        <v>0.016535</v>
      </c>
      <c r="C949" s="57" t="n">
        <v>0.020432</v>
      </c>
      <c r="D949" s="57" t="n">
        <v>0.021728</v>
      </c>
    </row>
    <row r="950" customFormat="false" ht="15" hidden="false" customHeight="false" outlineLevel="0" collapsed="false">
      <c r="A950" s="52" t="n">
        <v>45581</v>
      </c>
      <c r="B950" s="57" t="n">
        <v>0.016469</v>
      </c>
      <c r="C950" s="57" t="n">
        <v>0.020538</v>
      </c>
      <c r="D950" s="57" t="n">
        <v>0.021632</v>
      </c>
    </row>
    <row r="951" customFormat="false" ht="15" hidden="false" customHeight="false" outlineLevel="0" collapsed="false">
      <c r="A951" s="52" t="n">
        <v>45582</v>
      </c>
      <c r="B951" s="57" t="n">
        <v>0.015989</v>
      </c>
      <c r="C951" s="57" t="n">
        <v>0.020571</v>
      </c>
      <c r="D951" s="57" t="n">
        <v>0.021529</v>
      </c>
    </row>
    <row r="952" customFormat="false" ht="15" hidden="false" customHeight="false" outlineLevel="0" collapsed="false">
      <c r="A952" s="52" t="n">
        <v>45583</v>
      </c>
      <c r="B952" s="57" t="n">
        <v>0.016133</v>
      </c>
      <c r="C952" s="57" t="n">
        <v>0.020504</v>
      </c>
      <c r="D952" s="57" t="n">
        <v>0.021523</v>
      </c>
    </row>
    <row r="953" customFormat="false" ht="15" hidden="false" customHeight="false" outlineLevel="0" collapsed="false">
      <c r="A953" s="52" t="n">
        <v>45586</v>
      </c>
      <c r="B953" s="57" t="n">
        <v>0.016397</v>
      </c>
      <c r="C953" s="57" t="n">
        <v>0.020664</v>
      </c>
      <c r="D953" s="57" t="n">
        <v>0.02164</v>
      </c>
    </row>
    <row r="954" customFormat="false" ht="15" hidden="false" customHeight="false" outlineLevel="0" collapsed="false">
      <c r="A954" s="52" t="n">
        <v>45587</v>
      </c>
      <c r="B954" s="57" t="n">
        <v>0.01671</v>
      </c>
      <c r="C954" s="57" t="n">
        <v>0.021162</v>
      </c>
      <c r="D954" s="57" t="n">
        <v>0.021767</v>
      </c>
    </row>
    <row r="955" customFormat="false" ht="15" hidden="false" customHeight="false" outlineLevel="0" collapsed="false">
      <c r="A955" s="52" t="n">
        <v>45588</v>
      </c>
      <c r="B955" s="57" t="n">
        <v>0.016862</v>
      </c>
      <c r="C955" s="57" t="n">
        <v>0.021567</v>
      </c>
      <c r="D955" s="57" t="n">
        <v>0.022274</v>
      </c>
    </row>
    <row r="956" customFormat="false" ht="15" hidden="false" customHeight="false" outlineLevel="0" collapsed="false">
      <c r="A956" s="52" t="n">
        <v>45589</v>
      </c>
      <c r="B956" s="57" t="n">
        <v>0.016854</v>
      </c>
      <c r="C956" s="57" t="n">
        <v>0.021557</v>
      </c>
      <c r="D956" s="57" t="n">
        <v>0.022421</v>
      </c>
    </row>
    <row r="957" customFormat="false" ht="15" hidden="false" customHeight="false" outlineLevel="0" collapsed="false">
      <c r="A957" s="52" t="n">
        <v>45590</v>
      </c>
      <c r="B957" s="57" t="n">
        <v>0.01647</v>
      </c>
      <c r="C957" s="57" t="n">
        <v>0.021684</v>
      </c>
      <c r="D957" s="57" t="n">
        <v>0.022602</v>
      </c>
    </row>
    <row r="958" customFormat="false" ht="15" hidden="false" customHeight="false" outlineLevel="0" collapsed="false">
      <c r="A958" s="52" t="n">
        <v>45593</v>
      </c>
      <c r="B958" s="57" t="n">
        <v>0.016353</v>
      </c>
      <c r="C958" s="57" t="n">
        <v>0.021737</v>
      </c>
      <c r="D958" s="57" t="n">
        <v>0.022818</v>
      </c>
    </row>
    <row r="959" customFormat="false" ht="15" hidden="false" customHeight="false" outlineLevel="0" collapsed="false">
      <c r="A959" s="52" t="n">
        <v>45594</v>
      </c>
      <c r="B959" s="57" t="n">
        <v>0.016198</v>
      </c>
      <c r="C959" s="57" t="n">
        <v>0.021716</v>
      </c>
      <c r="D959" s="57" t="n">
        <v>0.022866</v>
      </c>
    </row>
    <row r="960" customFormat="false" ht="15" hidden="false" customHeight="false" outlineLevel="0" collapsed="false">
      <c r="A960" s="52" t="n">
        <v>45595</v>
      </c>
      <c r="B960" s="57" t="n">
        <v>0.016082</v>
      </c>
      <c r="C960" s="57" t="n">
        <v>0.021599</v>
      </c>
      <c r="D960" s="57" t="n">
        <v>0.022864</v>
      </c>
    </row>
    <row r="961" customFormat="false" ht="15" hidden="false" customHeight="false" outlineLevel="0" collapsed="false">
      <c r="A961" s="52" t="n">
        <v>45596</v>
      </c>
      <c r="B961" s="57" t="n">
        <v>0.015835</v>
      </c>
      <c r="C961" s="57" t="n">
        <v>0.021451</v>
      </c>
      <c r="D961" s="57" t="n">
        <v>0.022782</v>
      </c>
    </row>
    <row r="962" customFormat="false" ht="15" hidden="false" customHeight="false" outlineLevel="0" collapsed="false">
      <c r="A962" s="52" t="n">
        <v>45597</v>
      </c>
      <c r="B962" s="57" t="n">
        <v>0.015597</v>
      </c>
      <c r="C962" s="57" t="n">
        <v>0.021066</v>
      </c>
      <c r="D962" s="57" t="n">
        <v>0.02242</v>
      </c>
    </row>
    <row r="963" customFormat="false" ht="15" hidden="false" customHeight="false" outlineLevel="0" collapsed="false">
      <c r="A963" s="52" t="n">
        <v>45600</v>
      </c>
      <c r="B963" s="57" t="n">
        <v>0.015589</v>
      </c>
      <c r="C963" s="57" t="n">
        <v>0.020976</v>
      </c>
      <c r="D963" s="57" t="n">
        <v>0.022224</v>
      </c>
    </row>
    <row r="964" customFormat="false" ht="15" hidden="false" customHeight="false" outlineLevel="0" collapsed="false">
      <c r="A964" s="52" t="n">
        <v>45601</v>
      </c>
      <c r="B964" s="57" t="n">
        <v>0.015334</v>
      </c>
      <c r="C964" s="57" t="n">
        <v>0.020964</v>
      </c>
      <c r="D964" s="57" t="n">
        <v>0.022105</v>
      </c>
    </row>
    <row r="965" customFormat="false" ht="15" hidden="false" customHeight="false" outlineLevel="0" collapsed="false">
      <c r="A965" s="52" t="n">
        <v>45602</v>
      </c>
      <c r="B965" s="57" t="n">
        <v>0.015248</v>
      </c>
      <c r="C965" s="57" t="n">
        <v>0.020887</v>
      </c>
      <c r="D965" s="57" t="n">
        <v>0.021902</v>
      </c>
    </row>
    <row r="966" customFormat="false" ht="15" hidden="false" customHeight="false" outlineLevel="0" collapsed="false">
      <c r="A966" s="52" t="n">
        <v>45603</v>
      </c>
      <c r="B966" s="57" t="n">
        <v>0.014981</v>
      </c>
      <c r="C966" s="57" t="n">
        <v>0.020572</v>
      </c>
      <c r="D966" s="57" t="n">
        <v>0.021728</v>
      </c>
    </row>
    <row r="967" customFormat="false" ht="15" hidden="false" customHeight="false" outlineLevel="0" collapsed="false">
      <c r="A967" s="52" t="n">
        <v>45604</v>
      </c>
      <c r="B967" s="57" t="n">
        <v>0.014992</v>
      </c>
      <c r="C967" s="57" t="n">
        <v>0.020526</v>
      </c>
      <c r="D967" s="57" t="n">
        <v>0.021559</v>
      </c>
    </row>
    <row r="968" customFormat="false" ht="15" hidden="false" customHeight="false" outlineLevel="0" collapsed="false">
      <c r="A968" s="52" t="n">
        <v>45607</v>
      </c>
      <c r="B968" s="57" t="n">
        <v>0.015069</v>
      </c>
      <c r="C968" s="57" t="n">
        <v>0.020441</v>
      </c>
      <c r="D968" s="57" t="n">
        <v>0.021419</v>
      </c>
    </row>
    <row r="969" customFormat="false" ht="15" hidden="false" customHeight="false" outlineLevel="0" collapsed="false">
      <c r="A969" s="52" t="n">
        <v>45608</v>
      </c>
      <c r="B969" s="57" t="n">
        <v>0.015016</v>
      </c>
      <c r="C969" s="57" t="n">
        <v>0.020282</v>
      </c>
      <c r="D969" s="57" t="n">
        <v>0.021288</v>
      </c>
    </row>
    <row r="970" customFormat="false" ht="15" hidden="false" customHeight="false" outlineLevel="0" collapsed="false">
      <c r="A970" s="52" t="n">
        <v>45609</v>
      </c>
      <c r="B970" s="57" t="n">
        <v>0.014963</v>
      </c>
      <c r="C970" s="57" t="n">
        <v>0.020368</v>
      </c>
      <c r="D970" s="57" t="n">
        <v>0.021329</v>
      </c>
    </row>
    <row r="971" customFormat="false" ht="15" hidden="false" customHeight="false" outlineLevel="0" collapsed="false">
      <c r="A971" s="52" t="n">
        <v>45610</v>
      </c>
      <c r="B971" s="57" t="n">
        <v>0.014799</v>
      </c>
      <c r="C971" s="57" t="n">
        <v>0.020445</v>
      </c>
      <c r="D971" s="57" t="n">
        <v>0.021448</v>
      </c>
    </row>
    <row r="972" customFormat="false" ht="15" hidden="false" customHeight="false" outlineLevel="0" collapsed="false">
      <c r="A972" s="52" t="n">
        <v>45611</v>
      </c>
      <c r="B972" s="57" t="n">
        <v>0.014774</v>
      </c>
      <c r="C972" s="57" t="n">
        <v>0.020373</v>
      </c>
      <c r="D972" s="57" t="n">
        <v>0.021385</v>
      </c>
    </row>
    <row r="973" customFormat="false" ht="15" hidden="false" customHeight="false" outlineLevel="0" collapsed="false">
      <c r="A973" s="52" t="n">
        <v>45614</v>
      </c>
      <c r="B973" s="57" t="n">
        <v>0.014774</v>
      </c>
      <c r="C973" s="57" t="n">
        <v>0.020348</v>
      </c>
      <c r="D973" s="57" t="n">
        <v>0.021443</v>
      </c>
    </row>
    <row r="974" customFormat="false" ht="15" hidden="false" customHeight="false" outlineLevel="0" collapsed="false">
      <c r="A974" s="52" t="n">
        <v>45615</v>
      </c>
      <c r="B974" s="57" t="n">
        <v>0.014556</v>
      </c>
      <c r="C974" s="57" t="n">
        <v>0.020313</v>
      </c>
      <c r="D974" s="57" t="n">
        <v>0.021509</v>
      </c>
    </row>
    <row r="975" customFormat="false" ht="15" hidden="false" customHeight="false" outlineLevel="0" collapsed="false">
      <c r="A975" s="52" t="n">
        <v>45616</v>
      </c>
      <c r="B975" s="57" t="n">
        <v>0.014533</v>
      </c>
      <c r="C975" s="57" t="n">
        <v>0.020292</v>
      </c>
      <c r="D975" s="57" t="n">
        <v>0.02151</v>
      </c>
    </row>
    <row r="976" customFormat="false" ht="15" hidden="false" customHeight="false" outlineLevel="0" collapsed="false">
      <c r="A976" s="52" t="n">
        <v>45617</v>
      </c>
      <c r="B976" s="57" t="n">
        <v>0.014435</v>
      </c>
      <c r="C976" s="57" t="n">
        <v>0.020219</v>
      </c>
      <c r="D976" s="57" t="n">
        <v>0.021427</v>
      </c>
    </row>
    <row r="977" customFormat="false" ht="15" hidden="false" customHeight="false" outlineLevel="0" collapsed="false">
      <c r="A977" s="52" t="n">
        <v>45618</v>
      </c>
      <c r="B977" s="57" t="n">
        <v>0.014472</v>
      </c>
      <c r="C977" s="57" t="n">
        <v>0.020014</v>
      </c>
      <c r="D977" s="57" t="n">
        <v>0.021303</v>
      </c>
    </row>
    <row r="978" customFormat="false" ht="15" hidden="false" customHeight="false" outlineLevel="0" collapsed="false">
      <c r="A978" s="52" t="n">
        <v>45621</v>
      </c>
      <c r="B978" s="57" t="n">
        <v>0.014451</v>
      </c>
      <c r="C978" s="57" t="n">
        <v>0.019868</v>
      </c>
      <c r="D978" s="57" t="n">
        <v>0.02116</v>
      </c>
    </row>
    <row r="979" customFormat="false" ht="15" hidden="false" customHeight="false" outlineLevel="0" collapsed="false">
      <c r="A979" s="52" t="n">
        <v>45622</v>
      </c>
      <c r="B979" s="57" t="n">
        <v>0.014551</v>
      </c>
      <c r="C979" s="57" t="n">
        <v>0.019865</v>
      </c>
      <c r="D979" s="57" t="n">
        <v>0.020972</v>
      </c>
    </row>
    <row r="980" customFormat="false" ht="15" hidden="false" customHeight="false" outlineLevel="0" collapsed="false">
      <c r="A980" s="52" t="n">
        <v>45623</v>
      </c>
      <c r="B980" s="57" t="n">
        <v>0.014467</v>
      </c>
      <c r="C980" s="57" t="n">
        <v>0.019823</v>
      </c>
      <c r="D980" s="57" t="n">
        <v>0.020831</v>
      </c>
    </row>
    <row r="981" customFormat="false" ht="15" hidden="false" customHeight="false" outlineLevel="0" collapsed="false">
      <c r="A981" s="52" t="n">
        <v>45624</v>
      </c>
      <c r="B981" s="57" t="n">
        <v>0.014418</v>
      </c>
      <c r="C981" s="57" t="n">
        <v>0.019672</v>
      </c>
      <c r="D981" s="57" t="n">
        <v>0.020814</v>
      </c>
    </row>
    <row r="982" customFormat="false" ht="15" hidden="false" customHeight="false" outlineLevel="0" collapsed="false">
      <c r="A982" s="52" t="n">
        <v>45625</v>
      </c>
      <c r="B982" s="57" t="n">
        <v>0.014142</v>
      </c>
      <c r="C982" s="57" t="n">
        <v>0.019446</v>
      </c>
      <c r="D982" s="57" t="n">
        <v>0.020538</v>
      </c>
    </row>
    <row r="983" customFormat="false" ht="15" hidden="false" customHeight="false" outlineLevel="0" collapsed="false">
      <c r="A983" s="52" t="n">
        <v>45628</v>
      </c>
      <c r="B983" s="57" t="n">
        <v>0.013826</v>
      </c>
      <c r="C983" s="57" t="n">
        <v>0.018706</v>
      </c>
      <c r="D983" s="57" t="n">
        <v>0.01985</v>
      </c>
    </row>
    <row r="984" customFormat="false" ht="15" hidden="false" customHeight="false" outlineLevel="0" collapsed="false">
      <c r="A984" s="52" t="n">
        <v>45629</v>
      </c>
      <c r="B984" s="57" t="n">
        <v>0.013901</v>
      </c>
      <c r="C984" s="57" t="n">
        <v>0.01874</v>
      </c>
      <c r="D984" s="57" t="n">
        <v>0.019835</v>
      </c>
    </row>
    <row r="985" customFormat="false" ht="15" hidden="false" customHeight="false" outlineLevel="0" collapsed="false">
      <c r="A985" s="52" t="n">
        <v>45630</v>
      </c>
      <c r="B985" s="57" t="n">
        <v>0.013826</v>
      </c>
      <c r="C985" s="57" t="n">
        <v>0.018544</v>
      </c>
      <c r="D985" s="57" t="n">
        <v>0.019643</v>
      </c>
    </row>
    <row r="986" customFormat="false" ht="15" hidden="false" customHeight="false" outlineLevel="0" collapsed="false">
      <c r="A986" s="52" t="n">
        <v>45631</v>
      </c>
      <c r="B986" s="57" t="n">
        <v>0.013735</v>
      </c>
      <c r="C986" s="57" t="n">
        <v>0.018476</v>
      </c>
      <c r="D986" s="57" t="n">
        <v>0.019487</v>
      </c>
    </row>
    <row r="987" customFormat="false" ht="15" hidden="false" customHeight="false" outlineLevel="0" collapsed="false">
      <c r="A987" s="52" t="n">
        <v>45632</v>
      </c>
      <c r="B987" s="57" t="n">
        <v>0.013835</v>
      </c>
      <c r="C987" s="57" t="n">
        <v>0.018295</v>
      </c>
      <c r="D987" s="57" t="n">
        <v>0.019444</v>
      </c>
    </row>
    <row r="988" customFormat="false" ht="15" hidden="false" customHeight="false" outlineLevel="0" collapsed="false">
      <c r="A988" s="52" t="n">
        <v>45635</v>
      </c>
      <c r="B988" s="57" t="n">
        <v>0.013841</v>
      </c>
      <c r="C988" s="57" t="n">
        <v>0.018297</v>
      </c>
      <c r="D988" s="57" t="n">
        <v>0.019421</v>
      </c>
    </row>
    <row r="989" customFormat="false" ht="15" hidden="false" customHeight="false" outlineLevel="0" collapsed="false">
      <c r="A989" s="52" t="n">
        <v>45636</v>
      </c>
      <c r="B989" s="57" t="n">
        <v>0.013397</v>
      </c>
      <c r="C989" s="57" t="n">
        <v>0.018115</v>
      </c>
      <c r="D989" s="57" t="n">
        <v>0.018867</v>
      </c>
    </row>
    <row r="990" customFormat="false" ht="15" hidden="false" customHeight="false" outlineLevel="0" collapsed="false">
      <c r="A990" s="52" t="n">
        <v>45637</v>
      </c>
      <c r="B990" s="57" t="n">
        <v>0.013346</v>
      </c>
      <c r="C990" s="57" t="n">
        <v>0.018105</v>
      </c>
      <c r="D990" s="57" t="n">
        <v>0.018869</v>
      </c>
    </row>
    <row r="991" customFormat="false" ht="15" hidden="false" customHeight="false" outlineLevel="0" collapsed="false">
      <c r="A991" s="52" t="n">
        <v>45638</v>
      </c>
      <c r="B991" s="57" t="n">
        <v>0.013053</v>
      </c>
      <c r="C991" s="57" t="n">
        <v>0.017867</v>
      </c>
      <c r="D991" s="57" t="n">
        <v>0.018697</v>
      </c>
    </row>
    <row r="992" customFormat="false" ht="15" hidden="false" customHeight="false" outlineLevel="0" collapsed="false">
      <c r="A992" s="52" t="n">
        <v>45639</v>
      </c>
      <c r="B992" s="57" t="n">
        <v>0.012502</v>
      </c>
      <c r="C992" s="57" t="n">
        <v>0.017575</v>
      </c>
      <c r="D992" s="57" t="n">
        <v>0.01836</v>
      </c>
    </row>
    <row r="993" customFormat="false" ht="15" hidden="false" customHeight="false" outlineLevel="0" collapsed="false">
      <c r="A993" s="52" t="n">
        <v>45642</v>
      </c>
      <c r="B993" s="57" t="n">
        <v>0.012095</v>
      </c>
      <c r="C993" s="57" t="n">
        <v>0.017264</v>
      </c>
      <c r="D993" s="57" t="n">
        <v>0.018076</v>
      </c>
    </row>
    <row r="994" customFormat="false" ht="15" hidden="false" customHeight="false" outlineLevel="0" collapsed="false">
      <c r="A994" s="52" t="n">
        <v>45643</v>
      </c>
      <c r="B994" s="57" t="n">
        <v>0.012144</v>
      </c>
      <c r="C994" s="57" t="n">
        <v>0.017276</v>
      </c>
      <c r="D994" s="57" t="n">
        <v>0.018233</v>
      </c>
    </row>
    <row r="995" customFormat="false" ht="15" hidden="false" customHeight="false" outlineLevel="0" collapsed="false">
      <c r="A995" s="52" t="n">
        <v>45644</v>
      </c>
      <c r="B995" s="57" t="n">
        <v>0.012009</v>
      </c>
      <c r="C995" s="57" t="n">
        <v>0.017184</v>
      </c>
      <c r="D995" s="57" t="n">
        <v>0.018477</v>
      </c>
    </row>
    <row r="996" customFormat="false" ht="15" hidden="false" customHeight="false" outlineLevel="0" collapsed="false">
      <c r="A996" s="52" t="n">
        <v>45645</v>
      </c>
      <c r="B996" s="57" t="n">
        <v>0.011747</v>
      </c>
      <c r="C996" s="57" t="n">
        <v>0.017259</v>
      </c>
      <c r="D996" s="57" t="n">
        <v>0.018591</v>
      </c>
    </row>
    <row r="997" customFormat="false" ht="15" hidden="false" customHeight="false" outlineLevel="0" collapsed="false">
      <c r="A997" s="52" t="n">
        <v>45646</v>
      </c>
      <c r="B997" s="57" t="n">
        <v>0.011149</v>
      </c>
      <c r="C997" s="57" t="n">
        <v>0.016861</v>
      </c>
      <c r="D997" s="57" t="n">
        <v>0.018203</v>
      </c>
    </row>
    <row r="998" customFormat="false" ht="15" hidden="false" customHeight="false" outlineLevel="0" collapsed="false">
      <c r="A998" s="52" t="n">
        <v>45649</v>
      </c>
      <c r="B998" s="57" t="n">
        <v>0.010949</v>
      </c>
      <c r="C998" s="57" t="n">
        <v>0.016644</v>
      </c>
      <c r="D998" s="57" t="n">
        <v>0.018006</v>
      </c>
    </row>
    <row r="999" customFormat="false" ht="15" hidden="false" customHeight="false" outlineLevel="0" collapsed="false">
      <c r="A999" s="52" t="n">
        <v>45650</v>
      </c>
      <c r="B999" s="57" t="n">
        <v>0.01085</v>
      </c>
      <c r="C999" s="57" t="n">
        <v>0.016683</v>
      </c>
      <c r="D999" s="57" t="n">
        <v>0.018108</v>
      </c>
    </row>
    <row r="1000" customFormat="false" ht="15" hidden="false" customHeight="false" outlineLevel="0" collapsed="false">
      <c r="A1000" s="52" t="n">
        <v>45651</v>
      </c>
      <c r="B1000" s="57" t="n">
        <v>0.011042</v>
      </c>
      <c r="C1000" s="57" t="n">
        <v>0.016901</v>
      </c>
      <c r="D1000" s="57" t="n">
        <v>0.018257</v>
      </c>
    </row>
    <row r="1001" customFormat="false" ht="15" hidden="false" customHeight="false" outlineLevel="0" collapsed="false">
      <c r="A1001" s="52" t="n">
        <v>45652</v>
      </c>
      <c r="B1001" s="57" t="n">
        <v>0.011409</v>
      </c>
      <c r="C1001" s="57" t="n">
        <v>0.016936</v>
      </c>
      <c r="D1001" s="57" t="n">
        <v>0.018254</v>
      </c>
    </row>
    <row r="1002" customFormat="false" ht="15" hidden="false" customHeight="false" outlineLevel="0" collapsed="false">
      <c r="A1002" s="52" t="n">
        <v>45653</v>
      </c>
      <c r="B1002" s="57" t="n">
        <v>0.011531</v>
      </c>
      <c r="C1002" s="57" t="n">
        <v>0.016443</v>
      </c>
      <c r="D1002" s="57" t="n">
        <v>0.018005</v>
      </c>
    </row>
    <row r="1003" customFormat="false" ht="15" hidden="false" customHeight="false" outlineLevel="0" collapsed="false">
      <c r="A1003" s="52" t="n">
        <v>45656</v>
      </c>
      <c r="B1003" s="57" t="n">
        <v>0.011965</v>
      </c>
      <c r="C1003" s="57" t="n">
        <v>0.01638</v>
      </c>
      <c r="D1003" s="57" t="n">
        <v>0.017807</v>
      </c>
    </row>
    <row r="1004" customFormat="false" ht="15" hidden="false" customHeight="false" outlineLevel="0" collapsed="false">
      <c r="A1004" s="52" t="n">
        <v>45657</v>
      </c>
      <c r="B1004" s="57" t="n">
        <v>0.011872</v>
      </c>
      <c r="C1004" s="57" t="n">
        <v>0.016013</v>
      </c>
      <c r="D1004" s="57" t="n">
        <v>0.017391</v>
      </c>
    </row>
    <row r="1005" customFormat="false" ht="15" hidden="false" customHeight="false" outlineLevel="0" collapsed="false">
      <c r="A1005" s="52" t="n">
        <v>45659</v>
      </c>
      <c r="B1005" s="57" t="n">
        <v>0.011694</v>
      </c>
      <c r="C1005" s="57" t="n">
        <v>0.01579</v>
      </c>
      <c r="D1005" s="57" t="n">
        <v>0.016909</v>
      </c>
    </row>
    <row r="1006" customFormat="false" ht="15" hidden="false" customHeight="false" outlineLevel="0" collapsed="false">
      <c r="A1006" s="52" t="n">
        <v>45660</v>
      </c>
      <c r="B1006" s="57" t="n">
        <v>0.011122</v>
      </c>
      <c r="C1006" s="57" t="n">
        <v>0.01573</v>
      </c>
      <c r="D1006" s="57" t="n">
        <v>0.016847</v>
      </c>
    </row>
    <row r="1007" customFormat="false" ht="15" hidden="false" customHeight="false" outlineLevel="0" collapsed="false">
      <c r="A1007" s="52" t="n">
        <v>45663</v>
      </c>
      <c r="B1007" s="57" t="n">
        <v>0.011196</v>
      </c>
      <c r="C1007" s="57" t="n">
        <v>0.015744</v>
      </c>
      <c r="D1007" s="57" t="n">
        <v>0.016672</v>
      </c>
    </row>
    <row r="1008" customFormat="false" ht="15" hidden="false" customHeight="false" outlineLevel="0" collapsed="false">
      <c r="A1008" s="52" t="n">
        <v>45664</v>
      </c>
      <c r="B1008" s="57" t="n">
        <v>0.011558</v>
      </c>
      <c r="C1008" s="57" t="n">
        <v>0.015962</v>
      </c>
      <c r="D1008" s="57" t="n">
        <v>0.016962</v>
      </c>
    </row>
    <row r="1009" customFormat="false" ht="15" hidden="false" customHeight="false" outlineLevel="0" collapsed="false">
      <c r="A1009" s="52" t="n">
        <v>45665</v>
      </c>
      <c r="B1009" s="57" t="n">
        <v>0.011833</v>
      </c>
      <c r="C1009" s="57" t="n">
        <v>0.016078</v>
      </c>
      <c r="D1009" s="57" t="n">
        <v>0.016979</v>
      </c>
    </row>
    <row r="1010" customFormat="false" ht="15" hidden="false" customHeight="false" outlineLevel="0" collapsed="false">
      <c r="A1010" s="52" t="n">
        <v>45666</v>
      </c>
      <c r="B1010" s="57" t="n">
        <v>0.012412</v>
      </c>
      <c r="C1010" s="57" t="n">
        <v>0.016484</v>
      </c>
      <c r="D1010" s="57" t="n">
        <v>0.017384</v>
      </c>
    </row>
    <row r="1011" customFormat="false" ht="15" hidden="false" customHeight="false" outlineLevel="0" collapsed="false">
      <c r="A1011" s="52" t="n">
        <v>45667</v>
      </c>
      <c r="B1011" s="57" t="n">
        <v>0.012577</v>
      </c>
      <c r="C1011" s="57" t="n">
        <v>0.016655</v>
      </c>
      <c r="D1011" s="57" t="n">
        <v>0.017693</v>
      </c>
    </row>
    <row r="1012" customFormat="false" ht="15" hidden="false" customHeight="false" outlineLevel="0" collapsed="false">
      <c r="A1012" s="52" t="n">
        <v>45670</v>
      </c>
      <c r="B1012" s="57" t="n">
        <v>0.013039</v>
      </c>
      <c r="C1012" s="57" t="n">
        <v>0.016979</v>
      </c>
      <c r="D1012" s="57" t="n">
        <v>0.018106</v>
      </c>
    </row>
    <row r="1013" customFormat="false" ht="15" hidden="false" customHeight="false" outlineLevel="0" collapsed="false">
      <c r="A1013" s="52" t="n">
        <v>45671</v>
      </c>
      <c r="B1013" s="57" t="n">
        <v>0.012907</v>
      </c>
      <c r="C1013" s="57" t="n">
        <v>0.016947</v>
      </c>
      <c r="D1013" s="57" t="n">
        <v>0.01816</v>
      </c>
    </row>
    <row r="1014" customFormat="false" ht="15" hidden="false" customHeight="false" outlineLevel="0" collapsed="false">
      <c r="A1014" s="52" t="n">
        <v>45672</v>
      </c>
      <c r="B1014" s="57" t="n">
        <v>0.012578</v>
      </c>
      <c r="C1014" s="57" t="n">
        <v>0.016848</v>
      </c>
      <c r="D1014" s="57" t="n">
        <v>0.018057</v>
      </c>
    </row>
    <row r="1015" customFormat="false" ht="15" hidden="false" customHeight="false" outlineLevel="0" collapsed="false">
      <c r="A1015" s="52" t="n">
        <v>45673</v>
      </c>
      <c r="B1015" s="57" t="n">
        <v>0.012803</v>
      </c>
      <c r="C1015" s="57" t="n">
        <v>0.017086</v>
      </c>
      <c r="D1015" s="57" t="n">
        <v>0.018366</v>
      </c>
    </row>
    <row r="1016" customFormat="false" ht="15" hidden="false" customHeight="false" outlineLevel="0" collapsed="false">
      <c r="A1016" s="52" t="n">
        <v>45674</v>
      </c>
      <c r="B1016" s="57" t="n">
        <v>0.012806</v>
      </c>
      <c r="C1016" s="57" t="n">
        <v>0.017185</v>
      </c>
      <c r="D1016" s="57" t="n">
        <v>0.018486</v>
      </c>
    </row>
    <row r="1017" customFormat="false" ht="15" hidden="false" customHeight="false" outlineLevel="0" collapsed="false">
      <c r="A1017" s="52" t="n">
        <v>45677</v>
      </c>
      <c r="B1017" s="57" t="n">
        <v>0.013059</v>
      </c>
      <c r="C1017" s="57" t="n">
        <v>0.017337</v>
      </c>
      <c r="D1017" s="57" t="n">
        <v>0.018666</v>
      </c>
    </row>
    <row r="1018" customFormat="false" ht="15" hidden="false" customHeight="false" outlineLevel="0" collapsed="false">
      <c r="A1018" s="52" t="n">
        <v>45678</v>
      </c>
      <c r="B1018" s="57" t="n">
        <v>0.01281</v>
      </c>
      <c r="C1018" s="57" t="n">
        <v>0.017418</v>
      </c>
      <c r="D1018" s="57" t="n">
        <v>0.018602</v>
      </c>
    </row>
    <row r="1019" customFormat="false" ht="15" hidden="false" customHeight="false" outlineLevel="0" collapsed="false">
      <c r="A1019" s="52" t="n">
        <v>45679</v>
      </c>
      <c r="B1019" s="57" t="n">
        <v>0.01281</v>
      </c>
      <c r="C1019" s="57" t="n">
        <v>0.0173</v>
      </c>
      <c r="D1019" s="57" t="n">
        <v>0.018468</v>
      </c>
    </row>
    <row r="1020" customFormat="false" ht="15" hidden="false" customHeight="false" outlineLevel="0" collapsed="false">
      <c r="A1020" s="52" t="n">
        <v>45680</v>
      </c>
      <c r="B1020" s="57" t="n">
        <v>0.013028</v>
      </c>
      <c r="C1020" s="57" t="n">
        <v>0.017567</v>
      </c>
      <c r="D1020" s="57" t="n">
        <v>0.018623</v>
      </c>
    </row>
    <row r="1021" customFormat="false" ht="15" hidden="false" customHeight="false" outlineLevel="0" collapsed="false">
      <c r="A1021" s="52" t="n">
        <v>45681</v>
      </c>
      <c r="B1021" s="57" t="n">
        <v>0.013437</v>
      </c>
      <c r="C1021" s="57" t="n">
        <v>0.017548</v>
      </c>
      <c r="D1021" s="57" t="n">
        <v>0.018612</v>
      </c>
    </row>
    <row r="1022" customFormat="false" ht="15" hidden="false" customHeight="false" outlineLevel="0" collapsed="false">
      <c r="A1022" s="52" t="n">
        <v>45683</v>
      </c>
      <c r="B1022" s="57" t="n">
        <v>0.013337</v>
      </c>
      <c r="C1022" s="57" t="n">
        <v>0.017485</v>
      </c>
      <c r="D1022" s="57" t="n">
        <v>0.018612</v>
      </c>
    </row>
    <row r="1023" customFormat="false" ht="15" hidden="false" customHeight="false" outlineLevel="0" collapsed="false">
      <c r="A1023" s="52" t="n">
        <v>45684</v>
      </c>
      <c r="B1023" s="57" t="n">
        <v>0.013108</v>
      </c>
      <c r="C1023" s="57" t="n">
        <v>0.017206</v>
      </c>
      <c r="D1023" s="57" t="n">
        <v>0.018418</v>
      </c>
    </row>
    <row r="1024" customFormat="false" ht="15" hidden="false" customHeight="false" outlineLevel="0" collapsed="false">
      <c r="A1024" s="52" t="n">
        <v>45693</v>
      </c>
      <c r="B1024" s="57" t="n">
        <v>0.01309</v>
      </c>
      <c r="C1024" s="57" t="n">
        <v>0.017168</v>
      </c>
      <c r="D1024" s="57" t="n">
        <v>0.018354</v>
      </c>
    </row>
    <row r="1025" customFormat="false" ht="15" hidden="false" customHeight="false" outlineLevel="0" collapsed="false">
      <c r="A1025" s="52" t="n">
        <v>45694</v>
      </c>
      <c r="B1025" s="57" t="n">
        <v>0.012871</v>
      </c>
      <c r="C1025" s="57" t="n">
        <v>0.016791</v>
      </c>
      <c r="D1025" s="57" t="n">
        <v>0.018106</v>
      </c>
    </row>
    <row r="1026" customFormat="false" ht="15" hidden="false" customHeight="false" outlineLevel="0" collapsed="false">
      <c r="A1026" s="52" t="n">
        <v>45695</v>
      </c>
      <c r="B1026" s="57" t="n">
        <v>0.012796</v>
      </c>
      <c r="C1026" s="57" t="n">
        <v>0.016835</v>
      </c>
      <c r="D1026" s="57" t="n">
        <v>0.017904</v>
      </c>
    </row>
    <row r="1027" customFormat="false" ht="15" hidden="false" customHeight="false" outlineLevel="0" collapsed="false">
      <c r="A1027" s="52" t="n">
        <v>45696</v>
      </c>
      <c r="B1027" s="57" t="n">
        <v>0.012758</v>
      </c>
      <c r="C1027" s="57" t="n">
        <v>0.016838</v>
      </c>
      <c r="D1027" s="57" t="n">
        <v>0.017993</v>
      </c>
    </row>
    <row r="1028" customFormat="false" ht="15" hidden="false" customHeight="false" outlineLevel="0" collapsed="false">
      <c r="A1028" s="52" t="n">
        <v>45698</v>
      </c>
      <c r="B1028" s="57" t="n">
        <v>0.013092</v>
      </c>
      <c r="C1028" s="57" t="n">
        <v>0.017138</v>
      </c>
      <c r="D1028" s="57" t="n">
        <v>0.018225</v>
      </c>
    </row>
    <row r="1029" customFormat="false" ht="15" hidden="false" customHeight="false" outlineLevel="0" collapsed="false">
      <c r="A1029" s="52" t="n">
        <v>45699</v>
      </c>
      <c r="B1029" s="57" t="n">
        <v>0.012967</v>
      </c>
      <c r="C1029" s="57" t="n">
        <v>0.017321</v>
      </c>
      <c r="D1029" s="57" t="n">
        <v>0.018455</v>
      </c>
    </row>
    <row r="1030" customFormat="false" ht="15" hidden="false" customHeight="false" outlineLevel="0" collapsed="false">
      <c r="A1030" s="52" t="n">
        <v>45700</v>
      </c>
      <c r="B1030" s="57" t="n">
        <v>0.013086</v>
      </c>
      <c r="C1030" s="57" t="n">
        <v>0.017297</v>
      </c>
      <c r="D1030" s="57" t="n">
        <v>0.01843</v>
      </c>
    </row>
    <row r="1031" customFormat="false" ht="15" hidden="false" customHeight="false" outlineLevel="0" collapsed="false">
      <c r="A1031" s="52" t="n">
        <v>45701</v>
      </c>
      <c r="B1031" s="57" t="n">
        <v>0.013272</v>
      </c>
      <c r="C1031" s="57" t="n">
        <v>0.017375</v>
      </c>
      <c r="D1031" s="57" t="n">
        <v>0.01844</v>
      </c>
    </row>
    <row r="1032" customFormat="false" ht="15" hidden="false" customHeight="false" outlineLevel="0" collapsed="false">
      <c r="A1032" s="52" t="n">
        <v>45702</v>
      </c>
      <c r="B1032" s="57" t="n">
        <v>0.013747</v>
      </c>
      <c r="C1032" s="57" t="n">
        <v>0.017703</v>
      </c>
      <c r="D1032" s="57" t="n">
        <v>0.018721</v>
      </c>
    </row>
    <row r="1033" customFormat="false" ht="15" hidden="false" customHeight="false" outlineLevel="0" collapsed="false">
      <c r="A1033" s="52" t="n">
        <v>45705</v>
      </c>
      <c r="B1033" s="57" t="n">
        <v>0.013939</v>
      </c>
      <c r="C1033" s="57" t="n">
        <v>0.017953</v>
      </c>
      <c r="D1033" s="57" t="n">
        <v>0.018955</v>
      </c>
    </row>
    <row r="1034" customFormat="false" ht="15" hidden="false" customHeight="false" outlineLevel="0" collapsed="false">
      <c r="A1034" s="52" t="n">
        <v>45706</v>
      </c>
      <c r="B1034" s="57" t="n">
        <v>0.014289</v>
      </c>
      <c r="C1034" s="57" t="n">
        <v>0.0181</v>
      </c>
      <c r="D1034" s="57" t="n">
        <v>0.019122</v>
      </c>
    </row>
    <row r="1035" customFormat="false" ht="15" hidden="false" customHeight="false" outlineLevel="0" collapsed="false">
      <c r="A1035" s="52" t="n">
        <v>45707</v>
      </c>
      <c r="B1035" s="57" t="n">
        <v>0.014239</v>
      </c>
      <c r="C1035" s="57" t="n">
        <v>0.018061</v>
      </c>
      <c r="D1035" s="57" t="n">
        <v>0.019107</v>
      </c>
    </row>
    <row r="1036" customFormat="false" ht="15" hidden="false" customHeight="false" outlineLevel="0" collapsed="false">
      <c r="A1036" s="52" t="n">
        <v>45708</v>
      </c>
      <c r="B1036" s="57" t="n">
        <v>0.014639</v>
      </c>
      <c r="C1036" s="57" t="n">
        <v>0.018486</v>
      </c>
      <c r="D1036" s="57" t="n">
        <v>0.019438</v>
      </c>
    </row>
    <row r="1037" customFormat="false" ht="15" hidden="false" customHeight="false" outlineLevel="0" collapsed="false">
      <c r="A1037" s="52" t="n">
        <v>45709</v>
      </c>
      <c r="B1037" s="57" t="n">
        <v>0.014839</v>
      </c>
      <c r="C1037" s="57" t="n">
        <v>0.019</v>
      </c>
      <c r="D1037" s="57" t="n">
        <v>0.019838</v>
      </c>
    </row>
    <row r="1038" customFormat="false" ht="15" hidden="false" customHeight="false" outlineLevel="0" collapsed="false">
      <c r="A1038" s="52" t="n">
        <v>45712</v>
      </c>
      <c r="B1038" s="57" t="n">
        <v>0.015239</v>
      </c>
      <c r="C1038" s="57" t="n">
        <v>0.019494</v>
      </c>
      <c r="D1038" s="57" t="n">
        <v>0.020346</v>
      </c>
    </row>
    <row r="1039" customFormat="false" ht="15" hidden="false" customHeight="false" outlineLevel="0" collapsed="false">
      <c r="A1039" s="52" t="n">
        <v>45713</v>
      </c>
      <c r="B1039" s="57" t="n">
        <v>0.015175</v>
      </c>
      <c r="C1039" s="57" t="n">
        <v>0.019496</v>
      </c>
      <c r="D1039" s="57" t="n">
        <v>0.020553</v>
      </c>
    </row>
    <row r="1040" customFormat="false" ht="15" hidden="false" customHeight="false" outlineLevel="0" collapsed="false">
      <c r="A1040" s="52" t="n">
        <v>45714</v>
      </c>
      <c r="B1040" s="57" t="n">
        <v>0.014975</v>
      </c>
      <c r="C1040" s="57" t="n">
        <v>0.019365</v>
      </c>
      <c r="D1040" s="57" t="n">
        <v>0.020553</v>
      </c>
    </row>
    <row r="1041" customFormat="false" ht="15" hidden="false" customHeight="false" outlineLevel="0" collapsed="false">
      <c r="A1041" s="52" t="n">
        <v>45715</v>
      </c>
      <c r="B1041" s="57" t="n">
        <v>0.015354</v>
      </c>
      <c r="C1041" s="57" t="n">
        <v>0.01955</v>
      </c>
      <c r="D1041" s="57" t="n">
        <v>0.020726</v>
      </c>
    </row>
    <row r="1042" customFormat="false" ht="15" hidden="false" customHeight="false" outlineLevel="0" collapsed="false">
      <c r="A1042" s="52" t="n">
        <v>45716</v>
      </c>
      <c r="B1042" s="57" t="n">
        <v>0.015182</v>
      </c>
      <c r="C1042" s="57" t="n">
        <v>0.019596</v>
      </c>
      <c r="D1042" s="57" t="n">
        <v>0.020802</v>
      </c>
    </row>
    <row r="1043" customFormat="false" ht="15" hidden="false" customHeight="false" outlineLevel="0" collapsed="false">
      <c r="A1043" s="52" t="n">
        <v>45719</v>
      </c>
      <c r="B1043" s="57" t="n">
        <v>0.014814</v>
      </c>
      <c r="C1043" s="57" t="n">
        <v>0.019318</v>
      </c>
      <c r="D1043" s="57" t="n">
        <v>0.020651</v>
      </c>
    </row>
    <row r="1044" customFormat="false" ht="15" hidden="false" customHeight="false" outlineLevel="0" collapsed="false">
      <c r="A1044" s="52" t="n">
        <v>45720</v>
      </c>
      <c r="B1044" s="57" t="n">
        <v>0.014965</v>
      </c>
      <c r="C1044" s="57" t="n">
        <v>0.019067</v>
      </c>
      <c r="D1044" s="57" t="n">
        <v>0.020594</v>
      </c>
    </row>
    <row r="1045" customFormat="false" ht="15" hidden="false" customHeight="false" outlineLevel="0" collapsed="false">
      <c r="A1045" s="52" t="n">
        <v>45721</v>
      </c>
      <c r="B1045" s="57" t="n">
        <v>0.015016</v>
      </c>
      <c r="C1045" s="57" t="n">
        <v>0.019001</v>
      </c>
      <c r="D1045" s="57" t="n">
        <v>0.0204</v>
      </c>
    </row>
    <row r="1046" customFormat="false" ht="15" hidden="false" customHeight="false" outlineLevel="0" collapsed="false">
      <c r="A1046" s="52" t="n">
        <v>45722</v>
      </c>
      <c r="B1046" s="57" t="n">
        <v>0.015468</v>
      </c>
      <c r="C1046" s="57" t="n">
        <v>0.019196</v>
      </c>
      <c r="D1046" s="57" t="n">
        <v>0.0206</v>
      </c>
    </row>
    <row r="1047" customFormat="false" ht="15" hidden="false" customHeight="false" outlineLevel="0" collapsed="false">
      <c r="A1047" s="52" t="n">
        <v>45723</v>
      </c>
      <c r="B1047" s="57" t="n">
        <v>0.015923</v>
      </c>
      <c r="C1047" s="57" t="n">
        <v>0.0198</v>
      </c>
      <c r="D1047" s="57" t="n">
        <v>0.0211</v>
      </c>
    </row>
    <row r="1048" customFormat="false" ht="15" hidden="false" customHeight="false" outlineLevel="0" collapsed="false">
      <c r="A1048" s="52" t="n">
        <v>45726</v>
      </c>
      <c r="B1048" s="57" t="n">
        <v>0.016123</v>
      </c>
      <c r="C1048" s="57" t="n">
        <v>0.020086</v>
      </c>
      <c r="D1048" s="57" t="n">
        <v>0.02135</v>
      </c>
    </row>
    <row r="1049" customFormat="false" ht="15" hidden="false" customHeight="false" outlineLevel="0" collapsed="false">
      <c r="A1049" s="52" t="n">
        <v>45727</v>
      </c>
      <c r="B1049" s="57" t="n">
        <v>0.016777</v>
      </c>
      <c r="C1049" s="57" t="n">
        <v>0.020493</v>
      </c>
      <c r="D1049" s="57" t="n">
        <v>0.021838</v>
      </c>
    </row>
    <row r="1050" customFormat="false" ht="15" hidden="false" customHeight="false" outlineLevel="0" collapsed="false">
      <c r="A1050" s="52" t="n">
        <v>45728</v>
      </c>
      <c r="B1050" s="57" t="n">
        <v>0.016415</v>
      </c>
      <c r="C1050" s="57" t="n">
        <v>0.0202</v>
      </c>
      <c r="D1050" s="57" t="n">
        <v>0.021611</v>
      </c>
    </row>
    <row r="1051" customFormat="false" ht="15" hidden="false" customHeight="false" outlineLevel="0" collapsed="false">
      <c r="A1051" s="52" t="n">
        <v>45729</v>
      </c>
      <c r="B1051" s="57" t="n">
        <v>0.016222</v>
      </c>
      <c r="C1051" s="57" t="n">
        <v>0.019704</v>
      </c>
      <c r="D1051" s="57" t="n">
        <v>0.021168</v>
      </c>
    </row>
    <row r="1052" customFormat="false" ht="15" hidden="false" customHeight="false" outlineLevel="0" collapsed="false">
      <c r="A1052" s="52" t="n">
        <v>45730</v>
      </c>
      <c r="B1052" s="57" t="n">
        <v>0.016214</v>
      </c>
      <c r="C1052" s="57" t="n">
        <v>0.019659</v>
      </c>
      <c r="D1052" s="57" t="n">
        <v>0.020978</v>
      </c>
    </row>
    <row r="1053" customFormat="false" ht="15" hidden="false" customHeight="false" outlineLevel="0" collapsed="false">
      <c r="A1053" s="52" t="n">
        <v>45733</v>
      </c>
      <c r="B1053" s="57" t="n">
        <v>0.016871</v>
      </c>
      <c r="C1053" s="57" t="n">
        <v>0.019904</v>
      </c>
      <c r="D1053" s="57" t="n">
        <v>0.021206</v>
      </c>
    </row>
    <row r="1054" customFormat="false" ht="15" hidden="false" customHeight="false" outlineLevel="0" collapsed="false">
      <c r="A1054" s="52" t="n">
        <v>45734</v>
      </c>
      <c r="B1054" s="57" t="n">
        <v>0.016676</v>
      </c>
      <c r="C1054" s="57" t="n">
        <v>0.019724</v>
      </c>
      <c r="D1054" s="57" t="n">
        <v>0.021013</v>
      </c>
    </row>
    <row r="1055" customFormat="false" ht="15" hidden="false" customHeight="false" outlineLevel="0" collapsed="false">
      <c r="A1055" s="52" t="n">
        <v>45735</v>
      </c>
      <c r="B1055" s="57" t="n">
        <v>0.016607</v>
      </c>
      <c r="C1055" s="57" t="n">
        <v>0.019702</v>
      </c>
      <c r="D1055" s="57" t="n">
        <v>0.020767</v>
      </c>
    </row>
    <row r="1056" customFormat="false" ht="15" hidden="false" customHeight="false" outlineLevel="0" collapsed="false">
      <c r="A1056" s="52" t="n">
        <v>45736</v>
      </c>
      <c r="B1056" s="57" t="n">
        <v>0.016188</v>
      </c>
      <c r="C1056" s="57" t="n">
        <v>0.019393</v>
      </c>
      <c r="D1056" s="57" t="n">
        <v>0.020413</v>
      </c>
    </row>
    <row r="1057" customFormat="false" ht="15" hidden="false" customHeight="false" outlineLevel="0" collapsed="false">
      <c r="A1057" s="52" t="n">
        <v>45737</v>
      </c>
      <c r="B1057" s="57" t="n">
        <v>0.01636</v>
      </c>
      <c r="C1057" s="57" t="n">
        <v>0.0193</v>
      </c>
      <c r="D1057" s="57" t="n">
        <v>0.020262</v>
      </c>
    </row>
    <row r="1058" customFormat="false" ht="15" hidden="false" customHeight="false" outlineLevel="0" collapsed="false">
      <c r="A1058" s="52" t="n">
        <v>45740</v>
      </c>
      <c r="B1058" s="57" t="n">
        <v>0.016387</v>
      </c>
      <c r="C1058" s="57" t="n">
        <v>0.019301</v>
      </c>
      <c r="D1058" s="57" t="n">
        <v>0.020298</v>
      </c>
    </row>
    <row r="1059" customFormat="false" ht="15" hidden="false" customHeight="false" outlineLevel="0" collapsed="false">
      <c r="A1059" s="52" t="n">
        <v>45741</v>
      </c>
      <c r="B1059" s="57" t="n">
        <v>0.016339</v>
      </c>
      <c r="C1059" s="57" t="n">
        <v>0.019253</v>
      </c>
      <c r="D1059" s="57" t="n">
        <v>0.020153</v>
      </c>
    </row>
    <row r="1060" customFormat="false" ht="15" hidden="false" customHeight="false" outlineLevel="0" collapsed="false">
      <c r="A1060" s="52" t="n">
        <v>45742</v>
      </c>
      <c r="B1060" s="57" t="n">
        <v>0.01614</v>
      </c>
      <c r="C1060" s="57" t="n">
        <v>0.019251</v>
      </c>
      <c r="D1060" s="57" t="n">
        <v>0.020156</v>
      </c>
    </row>
    <row r="1061" customFormat="false" ht="15" hidden="false" customHeight="false" outlineLevel="0" collapsed="false">
      <c r="A1061" s="52" t="n">
        <v>45743</v>
      </c>
      <c r="B1061" s="57" t="n">
        <v>0.015988</v>
      </c>
      <c r="C1061" s="57" t="n">
        <v>0.019253</v>
      </c>
      <c r="D1061" s="57" t="n">
        <v>0.020157</v>
      </c>
    </row>
    <row r="1062" customFormat="false" ht="15" hidden="false" customHeight="false" outlineLevel="0" collapsed="false">
      <c r="A1062" s="52" t="n">
        <v>45744</v>
      </c>
      <c r="B1062" s="57" t="n">
        <v>0.015876</v>
      </c>
      <c r="C1062" s="57" t="n">
        <v>0.019253</v>
      </c>
      <c r="D1062" s="57" t="n">
        <v>0.020131</v>
      </c>
    </row>
    <row r="1063" customFormat="false" ht="15" hidden="false" customHeight="false" outlineLevel="0" collapsed="false">
      <c r="A1063" s="52" t="n">
        <v>45747</v>
      </c>
      <c r="B1063" s="57" t="n">
        <v>0.01606</v>
      </c>
      <c r="C1063" s="57" t="n">
        <v>0.019202</v>
      </c>
      <c r="D1063" s="57" t="n">
        <v>0.020105</v>
      </c>
    </row>
    <row r="1064" customFormat="false" ht="15" hidden="false" customHeight="false" outlineLevel="0" collapsed="false">
      <c r="A1064" s="52" t="n">
        <v>45748</v>
      </c>
      <c r="B1064" s="57" t="n">
        <v>0.016268</v>
      </c>
      <c r="C1064" s="57" t="n">
        <v>0.019153</v>
      </c>
      <c r="D1064" s="57" t="n">
        <v>0.020181</v>
      </c>
    </row>
    <row r="1065" customFormat="false" ht="15" hidden="false" customHeight="false" outlineLevel="0" collapsed="false">
      <c r="A1065" s="52" t="n">
        <v>45749</v>
      </c>
      <c r="B1065" s="57" t="n">
        <v>0.015985</v>
      </c>
      <c r="C1065" s="57" t="n">
        <v>0.019028</v>
      </c>
      <c r="D1065" s="57" t="n">
        <v>0.020037</v>
      </c>
    </row>
    <row r="1066" customFormat="false" ht="15" hidden="false" customHeight="false" outlineLevel="0" collapsed="false">
      <c r="A1066" s="52" t="n">
        <v>45750</v>
      </c>
      <c r="B1066" s="57" t="n">
        <v>0.015263</v>
      </c>
      <c r="C1066" s="57" t="n">
        <v>0.018354</v>
      </c>
      <c r="D1066" s="57" t="n">
        <v>0.019526</v>
      </c>
    </row>
    <row r="1067" customFormat="false" ht="15" hidden="false" customHeight="false" outlineLevel="0" collapsed="false">
      <c r="A1067" s="52" t="n">
        <v>45754</v>
      </c>
      <c r="B1067" s="57" t="n">
        <v>0.014664</v>
      </c>
      <c r="C1067" s="57" t="n">
        <v>0.0177</v>
      </c>
      <c r="D1067" s="57" t="n">
        <v>0.018713</v>
      </c>
    </row>
    <row r="1068" customFormat="false" ht="15" hidden="false" customHeight="false" outlineLevel="0" collapsed="false">
      <c r="A1068" s="52" t="n">
        <v>45755</v>
      </c>
      <c r="B1068" s="57" t="n">
        <v>0.015062</v>
      </c>
      <c r="C1068" s="57" t="n">
        <v>0.018051</v>
      </c>
      <c r="D1068" s="57" t="n">
        <v>0.018886</v>
      </c>
    </row>
    <row r="1069" customFormat="false" ht="15" hidden="false" customHeight="false" outlineLevel="0" collapsed="false">
      <c r="A1069" s="52" t="n">
        <v>45756</v>
      </c>
      <c r="B1069" s="57" t="n">
        <v>0.014689</v>
      </c>
      <c r="C1069" s="57" t="n">
        <v>0.018201</v>
      </c>
      <c r="D1069" s="57" t="n">
        <v>0.018958</v>
      </c>
    </row>
    <row r="1070" customFormat="false" ht="15" hidden="false" customHeight="false" outlineLevel="0" collapsed="false">
      <c r="A1070" s="52" t="n">
        <v>45757</v>
      </c>
      <c r="B1070" s="57" t="n">
        <v>0.014387</v>
      </c>
      <c r="C1070" s="57" t="n">
        <v>0.01815</v>
      </c>
      <c r="D1070" s="57" t="n">
        <v>0.018975</v>
      </c>
    </row>
    <row r="1071" customFormat="false" ht="15" hidden="false" customHeight="false" outlineLevel="0" collapsed="false">
      <c r="A1071" s="52" t="n">
        <v>45758</v>
      </c>
      <c r="B1071" s="57" t="n">
        <v>0.014315</v>
      </c>
      <c r="C1071" s="57" t="n">
        <v>0.018109</v>
      </c>
      <c r="D1071" s="57" t="n">
        <v>0.018863</v>
      </c>
    </row>
    <row r="1072" customFormat="false" ht="15" hidden="false" customHeight="false" outlineLevel="0" collapsed="false">
      <c r="A1072" s="52" t="n">
        <v>45761</v>
      </c>
      <c r="B1072" s="57" t="n">
        <v>0.014605</v>
      </c>
      <c r="C1072" s="57" t="n">
        <v>0.0181</v>
      </c>
      <c r="D1072" s="57" t="n">
        <v>0.018921</v>
      </c>
    </row>
    <row r="1073" customFormat="false" ht="15" hidden="false" customHeight="false" outlineLevel="0" collapsed="false">
      <c r="A1073" s="52" t="n">
        <v>45762</v>
      </c>
      <c r="B1073" s="57" t="n">
        <v>0.014621</v>
      </c>
      <c r="C1073" s="57" t="n">
        <v>0.018127</v>
      </c>
      <c r="D1073" s="57" t="n">
        <v>0.018877</v>
      </c>
    </row>
    <row r="1074" customFormat="false" ht="15" hidden="false" customHeight="false" outlineLevel="0" collapsed="false">
      <c r="A1074" s="52" t="n">
        <v>45763</v>
      </c>
      <c r="B1074" s="57" t="n">
        <v>0.014618</v>
      </c>
      <c r="C1074" s="57" t="n">
        <v>0.018077</v>
      </c>
      <c r="D1074" s="57" t="n">
        <v>0.018847</v>
      </c>
    </row>
    <row r="1075" customFormat="false" ht="15" hidden="false" customHeight="false" outlineLevel="0" collapsed="false">
      <c r="A1075" s="52" t="n">
        <v>45764</v>
      </c>
      <c r="B1075" s="57" t="n">
        <v>0.014741</v>
      </c>
      <c r="C1075" s="57" t="n">
        <v>0.018102</v>
      </c>
      <c r="D1075" s="57" t="n">
        <v>0.018843</v>
      </c>
    </row>
    <row r="1076" customFormat="false" ht="15" hidden="false" customHeight="false" outlineLevel="0" collapsed="false">
      <c r="A1076" s="52" t="n">
        <v>45765</v>
      </c>
      <c r="B1076" s="57" t="n">
        <v>0.014822</v>
      </c>
      <c r="C1076" s="57" t="n">
        <v>0.018053</v>
      </c>
      <c r="D1076" s="57" t="n">
        <v>0.01887</v>
      </c>
    </row>
    <row r="1077" customFormat="false" ht="15" hidden="false" customHeight="false" outlineLevel="0" collapsed="false">
      <c r="A1077" s="52" t="n">
        <v>45768</v>
      </c>
      <c r="B1077" s="57" t="n">
        <v>0.014945</v>
      </c>
      <c r="C1077" s="57" t="n">
        <v>0.018207</v>
      </c>
      <c r="D1077" s="57" t="n">
        <v>0.019052</v>
      </c>
    </row>
    <row r="1078" customFormat="false" ht="15" hidden="false" customHeight="false" outlineLevel="0" collapsed="false">
      <c r="A1078" s="52" t="n">
        <v>45769</v>
      </c>
      <c r="B1078" s="57" t="n">
        <v>0.014866</v>
      </c>
      <c r="C1078" s="57" t="n">
        <v>0.018159</v>
      </c>
      <c r="D1078" s="57" t="n">
        <v>0.019054</v>
      </c>
    </row>
    <row r="1079" customFormat="false" ht="15" hidden="false" customHeight="false" outlineLevel="0" collapsed="false">
      <c r="A1079" s="52" t="n">
        <v>45770</v>
      </c>
      <c r="B1079" s="57" t="n">
        <v>0.015018</v>
      </c>
      <c r="C1079" s="57" t="n">
        <v>0.018263</v>
      </c>
      <c r="D1079" s="57" t="n">
        <v>0.019243</v>
      </c>
    </row>
    <row r="1080" customFormat="false" ht="15" hidden="false" customHeight="false" outlineLevel="0" collapsed="false">
      <c r="A1080" s="52" t="n">
        <v>45771</v>
      </c>
      <c r="B1080" s="57" t="n">
        <v>0.015208</v>
      </c>
      <c r="C1080" s="57" t="n">
        <v>0.018387</v>
      </c>
      <c r="D1080" s="57" t="n">
        <v>0.019316</v>
      </c>
    </row>
    <row r="1081" customFormat="false" ht="15" hidden="false" customHeight="false" outlineLevel="0" collapsed="false">
      <c r="A1081" s="52" t="n">
        <v>45772</v>
      </c>
      <c r="B1081" s="57" t="n">
        <v>0.015192</v>
      </c>
      <c r="C1081" s="57" t="n">
        <v>0.018438</v>
      </c>
      <c r="D1081" s="57" t="n">
        <v>0.019423</v>
      </c>
    </row>
    <row r="1082" customFormat="false" ht="15" hidden="false" customHeight="false" outlineLevel="0" collapsed="false">
      <c r="A1082" s="52" t="n">
        <v>45774</v>
      </c>
      <c r="B1082" s="57" t="n">
        <v>0.01523</v>
      </c>
      <c r="C1082" s="57" t="n">
        <v>0.018409</v>
      </c>
      <c r="D1082" s="57" t="n">
        <v>0.019425</v>
      </c>
    </row>
    <row r="1083" customFormat="false" ht="15" hidden="false" customHeight="false" outlineLevel="0" collapsed="false">
      <c r="A1083" s="52" t="n">
        <v>45775</v>
      </c>
      <c r="B1083" s="57" t="n">
        <v>0.015177</v>
      </c>
      <c r="C1083" s="57" t="n">
        <v>0.018346</v>
      </c>
      <c r="D1083" s="57" t="n">
        <v>0.019407</v>
      </c>
    </row>
    <row r="1084" customFormat="false" ht="15" hidden="false" customHeight="false" outlineLevel="0" collapsed="false">
      <c r="A1084" s="52" t="n">
        <v>45776</v>
      </c>
      <c r="B1084" s="57" t="n">
        <v>0.015009</v>
      </c>
      <c r="C1084" s="57" t="n">
        <v>0.018122</v>
      </c>
      <c r="D1084" s="57" t="n">
        <v>0.019248</v>
      </c>
    </row>
    <row r="1085" customFormat="false" ht="15" hidden="false" customHeight="false" outlineLevel="0" collapsed="false">
      <c r="A1085" s="52" t="n">
        <v>45777</v>
      </c>
      <c r="B1085" s="57" t="n">
        <v>0.014766</v>
      </c>
      <c r="C1085" s="57" t="n">
        <v>0.018025</v>
      </c>
      <c r="D1085" s="57" t="n">
        <v>0.019111</v>
      </c>
    </row>
    <row r="1086" customFormat="false" ht="15" hidden="false" customHeight="false" outlineLevel="0" collapsed="false">
      <c r="A1086" s="52" t="n">
        <v>45783</v>
      </c>
      <c r="B1086" s="57" t="n">
        <v>0.014939</v>
      </c>
      <c r="C1086" s="57" t="n">
        <v>0.01805</v>
      </c>
      <c r="D1086" s="57" t="n">
        <v>0.019121</v>
      </c>
    </row>
    <row r="1087" customFormat="false" ht="15" hidden="false" customHeight="false" outlineLevel="0" collapsed="false">
      <c r="A1087" s="52" t="n">
        <v>45784</v>
      </c>
      <c r="B1087" s="57" t="n">
        <v>0.014815</v>
      </c>
      <c r="C1087" s="57" t="n">
        <v>0.018005</v>
      </c>
      <c r="D1087" s="57" t="n">
        <v>0.019013</v>
      </c>
    </row>
    <row r="1088" customFormat="false" ht="15" hidden="false" customHeight="false" outlineLevel="0" collapsed="false">
      <c r="A1088" s="52" t="n">
        <v>45785</v>
      </c>
      <c r="B1088" s="57" t="n">
        <v>0.014504</v>
      </c>
      <c r="C1088" s="57" t="n">
        <v>0.017612</v>
      </c>
      <c r="D1088" s="57" t="n">
        <v>0.018712</v>
      </c>
    </row>
    <row r="1089" customFormat="false" ht="15" hidden="false" customHeight="false" outlineLevel="0" collapsed="false">
      <c r="A1089" s="52" t="n">
        <v>45786</v>
      </c>
      <c r="B1089" s="57" t="n">
        <v>0.014633</v>
      </c>
      <c r="C1089" s="57" t="n">
        <v>0.017409</v>
      </c>
      <c r="D1089" s="57" t="n">
        <v>0.018471</v>
      </c>
    </row>
    <row r="1090" customFormat="false" ht="15" hidden="false" customHeight="false" outlineLevel="0" collapsed="false">
      <c r="A1090" s="52" t="n">
        <v>45789</v>
      </c>
      <c r="B1090" s="57" t="n">
        <v>0.014661</v>
      </c>
      <c r="C1090" s="57" t="n">
        <v>0.017546</v>
      </c>
      <c r="D1090" s="57" t="n">
        <v>0.018523</v>
      </c>
    </row>
    <row r="1091" customFormat="false" ht="15" hidden="false" customHeight="false" outlineLevel="0" collapsed="false">
      <c r="A1091" s="52" t="n">
        <v>45790</v>
      </c>
      <c r="B1091" s="57" t="n">
        <v>0.014533</v>
      </c>
      <c r="C1091" s="57" t="n">
        <v>0.017471</v>
      </c>
      <c r="D1091" s="57" t="n">
        <v>0.018429</v>
      </c>
    </row>
    <row r="1092" customFormat="false" ht="15" hidden="false" customHeight="false" outlineLevel="0" collapsed="false">
      <c r="A1092" s="52" t="n">
        <v>45791</v>
      </c>
      <c r="B1092" s="57" t="n">
        <v>0.014727</v>
      </c>
      <c r="C1092" s="57" t="n">
        <v>0.017502</v>
      </c>
      <c r="D1092" s="57" t="n">
        <v>0.018381</v>
      </c>
    </row>
    <row r="1093" customFormat="false" ht="15" hidden="false" customHeight="false" outlineLevel="0" collapsed="false">
      <c r="A1093" s="52" t="n">
        <v>45792</v>
      </c>
      <c r="B1093" s="57" t="n">
        <v>0.015048</v>
      </c>
      <c r="C1093" s="57" t="n">
        <v>0.017472</v>
      </c>
      <c r="D1093" s="57" t="n">
        <v>0.018326</v>
      </c>
    </row>
    <row r="1094" customFormat="false" ht="15" hidden="false" customHeight="false" outlineLevel="0" collapsed="false">
      <c r="A1094" s="52" t="n">
        <v>45793</v>
      </c>
      <c r="B1094" s="57" t="n">
        <v>0.01507</v>
      </c>
      <c r="C1094" s="57" t="n">
        <v>0.017618</v>
      </c>
      <c r="D1094" s="57" t="n">
        <v>0.01844</v>
      </c>
    </row>
    <row r="1095" customFormat="false" ht="15" hidden="false" customHeight="false" outlineLevel="0" collapsed="false">
      <c r="A1095" s="52" t="n">
        <v>45796</v>
      </c>
      <c r="B1095" s="57" t="n">
        <v>0.014973</v>
      </c>
      <c r="C1095" s="57" t="n">
        <v>0.017609</v>
      </c>
      <c r="D1095" s="57" t="n">
        <v>0.018507</v>
      </c>
    </row>
    <row r="1096" customFormat="false" ht="15" hidden="false" customHeight="false" outlineLevel="0" collapsed="false">
      <c r="A1096" s="52" t="n">
        <v>45797</v>
      </c>
      <c r="B1096" s="57" t="n">
        <v>0.015041</v>
      </c>
      <c r="C1096" s="57" t="n">
        <v>0.017529</v>
      </c>
      <c r="D1096" s="57" t="n">
        <v>0.018355</v>
      </c>
    </row>
    <row r="1097" customFormat="false" ht="15" hidden="false" customHeight="false" outlineLevel="0" collapsed="false">
      <c r="A1097" s="52" t="n">
        <v>45798</v>
      </c>
      <c r="B1097" s="57" t="n">
        <v>0.014997</v>
      </c>
      <c r="C1097" s="57" t="n">
        <v>0.017512</v>
      </c>
      <c r="D1097" s="57" t="n">
        <v>0.018306</v>
      </c>
    </row>
    <row r="1098" customFormat="false" ht="15" hidden="false" customHeight="false" outlineLevel="0" collapsed="false">
      <c r="A1098" s="52" t="n">
        <v>45799</v>
      </c>
      <c r="B1098" s="57" t="n">
        <v>0.014958</v>
      </c>
      <c r="C1098" s="57" t="n">
        <v>0.017444</v>
      </c>
      <c r="D1098" s="57" t="n">
        <v>0.018239</v>
      </c>
    </row>
    <row r="1099" customFormat="false" ht="15" hidden="false" customHeight="false" outlineLevel="0" collapsed="false">
      <c r="A1099" s="52" t="n">
        <v>45800</v>
      </c>
      <c r="B1099" s="57" t="n">
        <v>0.014956</v>
      </c>
      <c r="C1099" s="57" t="n">
        <v>0.01744</v>
      </c>
      <c r="D1099" s="57" t="n">
        <v>0.018204</v>
      </c>
    </row>
    <row r="1100" customFormat="false" ht="15" hidden="false" customHeight="false" outlineLevel="0" collapsed="false">
      <c r="A1100" s="52" t="n">
        <v>45803</v>
      </c>
      <c r="B1100" s="57" t="n">
        <v>0.014944</v>
      </c>
      <c r="C1100" s="57" t="n">
        <v>0.017446</v>
      </c>
      <c r="D1100" s="57" t="n">
        <v>0.018123</v>
      </c>
    </row>
    <row r="1101" customFormat="false" ht="15" hidden="false" customHeight="false" outlineLevel="0" collapsed="false">
      <c r="A1101" s="52" t="n">
        <v>45804</v>
      </c>
      <c r="B1101" s="57" t="n">
        <v>0.01499</v>
      </c>
      <c r="C1101" s="57" t="n">
        <v>0.017515</v>
      </c>
      <c r="D1101" s="57" t="n">
        <v>0.018136</v>
      </c>
    </row>
    <row r="1102" customFormat="false" ht="15" hidden="false" customHeight="false" outlineLevel="0" collapsed="false">
      <c r="A1102" s="52" t="n">
        <v>45805</v>
      </c>
      <c r="B1102" s="57" t="n">
        <v>0.015002</v>
      </c>
      <c r="C1102" s="57" t="n">
        <v>0.017665</v>
      </c>
      <c r="D1102" s="57" t="n">
        <v>0.018285</v>
      </c>
    </row>
    <row r="1103" customFormat="false" ht="15" hidden="false" customHeight="false" outlineLevel="0" collapsed="false">
      <c r="A1103" s="52" t="n">
        <v>45806</v>
      </c>
      <c r="B1103" s="57" t="n">
        <v>0.015153</v>
      </c>
      <c r="C1103" s="57" t="n">
        <v>0.017914</v>
      </c>
      <c r="D1103" s="57" t="n">
        <v>0.018534</v>
      </c>
    </row>
    <row r="1104" customFormat="false" ht="15" hidden="false" customHeight="false" outlineLevel="0" collapsed="false">
      <c r="A1104" s="52" t="n">
        <v>45807</v>
      </c>
      <c r="B1104" s="57" t="n">
        <v>0.014777</v>
      </c>
      <c r="C1104" s="57" t="n">
        <v>0.017721</v>
      </c>
      <c r="D1104" s="57" t="n">
        <v>0.018453</v>
      </c>
    </row>
    <row r="1105" customFormat="false" ht="15" hidden="false" customHeight="false" outlineLevel="0" collapsed="false">
      <c r="A1105" s="52" t="n">
        <v>45811</v>
      </c>
      <c r="B1105" s="57" t="n">
        <v>0.014877</v>
      </c>
      <c r="C1105" s="57" t="n">
        <v>0.017789</v>
      </c>
      <c r="D1105" s="57" t="n">
        <v>0.018422</v>
      </c>
    </row>
    <row r="1106" customFormat="false" ht="15" hidden="false" customHeight="false" outlineLevel="0" collapsed="false">
      <c r="A1106" s="52" t="n">
        <v>45812</v>
      </c>
      <c r="B1106" s="57" t="n">
        <v>0.014703</v>
      </c>
      <c r="C1106" s="57" t="n">
        <v>0.017823</v>
      </c>
      <c r="D1106" s="57" t="n">
        <v>0.018472</v>
      </c>
    </row>
    <row r="1107" customFormat="false" ht="15" hidden="false" customHeight="false" outlineLevel="0" collapsed="false">
      <c r="A1107" s="52" t="n">
        <v>45813</v>
      </c>
      <c r="B1107" s="57" t="n">
        <v>0.014555</v>
      </c>
      <c r="C1107" s="57" t="n">
        <v>0.017795</v>
      </c>
      <c r="D1107" s="57" t="n">
        <v>0.018474</v>
      </c>
    </row>
    <row r="1108" customFormat="false" ht="15" hidden="false" customHeight="false" outlineLevel="0" collapsed="false">
      <c r="A1108" s="52" t="n">
        <v>45814</v>
      </c>
      <c r="B1108" s="57" t="n">
        <v>0.014354</v>
      </c>
      <c r="C1108" s="57" t="n">
        <v>0.017527</v>
      </c>
      <c r="D1108" s="57" t="n">
        <v>0.018372</v>
      </c>
    </row>
    <row r="1109" customFormat="false" ht="15" hidden="false" customHeight="false" outlineLevel="0" collapsed="false">
      <c r="A1109" s="52" t="n">
        <v>45817</v>
      </c>
      <c r="B1109" s="57" t="n">
        <v>0.014354</v>
      </c>
      <c r="C1109" s="57" t="n">
        <v>0.017435</v>
      </c>
      <c r="D1109" s="57" t="n">
        <v>0.018221</v>
      </c>
    </row>
    <row r="1110" customFormat="false" ht="15" hidden="false" customHeight="false" outlineLevel="0" collapsed="false">
      <c r="A1110" s="52" t="n">
        <v>45818</v>
      </c>
      <c r="B1110" s="57" t="n">
        <v>0.014509</v>
      </c>
      <c r="C1110" s="57" t="n">
        <v>0.017441</v>
      </c>
      <c r="D1110" s="57" t="n">
        <v>0.018174</v>
      </c>
    </row>
    <row r="1111" customFormat="false" ht="15" hidden="false" customHeight="false" outlineLevel="0" collapsed="false">
      <c r="A1111" s="52" t="n">
        <v>45819</v>
      </c>
      <c r="B1111" s="57" t="n">
        <v>0.014385</v>
      </c>
      <c r="C1111" s="57" t="n">
        <v>0.017431</v>
      </c>
      <c r="D1111" s="57" t="n">
        <v>0.018207</v>
      </c>
    </row>
    <row r="1112" customFormat="false" ht="15" hidden="false" customHeight="false" outlineLevel="0" collapsed="false">
      <c r="A1112" s="52" t="n">
        <v>45820</v>
      </c>
      <c r="B1112" s="57" t="n">
        <v>0.014408</v>
      </c>
      <c r="C1112" s="57" t="n">
        <v>0.017376</v>
      </c>
      <c r="D1112" s="57" t="n">
        <v>0.018218</v>
      </c>
    </row>
    <row r="1113" customFormat="false" ht="15" hidden="false" customHeight="false" outlineLevel="0" collapsed="false">
      <c r="A1113" s="52" t="n">
        <v>45821</v>
      </c>
      <c r="B1113" s="57" t="n">
        <v>0.014258</v>
      </c>
      <c r="C1113" s="57" t="n">
        <v>0.017375</v>
      </c>
      <c r="D1113" s="57" t="n">
        <v>0.018312</v>
      </c>
    </row>
    <row r="1114" customFormat="false" ht="15" hidden="false" customHeight="false" outlineLevel="0" collapsed="false">
      <c r="A1114" s="52" t="n">
        <v>45824</v>
      </c>
      <c r="B1114" s="57" t="n">
        <v>0.014054</v>
      </c>
      <c r="C1114" s="57" t="n">
        <v>0.017392</v>
      </c>
      <c r="D1114" s="57" t="n">
        <v>0.018292</v>
      </c>
    </row>
    <row r="1115" customFormat="false" ht="15" hidden="false" customHeight="false" outlineLevel="0" collapsed="false">
      <c r="A1115" s="52" t="n">
        <v>45825</v>
      </c>
      <c r="B1115" s="57" t="n">
        <v>0.013808</v>
      </c>
      <c r="C1115" s="57" t="n">
        <v>0.017279</v>
      </c>
      <c r="D1115" s="57" t="n">
        <v>0.018288</v>
      </c>
    </row>
    <row r="1116" customFormat="false" ht="15" hidden="false" customHeight="false" outlineLevel="0" collapsed="false">
      <c r="A1116" s="52" t="n">
        <v>45826</v>
      </c>
      <c r="B1116" s="57" t="n">
        <v>0.013889</v>
      </c>
      <c r="C1116" s="57" t="n">
        <v>0.017258</v>
      </c>
      <c r="D1116" s="57" t="n">
        <v>0.018206</v>
      </c>
    </row>
    <row r="1117" customFormat="false" ht="15" hidden="false" customHeight="false" outlineLevel="0" collapsed="false">
      <c r="A1117" s="52" t="n">
        <v>45827</v>
      </c>
      <c r="B1117" s="57" t="n">
        <v>0.01397</v>
      </c>
      <c r="C1117" s="57" t="n">
        <v>0.017251</v>
      </c>
      <c r="D1117" s="57" t="n">
        <v>0.018103</v>
      </c>
    </row>
    <row r="1118" customFormat="false" ht="15" hidden="false" customHeight="false" outlineLevel="0" collapsed="false">
      <c r="A1118" s="52" t="n">
        <v>45828</v>
      </c>
      <c r="B1118" s="57" t="n">
        <v>0.014</v>
      </c>
      <c r="C1118" s="57" t="n">
        <v>0.01722</v>
      </c>
      <c r="D1118" s="57" t="n">
        <v>0.018003</v>
      </c>
    </row>
    <row r="1119" customFormat="false" ht="15" hidden="false" customHeight="false" outlineLevel="0" collapsed="false">
      <c r="A1119" s="52" t="n">
        <v>45831</v>
      </c>
      <c r="B1119" s="57" t="n">
        <v>0.014028</v>
      </c>
      <c r="C1119" s="57" t="n">
        <v>0.017174</v>
      </c>
      <c r="D1119" s="57" t="n">
        <v>0.018</v>
      </c>
    </row>
    <row r="1120" customFormat="false" ht="15" hidden="false" customHeight="false" outlineLevel="0" collapsed="false">
      <c r="A1120" s="52" t="n">
        <v>45832</v>
      </c>
      <c r="B1120" s="57" t="n">
        <v>0.014133</v>
      </c>
      <c r="C1120" s="57" t="n">
        <v>0.017293</v>
      </c>
      <c r="D1120" s="57" t="n">
        <v>0.018046</v>
      </c>
    </row>
    <row r="1121" customFormat="false" ht="15" hidden="false" customHeight="false" outlineLevel="0" collapsed="false">
      <c r="A1121" s="52" t="n">
        <v>45833</v>
      </c>
      <c r="B1121" s="57" t="n">
        <v>0.014108</v>
      </c>
      <c r="C1121" s="57" t="n">
        <v>0.017376</v>
      </c>
      <c r="D1121" s="57" t="n">
        <v>0.018191</v>
      </c>
    </row>
    <row r="1122" customFormat="false" ht="15" hidden="false" customHeight="false" outlineLevel="0" collapsed="false">
      <c r="A1122" s="52" t="n">
        <v>45834</v>
      </c>
      <c r="B1122" s="57" t="n">
        <v>0.014057</v>
      </c>
      <c r="C1122" s="57" t="n">
        <v>0.01743</v>
      </c>
      <c r="D1122" s="57" t="n">
        <v>0.018271</v>
      </c>
    </row>
    <row r="1123" customFormat="false" ht="15" hidden="false" customHeight="false" outlineLevel="0" collapsed="false">
      <c r="A1123" s="52" t="n">
        <v>45835</v>
      </c>
      <c r="B1123" s="57" t="n">
        <v>0.013931</v>
      </c>
      <c r="C1123" s="57" t="n">
        <v>0.017364</v>
      </c>
      <c r="D1123" s="57" t="n">
        <v>0.018278</v>
      </c>
    </row>
    <row r="1124" customFormat="false" ht="15" hidden="false" customHeight="false" outlineLevel="0" collapsed="false">
      <c r="A1124" s="52" t="n">
        <v>45838</v>
      </c>
      <c r="B1124" s="57" t="n">
        <v>0.013959</v>
      </c>
      <c r="C1124" s="57" t="n">
        <v>0.017406</v>
      </c>
      <c r="D1124" s="57" t="n">
        <v>0.018339</v>
      </c>
    </row>
    <row r="1125" customFormat="false" ht="15" hidden="false" customHeight="false" outlineLevel="0" collapsed="false">
      <c r="A1125" s="52" t="n">
        <v>45839</v>
      </c>
      <c r="B1125" s="57" t="n">
        <v>0.013985</v>
      </c>
      <c r="C1125" s="57" t="n">
        <v>0.017263</v>
      </c>
      <c r="D1125" s="57" t="n">
        <v>0.018213</v>
      </c>
    </row>
    <row r="1126" customFormat="false" ht="15" hidden="false" customHeight="false" outlineLevel="0" collapsed="false">
      <c r="A1126" s="52" t="n">
        <v>45840</v>
      </c>
      <c r="B1126" s="57" t="n">
        <v>0.01391</v>
      </c>
      <c r="C1126" s="57" t="n">
        <v>0.016981</v>
      </c>
      <c r="D1126" s="57" t="n">
        <v>0.017969</v>
      </c>
    </row>
    <row r="1127" customFormat="false" ht="15" hidden="false" customHeight="false" outlineLevel="0" collapsed="false">
      <c r="A1127" s="52" t="n">
        <v>45841</v>
      </c>
      <c r="B1127" s="57" t="n">
        <v>0.013772</v>
      </c>
      <c r="C1127" s="57" t="n">
        <v>0.01691</v>
      </c>
      <c r="D1127" s="57" t="n">
        <v>0.017908</v>
      </c>
    </row>
    <row r="1128" customFormat="false" ht="15" hidden="false" customHeight="false" outlineLevel="0" collapsed="false">
      <c r="A1128" s="52" t="n">
        <v>45842</v>
      </c>
      <c r="B1128" s="57" t="n">
        <v>0.013791</v>
      </c>
      <c r="C1128" s="57" t="n">
        <v>0.016718</v>
      </c>
      <c r="D1128" s="57" t="n">
        <v>0.017794</v>
      </c>
    </row>
    <row r="1129" customFormat="false" ht="15" hidden="false" customHeight="false" outlineLevel="0" collapsed="false">
      <c r="A1129" s="52" t="n">
        <v>45845</v>
      </c>
      <c r="B1129" s="57" t="n">
        <v>0.013813</v>
      </c>
      <c r="C1129" s="57" t="n">
        <v>0.016679</v>
      </c>
      <c r="D1129" s="57" t="n">
        <v>0.017657</v>
      </c>
    </row>
    <row r="1130" customFormat="false" ht="15" hidden="false" customHeight="false" outlineLevel="0" collapsed="false">
      <c r="A1130" s="52" t="n">
        <v>45846</v>
      </c>
      <c r="B1130" s="57" t="n">
        <v>0.013884</v>
      </c>
      <c r="C1130" s="57" t="n">
        <v>0.016854</v>
      </c>
      <c r="D1130" s="57" t="n">
        <v>0.017648</v>
      </c>
    </row>
    <row r="1131" customFormat="false" ht="15" hidden="false" customHeight="false" outlineLevel="0" collapsed="false">
      <c r="A1131" s="52" t="n">
        <v>45847</v>
      </c>
      <c r="B1131" s="57" t="n">
        <v>0.013942</v>
      </c>
      <c r="C1131" s="57" t="n">
        <v>0.017067</v>
      </c>
      <c r="D1131" s="57" t="n">
        <v>0.017813</v>
      </c>
    </row>
    <row r="1132" customFormat="false" ht="15" hidden="false" customHeight="false" outlineLevel="0" collapsed="false">
      <c r="A1132" s="52" t="n">
        <v>45848</v>
      </c>
      <c r="B1132" s="57" t="n">
        <v>0.014098</v>
      </c>
      <c r="C1132" s="57" t="n">
        <v>0.017247</v>
      </c>
      <c r="D1132" s="57" t="n">
        <v>0.01801</v>
      </c>
    </row>
    <row r="1133" customFormat="false" ht="15" hidden="false" customHeight="false" outlineLevel="0" collapsed="false">
      <c r="A1133" s="52" t="n">
        <v>45849</v>
      </c>
      <c r="B1133" s="57" t="n">
        <v>0.014158</v>
      </c>
      <c r="C1133" s="57" t="n">
        <v>0.017328</v>
      </c>
      <c r="D1133" s="57" t="n">
        <v>0.018128</v>
      </c>
    </row>
    <row r="1134" customFormat="false" ht="15" hidden="false" customHeight="false" outlineLevel="0" collapsed="false">
      <c r="A1134" s="52" t="n">
        <v>45852</v>
      </c>
      <c r="B1134" s="57" t="n">
        <v>0.014267</v>
      </c>
      <c r="C1134" s="57" t="n">
        <v>0.017403</v>
      </c>
      <c r="D1134" s="57" t="n">
        <v>0.018231</v>
      </c>
    </row>
    <row r="1135" customFormat="false" ht="15" hidden="false" customHeight="false" outlineLevel="0" collapsed="false">
      <c r="A1135" s="52" t="n">
        <v>45853</v>
      </c>
      <c r="B1135" s="57" t="n">
        <v>0.014108</v>
      </c>
      <c r="C1135" s="57" t="n">
        <v>0.017184</v>
      </c>
      <c r="D1135" s="57" t="n">
        <v>0.018086</v>
      </c>
    </row>
    <row r="1136" customFormat="false" ht="15" hidden="false" customHeight="false" outlineLevel="0" collapsed="false">
      <c r="A1136" s="52" t="n">
        <v>45854</v>
      </c>
      <c r="B1136" s="57" t="n">
        <v>0.014116</v>
      </c>
      <c r="C1136" s="57" t="n">
        <v>0.017075</v>
      </c>
      <c r="D1136" s="57" t="n">
        <v>0.017956</v>
      </c>
    </row>
    <row r="1137" customFormat="false" ht="15" hidden="false" customHeight="false" outlineLevel="0" collapsed="false">
      <c r="A1137" s="52" t="n">
        <v>45855</v>
      </c>
      <c r="B1137" s="57" t="n">
        <v>0.014114</v>
      </c>
      <c r="C1137" s="57" t="n">
        <v>0.016981</v>
      </c>
      <c r="D1137" s="57" t="n">
        <v>0.017845</v>
      </c>
    </row>
    <row r="1138" customFormat="false" ht="15" hidden="false" customHeight="false" outlineLevel="0" collapsed="false">
      <c r="A1138" s="52" t="n">
        <v>45856</v>
      </c>
      <c r="B1138" s="57" t="n">
        <v>0.014043</v>
      </c>
      <c r="C1138" s="57" t="n">
        <v>0.017006</v>
      </c>
      <c r="D1138" s="57" t="n">
        <v>0.017812</v>
      </c>
    </row>
    <row r="1139" customFormat="false" ht="15" hidden="false" customHeight="false" outlineLevel="0" collapsed="false">
      <c r="A1139" s="52" t="n">
        <v>45859</v>
      </c>
      <c r="B1139" s="57" t="n">
        <v>0.014202</v>
      </c>
      <c r="C1139" s="57" t="n">
        <v>0.017133</v>
      </c>
      <c r="D1139" s="57" t="n">
        <v>0.017998</v>
      </c>
    </row>
    <row r="1140" customFormat="false" ht="15" hidden="false" customHeight="false" outlineLevel="0" collapsed="false">
      <c r="A1140" s="52" t="n">
        <v>45860</v>
      </c>
      <c r="B1140" s="57" t="n">
        <v>0.014229</v>
      </c>
      <c r="C1140" s="57" t="n">
        <v>0.017332</v>
      </c>
      <c r="D1140" s="57" t="n">
        <v>0.018031</v>
      </c>
    </row>
    <row r="1141" customFormat="false" ht="15" hidden="false" customHeight="false" outlineLevel="0" collapsed="false">
      <c r="A1141" s="52" t="n">
        <v>45861</v>
      </c>
      <c r="B1141" s="57" t="n">
        <v>0.014467</v>
      </c>
      <c r="C1141" s="57" t="n">
        <v>0.017502</v>
      </c>
      <c r="D1141" s="57" t="n">
        <v>0.018347</v>
      </c>
    </row>
    <row r="1142" customFormat="false" ht="15" hidden="false" customHeight="false" outlineLevel="0" collapsed="false">
      <c r="A1142" s="52" t="n">
        <v>45862</v>
      </c>
      <c r="B1142" s="57" t="n">
        <v>0.014744</v>
      </c>
      <c r="C1142" s="57" t="n">
        <v>0.017902</v>
      </c>
      <c r="D1142" s="57" t="n">
        <v>0.018647</v>
      </c>
    </row>
    <row r="1143" customFormat="false" ht="15" hidden="false" customHeight="false" outlineLevel="0" collapsed="false">
      <c r="A1143" s="52" t="n">
        <v>45863</v>
      </c>
      <c r="B1143" s="57" t="n">
        <v>0.014777</v>
      </c>
      <c r="C1143" s="57" t="n">
        <v>0.017924</v>
      </c>
      <c r="D1143" s="57" t="n">
        <v>0.018852</v>
      </c>
    </row>
    <row r="1144" customFormat="false" ht="15" hidden="false" customHeight="false" outlineLevel="0" collapsed="false">
      <c r="A1144" s="52" t="n">
        <v>45866</v>
      </c>
      <c r="B1144" s="57" t="n">
        <v>0.01455</v>
      </c>
      <c r="C1144" s="57" t="n">
        <v>0.017704</v>
      </c>
      <c r="D1144" s="57" t="n">
        <v>0.018717</v>
      </c>
    </row>
    <row r="1145" customFormat="false" ht="15" hidden="false" customHeight="false" outlineLevel="0" collapsed="false">
      <c r="A1145" s="52" t="n">
        <v>45867</v>
      </c>
      <c r="B1145" s="57" t="n">
        <v>0.014793</v>
      </c>
      <c r="C1145" s="57" t="n">
        <v>0.01796</v>
      </c>
      <c r="D1145" s="57" t="n">
        <v>0.018989</v>
      </c>
    </row>
    <row r="1146" customFormat="false" ht="15" hidden="false" customHeight="false" outlineLevel="0" collapsed="false">
      <c r="A1146" s="52" t="n">
        <v>45868</v>
      </c>
      <c r="B1146" s="57" t="n">
        <v>0.014558</v>
      </c>
      <c r="C1146" s="57" t="n">
        <v>0.017838</v>
      </c>
      <c r="D1146" s="57" t="n">
        <v>0.01901</v>
      </c>
    </row>
    <row r="1147" customFormat="false" ht="15" hidden="false" customHeight="false" outlineLevel="0" collapsed="false">
      <c r="A1147" s="52" t="n">
        <v>45869</v>
      </c>
      <c r="B1147" s="57" t="n">
        <v>0.01443</v>
      </c>
      <c r="C1147" s="57" t="n">
        <v>0.017493</v>
      </c>
      <c r="D1147" s="57" t="n">
        <v>0.018699</v>
      </c>
    </row>
    <row r="1148" customFormat="false" ht="15" hidden="false" customHeight="false" outlineLevel="0" collapsed="false">
      <c r="A1148" s="52" t="n">
        <v>45870</v>
      </c>
      <c r="B1148" s="57" t="n">
        <v>0.014451</v>
      </c>
      <c r="C1148" s="57" t="n">
        <v>0.017437</v>
      </c>
      <c r="D1148" s="57" t="n">
        <v>0.018554</v>
      </c>
    </row>
    <row r="1149" customFormat="false" ht="15" hidden="false" customHeight="false" outlineLevel="0" collapsed="false">
      <c r="A1149" s="52" t="n">
        <v>45873</v>
      </c>
      <c r="B1149" s="57" t="n">
        <v>0.014392</v>
      </c>
      <c r="C1149" s="57" t="n">
        <v>0.017512</v>
      </c>
      <c r="D1149" s="57" t="n">
        <v>0.01841</v>
      </c>
    </row>
    <row r="1150" customFormat="false" ht="15" hidden="false" customHeight="false" outlineLevel="0" collapsed="false">
      <c r="A1150" s="52" t="n">
        <v>45874</v>
      </c>
      <c r="B1150" s="57" t="n">
        <v>0.014392</v>
      </c>
      <c r="C1150" s="57" t="n">
        <v>0.017481</v>
      </c>
      <c r="D1150" s="57" t="n">
        <v>0.018334</v>
      </c>
    </row>
    <row r="1151" customFormat="false" ht="15" hidden="false" customHeight="false" outlineLevel="0" collapsed="false">
      <c r="A1151" s="52" t="n">
        <v>45875</v>
      </c>
      <c r="B1151" s="57" t="n">
        <v>0.014295</v>
      </c>
      <c r="C1151" s="57" t="n">
        <v>0.017431</v>
      </c>
      <c r="D1151" s="57" t="n">
        <v>0.018256</v>
      </c>
    </row>
    <row r="1152" customFormat="false" ht="15" hidden="false" customHeight="false" outlineLevel="0" collapsed="false">
      <c r="A1152" s="52" t="n">
        <v>45876</v>
      </c>
      <c r="B1152" s="57" t="n">
        <v>0.014227</v>
      </c>
      <c r="C1152" s="57" t="n">
        <v>0.017329</v>
      </c>
      <c r="D1152" s="57" t="n">
        <v>0.018217</v>
      </c>
    </row>
    <row r="1153" customFormat="false" ht="15" hidden="false" customHeight="false" outlineLevel="0" collapsed="false">
      <c r="A1153" s="52" t="n">
        <v>45877</v>
      </c>
      <c r="B1153" s="57" t="n">
        <v>0.014159</v>
      </c>
      <c r="C1153" s="57" t="n">
        <v>0.017279</v>
      </c>
      <c r="D1153" s="57" t="n">
        <v>0.018181</v>
      </c>
    </row>
    <row r="1154" customFormat="false" ht="15" hidden="false" customHeight="false" outlineLevel="0" collapsed="false">
      <c r="A1154" s="52" t="n">
        <v>45880</v>
      </c>
      <c r="B1154" s="57" t="n">
        <v>0.014321</v>
      </c>
      <c r="C1154" s="57" t="n">
        <v>0.017386</v>
      </c>
      <c r="D1154" s="57" t="n">
        <v>0.018204</v>
      </c>
    </row>
    <row r="1155" customFormat="false" ht="15" hidden="false" customHeight="false" outlineLevel="0" collapsed="false">
      <c r="A1155" s="52" t="n">
        <v>45881</v>
      </c>
      <c r="B1155" s="57" t="n">
        <v>0.014257</v>
      </c>
      <c r="C1155" s="57" t="n">
        <v>0.017567</v>
      </c>
      <c r="D1155" s="57" t="n">
        <v>0.018362</v>
      </c>
    </row>
    <row r="1156" customFormat="false" ht="15" hidden="false" customHeight="false" outlineLevel="0" collapsed="false">
      <c r="A1156" s="52" t="n">
        <v>45882</v>
      </c>
      <c r="B1156" s="57" t="n">
        <v>0.014092</v>
      </c>
      <c r="C1156" s="57" t="n">
        <v>0.017547</v>
      </c>
      <c r="D1156" s="57" t="n">
        <v>0.018459</v>
      </c>
    </row>
    <row r="1157" customFormat="false" ht="15" hidden="false" customHeight="false" outlineLevel="0" collapsed="false">
      <c r="A1157" s="52" t="n">
        <v>45883</v>
      </c>
      <c r="B1157" s="57" t="n">
        <v>0.014154</v>
      </c>
      <c r="C1157" s="57" t="n">
        <v>0.01774</v>
      </c>
      <c r="D1157" s="57" t="n">
        <v>0.018578</v>
      </c>
    </row>
    <row r="1158" customFormat="false" ht="15" hidden="false" customHeight="false" outlineLevel="0" collapsed="false">
      <c r="A1158" s="52" t="n">
        <v>45884</v>
      </c>
      <c r="B1158" s="57" t="n">
        <v>0.014091</v>
      </c>
      <c r="C1158" s="57" t="n">
        <v>0.017885</v>
      </c>
      <c r="D1158" s="57" t="n">
        <v>0.018768</v>
      </c>
    </row>
    <row r="1159" customFormat="false" ht="15" hidden="false" customHeight="false" outlineLevel="0" collapsed="false">
      <c r="A1159" s="52" t="n">
        <v>45887</v>
      </c>
      <c r="B1159" s="57" t="n">
        <v>0.014466</v>
      </c>
      <c r="C1159" s="57" t="n">
        <v>0.018335</v>
      </c>
      <c r="D1159" s="57" t="n">
        <v>0.019363</v>
      </c>
    </row>
    <row r="1160" customFormat="false" ht="15" hidden="false" customHeight="false" outlineLevel="0" collapsed="false">
      <c r="A1160" s="52" t="n">
        <v>45888</v>
      </c>
      <c r="B1160" s="57" t="n">
        <v>0.014907</v>
      </c>
      <c r="C1160" s="57" t="n">
        <v>0.018357</v>
      </c>
      <c r="D1160" s="57" t="n">
        <v>0.019427</v>
      </c>
    </row>
    <row r="1161" customFormat="false" ht="15" hidden="false" customHeight="false" outlineLevel="0" collapsed="false">
      <c r="A1161" s="52" t="n">
        <v>45889</v>
      </c>
      <c r="B1161" s="57" t="n">
        <v>0.015059</v>
      </c>
      <c r="C1161" s="57" t="n">
        <v>0.018348</v>
      </c>
      <c r="D1161" s="57" t="n">
        <v>0.019327</v>
      </c>
    </row>
    <row r="1162" customFormat="false" ht="15" hidden="false" customHeight="false" outlineLevel="0" collapsed="false">
      <c r="A1162" s="52" t="n">
        <v>45890</v>
      </c>
      <c r="B1162" s="57" t="n">
        <v>0.015112</v>
      </c>
      <c r="C1162" s="57" t="n">
        <v>0.018244</v>
      </c>
      <c r="D1162" s="57" t="n">
        <v>0.019313</v>
      </c>
    </row>
    <row r="1163" customFormat="false" ht="15" hidden="false" customHeight="false" outlineLevel="0" collapsed="false">
      <c r="A1163" s="52" t="n">
        <v>45891</v>
      </c>
      <c r="B1163" s="57" t="n">
        <v>0.015064</v>
      </c>
      <c r="C1163" s="57" t="n">
        <v>0.018191</v>
      </c>
      <c r="D1163" s="57" t="n">
        <v>0.019351</v>
      </c>
    </row>
    <row r="1164" customFormat="false" ht="15" hidden="false" customHeight="false" outlineLevel="0" collapsed="false">
      <c r="A1164" s="52" t="n">
        <v>45894</v>
      </c>
      <c r="B1164" s="57" t="n">
        <v>0.015022</v>
      </c>
      <c r="C1164" s="57" t="n">
        <v>0.018095</v>
      </c>
      <c r="D1164" s="57" t="n">
        <v>0.019272</v>
      </c>
    </row>
    <row r="1165" customFormat="false" ht="15" hidden="false" customHeight="false" outlineLevel="0" collapsed="false">
      <c r="A1165" s="52" t="n">
        <v>45895</v>
      </c>
      <c r="B1165" s="57" t="n">
        <v>0.014973</v>
      </c>
      <c r="C1165" s="57" t="n">
        <v>0.01804</v>
      </c>
      <c r="D1165" s="57" t="n">
        <v>0.019234</v>
      </c>
    </row>
    <row r="1166" customFormat="false" ht="15" hidden="false" customHeight="false" outlineLevel="0" collapsed="false">
      <c r="A1166" s="52" t="n">
        <v>45896</v>
      </c>
      <c r="B1166" s="57" t="n">
        <v>0.014925</v>
      </c>
      <c r="C1166" s="57" t="n">
        <v>0.018033</v>
      </c>
      <c r="D1166" s="57" t="n">
        <v>0.019187</v>
      </c>
    </row>
    <row r="1167" customFormat="false" ht="15" hidden="false" customHeight="false" outlineLevel="0" collapsed="false">
      <c r="A1167" s="52" t="n">
        <v>45897</v>
      </c>
      <c r="B1167" s="57" t="n">
        <v>0.014977</v>
      </c>
      <c r="C1167" s="57" t="n">
        <v>0.018136</v>
      </c>
      <c r="D1167" s="57" t="n">
        <v>0.019237</v>
      </c>
    </row>
    <row r="1168" customFormat="false" ht="15" hidden="false" customHeight="false" outlineLevel="0" collapsed="false">
      <c r="A1168" s="52" t="n">
        <v>45898</v>
      </c>
      <c r="B1168" s="57" t="n">
        <v>0.014776</v>
      </c>
      <c r="C1168" s="57" t="n">
        <v>0.018236</v>
      </c>
      <c r="D1168" s="57" t="n">
        <v>0.019241</v>
      </c>
    </row>
    <row r="1169" customFormat="false" ht="15" hidden="false" customHeight="false" outlineLevel="0" collapsed="false">
      <c r="A1169" s="52" t="n">
        <v>45901</v>
      </c>
      <c r="B1169" s="57" t="n">
        <v>0.014776</v>
      </c>
      <c r="C1169" s="57" t="n">
        <v>0.018235</v>
      </c>
      <c r="D1169" s="57" t="n">
        <v>0.019244</v>
      </c>
    </row>
    <row r="1170" customFormat="false" ht="15" hidden="false" customHeight="false" outlineLevel="0" collapsed="false">
      <c r="A1170" s="52" t="n">
        <v>45902</v>
      </c>
      <c r="B1170" s="57" t="n">
        <v>0.014751</v>
      </c>
      <c r="C1170" s="57" t="n">
        <v>0.018223</v>
      </c>
      <c r="D1170" s="57" t="n">
        <v>0.019241</v>
      </c>
    </row>
    <row r="1171" customFormat="false" ht="15" hidden="false" customHeight="false" outlineLevel="0" collapsed="false">
      <c r="A1171" s="52" t="n">
        <v>45903</v>
      </c>
      <c r="B1171" s="57" t="n">
        <v>0.014701</v>
      </c>
      <c r="C1171" s="57" t="n">
        <v>0.018162</v>
      </c>
      <c r="D1171" s="57" t="n">
        <v>0.019139</v>
      </c>
    </row>
    <row r="1172" customFormat="false" ht="15" hidden="false" customHeight="false" outlineLevel="0" collapsed="false">
      <c r="A1172" s="52" t="n">
        <v>45904</v>
      </c>
      <c r="B1172" s="57" t="n">
        <v>0.014751</v>
      </c>
      <c r="C1172" s="57" t="n">
        <v>0.018131</v>
      </c>
      <c r="D1172" s="57" t="n">
        <v>0.019012</v>
      </c>
    </row>
    <row r="1173" customFormat="false" ht="15" hidden="false" customHeight="false" outlineLevel="0" collapsed="false">
      <c r="A1173" s="52" t="n">
        <v>45905</v>
      </c>
      <c r="B1173" s="57" t="n">
        <v>0.014876</v>
      </c>
      <c r="C1173" s="57" t="n">
        <v>0.018238</v>
      </c>
      <c r="D1173" s="57" t="n">
        <v>0.018977</v>
      </c>
    </row>
    <row r="1174" customFormat="false" ht="15" hidden="false" customHeight="false" outlineLevel="0" collapsed="false">
      <c r="A1174" s="52" t="n">
        <v>45908</v>
      </c>
      <c r="B1174" s="57" t="n">
        <v>0.01495</v>
      </c>
      <c r="C1174" s="57" t="n">
        <v>0.018411</v>
      </c>
      <c r="D1174" s="57" t="n">
        <v>0.019196</v>
      </c>
    </row>
    <row r="1175" customFormat="false" ht="15" hidden="false" customHeight="false" outlineLevel="0" collapsed="false">
      <c r="A1175" s="52" t="n">
        <v>45909</v>
      </c>
      <c r="B1175" s="57" t="n">
        <v>0.01495</v>
      </c>
      <c r="C1175" s="57" t="n">
        <v>0.018501</v>
      </c>
      <c r="D1175" s="57" t="n">
        <v>0.019313</v>
      </c>
    </row>
    <row r="1176" customFormat="false" ht="15" hidden="false" customHeight="false" outlineLevel="0" collapsed="false">
      <c r="A1176" s="52" t="n">
        <v>45910</v>
      </c>
      <c r="B1176" s="57" t="n">
        <v>0.015048</v>
      </c>
      <c r="C1176" s="57" t="n">
        <v>0.018664</v>
      </c>
      <c r="D1176" s="57" t="n">
        <v>0.019471</v>
      </c>
    </row>
    <row r="1177" customFormat="false" ht="15" hidden="false" customHeight="false" outlineLevel="0" collapsed="false">
      <c r="A1177" s="52" t="n">
        <v>45911</v>
      </c>
      <c r="B1177" s="57" t="n">
        <v>0.014923</v>
      </c>
      <c r="C1177" s="57" t="n">
        <v>0.018646</v>
      </c>
      <c r="D1177" s="57" t="n">
        <v>0.019576</v>
      </c>
    </row>
    <row r="1178" customFormat="false" ht="15" hidden="false" customHeight="false" outlineLevel="0" collapsed="false">
      <c r="A1178" s="52" t="n">
        <v>45912</v>
      </c>
      <c r="B1178" s="57" t="n">
        <v>0.014973</v>
      </c>
      <c r="C1178" s="57" t="n">
        <v>0.018605</v>
      </c>
      <c r="D1178" s="57" t="n">
        <v>0.019601</v>
      </c>
    </row>
    <row r="1179" customFormat="false" ht="15" hidden="false" customHeight="false" outlineLevel="0" collapsed="false">
      <c r="A1179" s="52" t="n">
        <v>45915</v>
      </c>
      <c r="B1179" s="57" t="n">
        <v>0.014973</v>
      </c>
      <c r="C1179" s="57" t="n">
        <v>0.018523</v>
      </c>
      <c r="D1179" s="57" t="n">
        <v>0.019519</v>
      </c>
    </row>
    <row r="1180" customFormat="false" ht="15" hidden="false" customHeight="false" outlineLevel="0" collapsed="false">
      <c r="A1180" s="52" t="n">
        <v>45916</v>
      </c>
      <c r="B1180" s="57" t="n">
        <v>0.015083</v>
      </c>
      <c r="C1180" s="57" t="n">
        <v>0.018447</v>
      </c>
      <c r="D1180" s="57" t="n">
        <v>0.019602</v>
      </c>
    </row>
    <row r="1181" customFormat="false" ht="15" hidden="false" customHeight="false" outlineLevel="0" collapsed="false">
      <c r="A1181" s="52" t="n">
        <v>45917</v>
      </c>
      <c r="B1181" s="57" t="n">
        <v>0.014953</v>
      </c>
      <c r="C1181" s="57" t="n">
        <v>0.018277</v>
      </c>
      <c r="D1181" s="57" t="n">
        <v>0.01953</v>
      </c>
    </row>
    <row r="1182" customFormat="false" ht="15" hidden="false" customHeight="false" outlineLevel="0" collapsed="false">
      <c r="A1182" s="52" t="n">
        <v>45918</v>
      </c>
      <c r="B1182" s="57" t="n">
        <v>0.015053</v>
      </c>
      <c r="C1182" s="57" t="n">
        <v>0.018291</v>
      </c>
      <c r="D1182" s="57" t="n">
        <v>0.019557</v>
      </c>
    </row>
    <row r="1183" customFormat="false" ht="15" hidden="false" customHeight="false" outlineLevel="0" collapsed="false">
      <c r="A1183" s="52" t="n">
        <v>45919</v>
      </c>
      <c r="B1183" s="57" t="n">
        <v>0.015124</v>
      </c>
      <c r="C1183" s="57" t="n">
        <v>0.018401</v>
      </c>
      <c r="D1183" s="57" t="n">
        <v>0.019623</v>
      </c>
    </row>
    <row r="1184" customFormat="false" ht="15" hidden="false" customHeight="false" outlineLevel="0" collapsed="false">
      <c r="A1184" s="52" t="n">
        <v>45922</v>
      </c>
      <c r="B1184" s="57" t="n">
        <v>0.015049</v>
      </c>
      <c r="C1184" s="57" t="n">
        <v>0.018401</v>
      </c>
      <c r="D1184" s="57" t="n">
        <v>0.019571</v>
      </c>
    </row>
    <row r="1185" customFormat="false" ht="15" hidden="false" customHeight="false" outlineLevel="0" collapsed="false">
      <c r="A1185" s="52" t="n">
        <v>45923</v>
      </c>
      <c r="B1185" s="57" t="n">
        <v>0.015245</v>
      </c>
      <c r="C1185" s="57" t="n">
        <v>0.018401</v>
      </c>
      <c r="D1185" s="57" t="n">
        <v>0.019617</v>
      </c>
    </row>
    <row r="1186" customFormat="false" ht="15" hidden="false" customHeight="false" outlineLevel="0" collapsed="false">
      <c r="A1186" s="52" t="n">
        <v>45924</v>
      </c>
      <c r="B1186" s="57" t="n">
        <v>0.015335</v>
      </c>
      <c r="C1186" s="57" t="n">
        <v>0.018577</v>
      </c>
      <c r="D1186" s="57" t="n">
        <v>0.019919</v>
      </c>
    </row>
    <row r="1187" customFormat="false" ht="15" hidden="false" customHeight="false" outlineLevel="0" collapsed="false">
      <c r="A1187" s="52" t="n">
        <v>45925</v>
      </c>
      <c r="B1187" s="57" t="n">
        <v>0.015336</v>
      </c>
      <c r="C1187" s="57" t="n">
        <v>0.018798</v>
      </c>
      <c r="D1187" s="57" t="n">
        <v>0.020316</v>
      </c>
    </row>
    <row r="1188" customFormat="false" ht="15" hidden="false" customHeight="false" outlineLevel="0" collapsed="false">
      <c r="A1188" s="52" t="n">
        <v>45926</v>
      </c>
      <c r="B1188" s="57" t="n">
        <v>0.015401</v>
      </c>
      <c r="C1188" s="57" t="n">
        <v>0.018913</v>
      </c>
      <c r="D1188" s="57" t="n">
        <v>0.020303</v>
      </c>
    </row>
    <row r="1189" customFormat="false" ht="15" hidden="false" customHeight="false" outlineLevel="0" collapsed="false">
      <c r="A1189" s="52" t="n">
        <v>45928</v>
      </c>
      <c r="B1189" s="57" t="n">
        <v>0.015359</v>
      </c>
      <c r="C1189" s="57" t="n">
        <v>0.018933</v>
      </c>
      <c r="D1189" s="57" t="n">
        <v>0.020322</v>
      </c>
    </row>
    <row r="1190" customFormat="false" ht="15" hidden="false" customHeight="false" outlineLevel="0" collapsed="false">
      <c r="A1190" s="52" t="n">
        <v>45929</v>
      </c>
      <c r="B1190" s="57" t="n">
        <v>0.015349</v>
      </c>
      <c r="C1190" s="57" t="n">
        <v>0.018948</v>
      </c>
      <c r="D1190" s="57" t="n">
        <v>0.020373</v>
      </c>
    </row>
    <row r="1191" customFormat="false" ht="15" hidden="false" customHeight="false" outlineLevel="0" collapsed="false">
      <c r="A1191" s="52" t="n">
        <v>45930</v>
      </c>
      <c r="B1191" s="57" t="n">
        <v>0.015204</v>
      </c>
      <c r="C1191" s="57" t="n">
        <v>0.018821</v>
      </c>
      <c r="D1191" s="57" t="n">
        <v>0.020169</v>
      </c>
    </row>
    <row r="1192" customFormat="false" ht="15" hidden="false" customHeight="false" outlineLevel="0" collapsed="false">
      <c r="A1192" s="52" t="n">
        <v>45939</v>
      </c>
      <c r="B1192" s="57" t="n">
        <v>0.015144</v>
      </c>
      <c r="C1192" s="57" t="n">
        <v>0.018694</v>
      </c>
      <c r="D1192" s="57" t="n">
        <v>0.020043</v>
      </c>
    </row>
    <row r="1193" customFormat="false" ht="15" hidden="false" customHeight="false" outlineLevel="0" collapsed="false">
      <c r="A1193" s="52" t="n">
        <v>45940</v>
      </c>
      <c r="B1193" s="57" t="n">
        <v>0.015198</v>
      </c>
      <c r="C1193" s="57" t="n">
        <v>0.018617</v>
      </c>
      <c r="D1193" s="57" t="n">
        <v>0.02001</v>
      </c>
    </row>
    <row r="1194" customFormat="false" ht="15" hidden="false" customHeight="false" outlineLevel="0" collapsed="false">
      <c r="A1194" s="52" t="n">
        <v>45941</v>
      </c>
      <c r="B1194" s="57" t="n">
        <v>0.015029</v>
      </c>
      <c r="C1194" s="57" t="n">
        <v>0.01834</v>
      </c>
      <c r="D1194" s="57" t="n">
        <v>0.019881</v>
      </c>
    </row>
    <row r="1195" customFormat="false" ht="15" hidden="false" customHeight="false" outlineLevel="0" collapsed="false">
      <c r="A1195" s="52" t="n">
        <v>45943</v>
      </c>
      <c r="B1195" s="57" t="n">
        <v>0.015114</v>
      </c>
      <c r="C1195" s="57" t="n">
        <v>0.018474</v>
      </c>
      <c r="D1195" s="57" t="n">
        <v>0.019784</v>
      </c>
    </row>
    <row r="1196" customFormat="false" ht="15" hidden="false" customHeight="false" outlineLevel="0" collapsed="false">
      <c r="A1196" s="52" t="n">
        <v>45944</v>
      </c>
      <c r="B1196" s="57" t="n">
        <v>0.015102</v>
      </c>
      <c r="C1196" s="57" t="n">
        <v>0.018509</v>
      </c>
      <c r="D1196" s="57" t="n">
        <v>0.019779</v>
      </c>
    </row>
    <row r="1197" customFormat="false" ht="15" hidden="false" customHeight="false" outlineLevel="0" collapsed="false">
      <c r="A1197" s="52" t="n">
        <v>45945</v>
      </c>
      <c r="B1197" s="57" t="n">
        <v>0.015183</v>
      </c>
      <c r="C1197" s="57" t="n">
        <v>0.018542</v>
      </c>
      <c r="D1197" s="57" t="n">
        <v>0.019775</v>
      </c>
    </row>
    <row r="1198" customFormat="false" ht="15" hidden="false" customHeight="false" outlineLevel="0" collapsed="false">
      <c r="A1198" s="52" t="n">
        <v>45946</v>
      </c>
      <c r="B1198" s="57" t="n">
        <v>0.015203</v>
      </c>
      <c r="C1198" s="57" t="n">
        <v>0.018493</v>
      </c>
      <c r="D1198" s="57" t="n">
        <v>0.019683</v>
      </c>
    </row>
    <row r="1199" customFormat="false" ht="15" hidden="false" customHeight="false" outlineLevel="0" collapsed="false">
      <c r="A1199" s="52" t="n">
        <v>45947</v>
      </c>
      <c r="B1199" s="57" t="n">
        <v>0.01514</v>
      </c>
      <c r="C1199" s="57" t="n">
        <v>0.018448</v>
      </c>
      <c r="D1199" s="57" t="n">
        <v>0.019555</v>
      </c>
    </row>
    <row r="1200" customFormat="false" ht="15" hidden="false" customHeight="false" outlineLevel="0" collapsed="false">
      <c r="A1200" s="52" t="n">
        <v>45950</v>
      </c>
      <c r="B1200" s="57" t="n">
        <v>0.01536</v>
      </c>
      <c r="C1200" s="57" t="n">
        <v>0.018497</v>
      </c>
      <c r="D1200" s="57" t="n">
        <v>0.019566</v>
      </c>
    </row>
    <row r="1201" customFormat="false" ht="15" hidden="false" customHeight="false" outlineLevel="0" collapsed="false">
      <c r="A1201" s="52" t="n">
        <v>45951</v>
      </c>
      <c r="B1201" s="57" t="n">
        <v>0.015311</v>
      </c>
      <c r="C1201" s="57" t="n">
        <v>0.018637</v>
      </c>
      <c r="D1201" s="57" t="n">
        <v>0.019484</v>
      </c>
    </row>
    <row r="1202" customFormat="false" ht="15" hidden="false" customHeight="false" outlineLevel="0" collapsed="false">
      <c r="A1202" s="52" t="n">
        <v>45952</v>
      </c>
      <c r="B1202" s="57" t="n">
        <v>0.015332</v>
      </c>
      <c r="C1202" s="57" t="n">
        <v>0.018837</v>
      </c>
      <c r="D1202" s="57" t="n">
        <v>0.019596</v>
      </c>
    </row>
    <row r="1203" customFormat="false" ht="15" hidden="false" customHeight="false" outlineLevel="0" collapsed="false">
      <c r="A1203" s="52" t="n">
        <v>45953</v>
      </c>
      <c r="B1203" s="57" t="n">
        <v>0.015325</v>
      </c>
      <c r="C1203" s="57" t="n">
        <v>0.018887</v>
      </c>
      <c r="D1203" s="57" t="n">
        <v>0.019418</v>
      </c>
    </row>
    <row r="1204" customFormat="false" ht="15" hidden="false" customHeight="false" outlineLevel="0" collapsed="false">
      <c r="A1204" s="52" t="n">
        <v>45954</v>
      </c>
      <c r="B1204" s="57" t="n">
        <v>0.015294</v>
      </c>
      <c r="C1204" s="57" t="n">
        <v>0.018878</v>
      </c>
      <c r="D1204" s="57" t="n">
        <v>0.019256</v>
      </c>
    </row>
    <row r="1205" customFormat="false" ht="15" hidden="false" customHeight="false" outlineLevel="0" collapsed="false">
      <c r="A1205" s="52" t="n">
        <v>45957</v>
      </c>
      <c r="B1205" s="57" t="n">
        <v>0.015169</v>
      </c>
      <c r="C1205" s="57" t="n">
        <v>0.018842</v>
      </c>
      <c r="D1205" s="57" t="n">
        <v>0.0193</v>
      </c>
    </row>
    <row r="1206" customFormat="false" ht="15" hidden="false" customHeight="false" outlineLevel="0" collapsed="false">
      <c r="A1206" s="52" t="n">
        <v>45958</v>
      </c>
      <c r="B1206" s="57" t="n">
        <v>0.014655</v>
      </c>
      <c r="C1206" s="57" t="n">
        <v>0.018635</v>
      </c>
      <c r="D1206" s="57" t="n">
        <v>0.019153</v>
      </c>
    </row>
    <row r="1207" customFormat="false" ht="15" hidden="false" customHeight="false" outlineLevel="0" collapsed="false">
      <c r="A1207" s="52" t="n">
        <v>45959</v>
      </c>
      <c r="B1207" s="57" t="n">
        <v>0.014254</v>
      </c>
      <c r="C1207" s="57" t="n">
        <v>0.01846</v>
      </c>
      <c r="D1207" s="57" t="n">
        <v>0.019023</v>
      </c>
    </row>
    <row r="1208" customFormat="false" ht="15" hidden="false" customHeight="false" outlineLevel="0" collapsed="false">
      <c r="A1208" s="52" t="n">
        <v>45960</v>
      </c>
      <c r="B1208" s="57" t="n">
        <v>0.014132</v>
      </c>
      <c r="C1208" s="57" t="n">
        <v>0.018353</v>
      </c>
      <c r="D1208" s="57" t="n">
        <v>0.018942</v>
      </c>
    </row>
    <row r="1209" customFormat="false" ht="15" hidden="false" customHeight="false" outlineLevel="0" collapsed="false">
      <c r="A1209" s="52" t="n">
        <v>45961</v>
      </c>
      <c r="B1209" s="57" t="n">
        <v>0.014146</v>
      </c>
      <c r="C1209" s="57" t="n">
        <v>0.018076</v>
      </c>
      <c r="D1209" s="57" t="n">
        <v>0.018777</v>
      </c>
    </row>
    <row r="1210" customFormat="false" ht="15" hidden="false" customHeight="false" outlineLevel="0" collapsed="false">
      <c r="A1210" s="52" t="n">
        <v>45964</v>
      </c>
      <c r="B1210" s="57" t="n">
        <v>0.014211</v>
      </c>
      <c r="C1210" s="57" t="n">
        <v>0.018037</v>
      </c>
      <c r="D1210" s="57" t="n">
        <v>0.018711</v>
      </c>
    </row>
    <row r="1211" customFormat="false" ht="15" hidden="false" customHeight="false" outlineLevel="0" collapsed="false">
      <c r="A1211" s="52" t="n">
        <v>45965</v>
      </c>
      <c r="B1211" s="57" t="n">
        <v>0.014311</v>
      </c>
      <c r="C1211" s="57" t="n">
        <v>0.018035</v>
      </c>
      <c r="D1211" s="57" t="n">
        <v>0.018749</v>
      </c>
    </row>
    <row r="1212" customFormat="false" ht="15" hidden="false" customHeight="false" outlineLevel="0" collapsed="false">
      <c r="A1212" s="52" t="n">
        <v>45966</v>
      </c>
      <c r="B1212" s="57" t="n">
        <v>0.014452</v>
      </c>
      <c r="C1212" s="57" t="n">
        <v>0.017989</v>
      </c>
      <c r="D1212" s="57" t="n">
        <v>0.018635</v>
      </c>
    </row>
    <row r="1213" customFormat="false" ht="15" hidden="false" customHeight="false" outlineLevel="0" collapsed="false">
      <c r="A1213" s="52" t="n">
        <v>45967</v>
      </c>
      <c r="B1213" s="57" t="n">
        <v>0.014479</v>
      </c>
      <c r="C1213" s="57" t="n">
        <v>0.018067</v>
      </c>
      <c r="D1213" s="57" t="n">
        <v>0.018661</v>
      </c>
    </row>
    <row r="1214" customFormat="false" ht="15" hidden="false" customHeight="false" outlineLevel="0" collapsed="false">
      <c r="A1214" s="52" t="n">
        <v>45968</v>
      </c>
      <c r="B1214" s="57" t="n">
        <v>0.014449</v>
      </c>
      <c r="C1214" s="57" t="n">
        <v>0.018269</v>
      </c>
      <c r="D1214" s="57" t="n">
        <v>0.018724</v>
      </c>
    </row>
    <row r="1215" customFormat="false" ht="15" hidden="false" customHeight="false" outlineLevel="0" collapsed="false">
      <c r="A1215" s="52" t="n">
        <v>45971</v>
      </c>
      <c r="B1215" s="57" t="n">
        <v>0.014449</v>
      </c>
      <c r="C1215" s="57" t="n">
        <v>0.018314</v>
      </c>
      <c r="D1215" s="57" t="n">
        <v>0.018875</v>
      </c>
    </row>
    <row r="1216" customFormat="false" ht="15" hidden="false" customHeight="false" outlineLevel="0" collapsed="false">
      <c r="A1216" s="52" t="n">
        <v>45972</v>
      </c>
      <c r="B1216" s="57" t="n">
        <v>0.014384</v>
      </c>
      <c r="C1216" s="57" t="n">
        <v>0.018256</v>
      </c>
      <c r="D1216" s="57" t="n">
        <v>0.018906</v>
      </c>
    </row>
    <row r="1217" customFormat="false" ht="15" hidden="false" customHeight="false" outlineLevel="0" collapsed="false">
      <c r="A1217" s="52" t="n">
        <v>45973</v>
      </c>
      <c r="B1217" s="57" t="n">
        <v>0.01438</v>
      </c>
      <c r="C1217" s="57" t="n">
        <v>0.018201</v>
      </c>
      <c r="D1217" s="57" t="n">
        <v>0.01888</v>
      </c>
    </row>
    <row r="1218" customFormat="false" ht="15" hidden="false" customHeight="false" outlineLevel="0" collapsed="false">
      <c r="A1218" s="52" t="n">
        <v>45974</v>
      </c>
      <c r="B1218" s="57" t="n">
        <v>0.014405</v>
      </c>
      <c r="C1218" s="57" t="n">
        <v>0.018202</v>
      </c>
      <c r="D1218" s="57" t="n">
        <v>0.018793</v>
      </c>
    </row>
    <row r="1219" customFormat="false" ht="15" hidden="false" customHeight="false" outlineLevel="0" collapsed="false">
      <c r="A1219" s="52" t="n">
        <v>45975</v>
      </c>
      <c r="B1219" s="57" t="n">
        <v>0.014397</v>
      </c>
      <c r="C1219" s="57" t="n">
        <v>0.018153</v>
      </c>
      <c r="D1219" s="57" t="n">
        <v>0.018821</v>
      </c>
    </row>
    <row r="1220" customFormat="false" ht="15" hidden="false" customHeight="false" outlineLevel="0" collapsed="false">
      <c r="A1220" s="52" t="n">
        <v>45978</v>
      </c>
      <c r="B1220" s="57" t="n">
        <v>0.014381</v>
      </c>
      <c r="C1220" s="57" t="n">
        <v>0.018056</v>
      </c>
      <c r="D1220" s="57" t="n">
        <v>0.018702</v>
      </c>
    </row>
    <row r="1221" customFormat="false" ht="15" hidden="false" customHeight="false" outlineLevel="0" collapsed="false">
      <c r="A1221" s="52" t="n">
        <v>45979</v>
      </c>
      <c r="B1221" s="57" t="n">
        <v>0.014381</v>
      </c>
      <c r="C1221" s="57" t="n">
        <v>0.01801</v>
      </c>
      <c r="D1221" s="57" t="n">
        <v>0.01861</v>
      </c>
    </row>
    <row r="1222" customFormat="false" ht="15" hidden="false" customHeight="false" outlineLevel="0" collapsed="false">
      <c r="A1222" s="52" t="n">
        <v>45980</v>
      </c>
      <c r="B1222" s="57" t="n">
        <v>0.014386</v>
      </c>
      <c r="C1222" s="57" t="n">
        <v>0.017966</v>
      </c>
      <c r="D1222" s="57" t="n">
        <v>0.018622</v>
      </c>
    </row>
    <row r="1223" customFormat="false" ht="15" hidden="false" customHeight="false" outlineLevel="0" collapsed="false">
      <c r="A1223" s="52" t="n">
        <v>45981</v>
      </c>
      <c r="B1223" s="57" t="n">
        <v>0.014356</v>
      </c>
      <c r="C1223" s="57" t="n">
        <v>0.017987</v>
      </c>
      <c r="D1223" s="57" t="n">
        <v>0.018563</v>
      </c>
    </row>
    <row r="1224" customFormat="false" ht="15" hidden="false" customHeight="false" outlineLevel="0" collapsed="false">
      <c r="A1224" s="52" t="n">
        <v>45982</v>
      </c>
      <c r="B1224" s="57" t="n">
        <v>0.014348</v>
      </c>
      <c r="C1224" s="57" t="n">
        <v>0.017988</v>
      </c>
      <c r="D1224" s="57" t="n">
        <v>0.018588</v>
      </c>
    </row>
    <row r="1225" customFormat="false" ht="15" hidden="false" customHeight="false" outlineLevel="0" collapsed="false">
      <c r="A1225" s="52" t="n">
        <v>45985</v>
      </c>
      <c r="B1225" s="57" t="n">
        <v>0.014348</v>
      </c>
      <c r="C1225" s="57" t="n">
        <v>0.018042</v>
      </c>
      <c r="D1225" s="57" t="n">
        <v>0.018603</v>
      </c>
    </row>
    <row r="1226" customFormat="false" ht="15" hidden="false" customHeight="false" outlineLevel="0" collapsed="false">
      <c r="A1226" s="52" t="n">
        <v>45986</v>
      </c>
      <c r="B1226" s="57" t="n">
        <v>0.014338</v>
      </c>
      <c r="C1226" s="57" t="n">
        <v>0.018115</v>
      </c>
      <c r="D1226" s="57" t="n">
        <v>0.018649</v>
      </c>
    </row>
    <row r="1227" customFormat="false" ht="15" hidden="false" customHeight="false" outlineLevel="0" collapsed="false">
      <c r="A1227" s="52" t="n">
        <v>45987</v>
      </c>
      <c r="B1227" s="57" t="n">
        <v>0.014368</v>
      </c>
      <c r="C1227" s="57" t="n">
        <v>0.018305</v>
      </c>
      <c r="D1227" s="57" t="n">
        <v>0.01893</v>
      </c>
    </row>
    <row r="1228" customFormat="false" ht="15" hidden="false" customHeight="false" outlineLevel="0" collapsed="false">
      <c r="A1228" s="52" t="n">
        <v>45988</v>
      </c>
      <c r="B1228" s="57" t="n">
        <v>0.014501</v>
      </c>
      <c r="C1228" s="57" t="n">
        <v>0.018462</v>
      </c>
      <c r="D1228" s="57" t="n">
        <v>0.019119</v>
      </c>
    </row>
    <row r="1229" customFormat="false" ht="15" hidden="false" customHeight="false" outlineLevel="0" collapsed="false">
      <c r="A1229" s="52" t="n">
        <v>45989</v>
      </c>
      <c r="B1229" s="57" t="n">
        <v>0.014351</v>
      </c>
      <c r="C1229" s="57" t="n">
        <v>0.01827</v>
      </c>
      <c r="D1229" s="57" t="n">
        <v>0.019202</v>
      </c>
    </row>
    <row r="1230" customFormat="false" ht="15" hidden="false" customHeight="false" outlineLevel="0" collapsed="false">
      <c r="A1230" s="52" t="n">
        <v>45992</v>
      </c>
      <c r="B1230" s="57" t="n">
        <v>0.014353</v>
      </c>
      <c r="C1230" s="57" t="n">
        <v>0.018276</v>
      </c>
      <c r="D1230" s="57" t="n">
        <v>0.019108</v>
      </c>
    </row>
    <row r="1231" customFormat="false" ht="15" hidden="false" customHeight="false" outlineLevel="0" collapsed="false">
      <c r="A1231" s="52" t="n">
        <v>45993</v>
      </c>
      <c r="B1231" s="57" t="n">
        <v>0.014369</v>
      </c>
      <c r="C1231" s="57" t="n">
        <v>0.018426</v>
      </c>
      <c r="D1231" s="57" t="n">
        <v>0.019211</v>
      </c>
    </row>
    <row r="1232" customFormat="false" ht="15" hidden="false" customHeight="false" outlineLevel="0" collapsed="false">
      <c r="A1232" s="52" t="n">
        <v>45994</v>
      </c>
      <c r="B1232" s="57" t="n">
        <v>0.014329</v>
      </c>
      <c r="C1232" s="57" t="n">
        <v>0.01845</v>
      </c>
      <c r="D1232" s="57" t="n">
        <v>0.019216</v>
      </c>
    </row>
    <row r="1233" customFormat="false" ht="15" hidden="false" customHeight="false" outlineLevel="0" collapsed="false">
      <c r="A1233" s="52" t="n">
        <v>45995</v>
      </c>
      <c r="B1233" s="57" t="n">
        <v>0.014357</v>
      </c>
      <c r="C1233" s="57" t="n">
        <v>0.018647</v>
      </c>
      <c r="D1233" s="57" t="n">
        <v>0.01949</v>
      </c>
    </row>
    <row r="1234" customFormat="false" ht="15" hidden="false" customHeight="false" outlineLevel="0" collapsed="false">
      <c r="A1234" s="52" t="n">
        <v>45996</v>
      </c>
      <c r="B1234" s="57" t="n">
        <v>0.014205</v>
      </c>
      <c r="C1234" s="57" t="n">
        <v>0.018614</v>
      </c>
      <c r="D1234" s="57" t="n">
        <v>0.019489</v>
      </c>
    </row>
    <row r="1235" customFormat="false" ht="15" hidden="false" customHeight="false" outlineLevel="0" collapsed="false">
      <c r="A1235" s="52" t="n">
        <v>45999</v>
      </c>
      <c r="B1235" s="57" t="n">
        <v>0.014155</v>
      </c>
      <c r="C1235" s="57" t="n">
        <v>0.018752</v>
      </c>
      <c r="D1235" s="57" t="n">
        <v>0.019641</v>
      </c>
    </row>
    <row r="1236" customFormat="false" ht="15" hidden="false" customHeight="false" outlineLevel="0" collapsed="false">
      <c r="A1236" s="52" t="n">
        <v>46000</v>
      </c>
      <c r="B1236" s="57" t="n">
        <v>0.014131</v>
      </c>
      <c r="C1236" s="57" t="n">
        <v>0.018576</v>
      </c>
      <c r="D1236" s="57" t="n">
        <v>0.019495</v>
      </c>
    </row>
    <row r="1237" customFormat="false" ht="15" hidden="false" customHeight="false" outlineLevel="0" collapsed="false">
      <c r="A1237" s="52" t="n">
        <v>46001</v>
      </c>
      <c r="B1237" s="57" t="n">
        <v>0.014109</v>
      </c>
      <c r="C1237" s="57" t="n">
        <v>0.018502</v>
      </c>
      <c r="D1237" s="57" t="n">
        <v>0.019412</v>
      </c>
    </row>
    <row r="1238" customFormat="false" ht="15" hidden="false" customHeight="false" outlineLevel="0" collapsed="false">
      <c r="A1238" s="52" t="n">
        <v>46002</v>
      </c>
      <c r="B1238" s="57" t="n">
        <v>0.014109</v>
      </c>
      <c r="C1238" s="57" t="n">
        <v>0.018383</v>
      </c>
      <c r="D1238" s="57" t="n">
        <v>0.019212</v>
      </c>
    </row>
    <row r="1239" customFormat="false" ht="15" hidden="false" customHeight="false" outlineLevel="0" collapsed="false">
      <c r="A1239" s="52" t="n">
        <v>46003</v>
      </c>
      <c r="B1239" s="57" t="n">
        <v>0.014161</v>
      </c>
      <c r="C1239" s="57" t="n">
        <v>0.018421</v>
      </c>
      <c r="D1239" s="57" t="n">
        <v>0.019185</v>
      </c>
    </row>
    <row r="1240" customFormat="false" ht="15" hidden="false" customHeight="false" outlineLevel="0" collapsed="false">
      <c r="A1240" s="52" t="n">
        <v>46006</v>
      </c>
      <c r="B1240" s="57" t="n">
        <v>0.014214</v>
      </c>
      <c r="C1240" s="57" t="n">
        <v>0.018588</v>
      </c>
      <c r="D1240" s="57" t="n">
        <v>0.019258</v>
      </c>
    </row>
    <row r="1241" customFormat="false" ht="15" hidden="false" customHeight="false" outlineLevel="0" collapsed="false">
      <c r="A1241" s="52" t="n">
        <v>46007</v>
      </c>
      <c r="B1241" s="57" t="n">
        <v>0.014213</v>
      </c>
      <c r="C1241" s="57" t="n">
        <v>0.018575</v>
      </c>
      <c r="D1241" s="57" t="n">
        <v>0.019261</v>
      </c>
    </row>
    <row r="1242" customFormat="false" ht="15" hidden="false" customHeight="false" outlineLevel="0" collapsed="false">
      <c r="A1242" s="52" t="n">
        <v>46008</v>
      </c>
      <c r="B1242" s="57" t="n">
        <v>0.014136</v>
      </c>
      <c r="C1242" s="57" t="n">
        <v>0.018419</v>
      </c>
      <c r="D1242" s="57" t="n">
        <v>0.01906</v>
      </c>
    </row>
    <row r="1243" customFormat="false" ht="15" hidden="false" customHeight="false" outlineLevel="0" collapsed="false">
      <c r="A1243" s="52" t="n">
        <v>46009</v>
      </c>
      <c r="B1243" s="57" t="n">
        <v>0.013986</v>
      </c>
      <c r="C1243" s="57" t="n">
        <v>0.018361</v>
      </c>
      <c r="D1243" s="57" t="n">
        <v>0.019018</v>
      </c>
    </row>
    <row r="1244" customFormat="false" ht="15" hidden="false" customHeight="false" outlineLevel="0" collapsed="false">
      <c r="A1244" s="52" t="n">
        <v>46010</v>
      </c>
      <c r="B1244" s="57" t="n">
        <v>0.013941</v>
      </c>
      <c r="C1244" s="57" t="n">
        <v>0.01831</v>
      </c>
      <c r="D1244" s="57" t="n">
        <v>0.018916</v>
      </c>
    </row>
    <row r="1245" customFormat="false" ht="15" hidden="false" customHeight="false" outlineLevel="0" collapsed="false">
      <c r="A1245" s="52" t="n">
        <v>46013</v>
      </c>
      <c r="B1245" s="57" t="n">
        <v>0.013951</v>
      </c>
      <c r="C1245" s="57" t="n">
        <v>0.018317</v>
      </c>
      <c r="D1245" s="57" t="n">
        <v>0.018849</v>
      </c>
    </row>
    <row r="1246" customFormat="false" ht="15" hidden="false" customHeight="false" outlineLevel="0" collapsed="false">
      <c r="A1246" s="52" t="n">
        <v>46014</v>
      </c>
      <c r="B1246" s="57" t="n">
        <v>0.013856</v>
      </c>
      <c r="C1246" s="57" t="n">
        <v>0.01829</v>
      </c>
      <c r="D1246" s="57" t="n">
        <v>0.01878</v>
      </c>
    </row>
    <row r="1247" customFormat="false" ht="15" hidden="false" customHeight="false" outlineLevel="0" collapsed="false">
      <c r="A1247" s="52" t="n">
        <v>46015</v>
      </c>
      <c r="B1247" s="57" t="n">
        <v>0.013784</v>
      </c>
      <c r="C1247" s="57" t="n">
        <v>0.018265</v>
      </c>
      <c r="D1247" s="57" t="n">
        <v>0.018641</v>
      </c>
    </row>
    <row r="1248" customFormat="false" ht="15" hidden="false" customHeight="false" outlineLevel="0" collapsed="false">
      <c r="A1248" s="52" t="n">
        <v>46016</v>
      </c>
      <c r="B1248" s="57" t="n">
        <v>0.013682</v>
      </c>
      <c r="C1248" s="57" t="n">
        <v>0.01822</v>
      </c>
      <c r="D1248" s="57" t="n">
        <v>0.018607</v>
      </c>
    </row>
    <row r="1249" customFormat="false" ht="15" hidden="false" customHeight="false" outlineLevel="0" collapsed="false">
      <c r="A1249" s="52" t="n">
        <v>46017</v>
      </c>
      <c r="B1249" s="57" t="n">
        <v>0.013627</v>
      </c>
      <c r="C1249" s="57" t="n">
        <v>0.018171</v>
      </c>
      <c r="D1249" s="57" t="n">
        <v>0.018595</v>
      </c>
    </row>
    <row r="1250" customFormat="false" ht="15" hidden="false" customHeight="false" outlineLevel="0" collapsed="false">
      <c r="A1250" s="52" t="n">
        <v>46020</v>
      </c>
      <c r="B1250" s="57" t="n">
        <v>0.013762</v>
      </c>
      <c r="C1250" s="57" t="n">
        <v>0.018261</v>
      </c>
      <c r="D1250" s="57" t="n">
        <v>0.018705</v>
      </c>
    </row>
    <row r="1251" customFormat="false" ht="15" hidden="false" customHeight="false" outlineLevel="0" collapsed="false">
      <c r="A1251" s="52" t="n">
        <v>46021</v>
      </c>
      <c r="B1251" s="57" t="n">
        <v>0.01378</v>
      </c>
      <c r="C1251" s="57" t="n">
        <v>0.01832</v>
      </c>
      <c r="D1251" s="57" t="n">
        <v>0.018729</v>
      </c>
    </row>
    <row r="1252" customFormat="false" ht="15" hidden="false" customHeight="false" outlineLevel="0" collapsed="false">
      <c r="A1252" s="52" t="n">
        <v>46022</v>
      </c>
      <c r="B1252" s="57" t="n">
        <v>0.01383</v>
      </c>
      <c r="C1252" s="57" t="n">
        <v>0.01824</v>
      </c>
      <c r="D1252" s="57" t="n">
        <v>0.01891</v>
      </c>
    </row>
    <row r="1253" customFormat="false" ht="15" hidden="false" customHeight="false" outlineLevel="0" collapsed="false">
      <c r="A1253" s="52" t="n">
        <v>46026</v>
      </c>
      <c r="B1253" s="57" t="n">
        <v>0.013752</v>
      </c>
      <c r="C1253" s="57" t="n">
        <v>0.018206</v>
      </c>
      <c r="D1253" s="57" t="n">
        <v>0.018932</v>
      </c>
    </row>
    <row r="1254" customFormat="false" ht="15" hidden="false" customHeight="false" outlineLevel="0" collapsed="false">
      <c r="A1254" s="52" t="n">
        <v>46027</v>
      </c>
      <c r="B1254" s="57" t="n">
        <v>0.014063</v>
      </c>
      <c r="C1254" s="57" t="n">
        <v>0.018257</v>
      </c>
      <c r="D1254" s="57" t="n">
        <v>0.018879</v>
      </c>
    </row>
    <row r="1255" customFormat="false" ht="15" hidden="false" customHeight="false" outlineLevel="0" collapsed="false">
      <c r="A1255" s="52" t="n">
        <v>46028</v>
      </c>
      <c r="B1255" s="57" t="n">
        <v>0.014406</v>
      </c>
      <c r="C1255" s="57" t="n">
        <v>0.018362</v>
      </c>
      <c r="D1255" s="57" t="n">
        <v>0.018931</v>
      </c>
    </row>
    <row r="1256" customFormat="false" ht="15" hidden="false" customHeight="false" outlineLevel="0" collapsed="false">
      <c r="A1256" s="52" t="n">
        <v>46029</v>
      </c>
      <c r="B1256" s="57" t="n">
        <v>0.01475</v>
      </c>
      <c r="C1256" s="57" t="n">
        <v>0.018487</v>
      </c>
      <c r="D1256" s="57" t="n">
        <v>0.018866</v>
      </c>
    </row>
    <row r="1257" customFormat="false" ht="15" hidden="false" customHeight="false" outlineLevel="0" collapsed="false">
      <c r="A1257" s="52" t="n">
        <v>46030</v>
      </c>
      <c r="B1257" s="57" t="n">
        <v>0.014576</v>
      </c>
      <c r="C1257" s="57" t="n">
        <v>0.018438</v>
      </c>
      <c r="D1257" s="57" t="n">
        <v>0.018962</v>
      </c>
    </row>
    <row r="1258" customFormat="false" ht="15" hidden="false" customHeight="false" outlineLevel="0" collapsed="false">
      <c r="A1258" s="52" t="n">
        <v>46031</v>
      </c>
      <c r="B1258" s="57" t="n">
        <v>0.014606</v>
      </c>
      <c r="C1258" s="57" t="n">
        <v>0.018371</v>
      </c>
      <c r="D1258" s="57" t="n">
        <v>0.018935</v>
      </c>
    </row>
    <row r="1259" customFormat="false" ht="15" hidden="false" customHeight="false" outlineLevel="0" collapsed="false">
      <c r="A1259" s="52" t="n">
        <v>46034</v>
      </c>
      <c r="B1259" s="57" t="n">
        <v>0.014601</v>
      </c>
      <c r="C1259" s="57" t="n">
        <v>0.018371</v>
      </c>
      <c r="D1259" s="57" t="n">
        <v>0.018933</v>
      </c>
    </row>
    <row r="1260" customFormat="false" ht="15" hidden="false" customHeight="false" outlineLevel="0" collapsed="false">
      <c r="A1260" s="52" t="n">
        <v>46035</v>
      </c>
      <c r="B1260" s="57" t="n">
        <v>0.014603</v>
      </c>
      <c r="C1260" s="57" t="n">
        <v>0.018353</v>
      </c>
      <c r="D1260" s="57" t="n">
        <v>0.018894</v>
      </c>
    </row>
    <row r="1261" customFormat="false" ht="15" hidden="false" customHeight="false" outlineLevel="0" collapsed="false">
      <c r="A1261" s="52" t="n">
        <v>46036</v>
      </c>
      <c r="B1261" s="57" t="n">
        <v>0.014611</v>
      </c>
      <c r="C1261" s="57" t="n">
        <v>0.018312</v>
      </c>
      <c r="D1261" s="57" t="n">
        <v>0.018894</v>
      </c>
    </row>
    <row r="1262" customFormat="false" ht="15" hidden="false" customHeight="false" outlineLevel="0" collapsed="false">
      <c r="A1262" s="52" t="n">
        <v>46037</v>
      </c>
      <c r="B1262" s="57" t="n">
        <v>0.014485</v>
      </c>
      <c r="C1262" s="57" t="n">
        <v>0.0182</v>
      </c>
      <c r="D1262" s="57" t="n">
        <v>0.018895</v>
      </c>
    </row>
    <row r="1263" customFormat="false" ht="15" hidden="false" customHeight="false" outlineLevel="0" collapsed="false">
      <c r="A1263" s="52" t="n">
        <v>46038</v>
      </c>
      <c r="B1263" s="57" t="n">
        <v>0.014286</v>
      </c>
      <c r="C1263" s="57" t="n">
        <v>0.018072</v>
      </c>
      <c r="D1263" s="57" t="n">
        <v>0.018802</v>
      </c>
    </row>
    <row r="1264" customFormat="false" ht="15" hidden="false" customHeight="false" outlineLevel="0" collapsed="false">
      <c r="A1264" s="52" t="n">
        <v>46041</v>
      </c>
      <c r="B1264" s="57" t="n">
        <v>0.01432</v>
      </c>
      <c r="C1264" s="57" t="n">
        <v>0.018059</v>
      </c>
      <c r="D1264" s="57" t="n">
        <v>0.018778</v>
      </c>
    </row>
    <row r="1265" customFormat="false" ht="15" hidden="false" customHeight="false" outlineLevel="0" collapsed="false">
      <c r="A1265" s="52" t="n">
        <v>46042</v>
      </c>
      <c r="B1265" s="57" t="n">
        <v>0.014196</v>
      </c>
      <c r="C1265" s="57" t="n">
        <v>0.018009</v>
      </c>
      <c r="D1265" s="57" t="n">
        <v>0.018702</v>
      </c>
    </row>
    <row r="1266" customFormat="false" ht="15" hidden="false" customHeight="false" outlineLevel="0" collapsed="false">
      <c r="A1266" s="52" t="n">
        <v>46043</v>
      </c>
      <c r="B1266" s="57" t="n">
        <v>0.014218</v>
      </c>
      <c r="C1266" s="57" t="n">
        <v>0.01791</v>
      </c>
      <c r="D1266" s="57" t="n">
        <v>0.018606</v>
      </c>
    </row>
    <row r="1267" customFormat="false" ht="15" hidden="false" customHeight="false" outlineLevel="0" collapsed="false">
      <c r="A1267" s="52" t="n">
        <v>46044</v>
      </c>
      <c r="B1267" s="57" t="n">
        <v>0.014304</v>
      </c>
      <c r="C1267" s="57" t="n">
        <v>0.017854</v>
      </c>
      <c r="D1267" s="57" t="n">
        <v>0.018523</v>
      </c>
    </row>
    <row r="1268" customFormat="false" ht="15" hidden="false" customHeight="false" outlineLevel="0" collapsed="false">
      <c r="A1268" s="52" t="n">
        <v>46045</v>
      </c>
      <c r="B1268" s="57" t="n">
        <v>0.014223</v>
      </c>
      <c r="C1268" s="57" t="n">
        <v>0.017804</v>
      </c>
      <c r="D1268" s="57" t="n">
        <v>0.018459</v>
      </c>
    </row>
    <row r="1269" customFormat="false" ht="15" hidden="false" customHeight="false" outlineLevel="0" collapsed="false">
      <c r="A1269" s="52" t="n">
        <v>46048</v>
      </c>
      <c r="B1269" s="57" t="n">
        <v>0.0142</v>
      </c>
      <c r="C1269" s="57" t="n">
        <v>0.017796</v>
      </c>
      <c r="D1269" s="57" t="n">
        <v>0.018409</v>
      </c>
    </row>
    <row r="1270" customFormat="false" ht="15" hidden="false" customHeight="false" outlineLevel="0" collapsed="false">
      <c r="A1270" s="52" t="n">
        <v>46049</v>
      </c>
      <c r="B1270" s="57" t="n">
        <v>0.014231</v>
      </c>
      <c r="C1270" s="57" t="n">
        <v>0.017835</v>
      </c>
      <c r="D1270" s="57" t="n">
        <v>0.018397</v>
      </c>
    </row>
    <row r="1271" customFormat="false" ht="15" hidden="false" customHeight="false" outlineLevel="0" collapsed="false">
      <c r="A1271" s="52" t="n">
        <v>46050</v>
      </c>
      <c r="B1271" s="57" t="n">
        <v>0.01416</v>
      </c>
      <c r="C1271" s="57" t="n">
        <v>0.017836</v>
      </c>
      <c r="D1271" s="57" t="n">
        <v>0.018404</v>
      </c>
    </row>
    <row r="1272" customFormat="false" ht="15" hidden="false" customHeight="false" outlineLevel="0" collapsed="false">
      <c r="A1272" s="52" t="n">
        <v>46051</v>
      </c>
      <c r="B1272" s="57" t="n">
        <v>0.014063</v>
      </c>
      <c r="C1272" s="57" t="n">
        <v>0.017796</v>
      </c>
      <c r="D1272" s="57" t="n">
        <v>0.018382</v>
      </c>
    </row>
    <row r="1273" customFormat="false" ht="15" hidden="false" customHeight="false" outlineLevel="0" collapsed="false">
      <c r="A1273" s="52" t="n">
        <v>46052</v>
      </c>
      <c r="B1273" s="57" t="n">
        <v>0.014014</v>
      </c>
      <c r="C1273" s="57" t="n">
        <v>0.017855</v>
      </c>
      <c r="D1273" s="57" t="n">
        <v>0.018454</v>
      </c>
    </row>
    <row r="1274" customFormat="false" ht="15" hidden="false" customHeight="false" outlineLevel="0" collapsed="false">
      <c r="A1274" s="52" t="n">
        <v>46055</v>
      </c>
      <c r="B1274" s="57" t="n">
        <v>0.013996</v>
      </c>
      <c r="C1274" s="57" t="n">
        <v>0.017811</v>
      </c>
      <c r="D1274" s="57" t="n">
        <v>0.018464</v>
      </c>
    </row>
    <row r="1275" customFormat="false" ht="15" hidden="false" customHeight="false" outlineLevel="0" collapsed="false">
      <c r="A1275" s="52" t="n">
        <v>46056</v>
      </c>
      <c r="B1275" s="57" t="n">
        <v>0.013893</v>
      </c>
      <c r="C1275" s="57" t="n">
        <v>0.017863</v>
      </c>
      <c r="D1275" s="57" t="n">
        <v>0.018446</v>
      </c>
    </row>
    <row r="1276" customFormat="false" ht="15" hidden="false" customHeight="false" outlineLevel="0" collapsed="false">
      <c r="A1276" s="52" t="n">
        <v>46057</v>
      </c>
      <c r="B1276" s="57" t="n">
        <v>0.013896</v>
      </c>
      <c r="C1276" s="57" t="n">
        <v>0.017922</v>
      </c>
      <c r="D1276" s="57" t="n">
        <v>0.018489</v>
      </c>
    </row>
    <row r="1277" customFormat="false" ht="15" hidden="false" customHeight="false" outlineLevel="0" collapsed="false">
      <c r="A1277" s="52" t="n">
        <v>46058</v>
      </c>
      <c r="B1277" s="57" t="n">
        <v>0.013806</v>
      </c>
      <c r="C1277" s="57" t="n">
        <v>0.017858</v>
      </c>
      <c r="D1277" s="57" t="n">
        <v>0.018453</v>
      </c>
    </row>
    <row r="1278" customFormat="false" ht="15" hidden="false" customHeight="false" outlineLevel="0" collapsed="false">
      <c r="A1278" s="52" t="n">
        <v>46059</v>
      </c>
      <c r="B1278" s="57" t="n">
        <v>0.013809</v>
      </c>
      <c r="C1278" s="57" t="n">
        <v>0.017754</v>
      </c>
      <c r="D1278" s="57" t="n">
        <v>0.018355</v>
      </c>
    </row>
    <row r="1279" customFormat="false" ht="15" hidden="false" customHeight="false" outlineLevel="0" collapsed="false">
      <c r="A1279" s="52" t="n">
        <v>46062</v>
      </c>
      <c r="B1279" s="57" t="n">
        <v>0.013788</v>
      </c>
      <c r="C1279" s="57" t="n">
        <v>0.017639</v>
      </c>
      <c r="D1279" s="57" t="n">
        <v>0.018265</v>
      </c>
    </row>
    <row r="1280" customFormat="false" ht="15" hidden="false" customHeight="false" outlineLevel="0" collapsed="false">
      <c r="A1280" s="52" t="n">
        <v>46063</v>
      </c>
      <c r="B1280" s="57" t="n">
        <v>0.013788</v>
      </c>
      <c r="C1280" s="57" t="n">
        <v>0.017585</v>
      </c>
      <c r="D1280" s="57" t="n">
        <v>0.018218</v>
      </c>
    </row>
    <row r="1281" customFormat="false" ht="15" hidden="false" customHeight="false" outlineLevel="0" collapsed="false">
      <c r="A1281" s="52" t="n">
        <v>46064</v>
      </c>
      <c r="B1281" s="57" t="n">
        <v>0.013788</v>
      </c>
      <c r="C1281" s="57" t="n">
        <v>0.017517</v>
      </c>
      <c r="D1281" s="57" t="n">
        <v>0.018125</v>
      </c>
    </row>
    <row r="1282" customFormat="false" ht="15" hidden="false" customHeight="false" outlineLevel="0" collapsed="false">
      <c r="A1282" s="52" t="n">
        <v>46065</v>
      </c>
      <c r="B1282" s="57" t="n">
        <v>0.013759</v>
      </c>
      <c r="C1282" s="57" t="n">
        <v>0.017356</v>
      </c>
      <c r="D1282" s="57" t="n">
        <v>0.018047</v>
      </c>
    </row>
    <row r="1283" customFormat="false" ht="15" hidden="false" customHeight="false" outlineLevel="0" collapsed="false">
      <c r="A1283" s="52" t="n">
        <v>46066</v>
      </c>
      <c r="B1283" s="57" t="n">
        <v>0.013761</v>
      </c>
      <c r="C1283" s="57" t="n">
        <v>0.017306</v>
      </c>
      <c r="D1283" s="57" t="n">
        <v>0.018042</v>
      </c>
    </row>
    <row r="1284" customFormat="false" ht="15" hidden="false" customHeight="false" outlineLevel="0" collapsed="false">
      <c r="A1284" s="52" t="n">
        <v>46067</v>
      </c>
      <c r="B1284" s="57" t="n">
        <v>0.013742</v>
      </c>
      <c r="C1284" s="57" t="n">
        <v>0.017306</v>
      </c>
      <c r="D1284" s="57" t="n">
        <v>0.018042</v>
      </c>
    </row>
    <row r="1285" customFormat="false" ht="15" hidden="false" customHeight="false" outlineLevel="0" collapsed="false">
      <c r="A1285" s="52" t="n">
        <v>46077</v>
      </c>
      <c r="B1285" s="57" t="n">
        <v>0.013744</v>
      </c>
      <c r="C1285" s="57" t="n">
        <v>0.017236</v>
      </c>
      <c r="D1285" s="57" t="n">
        <v>0.018014</v>
      </c>
    </row>
    <row r="1286" customFormat="false" ht="15" hidden="false" customHeight="false" outlineLevel="0" collapsed="false">
      <c r="A1286" s="52" t="n">
        <v>46078</v>
      </c>
      <c r="B1286" s="57" t="n">
        <v>0.013806</v>
      </c>
      <c r="C1286" s="57" t="n">
        <v>0.017407</v>
      </c>
      <c r="D1286" s="57" t="n">
        <v>0.018097</v>
      </c>
    </row>
    <row r="1287" customFormat="false" ht="15" hidden="false" customHeight="false" outlineLevel="0" collapsed="false">
      <c r="A1287" s="52" t="n">
        <v>46079</v>
      </c>
      <c r="B1287" s="57" t="n">
        <v>0.013856</v>
      </c>
      <c r="C1287" s="57" t="n">
        <v>0.017521</v>
      </c>
      <c r="D1287" s="57" t="n">
        <v>0.01813</v>
      </c>
    </row>
    <row r="1288" customFormat="false" ht="15" hidden="false" customHeight="false" outlineLevel="0" collapsed="false">
      <c r="A1288" s="52" t="n">
        <v>46080</v>
      </c>
      <c r="B1288" s="57" t="n">
        <v>0.013826</v>
      </c>
      <c r="C1288" s="57" t="n">
        <v>0.017446</v>
      </c>
      <c r="D1288" s="57" t="n">
        <v>0.018163</v>
      </c>
    </row>
    <row r="1289" customFormat="false" ht="15" hidden="false" customHeight="false" outlineLevel="0" collapsed="false">
      <c r="A1289" s="52" t="n">
        <v>46081</v>
      </c>
      <c r="B1289" s="57" t="n">
        <v>0.013776</v>
      </c>
      <c r="C1289" s="57" t="n">
        <v>0.017453</v>
      </c>
      <c r="D1289" s="57" t="n">
        <v>0.018169</v>
      </c>
    </row>
    <row r="1290" customFormat="false" ht="15" hidden="false" customHeight="false" outlineLevel="0" collapsed="false">
      <c r="A1290" s="52" t="n">
        <v>46083</v>
      </c>
      <c r="B1290" s="57" t="n">
        <v>0.013727</v>
      </c>
      <c r="C1290" s="57" t="n">
        <v>0.017365</v>
      </c>
      <c r="D1290" s="57" t="n">
        <v>0.018109</v>
      </c>
    </row>
    <row r="1291" customFormat="false" ht="15" hidden="false" customHeight="false" outlineLevel="0" collapsed="false">
      <c r="A1291" s="52" t="n">
        <v>46084</v>
      </c>
      <c r="B1291" s="57" t="n">
        <v>0.013628</v>
      </c>
      <c r="C1291" s="57" t="n">
        <v>0.017252</v>
      </c>
      <c r="D1291" s="57" t="n">
        <v>0.018034</v>
      </c>
    </row>
    <row r="1292" customFormat="false" ht="15" hidden="false" customHeight="false" outlineLevel="0" collapsed="false">
      <c r="A1292" s="52" t="n">
        <v>46085</v>
      </c>
      <c r="B1292" s="57" t="n">
        <v>0.01358</v>
      </c>
      <c r="C1292" s="57" t="n">
        <v>0.017117</v>
      </c>
      <c r="D1292" s="57" t="n">
        <v>0.018009</v>
      </c>
    </row>
    <row r="1293" customFormat="false" ht="15" hidden="false" customHeight="false" outlineLevel="0" collapsed="false">
      <c r="A1293" s="52" t="n">
        <v>46086</v>
      </c>
      <c r="B1293" s="57" t="n">
        <v>0.013629</v>
      </c>
      <c r="C1293" s="57" t="n">
        <v>0.017064</v>
      </c>
      <c r="D1293" s="57" t="n">
        <v>0.018022</v>
      </c>
    </row>
    <row r="1294" customFormat="false" ht="15" hidden="false" customHeight="false" outlineLevel="0" collapsed="false">
      <c r="A1294" s="52" t="n">
        <v>46087</v>
      </c>
      <c r="B1294" s="57" t="n">
        <v>0.013629</v>
      </c>
      <c r="C1294" s="57" t="n">
        <v>0.01703</v>
      </c>
      <c r="D1294" s="57" t="n">
        <v>0.017904</v>
      </c>
    </row>
    <row r="1295" customFormat="false" ht="15" hidden="false" customHeight="false" outlineLevel="0" collapsed="false">
      <c r="A1295" s="52" t="n">
        <v>46090</v>
      </c>
      <c r="B1295" s="57" t="n">
        <v>0.013742</v>
      </c>
      <c r="C1295" s="57" t="n">
        <v>0.017135</v>
      </c>
      <c r="D1295" s="57" t="n">
        <v>0.018058</v>
      </c>
    </row>
    <row r="1296" customFormat="false" ht="15" hidden="false" customHeight="false" outlineLevel="0" collapsed="false">
      <c r="A1296" s="52" t="n">
        <v>46091</v>
      </c>
      <c r="B1296" s="57" t="n">
        <v>0.013782</v>
      </c>
      <c r="C1296" s="57" t="n">
        <v>0.017091</v>
      </c>
      <c r="D1296" s="57" t="n">
        <v>0.01817</v>
      </c>
    </row>
    <row r="1297" customFormat="false" ht="15" hidden="false" customHeight="false" outlineLevel="0" collapsed="false">
      <c r="A1297" s="52" t="n">
        <v>46092</v>
      </c>
      <c r="B1297" s="57" t="n">
        <v>0.013781</v>
      </c>
      <c r="C1297" s="57" t="n">
        <v>0.017143</v>
      </c>
      <c r="D1297" s="57" t="n">
        <v>0.018049</v>
      </c>
    </row>
    <row r="1298" customFormat="false" ht="15" hidden="false" customHeight="false" outlineLevel="0" collapsed="false">
      <c r="A1298" s="52" t="n">
        <v>46093</v>
      </c>
      <c r="B1298" s="57" t="n">
        <v>0.013754</v>
      </c>
      <c r="C1298" s="57" t="n">
        <v>0.017136</v>
      </c>
      <c r="D1298" s="57" t="n">
        <v>0.018028</v>
      </c>
    </row>
    <row r="1299" customFormat="false" ht="15" hidden="false" customHeight="false" outlineLevel="0" collapsed="false">
      <c r="A1299" s="52" t="n">
        <v>46094</v>
      </c>
      <c r="B1299" s="57" t="n">
        <v>0.013704</v>
      </c>
      <c r="C1299" s="57" t="n">
        <v>0.017036</v>
      </c>
      <c r="D1299" s="57" t="n">
        <v>0.018002</v>
      </c>
    </row>
    <row r="1300" customFormat="false" ht="15" hidden="false" customHeight="false" outlineLevel="0" collapsed="false">
      <c r="A1300" s="52" t="n">
        <v>46097</v>
      </c>
      <c r="B1300" s="57" t="n">
        <v>0.013771</v>
      </c>
      <c r="C1300" s="57" t="n">
        <v>0.017101</v>
      </c>
      <c r="D1300" s="57" t="n">
        <v>0.018059</v>
      </c>
    </row>
    <row r="1301" customFormat="false" ht="15" hidden="false" customHeight="false" outlineLevel="0" collapsed="false">
      <c r="A1301" s="52" t="n">
        <v>46098</v>
      </c>
      <c r="B1301" s="57" t="n">
        <v>0.013641</v>
      </c>
      <c r="C1301" s="57" t="n">
        <v>0.01706</v>
      </c>
      <c r="D1301" s="57" t="n">
        <v>0.018064</v>
      </c>
    </row>
    <row r="1302" customFormat="false" ht="15" hidden="false" customHeight="false" outlineLevel="0" collapsed="false">
      <c r="A1302" s="52" t="n">
        <v>46099</v>
      </c>
      <c r="B1302" s="57" t="n">
        <v>0.013521</v>
      </c>
      <c r="C1302" s="57" t="n">
        <v>0.016944</v>
      </c>
      <c r="D1302" s="57" t="n">
        <v>0.017973</v>
      </c>
    </row>
    <row r="1303" customFormat="false" ht="15" hidden="false" customHeight="false" outlineLevel="0" collapsed="false">
      <c r="A1303" s="52" t="n">
        <v>46100</v>
      </c>
      <c r="B1303" s="57" t="n">
        <v>0.013471</v>
      </c>
      <c r="C1303" s="57" t="n">
        <v>0.01682</v>
      </c>
      <c r="D1303" s="57" t="n">
        <v>0.017809</v>
      </c>
    </row>
    <row r="1304" customFormat="false" ht="15" hidden="false" customHeight="false" outlineLevel="0" collapsed="false">
      <c r="A1304" s="52" t="n">
        <v>46101</v>
      </c>
      <c r="B1304" s="57" t="n">
        <v>0.013451</v>
      </c>
      <c r="C1304" s="57" t="n">
        <v>0.016799</v>
      </c>
      <c r="D1304" s="57" t="n">
        <v>0.017812</v>
      </c>
    </row>
    <row r="1305" customFormat="false" ht="15" hidden="false" customHeight="false" outlineLevel="0" collapsed="false">
      <c r="A1305" s="52" t="n">
        <v>46104</v>
      </c>
      <c r="B1305" s="57" t="n">
        <v>0.013563</v>
      </c>
      <c r="C1305" s="57" t="n">
        <v>0.016841</v>
      </c>
      <c r="D1305" s="57" t="n">
        <v>0.017819</v>
      </c>
    </row>
    <row r="1306" customFormat="false" ht="15" hidden="false" customHeight="false" outlineLevel="0" collapsed="false">
      <c r="A1306" s="52" t="n">
        <v>46105</v>
      </c>
      <c r="B1306" s="57" t="n">
        <v>0.013481</v>
      </c>
      <c r="C1306" s="57" t="n">
        <v>0.016856</v>
      </c>
      <c r="D1306" s="57" t="n">
        <v>0.017825</v>
      </c>
    </row>
    <row r="1307" customFormat="false" ht="15" hidden="false" customHeight="false" outlineLevel="0" collapsed="false">
      <c r="A1307" s="52" t="n">
        <v>46106</v>
      </c>
      <c r="B1307" s="57" t="n">
        <v>0.013428</v>
      </c>
      <c r="C1307" s="57" t="n">
        <v>0.016819</v>
      </c>
      <c r="D1307" s="57" t="n">
        <v>0.01775</v>
      </c>
    </row>
    <row r="1308" customFormat="false" ht="15" hidden="false" customHeight="false" outlineLevel="0" collapsed="false">
      <c r="A1308" s="52" t="n">
        <v>46107</v>
      </c>
      <c r="B1308" s="57" t="n">
        <v>0.013356</v>
      </c>
      <c r="C1308" s="57" t="n">
        <v>0.016775</v>
      </c>
      <c r="D1308" s="57" t="n">
        <v>0.017729</v>
      </c>
    </row>
    <row r="1309" customFormat="false" ht="15" hidden="false" customHeight="false" outlineLevel="0" collapsed="false">
      <c r="A1309" s="52" t="n">
        <v>46108</v>
      </c>
      <c r="B1309" s="57" t="n">
        <v>0.013228</v>
      </c>
      <c r="C1309" s="57" t="n">
        <v>0.016776</v>
      </c>
      <c r="D1309" s="57" t="n">
        <v>0.017714</v>
      </c>
    </row>
    <row r="1310" customFormat="false" ht="15" hidden="false" customHeight="false" outlineLevel="0" collapsed="false">
      <c r="A1310" s="52" t="n">
        <v>46111</v>
      </c>
      <c r="B1310" s="57" t="n">
        <v>0.012931</v>
      </c>
      <c r="C1310" s="57" t="n">
        <v>0.016636</v>
      </c>
      <c r="D1310" s="57" t="n">
        <v>0.01767</v>
      </c>
    </row>
    <row r="1311" customFormat="false" ht="15" hidden="false" customHeight="false" outlineLevel="0" collapsed="false">
      <c r="A1311" s="52" t="n">
        <v>46112</v>
      </c>
      <c r="B1311" s="57" t="n">
        <v>0.013088</v>
      </c>
      <c r="C1311" s="57" t="n">
        <v>0.016529</v>
      </c>
      <c r="D1311" s="57" t="n">
        <v>0.017571</v>
      </c>
    </row>
    <row r="1312" customFormat="false" ht="15" hidden="false" customHeight="false" outlineLevel="0" collapsed="false">
      <c r="A1312" s="52" t="n">
        <v>46113</v>
      </c>
      <c r="B1312" s="57" t="n">
        <v>0.013326</v>
      </c>
      <c r="C1312" s="57" t="n">
        <v>0.016528</v>
      </c>
      <c r="D1312" s="57" t="n">
        <v>0.017509</v>
      </c>
    </row>
    <row r="1313" customFormat="false" ht="15" hidden="false" customHeight="false" outlineLevel="0" collapsed="false">
      <c r="A1313" s="52" t="n">
        <v>46114</v>
      </c>
      <c r="B1313" s="57" t="n">
        <v>0.013296</v>
      </c>
      <c r="C1313" s="57" t="n">
        <v>0.016596</v>
      </c>
      <c r="D1313" s="57" t="n">
        <v>0.017476</v>
      </c>
    </row>
    <row r="1314" customFormat="false" ht="15" hidden="false" customHeight="false" outlineLevel="0" collapsed="false">
      <c r="A1314" s="52" t="n">
        <v>46115</v>
      </c>
      <c r="B1314" s="57" t="n">
        <v>0.013339</v>
      </c>
      <c r="C1314" s="57" t="n">
        <v>0.016319</v>
      </c>
      <c r="D1314" s="57" t="n">
        <v>0.017341</v>
      </c>
    </row>
    <row r="1315" customFormat="false" ht="15" hidden="false" customHeight="false" outlineLevel="0" collapsed="false">
      <c r="A1315" s="52" t="n">
        <v>46119</v>
      </c>
      <c r="B1315" s="57" t="n">
        <v>0.01343</v>
      </c>
      <c r="C1315" s="57" t="n">
        <v>0.016187</v>
      </c>
      <c r="D1315" s="57" t="n">
        <v>0.017237</v>
      </c>
    </row>
    <row r="1316" customFormat="false" ht="15" hidden="false" customHeight="false" outlineLevel="0" collapsed="false">
      <c r="A1316" s="52" t="n">
        <v>46120</v>
      </c>
      <c r="B1316" s="57" t="n">
        <v>0.013605</v>
      </c>
      <c r="C1316" s="57" t="n">
        <v>0.016168</v>
      </c>
      <c r="D1316" s="57" t="n">
        <v>0.017186</v>
      </c>
    </row>
    <row r="1317" customFormat="false" ht="15" hidden="false" customHeight="false" outlineLevel="0" collapsed="false">
      <c r="A1317" s="52" t="n">
        <v>46121</v>
      </c>
      <c r="B1317" s="57" t="n">
        <v>0.013597</v>
      </c>
      <c r="C1317" s="57" t="n">
        <v>0.016191</v>
      </c>
      <c r="D1317" s="57" t="n">
        <v>0.017092</v>
      </c>
    </row>
    <row r="1318" customFormat="false" ht="15" hidden="false" customHeight="false" outlineLevel="0" collapsed="false">
      <c r="A1318" s="52" t="n">
        <v>46122</v>
      </c>
      <c r="B1318" s="57" t="n">
        <v>0.013594</v>
      </c>
      <c r="C1318" s="57" t="n">
        <v>0.016254</v>
      </c>
      <c r="D1318" s="57" t="n">
        <v>0.017084</v>
      </c>
    </row>
    <row r="1319" customFormat="false" ht="15" hidden="false" customHeight="false" outlineLevel="0" collapsed="false">
      <c r="A1319" s="52" t="n">
        <v>46125</v>
      </c>
      <c r="B1319" s="57" t="n">
        <v>0.013569</v>
      </c>
      <c r="C1319" s="57" t="n">
        <v>0.016279</v>
      </c>
      <c r="D1319" s="57" t="n">
        <v>0.017114</v>
      </c>
    </row>
    <row r="1320" customFormat="false" ht="15" hidden="false" customHeight="false" outlineLevel="0" collapsed="false">
      <c r="A1320" s="52" t="n">
        <v>46126</v>
      </c>
      <c r="B1320" s="57" t="n">
        <v>0.013525</v>
      </c>
      <c r="C1320" s="57" t="n">
        <v>0.016297</v>
      </c>
      <c r="D1320" s="57" t="n">
        <v>0.017153</v>
      </c>
    </row>
    <row r="1321" customFormat="false" ht="15" hidden="false" customHeight="false" outlineLevel="0" collapsed="false">
      <c r="A1321" s="52" t="n">
        <v>46127</v>
      </c>
      <c r="B1321" s="57" t="n">
        <v>0.013427</v>
      </c>
      <c r="C1321" s="57" t="n">
        <v>0.016291</v>
      </c>
      <c r="D1321" s="57" t="n">
        <v>0.017152</v>
      </c>
    </row>
    <row r="1322" customFormat="false" ht="15" hidden="false" customHeight="false" outlineLevel="0" collapsed="false">
      <c r="A1322" s="52" t="n">
        <v>46128</v>
      </c>
      <c r="B1322" s="57" t="n">
        <v>0.013397</v>
      </c>
      <c r="C1322" s="57" t="n">
        <v>0.016209</v>
      </c>
      <c r="D1322" s="57" t="n">
        <v>0.017187</v>
      </c>
    </row>
    <row r="1323" customFormat="false" ht="15" hidden="false" customHeight="false" outlineLevel="0" collapsed="false">
      <c r="A1323" s="52" t="n">
        <v>46129</v>
      </c>
      <c r="B1323" s="57" t="n">
        <v>0.01325</v>
      </c>
      <c r="C1323" s="57" t="n">
        <v>0.016071</v>
      </c>
      <c r="D1323" s="57" t="n">
        <v>0.017196</v>
      </c>
    </row>
    <row r="1324" customFormat="false" ht="15" hidden="false" customHeight="false" outlineLevel="0" collapsed="false">
      <c r="A1324" s="52" t="n">
        <v>46132</v>
      </c>
      <c r="B1324" s="57" t="n">
        <v>0.013259</v>
      </c>
      <c r="C1324" s="57" t="n">
        <v>0.015975</v>
      </c>
      <c r="D1324" s="57" t="n">
        <v>0.017196</v>
      </c>
    </row>
    <row r="1325" customFormat="false" ht="15" hidden="false" customHeight="false" outlineLevel="0" collapsed="false">
      <c r="A1325" s="52" t="n">
        <v>46133</v>
      </c>
      <c r="B1325" s="57" t="n">
        <v>0.013199</v>
      </c>
      <c r="C1325" s="57" t="n">
        <v>0.015924</v>
      </c>
      <c r="D1325" s="57" t="n">
        <v>0.017164</v>
      </c>
    </row>
    <row r="1326" customFormat="false" ht="15" hidden="false" customHeight="false" outlineLevel="0" collapsed="false">
      <c r="A1326" s="52" t="n">
        <v>46134</v>
      </c>
      <c r="B1326" s="57" t="n">
        <v>0.013031</v>
      </c>
      <c r="C1326" s="57" t="n">
        <v>0.015862</v>
      </c>
      <c r="D1326" s="57" t="n">
        <v>0.01711</v>
      </c>
    </row>
    <row r="1327" customFormat="false" ht="15" hidden="false" customHeight="false" outlineLevel="0" collapsed="false">
      <c r="A1327" s="52" t="n">
        <v>46135</v>
      </c>
      <c r="B1327" s="57" t="n">
        <v>0.012926</v>
      </c>
      <c r="C1327" s="57" t="n">
        <v>0.015787</v>
      </c>
      <c r="D1327" s="57" t="n">
        <v>0.01714</v>
      </c>
    </row>
    <row r="1328" customFormat="false" ht="15" hidden="false" customHeight="false" outlineLevel="0" collapsed="false">
      <c r="A1328" s="52" t="n">
        <v>46136</v>
      </c>
      <c r="B1328" s="57" t="n">
        <v>0.012779</v>
      </c>
      <c r="C1328" s="57" t="n">
        <v>0.015753</v>
      </c>
      <c r="D1328" s="57" t="n">
        <v>0.017111</v>
      </c>
    </row>
    <row r="1329" customFormat="false" ht="15" hidden="false" customHeight="false" outlineLevel="0" collapsed="false">
      <c r="A1329" s="52" t="n">
        <v>46139</v>
      </c>
      <c r="B1329" s="57" t="n">
        <v>0.012959</v>
      </c>
      <c r="C1329" s="57" t="n">
        <v>0.015816</v>
      </c>
      <c r="D1329" s="57" t="n">
        <v>0.017198</v>
      </c>
    </row>
    <row r="1330" customFormat="false" ht="15" hidden="false" customHeight="false" outlineLevel="0" collapsed="false">
      <c r="A1330" s="52" t="n">
        <v>46140</v>
      </c>
      <c r="B1330" s="57" t="n">
        <v>0.01296</v>
      </c>
      <c r="C1330" s="57" t="n">
        <v>0.015819</v>
      </c>
      <c r="D1330" s="57" t="n">
        <v>0.017202</v>
      </c>
    </row>
    <row r="1331" customFormat="false" ht="15" hidden="false" customHeight="false" outlineLevel="0" collapsed="false">
      <c r="A1331" s="52" t="n">
        <v>46141</v>
      </c>
      <c r="B1331" s="57" t="n">
        <v>0.012745</v>
      </c>
      <c r="C1331" s="57" t="n">
        <v>0.01578</v>
      </c>
      <c r="D1331" s="57" t="n">
        <v>0.017164</v>
      </c>
    </row>
    <row r="1332" customFormat="false" ht="15" hidden="false" customHeight="false" outlineLevel="0" collapsed="false">
      <c r="A1332" s="52" t="n">
        <v>46142</v>
      </c>
      <c r="B1332" s="57" t="n">
        <v>0.012802</v>
      </c>
      <c r="C1332" s="57" t="n">
        <v>0.015788</v>
      </c>
      <c r="D1332" s="57" t="n">
        <v>0.017197</v>
      </c>
    </row>
    <row r="1333" customFormat="false" ht="15" hidden="false" customHeight="false" outlineLevel="0" collapsed="false">
      <c r="A1333" s="52" t="n">
        <v>46148</v>
      </c>
      <c r="B1333" s="57" t="n">
        <v>0.012882</v>
      </c>
      <c r="C1333" s="57" t="n">
        <v>0.015848</v>
      </c>
      <c r="D1333" s="57" t="n">
        <v>0.017315</v>
      </c>
    </row>
    <row r="1334" customFormat="false" ht="15" hidden="false" customHeight="false" outlineLevel="0" collapsed="false">
      <c r="A1334" s="52" t="n">
        <v>46149</v>
      </c>
      <c r="B1334" s="57" t="n">
        <v>0.01289</v>
      </c>
      <c r="C1334" s="57" t="n">
        <v>0.015916</v>
      </c>
      <c r="D1334" s="57" t="n">
        <v>0.017309</v>
      </c>
    </row>
    <row r="1335" customFormat="false" ht="15" hidden="false" customHeight="false" outlineLevel="0" collapsed="false">
      <c r="A1335" s="52" t="n">
        <v>46150</v>
      </c>
      <c r="B1335" s="57" t="n">
        <v>0.012942</v>
      </c>
      <c r="C1335" s="57" t="n">
        <v>0.015946</v>
      </c>
      <c r="D1335" s="57" t="n">
        <v>0.017263</v>
      </c>
    </row>
    <row r="1336" customFormat="false" ht="15" hidden="false" customHeight="false" outlineLevel="0" collapsed="false">
      <c r="A1336" s="52" t="n">
        <v>46151</v>
      </c>
      <c r="B1336" s="57" t="n">
        <v>0.012954</v>
      </c>
      <c r="C1336" s="57" t="n">
        <v>0.015925</v>
      </c>
      <c r="D1336" s="57" t="n">
        <v>0.017241</v>
      </c>
    </row>
    <row r="1337" customFormat="false" ht="15" hidden="false" customHeight="false" outlineLevel="0" collapsed="false">
      <c r="A1337" s="52" t="n">
        <v>46153</v>
      </c>
      <c r="B1337" s="57" t="n">
        <v>0.012922</v>
      </c>
      <c r="C1337" s="57" t="n">
        <v>0.015879</v>
      </c>
      <c r="D1337" s="57" t="n">
        <v>0.017246</v>
      </c>
    </row>
    <row r="1338" customFormat="false" ht="15" hidden="false" customHeight="false" outlineLevel="0" collapsed="false">
      <c r="A1338" s="52" t="n">
        <v>46154</v>
      </c>
      <c r="B1338" s="57" t="n">
        <v>0.01289</v>
      </c>
      <c r="C1338" s="57" t="n">
        <v>0.015808</v>
      </c>
      <c r="D1338" s="57" t="n">
        <v>0.017138</v>
      </c>
    </row>
    <row r="1339" customFormat="false" ht="15" hidden="false" customHeight="false" outlineLevel="0" collapsed="false">
      <c r="A1339" s="52" t="n">
        <v>46155</v>
      </c>
      <c r="B1339" s="57" t="n">
        <v>0.012897</v>
      </c>
      <c r="C1339" s="57" t="n">
        <v>0.015712</v>
      </c>
      <c r="D1339" s="57" t="n">
        <v>0.017029</v>
      </c>
    </row>
    <row r="1340" customFormat="false" ht="15" hidden="false" customHeight="false" outlineLevel="0" collapsed="false">
      <c r="A1340" s="52" t="n">
        <v>46156</v>
      </c>
      <c r="B1340" s="57" t="n">
        <v>0.012952</v>
      </c>
      <c r="C1340" s="57" t="n">
        <v>0.015642</v>
      </c>
      <c r="D1340" s="57" t="n">
        <v>0.017013</v>
      </c>
    </row>
    <row r="1341" customFormat="false" ht="15" hidden="false" customHeight="false" outlineLevel="0" collapsed="false">
      <c r="A1341" s="52" t="n">
        <v>46157</v>
      </c>
      <c r="B1341" s="57" t="n">
        <v>0.012917</v>
      </c>
      <c r="C1341" s="57" t="n">
        <v>0.015577</v>
      </c>
      <c r="D1341" s="57" t="n">
        <v>0.01696</v>
      </c>
    </row>
    <row r="1342" customFormat="false" ht="15" hidden="false" customHeight="false" outlineLevel="0" collapsed="false">
      <c r="A1342" s="52" t="n">
        <v>46160</v>
      </c>
      <c r="B1342" s="57" t="n">
        <v>0.012932</v>
      </c>
      <c r="C1342" s="57" t="n">
        <v>0.015497</v>
      </c>
      <c r="D1342" s="57" t="n">
        <v>0.017</v>
      </c>
    </row>
    <row r="1343" customFormat="false" ht="15" hidden="false" customHeight="false" outlineLevel="0" collapsed="false">
      <c r="A1343" s="52" t="n">
        <v>46161</v>
      </c>
      <c r="B1343" s="57" t="n">
        <v>0.012889</v>
      </c>
      <c r="C1343" s="57" t="n">
        <v>0.015386</v>
      </c>
      <c r="D1343" s="57" t="n">
        <v>0.016857</v>
      </c>
    </row>
    <row r="1344" customFormat="false" ht="15" hidden="false" customHeight="false" outlineLevel="0" collapsed="false">
      <c r="A1344" s="52" t="n">
        <v>46162</v>
      </c>
      <c r="B1344" s="57" t="n">
        <v>0.012882</v>
      </c>
      <c r="C1344" s="57" t="n">
        <v>0.01528</v>
      </c>
      <c r="D1344" s="57" t="n">
        <v>0.016785</v>
      </c>
    </row>
    <row r="1345" customFormat="false" ht="15" hidden="false" customHeight="false" outlineLevel="0" collapsed="false">
      <c r="A1345" s="52" t="n">
        <v>46163</v>
      </c>
      <c r="B1345" s="57" t="n">
        <v>0.012874</v>
      </c>
      <c r="C1345" s="57" t="n">
        <v>0.015237</v>
      </c>
      <c r="D1345" s="57" t="n">
        <v>0.016707</v>
      </c>
    </row>
    <row r="1346" customFormat="false" ht="15" hidden="false" customHeight="false" outlineLevel="0" collapsed="false">
      <c r="A1346" s="52" t="n">
        <v>46164</v>
      </c>
      <c r="B1346" s="57" t="n">
        <v>0.01302</v>
      </c>
      <c r="C1346" s="57" t="n">
        <v>0.015188</v>
      </c>
      <c r="D1346" s="57" t="n">
        <v>0.016674</v>
      </c>
    </row>
    <row r="1347" customFormat="false" ht="15" hidden="false" customHeight="false" outlineLevel="0" collapsed="false">
      <c r="A1347" s="52" t="n">
        <v>46167</v>
      </c>
      <c r="B1347" s="57" t="n">
        <v>0.012976</v>
      </c>
      <c r="C1347" s="57" t="n">
        <v>0.015131</v>
      </c>
      <c r="D1347" s="57" t="n">
        <v>0.01661</v>
      </c>
    </row>
    <row r="1348" customFormat="false" ht="15" hidden="false" customHeight="false" outlineLevel="0" collapsed="false">
      <c r="A1348" s="52" t="n">
        <v>46168</v>
      </c>
      <c r="B1348" s="57" t="n">
        <v>0.012976</v>
      </c>
      <c r="C1348" s="57" t="n">
        <v>0.015035</v>
      </c>
      <c r="D1348" s="57" t="n">
        <v>0.016557</v>
      </c>
    </row>
    <row r="1349" customFormat="false" ht="15" hidden="false" customHeight="false" outlineLevel="0" collapsed="false">
      <c r="A1349" s="52" t="n">
        <v>46169</v>
      </c>
      <c r="B1349" s="57" t="n">
        <v>0.012803</v>
      </c>
      <c r="C1349" s="57" t="n">
        <v>0.014871</v>
      </c>
      <c r="D1349" s="57" t="n">
        <v>0.016491</v>
      </c>
    </row>
    <row r="1350" customFormat="false" ht="15" hidden="false" customHeight="false" outlineLevel="0" collapsed="false">
      <c r="A1350" s="52" t="n">
        <v>46170</v>
      </c>
      <c r="B1350" s="57" t="n">
        <v>0.012628</v>
      </c>
      <c r="C1350" s="57" t="n">
        <v>0.014807</v>
      </c>
      <c r="D1350" s="57" t="n">
        <v>0.01636</v>
      </c>
    </row>
    <row r="1351" customFormat="false" ht="15" hidden="false" customHeight="false" outlineLevel="0" collapsed="false">
      <c r="A1351" s="52" t="n">
        <v>46171</v>
      </c>
      <c r="B1351" s="57" t="n">
        <v>0.012705</v>
      </c>
      <c r="C1351" s="57" t="n">
        <v>0.014806</v>
      </c>
      <c r="D1351" s="57" t="n">
        <v>0.016315</v>
      </c>
    </row>
    <row r="1352" customFormat="false" ht="15" hidden="false" customHeight="false" outlineLevel="0" collapsed="false">
      <c r="A1352" s="52" t="n">
        <v>46174</v>
      </c>
      <c r="B1352" s="57" t="n">
        <v>0.012709</v>
      </c>
      <c r="C1352" s="57" t="n">
        <v>0.014767</v>
      </c>
      <c r="D1352" s="57" t="n">
        <v>0.016235</v>
      </c>
    </row>
    <row r="1353" customFormat="false" ht="15" hidden="false" customHeight="false" outlineLevel="0" collapsed="false">
      <c r="A1353" s="52" t="n">
        <v>46175</v>
      </c>
      <c r="B1353" s="57" t="n">
        <v>0.012762</v>
      </c>
      <c r="C1353" s="57" t="n">
        <v>0.014766</v>
      </c>
      <c r="D1353" s="57" t="n">
        <v>0.016158</v>
      </c>
    </row>
    <row r="1354" customFormat="false" ht="15" hidden="false" customHeight="false" outlineLevel="0" collapsed="false">
      <c r="A1354" s="52" t="n">
        <v>46176</v>
      </c>
      <c r="B1354" s="57" t="n">
        <v>0.012838</v>
      </c>
      <c r="C1354" s="57" t="n">
        <v>0.014765</v>
      </c>
      <c r="D1354" s="57" t="n">
        <v>0.016134</v>
      </c>
    </row>
    <row r="1355" customFormat="false" ht="15" hidden="false" customHeight="false" outlineLevel="0" collapsed="false">
      <c r="A1355" s="52" t="n">
        <v>46177</v>
      </c>
      <c r="B1355" s="57" t="n">
        <v>0.012814</v>
      </c>
      <c r="C1355" s="57" t="n">
        <v>0.014765</v>
      </c>
      <c r="D1355" s="57" t="n">
        <v>0.016126</v>
      </c>
    </row>
    <row r="1356" customFormat="false" ht="15" hidden="false" customHeight="false" outlineLevel="0" collapsed="false">
      <c r="A1356" s="52" t="n">
        <v>46178</v>
      </c>
      <c r="B1356" s="57" t="n">
        <v>0.012839</v>
      </c>
      <c r="C1356" s="57" t="n">
        <v>0.014783</v>
      </c>
      <c r="D1356" s="57" t="n">
        <v>0.016115</v>
      </c>
    </row>
    <row r="1357" customFormat="false" ht="15" hidden="false" customHeight="false" outlineLevel="0" collapsed="false">
      <c r="A1357" s="52" t="n">
        <v>46181</v>
      </c>
      <c r="B1357" s="57" t="n">
        <v>0.012942</v>
      </c>
      <c r="C1357" s="57" t="n">
        <v>0.014971</v>
      </c>
      <c r="D1357" s="57" t="n">
        <v>0.016333</v>
      </c>
    </row>
    <row r="1358" customFormat="false" ht="15" hidden="false" customHeight="false" outlineLevel="0" collapsed="false">
      <c r="A1358" s="52" t="n">
        <v>46182</v>
      </c>
      <c r="B1358" s="57" t="n">
        <v>0.013018</v>
      </c>
      <c r="C1358" s="57" t="n">
        <v>0.015095</v>
      </c>
      <c r="D1358" s="57" t="n">
        <v>0.016462</v>
      </c>
    </row>
    <row r="1359" customFormat="false" ht="15" hidden="false" customHeight="false" outlineLevel="0" collapsed="false">
      <c r="A1359" s="52" t="n">
        <v>46183</v>
      </c>
      <c r="B1359" s="57" t="n">
        <v>0.013066</v>
      </c>
      <c r="C1359" s="57" t="n">
        <v>0.015199</v>
      </c>
      <c r="D1359" s="57" t="n">
        <v>0.016576</v>
      </c>
    </row>
    <row r="1360" customFormat="false" ht="15" hidden="false" customHeight="false" outlineLevel="0" collapsed="false">
      <c r="A1360" s="52" t="n">
        <v>46184</v>
      </c>
      <c r="B1360" s="57" t="n">
        <v>0.013141</v>
      </c>
      <c r="C1360" s="57" t="n">
        <v>0.015449</v>
      </c>
      <c r="D1360" s="57" t="n">
        <v>0.016817</v>
      </c>
    </row>
    <row r="1361" customFormat="false" ht="15" hidden="false" customHeight="false" outlineLevel="0" collapsed="false">
      <c r="A1361" s="52" t="n">
        <v>46185</v>
      </c>
      <c r="B1361" s="57" t="n">
        <v>0.013141</v>
      </c>
      <c r="C1361" s="57" t="n">
        <v>0.015498</v>
      </c>
      <c r="D1361" s="57" t="n">
        <v>0.016955</v>
      </c>
    </row>
    <row r="1362" customFormat="false" ht="15" hidden="false" customHeight="false" outlineLevel="0" collapsed="false">
      <c r="A1362" s="52" t="n">
        <v>46188</v>
      </c>
      <c r="B1362" s="57" t="n">
        <v>0.013156</v>
      </c>
      <c r="C1362" s="57" t="n">
        <v>0.015518</v>
      </c>
      <c r="D1362" s="57" t="n">
        <v>0.016948</v>
      </c>
    </row>
    <row r="1363" customFormat="false" ht="15" hidden="false" customHeight="false" outlineLevel="0" collapsed="false">
      <c r="A1363" s="52" t="n">
        <v>46189</v>
      </c>
      <c r="B1363" s="57" t="n">
        <v>0.013063</v>
      </c>
      <c r="C1363" s="57" t="n">
        <v>0.015496</v>
      </c>
      <c r="D1363" s="57" t="n">
        <v>0.016911</v>
      </c>
    </row>
    <row r="1364" customFormat="false" ht="15" hidden="false" customHeight="false" outlineLevel="0" collapsed="false">
      <c r="A1364" s="52" t="n">
        <v>46190</v>
      </c>
      <c r="B1364" s="57" t="n">
        <v>0.012971</v>
      </c>
      <c r="C1364" s="57" t="n">
        <v>0.01538</v>
      </c>
      <c r="D1364" s="57" t="n">
        <v>0.016792</v>
      </c>
    </row>
    <row r="1365" customFormat="false" ht="15" hidden="false" customHeight="false" outlineLevel="0" collapsed="false">
      <c r="A1365" s="52" t="n">
        <v>46191</v>
      </c>
      <c r="B1365" s="57" t="n">
        <v>0.012854</v>
      </c>
      <c r="C1365" s="57" t="n">
        <v>0.015316</v>
      </c>
      <c r="D1365" s="57" t="n">
        <v>0.016655</v>
      </c>
    </row>
    <row r="1366" customFormat="false" ht="15" hidden="false" customHeight="false" outlineLevel="0" collapsed="false">
      <c r="A1366" s="52" t="n">
        <v>46195</v>
      </c>
      <c r="B1366" s="57" t="n">
        <v>0.012938</v>
      </c>
      <c r="C1366" s="57" t="n">
        <v>0.015361</v>
      </c>
      <c r="D1366" s="57" t="n">
        <v>0.016638</v>
      </c>
    </row>
    <row r="1367" customFormat="false" ht="15" hidden="false" customHeight="false" outlineLevel="0" collapsed="false">
      <c r="A1367" s="52" t="n">
        <v>46196</v>
      </c>
      <c r="B1367" s="57" t="n">
        <v>0.012979</v>
      </c>
      <c r="C1367" s="57" t="n">
        <v>0.015401</v>
      </c>
      <c r="D1367" s="57" t="n">
        <v>0.016591</v>
      </c>
    </row>
    <row r="1368" customFormat="false" ht="15" hidden="false" customHeight="false" outlineLevel="0" collapsed="false">
      <c r="A1368" s="52" t="n">
        <v>46197</v>
      </c>
      <c r="B1368" s="57" t="n">
        <v>0.013003</v>
      </c>
      <c r="C1368" s="57" t="n">
        <v>0.015355</v>
      </c>
      <c r="D1368" s="57" t="n">
        <v>0.016462</v>
      </c>
    </row>
    <row r="1369" customFormat="false" ht="15" hidden="false" customHeight="false" outlineLevel="0" collapsed="false">
      <c r="A1369" s="52" t="n">
        <v>46198</v>
      </c>
      <c r="B1369" s="57" t="n">
        <v>0.012926</v>
      </c>
      <c r="C1369" s="57" t="n">
        <v>0.015265</v>
      </c>
      <c r="D1369" s="57" t="n">
        <v>0.016401</v>
      </c>
    </row>
    <row r="1370" customFormat="false" ht="15" hidden="false" customHeight="false" outlineLevel="0" collapsed="false">
      <c r="A1370" s="52" t="n">
        <v>46199</v>
      </c>
      <c r="B1370" s="57" t="n">
        <v>0.01289</v>
      </c>
      <c r="C1370" s="57" t="n">
        <v>0.015174</v>
      </c>
      <c r="D1370" s="57" t="n">
        <v>0.016353</v>
      </c>
    </row>
    <row r="1371" customFormat="false" ht="15" hidden="false" customHeight="false" outlineLevel="0" collapsed="false">
      <c r="A1371" s="52" t="n">
        <v>46202</v>
      </c>
      <c r="B1371" s="57" t="n">
        <v>0.012734</v>
      </c>
      <c r="C1371" s="57" t="n">
        <v>0.015076</v>
      </c>
      <c r="D1371" s="57" t="n">
        <v>0.016211</v>
      </c>
    </row>
    <row r="1372" customFormat="false" ht="15" hidden="false" customHeight="false" outlineLevel="0" collapsed="false">
      <c r="A1372" s="52" t="n">
        <v>46203</v>
      </c>
      <c r="B1372" s="57" t="n">
        <v>0.012923</v>
      </c>
      <c r="C1372" s="57" t="n">
        <v>0.015087</v>
      </c>
      <c r="D1372" s="57" t="n">
        <v>0.016203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1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2" t="s">
        <v>1241</v>
      </c>
    </row>
    <row r="2" customFormat="false" ht="15" hidden="false" customHeight="false" outlineLevel="0" collapsed="false">
      <c r="A2" s="4" t="s">
        <v>1242</v>
      </c>
    </row>
    <row r="3" customFormat="false" ht="15" hidden="false" customHeight="false" outlineLevel="0" collapsed="false">
      <c r="A3" s="6" t="s">
        <v>1223</v>
      </c>
      <c r="B3" s="27" t="s">
        <v>1243</v>
      </c>
      <c r="C3" s="27" t="s">
        <v>1244</v>
      </c>
      <c r="D3" s="27" t="s">
        <v>64</v>
      </c>
      <c r="E3" s="27" t="s">
        <v>1245</v>
      </c>
      <c r="F3" s="27" t="s">
        <v>1246</v>
      </c>
      <c r="G3" s="27" t="s">
        <v>1247</v>
      </c>
    </row>
    <row r="4" customFormat="false" ht="15" hidden="false" customHeight="false" outlineLevel="0" collapsed="false">
      <c r="A4" s="52" t="n">
        <v>44197</v>
      </c>
      <c r="B4" s="57" t="n">
        <v>0.00304</v>
      </c>
      <c r="C4" s="57" t="n">
        <v>0.00296</v>
      </c>
      <c r="D4" s="57" t="n">
        <v>0.00417</v>
      </c>
      <c r="E4" s="57" t="n">
        <v>0.01209</v>
      </c>
      <c r="F4" s="57" t="n">
        <v>0.01289</v>
      </c>
      <c r="G4" s="57" t="n">
        <v>0.0228</v>
      </c>
    </row>
    <row r="5" customFormat="false" ht="15" hidden="false" customHeight="false" outlineLevel="0" collapsed="false">
      <c r="A5" s="52" t="n">
        <v>44200</v>
      </c>
      <c r="B5" s="57" t="n">
        <v>0.00304</v>
      </c>
      <c r="C5" s="57" t="n">
        <v>0.00296</v>
      </c>
      <c r="D5" s="57" t="n">
        <v>0.00417</v>
      </c>
      <c r="E5" s="57" t="n">
        <v>0.01207</v>
      </c>
      <c r="F5" s="57" t="n">
        <v>0.01289</v>
      </c>
      <c r="G5" s="57" t="n">
        <v>0.02381</v>
      </c>
    </row>
    <row r="6" customFormat="false" ht="15" hidden="false" customHeight="false" outlineLevel="0" collapsed="false">
      <c r="A6" s="52" t="n">
        <v>44201</v>
      </c>
      <c r="B6" s="57" t="n">
        <v>0.0034</v>
      </c>
      <c r="C6" s="57" t="n">
        <v>0.00296</v>
      </c>
      <c r="D6" s="57" t="n">
        <v>0.00417</v>
      </c>
      <c r="E6" s="57" t="n">
        <v>0.01216</v>
      </c>
      <c r="F6" s="57" t="n">
        <v>0.01289</v>
      </c>
      <c r="G6" s="57" t="n">
        <v>0.02381</v>
      </c>
    </row>
    <row r="7" customFormat="false" ht="15" hidden="false" customHeight="false" outlineLevel="0" collapsed="false">
      <c r="A7" s="52" t="n">
        <v>44202</v>
      </c>
      <c r="B7" s="57" t="n">
        <v>0.0035</v>
      </c>
      <c r="C7" s="57" t="n">
        <v>0.00296</v>
      </c>
      <c r="D7" s="57" t="n">
        <v>0.00417</v>
      </c>
      <c r="E7" s="57" t="n">
        <v>0.0123</v>
      </c>
      <c r="F7" s="57" t="n">
        <v>0.01289</v>
      </c>
      <c r="G7" s="57" t="n">
        <v>0.02381</v>
      </c>
    </row>
    <row r="8" customFormat="false" ht="15" hidden="false" customHeight="false" outlineLevel="0" collapsed="false">
      <c r="A8" s="52" t="n">
        <v>44203</v>
      </c>
      <c r="B8" s="57" t="n">
        <v>0.00365</v>
      </c>
      <c r="C8" s="57" t="n">
        <v>0.00296</v>
      </c>
      <c r="D8" s="57" t="n">
        <v>0.00417</v>
      </c>
      <c r="E8" s="57" t="n">
        <v>0.0125</v>
      </c>
      <c r="F8" s="57" t="n">
        <v>0.01289</v>
      </c>
      <c r="G8" s="57" t="n">
        <v>0.02381</v>
      </c>
    </row>
    <row r="9" customFormat="false" ht="15" hidden="false" customHeight="false" outlineLevel="0" collapsed="false">
      <c r="A9" s="52" t="n">
        <v>44204</v>
      </c>
      <c r="B9" s="57" t="n">
        <v>0.00368</v>
      </c>
      <c r="C9" s="57" t="n">
        <v>0.00296</v>
      </c>
      <c r="D9" s="57" t="n">
        <v>0.00417</v>
      </c>
      <c r="E9" s="57" t="n">
        <v>0.0123</v>
      </c>
      <c r="F9" s="57" t="n">
        <v>0.01289</v>
      </c>
      <c r="G9" s="57" t="n">
        <v>0.02381</v>
      </c>
    </row>
    <row r="10" customFormat="false" ht="15" hidden="false" customHeight="false" outlineLevel="0" collapsed="false">
      <c r="A10" s="52" t="n">
        <v>44207</v>
      </c>
      <c r="B10" s="57" t="n">
        <v>0.00295</v>
      </c>
      <c r="C10" s="57" t="n">
        <v>0.00453</v>
      </c>
      <c r="D10" s="57" t="n">
        <v>0.00688</v>
      </c>
      <c r="E10" s="57" t="n">
        <v>0.01174</v>
      </c>
      <c r="F10" s="57" t="n">
        <v>0.01645</v>
      </c>
      <c r="G10" s="57" t="n">
        <v>0.02352</v>
      </c>
    </row>
    <row r="11" customFormat="false" ht="15" hidden="false" customHeight="false" outlineLevel="0" collapsed="false">
      <c r="A11" s="52" t="n">
        <v>44208</v>
      </c>
      <c r="B11" s="57" t="n">
        <v>0.00308</v>
      </c>
      <c r="C11" s="57" t="n">
        <v>0.00467</v>
      </c>
      <c r="D11" s="57" t="n">
        <v>0.00665</v>
      </c>
      <c r="E11" s="57" t="n">
        <v>0.01162</v>
      </c>
      <c r="F11" s="57" t="n">
        <v>0.01634</v>
      </c>
      <c r="G11" s="57" t="n">
        <v>0.02334</v>
      </c>
    </row>
    <row r="12" customFormat="false" ht="15" hidden="false" customHeight="false" outlineLevel="0" collapsed="false">
      <c r="A12" s="52" t="n">
        <v>44209</v>
      </c>
      <c r="B12" s="57" t="n">
        <v>0.00304</v>
      </c>
      <c r="C12" s="57" t="n">
        <v>0.00456</v>
      </c>
      <c r="D12" s="57" t="n">
        <v>0.00585</v>
      </c>
      <c r="E12" s="57" t="n">
        <v>0.01046</v>
      </c>
      <c r="F12" s="57" t="n">
        <v>0.01445</v>
      </c>
      <c r="G12" s="57" t="n">
        <v>0.02281</v>
      </c>
    </row>
    <row r="13" customFormat="false" ht="15" hidden="false" customHeight="false" outlineLevel="0" collapsed="false">
      <c r="A13" s="52" t="n">
        <v>44210</v>
      </c>
      <c r="B13" s="57" t="n">
        <v>0.00274</v>
      </c>
      <c r="C13" s="57" t="n">
        <v>0.00446</v>
      </c>
      <c r="D13" s="57" t="n">
        <v>0.00585</v>
      </c>
      <c r="E13" s="57" t="n">
        <v>0.01004</v>
      </c>
      <c r="F13" s="57" t="n">
        <v>0.01276</v>
      </c>
      <c r="G13" s="57" t="n">
        <v>0.02272</v>
      </c>
    </row>
    <row r="14" customFormat="false" ht="15" hidden="false" customHeight="false" outlineLevel="0" collapsed="false">
      <c r="A14" s="52" t="n">
        <v>44211</v>
      </c>
      <c r="B14" s="57" t="n">
        <v>0.0025</v>
      </c>
      <c r="C14" s="57" t="n">
        <v>0.00431</v>
      </c>
      <c r="D14" s="57" t="n">
        <v>0.00559</v>
      </c>
      <c r="E14" s="57" t="n">
        <v>0.00945</v>
      </c>
      <c r="F14" s="57" t="n">
        <v>0.01201</v>
      </c>
      <c r="G14" s="57" t="n">
        <v>0.02157</v>
      </c>
    </row>
    <row r="15" customFormat="false" ht="15" hidden="false" customHeight="false" outlineLevel="0" collapsed="false">
      <c r="A15" s="52" t="n">
        <v>44214</v>
      </c>
      <c r="B15" s="57" t="n">
        <v>0.00241</v>
      </c>
      <c r="C15" s="57" t="n">
        <v>0.00434</v>
      </c>
      <c r="D15" s="57" t="n">
        <v>0.00595</v>
      </c>
      <c r="E15" s="57" t="n">
        <v>0.00949</v>
      </c>
      <c r="F15" s="57" t="n">
        <v>0.01193</v>
      </c>
      <c r="G15" s="57" t="n">
        <v>0.02147</v>
      </c>
    </row>
    <row r="16" customFormat="false" ht="15" hidden="false" customHeight="false" outlineLevel="0" collapsed="false">
      <c r="A16" s="52" t="n">
        <v>44215</v>
      </c>
      <c r="B16" s="57" t="n">
        <v>0.00238</v>
      </c>
      <c r="C16" s="57" t="n">
        <v>0.00425</v>
      </c>
      <c r="D16" s="57" t="n">
        <v>0.00589</v>
      </c>
      <c r="E16" s="57" t="n">
        <v>0.00894</v>
      </c>
      <c r="F16" s="57" t="n">
        <v>0.01126</v>
      </c>
      <c r="G16" s="57" t="n">
        <v>0.0201</v>
      </c>
    </row>
    <row r="17" customFormat="false" ht="15" hidden="false" customHeight="false" outlineLevel="0" collapsed="false">
      <c r="A17" s="52" t="n">
        <v>44216</v>
      </c>
      <c r="B17" s="57" t="n">
        <v>0.00238</v>
      </c>
      <c r="C17" s="57" t="n">
        <v>0.00429</v>
      </c>
      <c r="D17" s="57" t="n">
        <v>0.00609</v>
      </c>
      <c r="E17" s="57" t="n">
        <v>0.00964</v>
      </c>
      <c r="F17" s="57" t="n">
        <v>0.01186</v>
      </c>
      <c r="G17" s="57" t="n">
        <v>0.02162</v>
      </c>
    </row>
    <row r="18" customFormat="false" ht="15" hidden="false" customHeight="false" outlineLevel="0" collapsed="false">
      <c r="A18" s="52" t="n">
        <v>44217</v>
      </c>
      <c r="B18" s="57" t="n">
        <v>0.0025</v>
      </c>
      <c r="C18" s="57" t="n">
        <v>0.00442</v>
      </c>
      <c r="D18" s="57" t="n">
        <v>0.00618</v>
      </c>
      <c r="E18" s="57" t="n">
        <v>0.00996</v>
      </c>
      <c r="F18" s="57" t="n">
        <v>0.01172</v>
      </c>
      <c r="G18" s="57" t="n">
        <v>0.02138</v>
      </c>
    </row>
    <row r="19" customFormat="false" ht="15" hidden="false" customHeight="false" outlineLevel="0" collapsed="false">
      <c r="A19" s="52" t="n">
        <v>44218</v>
      </c>
      <c r="B19" s="57" t="n">
        <v>0.00249</v>
      </c>
      <c r="C19" s="57" t="n">
        <v>0.00446</v>
      </c>
      <c r="D19" s="57" t="n">
        <v>0.00638</v>
      </c>
      <c r="E19" s="57" t="n">
        <v>0.01051</v>
      </c>
      <c r="F19" s="57" t="n">
        <v>0.0119</v>
      </c>
      <c r="G19" s="57" t="n">
        <v>0.02138</v>
      </c>
    </row>
    <row r="20" customFormat="false" ht="15" hidden="false" customHeight="false" outlineLevel="0" collapsed="false">
      <c r="A20" s="52" t="n">
        <v>44221</v>
      </c>
      <c r="B20" s="57" t="n">
        <v>0.00234</v>
      </c>
      <c r="C20" s="57" t="n">
        <v>0.00426</v>
      </c>
      <c r="D20" s="57" t="n">
        <v>0.00645</v>
      </c>
      <c r="E20" s="57" t="n">
        <v>0.01081</v>
      </c>
      <c r="F20" s="57" t="n">
        <v>0.01231</v>
      </c>
      <c r="G20" s="57" t="n">
        <v>0.02157</v>
      </c>
    </row>
    <row r="21" customFormat="false" ht="15" hidden="false" customHeight="false" outlineLevel="0" collapsed="false">
      <c r="A21" s="52" t="n">
        <v>44222</v>
      </c>
      <c r="B21" s="57" t="n">
        <v>0.00228</v>
      </c>
      <c r="C21" s="57" t="n">
        <v>0.00425</v>
      </c>
      <c r="D21" s="57" t="n">
        <v>0.00656</v>
      </c>
      <c r="E21" s="57" t="n">
        <v>0.01083</v>
      </c>
      <c r="F21" s="57" t="n">
        <v>0.01257</v>
      </c>
      <c r="G21" s="57" t="n">
        <v>0.02181</v>
      </c>
    </row>
    <row r="22" customFormat="false" ht="15" hidden="false" customHeight="false" outlineLevel="0" collapsed="false">
      <c r="A22" s="52" t="n">
        <v>44223</v>
      </c>
      <c r="B22" s="57" t="n">
        <v>0.00223</v>
      </c>
      <c r="C22" s="57" t="n">
        <v>0.00429</v>
      </c>
      <c r="D22" s="57" t="n">
        <v>0.00675</v>
      </c>
      <c r="E22" s="57" t="n">
        <v>0.01101</v>
      </c>
      <c r="F22" s="57" t="n">
        <v>0.01318</v>
      </c>
      <c r="G22" s="57" t="n">
        <v>0.02181</v>
      </c>
    </row>
    <row r="23" customFormat="false" ht="15" hidden="false" customHeight="false" outlineLevel="0" collapsed="false">
      <c r="A23" s="52" t="n">
        <v>44224</v>
      </c>
      <c r="B23" s="57" t="n">
        <v>0.00229</v>
      </c>
      <c r="C23" s="57" t="n">
        <v>0.00451</v>
      </c>
      <c r="D23" s="57" t="n">
        <v>0.0079</v>
      </c>
      <c r="E23" s="57" t="n">
        <v>0.01145</v>
      </c>
      <c r="F23" s="57" t="n">
        <v>0.01394</v>
      </c>
      <c r="G23" s="57" t="n">
        <v>0.02265</v>
      </c>
    </row>
    <row r="24" customFormat="false" ht="15" hidden="false" customHeight="false" outlineLevel="0" collapsed="false">
      <c r="A24" s="52" t="n">
        <v>44225</v>
      </c>
      <c r="B24" s="57" t="n">
        <v>0.00223</v>
      </c>
      <c r="C24" s="57" t="n">
        <v>0.00445</v>
      </c>
      <c r="D24" s="57" t="n">
        <v>0.00741</v>
      </c>
      <c r="E24" s="57" t="n">
        <v>0.01122</v>
      </c>
      <c r="F24" s="57" t="n">
        <v>0.01387</v>
      </c>
      <c r="G24" s="57" t="n">
        <v>0.02254</v>
      </c>
    </row>
    <row r="25" customFormat="false" ht="15" hidden="false" customHeight="false" outlineLevel="0" collapsed="false">
      <c r="A25" s="52" t="n">
        <v>44228</v>
      </c>
      <c r="B25" s="57" t="n">
        <v>0.00249</v>
      </c>
      <c r="C25" s="57" t="n">
        <v>0.00422</v>
      </c>
      <c r="D25" s="57" t="n">
        <v>0.00747</v>
      </c>
      <c r="E25" s="57" t="n">
        <v>0.01133</v>
      </c>
      <c r="F25" s="57" t="n">
        <v>0.0145</v>
      </c>
      <c r="G25" s="57" t="n">
        <v>0.02229</v>
      </c>
    </row>
    <row r="26" customFormat="false" ht="15" hidden="false" customHeight="false" outlineLevel="0" collapsed="false">
      <c r="A26" s="52" t="n">
        <v>44229</v>
      </c>
      <c r="B26" s="57" t="n">
        <v>0.00257</v>
      </c>
      <c r="C26" s="57" t="n">
        <v>0.00452</v>
      </c>
      <c r="D26" s="57" t="n">
        <v>0.00713</v>
      </c>
      <c r="E26" s="57" t="n">
        <v>0.01122</v>
      </c>
      <c r="F26" s="57" t="n">
        <v>0.01432</v>
      </c>
      <c r="G26" s="57" t="n">
        <v>0.02252</v>
      </c>
    </row>
    <row r="27" customFormat="false" ht="15" hidden="false" customHeight="false" outlineLevel="0" collapsed="false">
      <c r="A27" s="52" t="n">
        <v>44230</v>
      </c>
      <c r="B27" s="57" t="n">
        <v>0.00262</v>
      </c>
      <c r="C27" s="57" t="n">
        <v>0.00444</v>
      </c>
      <c r="D27" s="57" t="n">
        <v>0.00727</v>
      </c>
      <c r="E27" s="57" t="n">
        <v>0.01188</v>
      </c>
      <c r="F27" s="57" t="n">
        <v>0.01477</v>
      </c>
      <c r="G27" s="57" t="n">
        <v>0.02245</v>
      </c>
    </row>
    <row r="28" customFormat="false" ht="15" hidden="false" customHeight="false" outlineLevel="0" collapsed="false">
      <c r="A28" s="52" t="n">
        <v>44231</v>
      </c>
      <c r="B28" s="57" t="n">
        <v>0.00262</v>
      </c>
      <c r="C28" s="57" t="n">
        <v>0.00444</v>
      </c>
      <c r="D28" s="57" t="n">
        <v>0.00727</v>
      </c>
      <c r="E28" s="57" t="n">
        <v>0.01188</v>
      </c>
      <c r="F28" s="57" t="n">
        <v>0.01477</v>
      </c>
      <c r="G28" s="57" t="n">
        <v>0.02201</v>
      </c>
    </row>
    <row r="29" customFormat="false" ht="15" hidden="false" customHeight="false" outlineLevel="0" collapsed="false">
      <c r="A29" s="52" t="n">
        <v>44232</v>
      </c>
      <c r="B29" s="57" t="n">
        <v>0.00256</v>
      </c>
      <c r="C29" s="57" t="n">
        <v>0.00434</v>
      </c>
      <c r="D29" s="57" t="n">
        <v>0.00734</v>
      </c>
      <c r="E29" s="57" t="n">
        <v>0.01043</v>
      </c>
      <c r="F29" s="57" t="n">
        <v>0.01381</v>
      </c>
      <c r="G29" s="57" t="n">
        <v>0.02198</v>
      </c>
    </row>
    <row r="30" customFormat="false" ht="15" hidden="false" customHeight="false" outlineLevel="0" collapsed="false">
      <c r="A30" s="52" t="n">
        <v>44235</v>
      </c>
      <c r="B30" s="57" t="n">
        <v>0.0026</v>
      </c>
      <c r="C30" s="57" t="n">
        <v>0.00433</v>
      </c>
      <c r="D30" s="57" t="n">
        <v>0.00732</v>
      </c>
      <c r="E30" s="57" t="n">
        <v>0.01026</v>
      </c>
      <c r="F30" s="57" t="n">
        <v>0.01381</v>
      </c>
      <c r="G30" s="57" t="n">
        <v>0.02218</v>
      </c>
    </row>
    <row r="31" customFormat="false" ht="15" hidden="false" customHeight="false" outlineLevel="0" collapsed="false">
      <c r="A31" s="52" t="n">
        <v>44236</v>
      </c>
      <c r="B31" s="57" t="n">
        <v>0.0026</v>
      </c>
      <c r="C31" s="57" t="n">
        <v>0.00437</v>
      </c>
      <c r="D31" s="57" t="n">
        <v>0.00722</v>
      </c>
      <c r="E31" s="57" t="n">
        <v>0.01048</v>
      </c>
      <c r="F31" s="57" t="n">
        <v>0.01383</v>
      </c>
      <c r="G31" s="57" t="n">
        <v>0.02224</v>
      </c>
    </row>
    <row r="32" customFormat="false" ht="15" hidden="false" customHeight="false" outlineLevel="0" collapsed="false">
      <c r="A32" s="52" t="n">
        <v>44237</v>
      </c>
      <c r="B32" s="57" t="n">
        <v>0.00259</v>
      </c>
      <c r="C32" s="57" t="n">
        <v>0.00437</v>
      </c>
      <c r="D32" s="57" t="n">
        <v>0.00722</v>
      </c>
      <c r="E32" s="57" t="n">
        <v>0.01048</v>
      </c>
      <c r="F32" s="57" t="n">
        <v>0.01383</v>
      </c>
      <c r="G32" s="57" t="n">
        <v>0.02217</v>
      </c>
    </row>
    <row r="33" customFormat="false" ht="15" hidden="false" customHeight="false" outlineLevel="0" collapsed="false">
      <c r="A33" s="52" t="n">
        <v>44238</v>
      </c>
      <c r="B33" s="57" t="n">
        <v>0.00259</v>
      </c>
      <c r="C33" s="57" t="n">
        <v>0.00437</v>
      </c>
      <c r="D33" s="57" t="n">
        <v>0.00722</v>
      </c>
      <c r="E33" s="57" t="n">
        <v>0.01048</v>
      </c>
      <c r="F33" s="57" t="n">
        <v>0.01383</v>
      </c>
      <c r="G33" s="57" t="n">
        <v>0.02217</v>
      </c>
    </row>
    <row r="34" customFormat="false" ht="15" hidden="false" customHeight="false" outlineLevel="0" collapsed="false">
      <c r="A34" s="52" t="n">
        <v>44239</v>
      </c>
      <c r="B34" s="57" t="n">
        <v>0.00259</v>
      </c>
      <c r="C34" s="57" t="n">
        <v>0.00437</v>
      </c>
      <c r="D34" s="57" t="n">
        <v>0.00722</v>
      </c>
      <c r="E34" s="57" t="n">
        <v>0.01048</v>
      </c>
      <c r="F34" s="57" t="n">
        <v>0.01383</v>
      </c>
      <c r="G34" s="57" t="n">
        <v>0.02217</v>
      </c>
    </row>
    <row r="35" customFormat="false" ht="15" hidden="false" customHeight="false" outlineLevel="0" collapsed="false">
      <c r="A35" s="52" t="n">
        <v>44242</v>
      </c>
      <c r="B35" s="57" t="n">
        <v>0.00259</v>
      </c>
      <c r="C35" s="57" t="n">
        <v>0.00437</v>
      </c>
      <c r="D35" s="57" t="n">
        <v>0.00722</v>
      </c>
      <c r="E35" s="57" t="n">
        <v>0.01048</v>
      </c>
      <c r="F35" s="57" t="n">
        <v>0.01383</v>
      </c>
      <c r="G35" s="57" t="n">
        <v>0.02217</v>
      </c>
    </row>
    <row r="36" customFormat="false" ht="15" hidden="false" customHeight="false" outlineLevel="0" collapsed="false">
      <c r="A36" s="52" t="n">
        <v>44243</v>
      </c>
      <c r="B36" s="57" t="n">
        <v>0.00259</v>
      </c>
      <c r="C36" s="57" t="n">
        <v>0.00437</v>
      </c>
      <c r="D36" s="57" t="n">
        <v>0.00722</v>
      </c>
      <c r="E36" s="57" t="n">
        <v>0.01048</v>
      </c>
      <c r="F36" s="57" t="n">
        <v>0.01383</v>
      </c>
      <c r="G36" s="57" t="n">
        <v>0.02217</v>
      </c>
    </row>
    <row r="37" customFormat="false" ht="15" hidden="false" customHeight="false" outlineLevel="0" collapsed="false">
      <c r="A37" s="52" t="n">
        <v>44244</v>
      </c>
      <c r="B37" s="57" t="n">
        <v>0.00256</v>
      </c>
      <c r="C37" s="57" t="n">
        <v>0.00429</v>
      </c>
      <c r="D37" s="57" t="n">
        <v>0.00715</v>
      </c>
      <c r="E37" s="57" t="n">
        <v>0.01032</v>
      </c>
      <c r="F37" s="57" t="n">
        <v>0.01363</v>
      </c>
      <c r="G37" s="57" t="n">
        <v>0.02159</v>
      </c>
    </row>
    <row r="38" customFormat="false" ht="15" hidden="false" customHeight="false" outlineLevel="0" collapsed="false">
      <c r="A38" s="52" t="n">
        <v>44245</v>
      </c>
      <c r="B38" s="57" t="n">
        <v>0.00251</v>
      </c>
      <c r="C38" s="57" t="n">
        <v>0.00501</v>
      </c>
      <c r="D38" s="57" t="n">
        <v>0.00662</v>
      </c>
      <c r="E38" s="57" t="n">
        <v>0.01014</v>
      </c>
      <c r="F38" s="57" t="n">
        <v>0.01371</v>
      </c>
      <c r="G38" s="57" t="n">
        <v>0.02204</v>
      </c>
    </row>
    <row r="39" customFormat="false" ht="15" hidden="false" customHeight="false" outlineLevel="0" collapsed="false">
      <c r="A39" s="52" t="n">
        <v>44246</v>
      </c>
      <c r="B39" s="57" t="n">
        <v>0.00259</v>
      </c>
      <c r="C39" s="57" t="n">
        <v>0.00517</v>
      </c>
      <c r="D39" s="57" t="n">
        <v>0.00607</v>
      </c>
      <c r="E39" s="57" t="n">
        <v>0.0099</v>
      </c>
      <c r="F39" s="57" t="n">
        <v>0.01346</v>
      </c>
      <c r="G39" s="57" t="n">
        <v>0.02171</v>
      </c>
    </row>
    <row r="40" customFormat="false" ht="15" hidden="false" customHeight="false" outlineLevel="0" collapsed="false">
      <c r="A40" s="52" t="n">
        <v>44249</v>
      </c>
      <c r="B40" s="57" t="n">
        <v>0.00253</v>
      </c>
      <c r="C40" s="57" t="n">
        <v>0.00543</v>
      </c>
      <c r="D40" s="57" t="n">
        <v>0.00561</v>
      </c>
      <c r="E40" s="57" t="n">
        <v>0.00979</v>
      </c>
      <c r="F40" s="57" t="n">
        <v>0.01383</v>
      </c>
      <c r="G40" s="57" t="n">
        <v>0.02193</v>
      </c>
    </row>
    <row r="41" customFormat="false" ht="15" hidden="false" customHeight="false" outlineLevel="0" collapsed="false">
      <c r="A41" s="52" t="n">
        <v>44250</v>
      </c>
      <c r="B41" s="57" t="n">
        <v>0.00236</v>
      </c>
      <c r="C41" s="57" t="n">
        <v>0.00555</v>
      </c>
      <c r="D41" s="57" t="n">
        <v>0.00567</v>
      </c>
      <c r="E41" s="57" t="n">
        <v>0.00996</v>
      </c>
      <c r="F41" s="57" t="n">
        <v>0.01415</v>
      </c>
      <c r="G41" s="57" t="n">
        <v>0.02226</v>
      </c>
    </row>
    <row r="42" customFormat="false" ht="15" hidden="false" customHeight="false" outlineLevel="0" collapsed="false">
      <c r="A42" s="52" t="n">
        <v>44251</v>
      </c>
      <c r="B42" s="57" t="n">
        <v>0.00247</v>
      </c>
      <c r="C42" s="57" t="n">
        <v>0.00418</v>
      </c>
      <c r="D42" s="57" t="n">
        <v>0.00554</v>
      </c>
      <c r="E42" s="57" t="n">
        <v>0.01001</v>
      </c>
      <c r="F42" s="57" t="n">
        <v>0.01419</v>
      </c>
      <c r="G42" s="57" t="n">
        <v>0.0222</v>
      </c>
    </row>
    <row r="43" customFormat="false" ht="15" hidden="false" customHeight="false" outlineLevel="0" collapsed="false">
      <c r="A43" s="52" t="n">
        <v>44252</v>
      </c>
      <c r="B43" s="57" t="n">
        <v>0.00247</v>
      </c>
      <c r="C43" s="57" t="n">
        <v>0.00459</v>
      </c>
      <c r="D43" s="57" t="n">
        <v>0.00624</v>
      </c>
      <c r="E43" s="57" t="n">
        <v>0.01004</v>
      </c>
      <c r="F43" s="57" t="n">
        <v>0.01443</v>
      </c>
      <c r="G43" s="57" t="n">
        <v>0.0226</v>
      </c>
    </row>
    <row r="44" customFormat="false" ht="15" hidden="false" customHeight="false" outlineLevel="0" collapsed="false">
      <c r="A44" s="52" t="n">
        <v>44253</v>
      </c>
      <c r="B44" s="57" t="n">
        <v>0.00276</v>
      </c>
      <c r="C44" s="57" t="n">
        <v>0.0051</v>
      </c>
      <c r="D44" s="57" t="n">
        <v>0.00683</v>
      </c>
      <c r="E44" s="57" t="n">
        <v>0.01049</v>
      </c>
      <c r="F44" s="57" t="n">
        <v>0.01476</v>
      </c>
      <c r="G44" s="57" t="n">
        <v>0.02305</v>
      </c>
    </row>
    <row r="45" customFormat="false" ht="15" hidden="false" customHeight="false" outlineLevel="0" collapsed="false">
      <c r="A45" s="52" t="n">
        <v>44256</v>
      </c>
      <c r="B45" s="57" t="n">
        <v>0.00273</v>
      </c>
      <c r="C45" s="57" t="n">
        <v>0.00512</v>
      </c>
      <c r="D45" s="57" t="n">
        <v>0.00656</v>
      </c>
      <c r="E45" s="57" t="n">
        <v>0.0101</v>
      </c>
      <c r="F45" s="57" t="n">
        <v>0.01468</v>
      </c>
      <c r="G45" s="57" t="n">
        <v>0.02285</v>
      </c>
    </row>
    <row r="46" customFormat="false" ht="15" hidden="false" customHeight="false" outlineLevel="0" collapsed="false">
      <c r="A46" s="52" t="n">
        <v>44257</v>
      </c>
      <c r="B46" s="57" t="n">
        <v>0.00274</v>
      </c>
      <c r="C46" s="57" t="n">
        <v>0.00459</v>
      </c>
      <c r="D46" s="57" t="n">
        <v>0.00621</v>
      </c>
      <c r="E46" s="57" t="n">
        <v>0.00976</v>
      </c>
      <c r="F46" s="57" t="n">
        <v>0.01468</v>
      </c>
      <c r="G46" s="57" t="n">
        <v>0.02254</v>
      </c>
    </row>
    <row r="47" customFormat="false" ht="15" hidden="false" customHeight="false" outlineLevel="0" collapsed="false">
      <c r="A47" s="52" t="n">
        <v>44258</v>
      </c>
      <c r="B47" s="57" t="n">
        <v>0.00266</v>
      </c>
      <c r="C47" s="57" t="n">
        <v>0.0045</v>
      </c>
      <c r="D47" s="57" t="n">
        <v>0.00611</v>
      </c>
      <c r="E47" s="57" t="n">
        <v>0.00976</v>
      </c>
      <c r="F47" s="57" t="n">
        <v>0.01453</v>
      </c>
      <c r="G47" s="57" t="n">
        <v>0.02245</v>
      </c>
    </row>
    <row r="48" customFormat="false" ht="15" hidden="false" customHeight="false" outlineLevel="0" collapsed="false">
      <c r="A48" s="52" t="n">
        <v>44259</v>
      </c>
      <c r="B48" s="57" t="n">
        <v>0.00264</v>
      </c>
      <c r="C48" s="57" t="n">
        <v>0.00452</v>
      </c>
      <c r="D48" s="57" t="n">
        <v>0.00611</v>
      </c>
      <c r="E48" s="57" t="n">
        <v>0.00989</v>
      </c>
      <c r="F48" s="57" t="n">
        <v>0.01468</v>
      </c>
      <c r="G48" s="57" t="n">
        <v>0.02327</v>
      </c>
    </row>
    <row r="49" customFormat="false" ht="15" hidden="false" customHeight="false" outlineLevel="0" collapsed="false">
      <c r="A49" s="52" t="n">
        <v>44260</v>
      </c>
      <c r="B49" s="57" t="n">
        <v>0.00266</v>
      </c>
      <c r="C49" s="57" t="n">
        <v>0.00441</v>
      </c>
      <c r="D49" s="57" t="n">
        <v>0.00592</v>
      </c>
      <c r="E49" s="57" t="n">
        <v>0.00999</v>
      </c>
      <c r="F49" s="57" t="n">
        <v>0.01517</v>
      </c>
      <c r="G49" s="57" t="n">
        <v>0.02293</v>
      </c>
    </row>
    <row r="50" customFormat="false" ht="15" hidden="false" customHeight="false" outlineLevel="0" collapsed="false">
      <c r="A50" s="52" t="n">
        <v>44263</v>
      </c>
      <c r="B50" s="57" t="n">
        <v>0.00254</v>
      </c>
      <c r="C50" s="57" t="n">
        <v>0.00463</v>
      </c>
      <c r="D50" s="57" t="n">
        <v>0.00629</v>
      </c>
      <c r="E50" s="57" t="n">
        <v>0.01002</v>
      </c>
      <c r="F50" s="57" t="n">
        <v>0.01493</v>
      </c>
      <c r="G50" s="57" t="n">
        <v>0.02315</v>
      </c>
    </row>
    <row r="51" customFormat="false" ht="15" hidden="false" customHeight="false" outlineLevel="0" collapsed="false">
      <c r="A51" s="52" t="n">
        <v>44264</v>
      </c>
      <c r="B51" s="57" t="n">
        <v>0.00257</v>
      </c>
      <c r="C51" s="57" t="n">
        <v>0.00442</v>
      </c>
      <c r="D51" s="57" t="n">
        <v>0.00625</v>
      </c>
      <c r="E51" s="57" t="n">
        <v>0.0103</v>
      </c>
      <c r="F51" s="57" t="n">
        <v>0.01505</v>
      </c>
      <c r="G51" s="57" t="n">
        <v>0.02338</v>
      </c>
    </row>
    <row r="52" customFormat="false" ht="15" hidden="false" customHeight="false" outlineLevel="0" collapsed="false">
      <c r="A52" s="52" t="n">
        <v>44265</v>
      </c>
      <c r="B52" s="57" t="n">
        <v>0.00255</v>
      </c>
      <c r="C52" s="57" t="n">
        <v>0.00452</v>
      </c>
      <c r="D52" s="57" t="n">
        <v>0.00626</v>
      </c>
      <c r="E52" s="57" t="n">
        <v>0.01002</v>
      </c>
      <c r="F52" s="57" t="n">
        <v>0.01488</v>
      </c>
      <c r="G52" s="57" t="n">
        <v>0.02282</v>
      </c>
    </row>
    <row r="53" customFormat="false" ht="15" hidden="false" customHeight="false" outlineLevel="0" collapsed="false">
      <c r="A53" s="52" t="n">
        <v>44266</v>
      </c>
      <c r="B53" s="57" t="n">
        <v>0.00257</v>
      </c>
      <c r="C53" s="57" t="n">
        <v>0.00437</v>
      </c>
      <c r="D53" s="57" t="n">
        <v>0.006</v>
      </c>
      <c r="E53" s="57" t="n">
        <v>0.01</v>
      </c>
      <c r="F53" s="57" t="n">
        <v>0.0149</v>
      </c>
      <c r="G53" s="57" t="n">
        <v>0.02343</v>
      </c>
    </row>
    <row r="54" customFormat="false" ht="15" hidden="false" customHeight="false" outlineLevel="0" collapsed="false">
      <c r="A54" s="52" t="n">
        <v>44267</v>
      </c>
      <c r="B54" s="57" t="n">
        <v>0.00259</v>
      </c>
      <c r="C54" s="57" t="n">
        <v>0.0042</v>
      </c>
      <c r="D54" s="57" t="n">
        <v>0.0062</v>
      </c>
      <c r="E54" s="57" t="n">
        <v>0.01003</v>
      </c>
      <c r="F54" s="57" t="n">
        <v>0.01496</v>
      </c>
      <c r="G54" s="57" t="n">
        <v>0.02309</v>
      </c>
    </row>
    <row r="55" customFormat="false" ht="15" hidden="false" customHeight="false" outlineLevel="0" collapsed="false">
      <c r="A55" s="52" t="n">
        <v>44270</v>
      </c>
      <c r="B55" s="57" t="n">
        <v>0.00276</v>
      </c>
      <c r="C55" s="57" t="n">
        <v>0.00442</v>
      </c>
      <c r="D55" s="57" t="n">
        <v>0.0063</v>
      </c>
      <c r="E55" s="57" t="n">
        <v>0.01015</v>
      </c>
      <c r="F55" s="57" t="n">
        <v>0.01505</v>
      </c>
      <c r="G55" s="57" t="n">
        <v>0.02313</v>
      </c>
    </row>
    <row r="56" customFormat="false" ht="15" hidden="false" customHeight="false" outlineLevel="0" collapsed="false">
      <c r="A56" s="52" t="n">
        <v>44271</v>
      </c>
      <c r="B56" s="57" t="n">
        <v>0.00275</v>
      </c>
      <c r="C56" s="57" t="n">
        <v>0.00417</v>
      </c>
      <c r="D56" s="57" t="n">
        <v>0.00634</v>
      </c>
      <c r="E56" s="57" t="n">
        <v>0.01024</v>
      </c>
      <c r="F56" s="57" t="n">
        <v>0.01532</v>
      </c>
      <c r="G56" s="57" t="n">
        <v>0.02326</v>
      </c>
    </row>
    <row r="57" customFormat="false" ht="15" hidden="false" customHeight="false" outlineLevel="0" collapsed="false">
      <c r="A57" s="52" t="n">
        <v>44272</v>
      </c>
      <c r="B57" s="57" t="n">
        <v>0.00267</v>
      </c>
      <c r="C57" s="57" t="n">
        <v>0.00427</v>
      </c>
      <c r="D57" s="57" t="n">
        <v>0.00636</v>
      </c>
      <c r="E57" s="57" t="n">
        <v>0.01047</v>
      </c>
      <c r="F57" s="57" t="n">
        <v>0.01557</v>
      </c>
      <c r="G57" s="57" t="n">
        <v>0.0237</v>
      </c>
    </row>
    <row r="58" customFormat="false" ht="15" hidden="false" customHeight="false" outlineLevel="0" collapsed="false">
      <c r="A58" s="52" t="n">
        <v>44273</v>
      </c>
      <c r="B58" s="57" t="n">
        <v>0.0027</v>
      </c>
      <c r="C58" s="57" t="n">
        <v>0.00463</v>
      </c>
      <c r="D58" s="57" t="n">
        <v>0.00651</v>
      </c>
      <c r="E58" s="57" t="n">
        <v>0.01035</v>
      </c>
      <c r="F58" s="57" t="n">
        <v>0.01554</v>
      </c>
      <c r="G58" s="57" t="n">
        <v>0.02362</v>
      </c>
    </row>
    <row r="59" customFormat="false" ht="15" hidden="false" customHeight="false" outlineLevel="0" collapsed="false">
      <c r="A59" s="52" t="n">
        <v>44274</v>
      </c>
      <c r="B59" s="57" t="n">
        <v>0.00263</v>
      </c>
      <c r="C59" s="57" t="n">
        <v>0.00462</v>
      </c>
      <c r="D59" s="57" t="n">
        <v>0.0065</v>
      </c>
      <c r="E59" s="57" t="n">
        <v>0.01043</v>
      </c>
      <c r="F59" s="57" t="n">
        <v>0.01541</v>
      </c>
      <c r="G59" s="57" t="n">
        <v>0.02382</v>
      </c>
    </row>
    <row r="60" customFormat="false" ht="15" hidden="false" customHeight="false" outlineLevel="0" collapsed="false">
      <c r="A60" s="52" t="n">
        <v>44277</v>
      </c>
      <c r="B60" s="57" t="n">
        <v>0.00256</v>
      </c>
      <c r="C60" s="57" t="n">
        <v>0.00459</v>
      </c>
      <c r="D60" s="57" t="n">
        <v>0.00648</v>
      </c>
      <c r="E60" s="57" t="n">
        <v>0.01027</v>
      </c>
      <c r="F60" s="57" t="n">
        <v>0.01553</v>
      </c>
      <c r="G60" s="57" t="n">
        <v>0.02358</v>
      </c>
    </row>
    <row r="61" customFormat="false" ht="15" hidden="false" customHeight="false" outlineLevel="0" collapsed="false">
      <c r="A61" s="52" t="n">
        <v>44278</v>
      </c>
      <c r="B61" s="57" t="n">
        <v>0.00259</v>
      </c>
      <c r="C61" s="57" t="n">
        <v>0.00443</v>
      </c>
      <c r="D61" s="57" t="n">
        <v>0.00636</v>
      </c>
      <c r="E61" s="57" t="n">
        <v>0.01011</v>
      </c>
      <c r="F61" s="57" t="n">
        <v>0.01544</v>
      </c>
      <c r="G61" s="57" t="n">
        <v>0.02339</v>
      </c>
    </row>
    <row r="62" customFormat="false" ht="15" hidden="false" customHeight="false" outlineLevel="0" collapsed="false">
      <c r="A62" s="52" t="n">
        <v>44279</v>
      </c>
      <c r="B62" s="57" t="n">
        <v>0.00248</v>
      </c>
      <c r="C62" s="57" t="n">
        <v>0.00439</v>
      </c>
      <c r="D62" s="57" t="n">
        <v>0.00644</v>
      </c>
      <c r="E62" s="57" t="n">
        <v>0.01008</v>
      </c>
      <c r="F62" s="57" t="n">
        <v>0.01472</v>
      </c>
      <c r="G62" s="57" t="n">
        <v>0.02297</v>
      </c>
    </row>
    <row r="63" customFormat="false" ht="15" hidden="false" customHeight="false" outlineLevel="0" collapsed="false">
      <c r="A63" s="52" t="n">
        <v>44280</v>
      </c>
      <c r="B63" s="57" t="n">
        <v>0.00248</v>
      </c>
      <c r="C63" s="57" t="n">
        <v>0.00439</v>
      </c>
      <c r="D63" s="57" t="n">
        <v>0.00635</v>
      </c>
      <c r="E63" s="57" t="n">
        <v>0.01022</v>
      </c>
      <c r="F63" s="57" t="n">
        <v>0.01498</v>
      </c>
      <c r="G63" s="57" t="n">
        <v>0.02345</v>
      </c>
    </row>
    <row r="64" customFormat="false" ht="15" hidden="false" customHeight="false" outlineLevel="0" collapsed="false">
      <c r="A64" s="52" t="n">
        <v>44281</v>
      </c>
      <c r="B64" s="57" t="n">
        <v>0.00251</v>
      </c>
      <c r="C64" s="57" t="n">
        <v>0.00446</v>
      </c>
      <c r="D64" s="57" t="n">
        <v>0.00636</v>
      </c>
      <c r="E64" s="57" t="n">
        <v>0.01022</v>
      </c>
      <c r="F64" s="57" t="n">
        <v>0.01505</v>
      </c>
      <c r="G64" s="57" t="n">
        <v>0.02309</v>
      </c>
    </row>
    <row r="65" customFormat="false" ht="15" hidden="false" customHeight="false" outlineLevel="0" collapsed="false">
      <c r="A65" s="52" t="n">
        <v>44284</v>
      </c>
      <c r="B65" s="57" t="n">
        <v>0.0025</v>
      </c>
      <c r="C65" s="57" t="n">
        <v>0.00424</v>
      </c>
      <c r="D65" s="57" t="n">
        <v>0.0063</v>
      </c>
      <c r="E65" s="57" t="n">
        <v>0.0101</v>
      </c>
      <c r="F65" s="57" t="n">
        <v>0.01499</v>
      </c>
      <c r="G65" s="57" t="n">
        <v>0.02333</v>
      </c>
    </row>
    <row r="66" customFormat="false" ht="15" hidden="false" customHeight="false" outlineLevel="0" collapsed="false">
      <c r="A66" s="52" t="n">
        <v>44285</v>
      </c>
      <c r="B66" s="57" t="n">
        <v>0.00249</v>
      </c>
      <c r="C66" s="57" t="n">
        <v>0.00444</v>
      </c>
      <c r="D66" s="57" t="n">
        <v>0.00634</v>
      </c>
      <c r="E66" s="57" t="n">
        <v>0.01025</v>
      </c>
      <c r="F66" s="57" t="n">
        <v>0.01522</v>
      </c>
      <c r="G66" s="57" t="n">
        <v>0.02335</v>
      </c>
    </row>
    <row r="67" customFormat="false" ht="15" hidden="false" customHeight="false" outlineLevel="0" collapsed="false">
      <c r="A67" s="52" t="n">
        <v>44286</v>
      </c>
      <c r="B67" s="57" t="n">
        <v>0.00249</v>
      </c>
      <c r="C67" s="57" t="n">
        <v>0.00443</v>
      </c>
      <c r="D67" s="57" t="n">
        <v>0.00634</v>
      </c>
      <c r="E67" s="57" t="n">
        <v>0.01</v>
      </c>
      <c r="F67" s="57" t="n">
        <v>0.0153</v>
      </c>
      <c r="G67" s="57" t="n">
        <v>0.02336</v>
      </c>
    </row>
    <row r="68" customFormat="false" ht="15" hidden="false" customHeight="false" outlineLevel="0" collapsed="false">
      <c r="A68" s="52" t="n">
        <v>44287</v>
      </c>
      <c r="B68" s="57" t="n">
        <v>0.00299</v>
      </c>
      <c r="C68" s="57" t="n">
        <v>0.00453</v>
      </c>
      <c r="D68" s="57" t="n">
        <v>0.00644</v>
      </c>
      <c r="E68" s="57" t="n">
        <v>0.01021</v>
      </c>
      <c r="F68" s="57" t="n">
        <v>0.01523</v>
      </c>
      <c r="G68" s="57" t="n">
        <v>0.02301</v>
      </c>
    </row>
    <row r="69" customFormat="false" ht="15" hidden="false" customHeight="false" outlineLevel="0" collapsed="false">
      <c r="A69" s="52" t="n">
        <v>44288</v>
      </c>
      <c r="B69" s="57" t="n">
        <v>0.00298</v>
      </c>
      <c r="C69" s="57" t="n">
        <v>0.00442</v>
      </c>
      <c r="D69" s="57" t="n">
        <v>0.00641</v>
      </c>
      <c r="E69" s="57" t="n">
        <v>0.01053</v>
      </c>
      <c r="F69" s="57" t="n">
        <v>0.01519</v>
      </c>
      <c r="G69" s="57" t="n">
        <v>0.02312</v>
      </c>
    </row>
    <row r="70" customFormat="false" ht="15" hidden="false" customHeight="false" outlineLevel="0" collapsed="false">
      <c r="A70" s="52" t="n">
        <v>44291</v>
      </c>
      <c r="B70" s="57" t="n">
        <v>0.00305</v>
      </c>
      <c r="C70" s="57" t="n">
        <v>0.00443</v>
      </c>
      <c r="D70" s="57" t="n">
        <v>0.00639</v>
      </c>
      <c r="E70" s="57" t="n">
        <v>0.0105</v>
      </c>
      <c r="F70" s="57" t="n">
        <v>0.01527</v>
      </c>
      <c r="G70" s="57" t="n">
        <v>0.02335</v>
      </c>
    </row>
    <row r="71" customFormat="false" ht="15" hidden="false" customHeight="false" outlineLevel="0" collapsed="false">
      <c r="A71" s="52" t="n">
        <v>44292</v>
      </c>
      <c r="B71" s="57" t="n">
        <v>0.00295</v>
      </c>
      <c r="C71" s="57" t="n">
        <v>0.0044</v>
      </c>
      <c r="D71" s="57" t="n">
        <v>0.00638</v>
      </c>
      <c r="E71" s="57" t="n">
        <v>0.01073</v>
      </c>
      <c r="F71" s="57" t="n">
        <v>0.0153</v>
      </c>
      <c r="G71" s="57" t="n">
        <v>0.02317</v>
      </c>
    </row>
    <row r="72" customFormat="false" ht="15" hidden="false" customHeight="false" outlineLevel="0" collapsed="false">
      <c r="A72" s="52" t="n">
        <v>44293</v>
      </c>
      <c r="B72" s="57" t="n">
        <v>0.00295</v>
      </c>
      <c r="C72" s="57" t="n">
        <v>0.00439</v>
      </c>
      <c r="D72" s="57" t="n">
        <v>0.00638</v>
      </c>
      <c r="E72" s="57" t="n">
        <v>0.01075</v>
      </c>
      <c r="F72" s="57" t="n">
        <v>0.01499</v>
      </c>
      <c r="G72" s="57" t="n">
        <v>0.02313</v>
      </c>
    </row>
    <row r="73" customFormat="false" ht="15" hidden="false" customHeight="false" outlineLevel="0" collapsed="false">
      <c r="A73" s="52" t="n">
        <v>44294</v>
      </c>
      <c r="B73" s="57" t="n">
        <v>0.00295</v>
      </c>
      <c r="C73" s="57" t="n">
        <v>0.00439</v>
      </c>
      <c r="D73" s="57" t="n">
        <v>0.00638</v>
      </c>
      <c r="E73" s="57" t="n">
        <v>0.01072</v>
      </c>
      <c r="F73" s="57" t="n">
        <v>0.01508</v>
      </c>
      <c r="G73" s="57" t="n">
        <v>0.02315</v>
      </c>
    </row>
    <row r="74" customFormat="false" ht="15" hidden="false" customHeight="false" outlineLevel="0" collapsed="false">
      <c r="A74" s="52" t="n">
        <v>44295</v>
      </c>
      <c r="B74" s="57" t="n">
        <v>0.00294</v>
      </c>
      <c r="C74" s="57" t="n">
        <v>0.00446</v>
      </c>
      <c r="D74" s="57" t="n">
        <v>0.00638</v>
      </c>
      <c r="E74" s="57" t="n">
        <v>0.01112</v>
      </c>
      <c r="F74" s="57" t="n">
        <v>0.01504</v>
      </c>
      <c r="G74" s="57" t="n">
        <v>0.02323</v>
      </c>
    </row>
    <row r="75" customFormat="false" ht="15" hidden="false" customHeight="false" outlineLevel="0" collapsed="false">
      <c r="A75" s="52" t="n">
        <v>44298</v>
      </c>
      <c r="B75" s="57" t="n">
        <v>0.00301</v>
      </c>
      <c r="C75" s="57" t="n">
        <v>0.00446</v>
      </c>
      <c r="D75" s="57" t="n">
        <v>0.00633</v>
      </c>
      <c r="E75" s="57" t="n">
        <v>0.01062</v>
      </c>
      <c r="F75" s="57" t="n">
        <v>0.01512</v>
      </c>
      <c r="G75" s="57" t="n">
        <v>0.02336</v>
      </c>
    </row>
    <row r="76" customFormat="false" ht="15" hidden="false" customHeight="false" outlineLevel="0" collapsed="false">
      <c r="A76" s="52" t="n">
        <v>44299</v>
      </c>
      <c r="B76" s="57" t="n">
        <v>0.0031</v>
      </c>
      <c r="C76" s="57" t="n">
        <v>0.00448</v>
      </c>
      <c r="D76" s="57" t="n">
        <v>0.0064</v>
      </c>
      <c r="E76" s="57" t="n">
        <v>0.01075</v>
      </c>
      <c r="F76" s="57" t="n">
        <v>0.0151</v>
      </c>
      <c r="G76" s="57" t="n">
        <v>0.02313</v>
      </c>
    </row>
    <row r="77" customFormat="false" ht="15" hidden="false" customHeight="false" outlineLevel="0" collapsed="false">
      <c r="A77" s="52" t="n">
        <v>44300</v>
      </c>
      <c r="B77" s="57" t="n">
        <v>0.00309</v>
      </c>
      <c r="C77" s="57" t="n">
        <v>0.00448</v>
      </c>
      <c r="D77" s="57" t="n">
        <v>0.00634</v>
      </c>
      <c r="E77" s="57" t="n">
        <v>0.0107</v>
      </c>
      <c r="F77" s="57" t="n">
        <v>0.0152</v>
      </c>
      <c r="G77" s="57" t="n">
        <v>0.02326</v>
      </c>
    </row>
    <row r="78" customFormat="false" ht="15" hidden="false" customHeight="false" outlineLevel="0" collapsed="false">
      <c r="A78" s="52" t="n">
        <v>44301</v>
      </c>
      <c r="B78" s="57" t="n">
        <v>0.0029</v>
      </c>
      <c r="C78" s="57" t="n">
        <v>0.00442</v>
      </c>
      <c r="D78" s="57" t="n">
        <v>0.00629</v>
      </c>
      <c r="E78" s="57" t="n">
        <v>0.01047</v>
      </c>
      <c r="F78" s="57" t="n">
        <v>0.01481</v>
      </c>
      <c r="G78" s="57" t="n">
        <v>0.02323</v>
      </c>
    </row>
    <row r="79" customFormat="false" ht="15" hidden="false" customHeight="false" outlineLevel="0" collapsed="false">
      <c r="A79" s="52" t="n">
        <v>44302</v>
      </c>
      <c r="B79" s="57" t="n">
        <v>0.0029</v>
      </c>
      <c r="C79" s="57" t="n">
        <v>0.00442</v>
      </c>
      <c r="D79" s="57" t="n">
        <v>0.00621</v>
      </c>
      <c r="E79" s="57" t="n">
        <v>0.01053</v>
      </c>
      <c r="F79" s="57" t="n">
        <v>0.01501</v>
      </c>
      <c r="G79" s="57" t="n">
        <v>0.02237</v>
      </c>
    </row>
    <row r="80" customFormat="false" ht="15" hidden="false" customHeight="false" outlineLevel="0" collapsed="false">
      <c r="A80" s="52" t="n">
        <v>44305</v>
      </c>
      <c r="B80" s="57" t="n">
        <v>0.00289</v>
      </c>
      <c r="C80" s="57" t="n">
        <v>0.0044</v>
      </c>
      <c r="D80" s="57" t="n">
        <v>0.00608</v>
      </c>
      <c r="E80" s="57" t="n">
        <v>0.01055</v>
      </c>
      <c r="F80" s="57" t="n">
        <v>0.01502</v>
      </c>
      <c r="G80" s="57" t="n">
        <v>0.02287</v>
      </c>
    </row>
    <row r="81" customFormat="false" ht="15" hidden="false" customHeight="false" outlineLevel="0" collapsed="false">
      <c r="A81" s="52" t="n">
        <v>44306</v>
      </c>
      <c r="B81" s="57" t="n">
        <v>0.00289</v>
      </c>
      <c r="C81" s="57" t="n">
        <v>0.0044</v>
      </c>
      <c r="D81" s="57" t="n">
        <v>0.00606</v>
      </c>
      <c r="E81" s="57" t="n">
        <v>0.01045</v>
      </c>
      <c r="F81" s="57" t="n">
        <v>0.01491</v>
      </c>
      <c r="G81" s="57" t="n">
        <v>0.02269</v>
      </c>
    </row>
    <row r="82" customFormat="false" ht="15" hidden="false" customHeight="false" outlineLevel="0" collapsed="false">
      <c r="A82" s="52" t="n">
        <v>44307</v>
      </c>
      <c r="B82" s="57" t="n">
        <v>0.00289</v>
      </c>
      <c r="C82" s="57" t="n">
        <v>0.0044</v>
      </c>
      <c r="D82" s="57" t="n">
        <v>0.00605</v>
      </c>
      <c r="E82" s="57" t="n">
        <v>0.01045</v>
      </c>
      <c r="F82" s="57" t="n">
        <v>0.01491</v>
      </c>
      <c r="G82" s="57" t="n">
        <v>0.02269</v>
      </c>
    </row>
    <row r="83" customFormat="false" ht="15" hidden="false" customHeight="false" outlineLevel="0" collapsed="false">
      <c r="A83" s="52" t="n">
        <v>44308</v>
      </c>
      <c r="B83" s="57" t="n">
        <v>0.00288</v>
      </c>
      <c r="C83" s="57" t="n">
        <v>0.00439</v>
      </c>
      <c r="D83" s="57" t="n">
        <v>0.00602</v>
      </c>
      <c r="E83" s="57" t="n">
        <v>0.01039</v>
      </c>
      <c r="F83" s="57" t="n">
        <v>0.01422</v>
      </c>
      <c r="G83" s="57" t="n">
        <v>0.02193</v>
      </c>
    </row>
    <row r="84" customFormat="false" ht="15" hidden="false" customHeight="false" outlineLevel="0" collapsed="false">
      <c r="A84" s="52" t="n">
        <v>44309</v>
      </c>
      <c r="B84" s="57" t="n">
        <v>0.00288</v>
      </c>
      <c r="C84" s="57" t="n">
        <v>0.00438</v>
      </c>
      <c r="D84" s="57" t="n">
        <v>0.00613</v>
      </c>
      <c r="E84" s="57" t="n">
        <v>0.01069</v>
      </c>
      <c r="F84" s="57" t="n">
        <v>0.0142</v>
      </c>
      <c r="G84" s="57" t="n">
        <v>0.02245</v>
      </c>
    </row>
    <row r="85" customFormat="false" ht="15" hidden="false" customHeight="false" outlineLevel="0" collapsed="false">
      <c r="A85" s="52" t="n">
        <v>44312</v>
      </c>
      <c r="B85" s="57" t="n">
        <v>0.00277</v>
      </c>
      <c r="C85" s="57" t="n">
        <v>0.00433</v>
      </c>
      <c r="D85" s="57" t="n">
        <v>0.006</v>
      </c>
      <c r="E85" s="57" t="n">
        <v>0.01073</v>
      </c>
      <c r="F85" s="57" t="n">
        <v>0.0145</v>
      </c>
      <c r="G85" s="57" t="n">
        <v>0.02231</v>
      </c>
    </row>
    <row r="86" customFormat="false" ht="15" hidden="false" customHeight="false" outlineLevel="0" collapsed="false">
      <c r="A86" s="52" t="n">
        <v>44313</v>
      </c>
      <c r="B86" s="57" t="n">
        <v>0.00295</v>
      </c>
      <c r="C86" s="57" t="n">
        <v>0.00438</v>
      </c>
      <c r="D86" s="57" t="n">
        <v>0.00623</v>
      </c>
      <c r="E86" s="57" t="n">
        <v>0.01093</v>
      </c>
      <c r="F86" s="57" t="n">
        <v>0.01457</v>
      </c>
      <c r="G86" s="57" t="n">
        <v>0.02258</v>
      </c>
    </row>
    <row r="87" customFormat="false" ht="15" hidden="false" customHeight="false" outlineLevel="0" collapsed="false">
      <c r="A87" s="52" t="n">
        <v>44314</v>
      </c>
      <c r="B87" s="57" t="n">
        <v>0.00285</v>
      </c>
      <c r="C87" s="57" t="n">
        <v>0.00436</v>
      </c>
      <c r="D87" s="57" t="n">
        <v>0.00615</v>
      </c>
      <c r="E87" s="57" t="n">
        <v>0.01097</v>
      </c>
      <c r="F87" s="57" t="n">
        <v>0.01463</v>
      </c>
      <c r="G87" s="57" t="n">
        <v>0.02263</v>
      </c>
    </row>
    <row r="88" customFormat="false" ht="15" hidden="false" customHeight="false" outlineLevel="0" collapsed="false">
      <c r="A88" s="52" t="n">
        <v>44315</v>
      </c>
      <c r="B88" s="57" t="n">
        <v>0.0028</v>
      </c>
      <c r="C88" s="57" t="n">
        <v>0.00433</v>
      </c>
      <c r="D88" s="57" t="n">
        <v>0.00622</v>
      </c>
      <c r="E88" s="57" t="n">
        <v>0.01071</v>
      </c>
      <c r="F88" s="57" t="n">
        <v>0.01471</v>
      </c>
      <c r="G88" s="57" t="n">
        <v>0.02263</v>
      </c>
    </row>
    <row r="89" customFormat="false" ht="15" hidden="false" customHeight="false" outlineLevel="0" collapsed="false">
      <c r="A89" s="52" t="n">
        <v>44316</v>
      </c>
      <c r="B89" s="57" t="n">
        <v>0.0028</v>
      </c>
      <c r="C89" s="57" t="n">
        <v>0.00433</v>
      </c>
      <c r="D89" s="57" t="n">
        <v>0.00622</v>
      </c>
      <c r="E89" s="57" t="n">
        <v>0.01071</v>
      </c>
      <c r="F89" s="57" t="n">
        <v>0.01471</v>
      </c>
      <c r="G89" s="57" t="n">
        <v>0.02263</v>
      </c>
    </row>
    <row r="90" customFormat="false" ht="15" hidden="false" customHeight="false" outlineLevel="0" collapsed="false">
      <c r="A90" s="52" t="n">
        <v>44319</v>
      </c>
      <c r="B90" s="57" t="n">
        <v>0.00277</v>
      </c>
      <c r="C90" s="57" t="n">
        <v>0.00431</v>
      </c>
      <c r="D90" s="57" t="n">
        <v>0.0062</v>
      </c>
      <c r="E90" s="57" t="n">
        <v>0.01069</v>
      </c>
      <c r="F90" s="57" t="n">
        <v>0.01469</v>
      </c>
      <c r="G90" s="57" t="n">
        <v>0.02262</v>
      </c>
    </row>
    <row r="91" customFormat="false" ht="15" hidden="false" customHeight="false" outlineLevel="0" collapsed="false">
      <c r="A91" s="52" t="n">
        <v>44320</v>
      </c>
      <c r="B91" s="57" t="n">
        <v>0.00292</v>
      </c>
      <c r="C91" s="57" t="n">
        <v>0.00476</v>
      </c>
      <c r="D91" s="57" t="n">
        <v>0.00669</v>
      </c>
      <c r="E91" s="57" t="n">
        <v>0.01093</v>
      </c>
      <c r="F91" s="57" t="n">
        <v>0.01462</v>
      </c>
      <c r="G91" s="57" t="n">
        <v>0.02328</v>
      </c>
    </row>
    <row r="92" customFormat="false" ht="15" hidden="false" customHeight="false" outlineLevel="0" collapsed="false">
      <c r="A92" s="52" t="n">
        <v>44321</v>
      </c>
      <c r="B92" s="57" t="n">
        <v>0.00285</v>
      </c>
      <c r="C92" s="57" t="n">
        <v>0.00475</v>
      </c>
      <c r="D92" s="57" t="n">
        <v>0.00688</v>
      </c>
      <c r="E92" s="57" t="n">
        <v>0.01034</v>
      </c>
      <c r="F92" s="57" t="n">
        <v>0.0146</v>
      </c>
      <c r="G92" s="57" t="n">
        <v>0.02324</v>
      </c>
    </row>
    <row r="93" customFormat="false" ht="15" hidden="false" customHeight="false" outlineLevel="0" collapsed="false">
      <c r="A93" s="52" t="n">
        <v>44322</v>
      </c>
      <c r="B93" s="57" t="n">
        <v>0.00285</v>
      </c>
      <c r="C93" s="57" t="n">
        <v>0.00475</v>
      </c>
      <c r="D93" s="57" t="n">
        <v>0.00679</v>
      </c>
      <c r="E93" s="57" t="n">
        <v>0.01032</v>
      </c>
      <c r="F93" s="57" t="n">
        <v>0.01445</v>
      </c>
      <c r="G93" s="57" t="n">
        <v>0.02348</v>
      </c>
    </row>
    <row r="94" customFormat="false" ht="15" hidden="false" customHeight="false" outlineLevel="0" collapsed="false">
      <c r="A94" s="52" t="n">
        <v>44323</v>
      </c>
      <c r="B94" s="57" t="n">
        <v>0.0029</v>
      </c>
      <c r="C94" s="57" t="n">
        <v>0.00475</v>
      </c>
      <c r="D94" s="57" t="n">
        <v>0.00717</v>
      </c>
      <c r="E94" s="57" t="n">
        <v>0.01041</v>
      </c>
      <c r="F94" s="57" t="n">
        <v>0.01444</v>
      </c>
      <c r="G94" s="57" t="n">
        <v>0.0235</v>
      </c>
    </row>
    <row r="95" customFormat="false" ht="15" hidden="false" customHeight="false" outlineLevel="0" collapsed="false">
      <c r="A95" s="52" t="n">
        <v>44326</v>
      </c>
      <c r="B95" s="57" t="n">
        <v>0.00288</v>
      </c>
      <c r="C95" s="57" t="n">
        <v>0.00474</v>
      </c>
      <c r="D95" s="57" t="n">
        <v>0.00706</v>
      </c>
      <c r="E95" s="57" t="n">
        <v>0.01039</v>
      </c>
      <c r="F95" s="57" t="n">
        <v>0.01405</v>
      </c>
      <c r="G95" s="57" t="n">
        <v>0.02343</v>
      </c>
    </row>
    <row r="96" customFormat="false" ht="15" hidden="false" customHeight="false" outlineLevel="0" collapsed="false">
      <c r="A96" s="52" t="n">
        <v>44327</v>
      </c>
      <c r="B96" s="57" t="n">
        <v>0.00288</v>
      </c>
      <c r="C96" s="57" t="n">
        <v>0.00473</v>
      </c>
      <c r="D96" s="57" t="n">
        <v>0.00681</v>
      </c>
      <c r="E96" s="57" t="n">
        <v>0.01024</v>
      </c>
      <c r="F96" s="57" t="n">
        <v>0.01418</v>
      </c>
      <c r="G96" s="57" t="n">
        <v>0.02339</v>
      </c>
    </row>
    <row r="97" customFormat="false" ht="15" hidden="false" customHeight="false" outlineLevel="0" collapsed="false">
      <c r="A97" s="52" t="n">
        <v>44328</v>
      </c>
      <c r="B97" s="57" t="n">
        <v>0.00286</v>
      </c>
      <c r="C97" s="57" t="n">
        <v>0.00472</v>
      </c>
      <c r="D97" s="57" t="n">
        <v>0.00714</v>
      </c>
      <c r="E97" s="57" t="n">
        <v>0.01036</v>
      </c>
      <c r="F97" s="57" t="n">
        <v>0.01393</v>
      </c>
      <c r="G97" s="57" t="n">
        <v>0.02322</v>
      </c>
    </row>
    <row r="98" customFormat="false" ht="15" hidden="false" customHeight="false" outlineLevel="0" collapsed="false">
      <c r="A98" s="52" t="n">
        <v>44329</v>
      </c>
      <c r="B98" s="57" t="n">
        <v>0.00309</v>
      </c>
      <c r="C98" s="57" t="n">
        <v>0.00475</v>
      </c>
      <c r="D98" s="57" t="n">
        <v>0.00692</v>
      </c>
      <c r="E98" s="57" t="n">
        <v>0.01035</v>
      </c>
      <c r="F98" s="57" t="n">
        <v>0.01414</v>
      </c>
      <c r="G98" s="57" t="n">
        <v>0.0234</v>
      </c>
    </row>
    <row r="99" customFormat="false" ht="15" hidden="false" customHeight="false" outlineLevel="0" collapsed="false">
      <c r="A99" s="52" t="n">
        <v>44330</v>
      </c>
      <c r="B99" s="57" t="n">
        <v>0.00309</v>
      </c>
      <c r="C99" s="57" t="n">
        <v>0.00474</v>
      </c>
      <c r="D99" s="57" t="n">
        <v>0.0072</v>
      </c>
      <c r="E99" s="57" t="n">
        <v>0.01045</v>
      </c>
      <c r="F99" s="57" t="n">
        <v>0.01424</v>
      </c>
      <c r="G99" s="57" t="n">
        <v>0.02329</v>
      </c>
    </row>
    <row r="100" customFormat="false" ht="15" hidden="false" customHeight="false" outlineLevel="0" collapsed="false">
      <c r="A100" s="52" t="n">
        <v>44333</v>
      </c>
      <c r="B100" s="57" t="n">
        <v>0.00274</v>
      </c>
      <c r="C100" s="57" t="n">
        <v>0.00468</v>
      </c>
      <c r="D100" s="57" t="n">
        <v>0.0073</v>
      </c>
      <c r="E100" s="57" t="n">
        <v>0.01053</v>
      </c>
      <c r="F100" s="57" t="n">
        <v>0.01407</v>
      </c>
      <c r="G100" s="57" t="n">
        <v>0.02319</v>
      </c>
    </row>
    <row r="101" customFormat="false" ht="15" hidden="false" customHeight="false" outlineLevel="0" collapsed="false">
      <c r="A101" s="52" t="n">
        <v>44334</v>
      </c>
      <c r="B101" s="57" t="n">
        <v>0.00315</v>
      </c>
      <c r="C101" s="57" t="n">
        <v>0.00473</v>
      </c>
      <c r="D101" s="57" t="n">
        <v>0.00744</v>
      </c>
      <c r="E101" s="57" t="n">
        <v>0.01047</v>
      </c>
      <c r="F101" s="57" t="n">
        <v>0.014</v>
      </c>
      <c r="G101" s="57" t="n">
        <v>0.02316</v>
      </c>
    </row>
    <row r="102" customFormat="false" ht="15" hidden="false" customHeight="false" outlineLevel="0" collapsed="false">
      <c r="A102" s="52" t="n">
        <v>44335</v>
      </c>
      <c r="B102" s="57" t="n">
        <v>0.00325</v>
      </c>
      <c r="C102" s="57" t="n">
        <v>0.00475</v>
      </c>
      <c r="D102" s="57" t="n">
        <v>0.00752</v>
      </c>
      <c r="E102" s="57" t="n">
        <v>0.01042</v>
      </c>
      <c r="F102" s="57" t="n">
        <v>0.01403</v>
      </c>
      <c r="G102" s="57" t="n">
        <v>0.02306</v>
      </c>
    </row>
    <row r="103" customFormat="false" ht="15" hidden="false" customHeight="false" outlineLevel="0" collapsed="false">
      <c r="A103" s="52" t="n">
        <v>44336</v>
      </c>
      <c r="B103" s="57" t="n">
        <v>0.00325</v>
      </c>
      <c r="C103" s="57" t="n">
        <v>0.00474</v>
      </c>
      <c r="D103" s="57" t="n">
        <v>0.00751</v>
      </c>
      <c r="E103" s="57" t="n">
        <v>0.01053</v>
      </c>
      <c r="F103" s="57" t="n">
        <v>0.01409</v>
      </c>
      <c r="G103" s="57" t="n">
        <v>0.02295</v>
      </c>
    </row>
    <row r="104" customFormat="false" ht="15" hidden="false" customHeight="false" outlineLevel="0" collapsed="false">
      <c r="A104" s="52" t="n">
        <v>44337</v>
      </c>
      <c r="B104" s="57" t="n">
        <v>0.00324</v>
      </c>
      <c r="C104" s="57" t="n">
        <v>0.00473</v>
      </c>
      <c r="D104" s="57" t="n">
        <v>0.00746</v>
      </c>
      <c r="E104" s="57" t="n">
        <v>0.01044</v>
      </c>
      <c r="F104" s="57" t="n">
        <v>0.01405</v>
      </c>
      <c r="G104" s="57" t="n">
        <v>0.02296</v>
      </c>
    </row>
    <row r="105" customFormat="false" ht="15" hidden="false" customHeight="false" outlineLevel="0" collapsed="false">
      <c r="A105" s="52" t="n">
        <v>44340</v>
      </c>
      <c r="B105" s="57" t="n">
        <v>0.00322</v>
      </c>
      <c r="C105" s="57" t="n">
        <v>0.00472</v>
      </c>
      <c r="D105" s="57" t="n">
        <v>0.00754</v>
      </c>
      <c r="E105" s="57" t="n">
        <v>0.01028</v>
      </c>
      <c r="F105" s="57" t="n">
        <v>0.01375</v>
      </c>
      <c r="G105" s="57" t="n">
        <v>0.02274</v>
      </c>
    </row>
    <row r="106" customFormat="false" ht="15" hidden="false" customHeight="false" outlineLevel="0" collapsed="false">
      <c r="A106" s="52" t="n">
        <v>44341</v>
      </c>
      <c r="B106" s="57" t="n">
        <v>0.00323</v>
      </c>
      <c r="C106" s="57" t="n">
        <v>0.00472</v>
      </c>
      <c r="D106" s="57" t="n">
        <v>0.00854</v>
      </c>
      <c r="E106" s="57" t="n">
        <v>0.01059</v>
      </c>
      <c r="F106" s="57" t="n">
        <v>0.01338</v>
      </c>
      <c r="G106" s="57" t="n">
        <v>0.02266</v>
      </c>
    </row>
    <row r="107" customFormat="false" ht="15" hidden="false" customHeight="false" outlineLevel="0" collapsed="false">
      <c r="A107" s="52" t="n">
        <v>44342</v>
      </c>
      <c r="B107" s="57" t="n">
        <v>0.00315</v>
      </c>
      <c r="C107" s="57" t="n">
        <v>0.00548</v>
      </c>
      <c r="D107" s="57" t="n">
        <v>0.00857</v>
      </c>
      <c r="E107" s="57" t="n">
        <v>0.0108</v>
      </c>
      <c r="F107" s="57" t="n">
        <v>0.01353</v>
      </c>
      <c r="G107" s="57" t="n">
        <v>0.02267</v>
      </c>
    </row>
    <row r="108" customFormat="false" ht="15" hidden="false" customHeight="false" outlineLevel="0" collapsed="false">
      <c r="A108" s="52" t="n">
        <v>44343</v>
      </c>
      <c r="B108" s="57" t="n">
        <v>0.00533</v>
      </c>
      <c r="C108" s="57" t="n">
        <v>0.00575</v>
      </c>
      <c r="D108" s="57" t="n">
        <v>0.00837</v>
      </c>
      <c r="E108" s="57" t="n">
        <v>0.0107</v>
      </c>
      <c r="F108" s="57" t="n">
        <v>0.01358</v>
      </c>
      <c r="G108" s="57" t="n">
        <v>0.02254</v>
      </c>
    </row>
    <row r="109" customFormat="false" ht="15" hidden="false" customHeight="false" outlineLevel="0" collapsed="false">
      <c r="A109" s="52" t="n">
        <v>44344</v>
      </c>
      <c r="B109" s="57" t="n">
        <v>0.00502</v>
      </c>
      <c r="C109" s="57" t="n">
        <v>0.00591</v>
      </c>
      <c r="D109" s="57" t="n">
        <v>0.00834</v>
      </c>
      <c r="E109" s="57" t="n">
        <v>0.01077</v>
      </c>
      <c r="F109" s="57" t="n">
        <v>0.01367</v>
      </c>
      <c r="G109" s="57" t="n">
        <v>0.02248</v>
      </c>
    </row>
    <row r="110" customFormat="false" ht="15" hidden="false" customHeight="false" outlineLevel="0" collapsed="false">
      <c r="A110" s="52" t="n">
        <v>44347</v>
      </c>
      <c r="B110" s="57" t="n">
        <v>0.00542</v>
      </c>
      <c r="C110" s="57" t="n">
        <v>0.00604</v>
      </c>
      <c r="D110" s="57" t="n">
        <v>0.00821</v>
      </c>
      <c r="E110" s="57" t="n">
        <v>0.01062</v>
      </c>
      <c r="F110" s="57" t="n">
        <v>0.01358</v>
      </c>
      <c r="G110" s="57" t="n">
        <v>0.02223</v>
      </c>
    </row>
    <row r="111" customFormat="false" ht="15" hidden="false" customHeight="false" outlineLevel="0" collapsed="false">
      <c r="A111" s="52" t="n">
        <v>44348</v>
      </c>
      <c r="B111" s="57" t="n">
        <v>0.0043</v>
      </c>
      <c r="C111" s="57" t="n">
        <v>0.00577</v>
      </c>
      <c r="D111" s="57" t="n">
        <v>0.00815</v>
      </c>
      <c r="E111" s="57" t="n">
        <v>0.01124</v>
      </c>
      <c r="F111" s="57" t="n">
        <v>0.01345</v>
      </c>
      <c r="G111" s="57" t="n">
        <v>0.02203</v>
      </c>
    </row>
    <row r="112" customFormat="false" ht="15" hidden="false" customHeight="false" outlineLevel="0" collapsed="false">
      <c r="A112" s="52" t="n">
        <v>44349</v>
      </c>
      <c r="B112" s="57" t="n">
        <v>0.00383</v>
      </c>
      <c r="C112" s="57" t="n">
        <v>0.00569</v>
      </c>
      <c r="D112" s="57" t="n">
        <v>0.00815</v>
      </c>
      <c r="E112" s="57" t="n">
        <v>0.01102</v>
      </c>
      <c r="F112" s="57" t="n">
        <v>0.01336</v>
      </c>
      <c r="G112" s="57" t="n">
        <v>0.02162</v>
      </c>
    </row>
    <row r="113" customFormat="false" ht="15" hidden="false" customHeight="false" outlineLevel="0" collapsed="false">
      <c r="A113" s="52" t="n">
        <v>44350</v>
      </c>
      <c r="B113" s="57" t="n">
        <v>0.00417</v>
      </c>
      <c r="C113" s="57" t="n">
        <v>0.00574</v>
      </c>
      <c r="D113" s="57" t="n">
        <v>0.0081</v>
      </c>
      <c r="E113" s="57" t="n">
        <v>0.01117</v>
      </c>
      <c r="F113" s="57" t="n">
        <v>0.01353</v>
      </c>
      <c r="G113" s="57" t="n">
        <v>0.02203</v>
      </c>
    </row>
    <row r="114" customFormat="false" ht="15" hidden="false" customHeight="false" outlineLevel="0" collapsed="false">
      <c r="A114" s="52" t="n">
        <v>44351</v>
      </c>
      <c r="B114" s="57" t="n">
        <v>0.00416</v>
      </c>
      <c r="C114" s="57" t="n">
        <v>0.00574</v>
      </c>
      <c r="D114" s="57" t="n">
        <v>0.00841</v>
      </c>
      <c r="E114" s="57" t="n">
        <v>0.01121</v>
      </c>
      <c r="F114" s="57" t="n">
        <v>0.01348</v>
      </c>
      <c r="G114" s="57" t="n">
        <v>0.02189</v>
      </c>
    </row>
    <row r="115" customFormat="false" ht="15" hidden="false" customHeight="false" outlineLevel="0" collapsed="false">
      <c r="A115" s="52" t="n">
        <v>44354</v>
      </c>
      <c r="B115" s="57" t="n">
        <v>0.00415</v>
      </c>
      <c r="C115" s="57" t="n">
        <v>0.0058</v>
      </c>
      <c r="D115" s="57" t="n">
        <v>0.0081</v>
      </c>
      <c r="E115" s="57" t="n">
        <v>0.01099</v>
      </c>
      <c r="F115" s="57" t="n">
        <v>0.01342</v>
      </c>
      <c r="G115" s="57" t="n">
        <v>0.02192</v>
      </c>
    </row>
    <row r="116" customFormat="false" ht="15" hidden="false" customHeight="false" outlineLevel="0" collapsed="false">
      <c r="A116" s="52" t="n">
        <v>44355</v>
      </c>
      <c r="B116" s="57" t="n">
        <v>0.00413</v>
      </c>
      <c r="C116" s="57" t="n">
        <v>0.00579</v>
      </c>
      <c r="D116" s="57" t="n">
        <v>0.00803</v>
      </c>
      <c r="E116" s="57" t="n">
        <v>0.01089</v>
      </c>
      <c r="F116" s="57" t="n">
        <v>0.01328</v>
      </c>
      <c r="G116" s="57" t="n">
        <v>0.02171</v>
      </c>
    </row>
    <row r="117" customFormat="false" ht="15" hidden="false" customHeight="false" outlineLevel="0" collapsed="false">
      <c r="A117" s="52" t="n">
        <v>44356</v>
      </c>
      <c r="B117" s="57" t="n">
        <v>0.00413</v>
      </c>
      <c r="C117" s="57" t="n">
        <v>0.00579</v>
      </c>
      <c r="D117" s="57" t="n">
        <v>0.00817</v>
      </c>
      <c r="E117" s="57" t="n">
        <v>0.01079</v>
      </c>
      <c r="F117" s="57" t="n">
        <v>0.01327</v>
      </c>
      <c r="G117" s="57" t="n">
        <v>0.02155</v>
      </c>
    </row>
    <row r="118" customFormat="false" ht="15" hidden="false" customHeight="false" outlineLevel="0" collapsed="false">
      <c r="A118" s="52" t="n">
        <v>44357</v>
      </c>
      <c r="B118" s="57" t="n">
        <v>0.00412</v>
      </c>
      <c r="C118" s="57" t="n">
        <v>0.00578</v>
      </c>
      <c r="D118" s="57" t="n">
        <v>0.00817</v>
      </c>
      <c r="E118" s="57" t="n">
        <v>0.01078</v>
      </c>
      <c r="F118" s="57" t="n">
        <v>0.01304</v>
      </c>
      <c r="G118" s="57" t="n">
        <v>0.02165</v>
      </c>
    </row>
    <row r="119" customFormat="false" ht="15" hidden="false" customHeight="false" outlineLevel="0" collapsed="false">
      <c r="A119" s="52" t="n">
        <v>44358</v>
      </c>
      <c r="B119" s="57" t="n">
        <v>0.00412</v>
      </c>
      <c r="C119" s="57" t="n">
        <v>0.00578</v>
      </c>
      <c r="D119" s="57" t="n">
        <v>0.008</v>
      </c>
      <c r="E119" s="57" t="n">
        <v>0.01052</v>
      </c>
      <c r="F119" s="57" t="n">
        <v>0.0132</v>
      </c>
      <c r="G119" s="57" t="n">
        <v>0.02131</v>
      </c>
    </row>
    <row r="120" customFormat="false" ht="15" hidden="false" customHeight="false" outlineLevel="0" collapsed="false">
      <c r="A120" s="52" t="n">
        <v>44361</v>
      </c>
      <c r="B120" s="57" t="n">
        <v>0.00411</v>
      </c>
      <c r="C120" s="57" t="n">
        <v>0.00577</v>
      </c>
      <c r="D120" s="57" t="n">
        <v>0.00807</v>
      </c>
      <c r="E120" s="57" t="n">
        <v>0.01069</v>
      </c>
      <c r="F120" s="57" t="n">
        <v>0.01323</v>
      </c>
      <c r="G120" s="57" t="n">
        <v>0.02119</v>
      </c>
    </row>
    <row r="121" customFormat="false" ht="15" hidden="false" customHeight="false" outlineLevel="0" collapsed="false">
      <c r="A121" s="52" t="n">
        <v>44362</v>
      </c>
      <c r="B121" s="57" t="n">
        <v>0.00411</v>
      </c>
      <c r="C121" s="57" t="n">
        <v>0.00576</v>
      </c>
      <c r="D121" s="57" t="n">
        <v>0.00818</v>
      </c>
      <c r="E121" s="57" t="n">
        <v>0.01088</v>
      </c>
      <c r="F121" s="57" t="n">
        <v>0.01326</v>
      </c>
      <c r="G121" s="57" t="n">
        <v>0.0216</v>
      </c>
    </row>
    <row r="122" customFormat="false" ht="15" hidden="false" customHeight="false" outlineLevel="0" collapsed="false">
      <c r="A122" s="52" t="n">
        <v>44363</v>
      </c>
      <c r="B122" s="57" t="n">
        <v>0.0041</v>
      </c>
      <c r="C122" s="57" t="n">
        <v>0.00575</v>
      </c>
      <c r="D122" s="57" t="n">
        <v>0.00808</v>
      </c>
      <c r="E122" s="57" t="n">
        <v>0.01076</v>
      </c>
      <c r="F122" s="57" t="n">
        <v>0.01325</v>
      </c>
      <c r="G122" s="57" t="n">
        <v>0.02118</v>
      </c>
    </row>
    <row r="123" customFormat="false" ht="15" hidden="false" customHeight="false" outlineLevel="0" collapsed="false">
      <c r="A123" s="52" t="n">
        <v>44364</v>
      </c>
      <c r="B123" s="57" t="n">
        <v>0.00412</v>
      </c>
      <c r="C123" s="57" t="n">
        <v>0.00562</v>
      </c>
      <c r="D123" s="57" t="n">
        <v>0.00803</v>
      </c>
      <c r="E123" s="57" t="n">
        <v>0.01053</v>
      </c>
      <c r="F123" s="57" t="n">
        <v>0.01302</v>
      </c>
      <c r="G123" s="57" t="n">
        <v>0.02117</v>
      </c>
    </row>
    <row r="124" customFormat="false" ht="15" hidden="false" customHeight="false" outlineLevel="0" collapsed="false">
      <c r="A124" s="52" t="n">
        <v>44365</v>
      </c>
      <c r="B124" s="57" t="n">
        <v>0.00399</v>
      </c>
      <c r="C124" s="57" t="n">
        <v>0.00563</v>
      </c>
      <c r="D124" s="57" t="n">
        <v>0.00803</v>
      </c>
      <c r="E124" s="57" t="n">
        <v>0.01095</v>
      </c>
      <c r="F124" s="57" t="n">
        <v>0.01288</v>
      </c>
      <c r="G124" s="57" t="n">
        <v>0.02077</v>
      </c>
    </row>
    <row r="125" customFormat="false" ht="15" hidden="false" customHeight="false" outlineLevel="0" collapsed="false">
      <c r="A125" s="52" t="n">
        <v>44368</v>
      </c>
      <c r="B125" s="57" t="n">
        <v>0.00396</v>
      </c>
      <c r="C125" s="57" t="n">
        <v>0.00568</v>
      </c>
      <c r="D125" s="57" t="n">
        <v>0.008</v>
      </c>
      <c r="E125" s="57" t="n">
        <v>0.01067</v>
      </c>
      <c r="F125" s="57" t="n">
        <v>0.013</v>
      </c>
      <c r="G125" s="57" t="n">
        <v>0.02126</v>
      </c>
    </row>
    <row r="126" customFormat="false" ht="15" hidden="false" customHeight="false" outlineLevel="0" collapsed="false">
      <c r="A126" s="52" t="n">
        <v>44369</v>
      </c>
      <c r="B126" s="57" t="n">
        <v>0.00384</v>
      </c>
      <c r="C126" s="57" t="n">
        <v>0.00564</v>
      </c>
      <c r="D126" s="57" t="n">
        <v>0.00812</v>
      </c>
      <c r="E126" s="57" t="n">
        <v>0.01059</v>
      </c>
      <c r="F126" s="57" t="n">
        <v>0.01275</v>
      </c>
      <c r="G126" s="57" t="n">
        <v>0.02108</v>
      </c>
    </row>
    <row r="127" customFormat="false" ht="15" hidden="false" customHeight="false" outlineLevel="0" collapsed="false">
      <c r="A127" s="52" t="n">
        <v>44370</v>
      </c>
      <c r="B127" s="57" t="n">
        <v>0.00383</v>
      </c>
      <c r="C127" s="57" t="n">
        <v>0.00563</v>
      </c>
      <c r="D127" s="57" t="n">
        <v>0.00811</v>
      </c>
      <c r="E127" s="57" t="n">
        <v>0.01075</v>
      </c>
      <c r="F127" s="57" t="n">
        <v>0.01275</v>
      </c>
      <c r="G127" s="57" t="n">
        <v>0.02129</v>
      </c>
    </row>
    <row r="128" customFormat="false" ht="15" hidden="false" customHeight="false" outlineLevel="0" collapsed="false">
      <c r="A128" s="52" t="n">
        <v>44371</v>
      </c>
      <c r="B128" s="57" t="n">
        <v>0.0039</v>
      </c>
      <c r="C128" s="57" t="n">
        <v>0.00539</v>
      </c>
      <c r="D128" s="57" t="n">
        <v>0.00808</v>
      </c>
      <c r="E128" s="57" t="n">
        <v>0.01067</v>
      </c>
      <c r="F128" s="57" t="n">
        <v>0.01305</v>
      </c>
      <c r="G128" s="57" t="n">
        <v>0.02123</v>
      </c>
    </row>
    <row r="129" customFormat="false" ht="15" hidden="false" customHeight="false" outlineLevel="0" collapsed="false">
      <c r="A129" s="52" t="n">
        <v>44372</v>
      </c>
      <c r="B129" s="57" t="n">
        <v>0.00387</v>
      </c>
      <c r="C129" s="57" t="n">
        <v>0.00542</v>
      </c>
      <c r="D129" s="57" t="n">
        <v>0.00814</v>
      </c>
      <c r="E129" s="57" t="n">
        <v>0.01063</v>
      </c>
      <c r="F129" s="57" t="n">
        <v>0.013</v>
      </c>
      <c r="G129" s="57" t="n">
        <v>0.02174</v>
      </c>
    </row>
    <row r="130" customFormat="false" ht="15" hidden="false" customHeight="false" outlineLevel="0" collapsed="false">
      <c r="A130" s="52" t="n">
        <v>44375</v>
      </c>
      <c r="B130" s="57" t="n">
        <v>0.00399</v>
      </c>
      <c r="C130" s="57" t="n">
        <v>0.00543</v>
      </c>
      <c r="D130" s="57" t="n">
        <v>0.00814</v>
      </c>
      <c r="E130" s="57" t="n">
        <v>0.01072</v>
      </c>
      <c r="F130" s="57" t="n">
        <v>0.01312</v>
      </c>
      <c r="G130" s="57" t="n">
        <v>0.02162</v>
      </c>
    </row>
    <row r="131" customFormat="false" ht="15" hidden="false" customHeight="false" outlineLevel="0" collapsed="false">
      <c r="A131" s="52" t="n">
        <v>44376</v>
      </c>
      <c r="B131" s="57" t="n">
        <v>0.004</v>
      </c>
      <c r="C131" s="57" t="n">
        <v>0.00543</v>
      </c>
      <c r="D131" s="57" t="n">
        <v>0.00814</v>
      </c>
      <c r="E131" s="57" t="n">
        <v>0.01053</v>
      </c>
      <c r="F131" s="57" t="n">
        <v>0.01303</v>
      </c>
      <c r="G131" s="57" t="n">
        <v>0.02129</v>
      </c>
    </row>
    <row r="132" customFormat="false" ht="15" hidden="false" customHeight="false" outlineLevel="0" collapsed="false">
      <c r="A132" s="52" t="n">
        <v>44377</v>
      </c>
      <c r="B132" s="57" t="n">
        <v>0.0039</v>
      </c>
      <c r="C132" s="57" t="n">
        <v>0.00554</v>
      </c>
      <c r="D132" s="57" t="n">
        <v>0.00815</v>
      </c>
      <c r="E132" s="57" t="n">
        <v>0.01058</v>
      </c>
      <c r="F132" s="57" t="n">
        <v>0.01305</v>
      </c>
      <c r="G132" s="57" t="n">
        <v>0.02125</v>
      </c>
    </row>
    <row r="133" customFormat="false" ht="15" hidden="false" customHeight="false" outlineLevel="0" collapsed="false">
      <c r="A133" s="52" t="n">
        <v>44378</v>
      </c>
      <c r="B133" s="57" t="n">
        <v>0.0042</v>
      </c>
      <c r="C133" s="57" t="n">
        <v>0.00586</v>
      </c>
      <c r="D133" s="57" t="n">
        <v>0.00816</v>
      </c>
      <c r="E133" s="57" t="n">
        <v>0.01047</v>
      </c>
      <c r="F133" s="57" t="n">
        <v>0.01362</v>
      </c>
      <c r="G133" s="57" t="n">
        <v>0.02111</v>
      </c>
    </row>
    <row r="134" customFormat="false" ht="15" hidden="false" customHeight="false" outlineLevel="0" collapsed="false">
      <c r="A134" s="52" t="n">
        <v>44379</v>
      </c>
      <c r="B134" s="57" t="n">
        <v>0.0042</v>
      </c>
      <c r="C134" s="57" t="n">
        <v>0.00582</v>
      </c>
      <c r="D134" s="57" t="n">
        <v>0.00798</v>
      </c>
      <c r="E134" s="57" t="n">
        <v>0.01045</v>
      </c>
      <c r="F134" s="57" t="n">
        <v>0.01366</v>
      </c>
      <c r="G134" s="57" t="n">
        <v>0.02099</v>
      </c>
    </row>
    <row r="135" customFormat="false" ht="15" hidden="false" customHeight="false" outlineLevel="0" collapsed="false">
      <c r="A135" s="52" t="n">
        <v>44382</v>
      </c>
      <c r="B135" s="57" t="n">
        <v>0.0042</v>
      </c>
      <c r="C135" s="57" t="n">
        <v>0.00585</v>
      </c>
      <c r="D135" s="57" t="n">
        <v>0.00821</v>
      </c>
      <c r="E135" s="57" t="n">
        <v>0.01037</v>
      </c>
      <c r="F135" s="57" t="n">
        <v>0.01365</v>
      </c>
      <c r="G135" s="57" t="n">
        <v>0.02084</v>
      </c>
    </row>
    <row r="136" customFormat="false" ht="15" hidden="false" customHeight="false" outlineLevel="0" collapsed="false">
      <c r="A136" s="52" t="n">
        <v>44383</v>
      </c>
      <c r="B136" s="57" t="n">
        <v>0.0038</v>
      </c>
      <c r="C136" s="57" t="n">
        <v>0.00584</v>
      </c>
      <c r="D136" s="57" t="n">
        <v>0.00821</v>
      </c>
      <c r="E136" s="57" t="n">
        <v>0.01056</v>
      </c>
      <c r="F136" s="57" t="n">
        <v>0.01356</v>
      </c>
      <c r="G136" s="57" t="n">
        <v>0.02078</v>
      </c>
    </row>
    <row r="137" customFormat="false" ht="15" hidden="false" customHeight="false" outlineLevel="0" collapsed="false">
      <c r="A137" s="52" t="n">
        <v>44384</v>
      </c>
      <c r="B137" s="57" t="n">
        <v>0.00364</v>
      </c>
      <c r="C137" s="57" t="n">
        <v>0.00572</v>
      </c>
      <c r="D137" s="57" t="n">
        <v>0.00813</v>
      </c>
      <c r="E137" s="57" t="n">
        <v>0.01056</v>
      </c>
      <c r="F137" s="57" t="n">
        <v>0.01344</v>
      </c>
      <c r="G137" s="57" t="n">
        <v>0.02104</v>
      </c>
    </row>
    <row r="138" customFormat="false" ht="15" hidden="false" customHeight="false" outlineLevel="0" collapsed="false">
      <c r="A138" s="52" t="n">
        <v>44385</v>
      </c>
      <c r="B138" s="57" t="n">
        <v>0.00365</v>
      </c>
      <c r="C138" s="57" t="n">
        <v>0.00575</v>
      </c>
      <c r="D138" s="57" t="n">
        <v>0.00791</v>
      </c>
      <c r="E138" s="57" t="n">
        <v>0.01034</v>
      </c>
      <c r="F138" s="57" t="n">
        <v>0.0135</v>
      </c>
      <c r="G138" s="57" t="n">
        <v>0.02078</v>
      </c>
    </row>
    <row r="139" customFormat="false" ht="15" hidden="false" customHeight="false" outlineLevel="0" collapsed="false">
      <c r="A139" s="52" t="n">
        <v>44386</v>
      </c>
      <c r="B139" s="57" t="n">
        <v>0.00364</v>
      </c>
      <c r="C139" s="57" t="n">
        <v>0.00574</v>
      </c>
      <c r="D139" s="57" t="n">
        <v>0.00772</v>
      </c>
      <c r="E139" s="57" t="n">
        <v>0.01045</v>
      </c>
      <c r="F139" s="57" t="n">
        <v>0.01345</v>
      </c>
      <c r="G139" s="57" t="n">
        <v>0.02077</v>
      </c>
    </row>
    <row r="140" customFormat="false" ht="15" hidden="false" customHeight="false" outlineLevel="0" collapsed="false">
      <c r="A140" s="52" t="n">
        <v>44389</v>
      </c>
      <c r="B140" s="57" t="n">
        <v>0.00364</v>
      </c>
      <c r="C140" s="57" t="n">
        <v>0.00575</v>
      </c>
      <c r="D140" s="57" t="n">
        <v>0.00782</v>
      </c>
      <c r="E140" s="57" t="n">
        <v>0.01031</v>
      </c>
      <c r="F140" s="57" t="n">
        <v>0.0134</v>
      </c>
      <c r="G140" s="57" t="n">
        <v>0.02101</v>
      </c>
    </row>
    <row r="141" customFormat="false" ht="15" hidden="false" customHeight="false" outlineLevel="0" collapsed="false">
      <c r="A141" s="52" t="n">
        <v>44390</v>
      </c>
      <c r="B141" s="57" t="n">
        <v>0.00364</v>
      </c>
      <c r="C141" s="57" t="n">
        <v>0.00574</v>
      </c>
      <c r="D141" s="57" t="n">
        <v>0.0077</v>
      </c>
      <c r="E141" s="57" t="n">
        <v>0.01024</v>
      </c>
      <c r="F141" s="57" t="n">
        <v>0.01347</v>
      </c>
      <c r="G141" s="57" t="n">
        <v>0.02094</v>
      </c>
    </row>
    <row r="142" customFormat="false" ht="15" hidden="false" customHeight="false" outlineLevel="0" collapsed="false">
      <c r="A142" s="52" t="n">
        <v>44391</v>
      </c>
      <c r="B142" s="57" t="n">
        <v>0.00365</v>
      </c>
      <c r="C142" s="57" t="n">
        <v>0.00572</v>
      </c>
      <c r="D142" s="57" t="n">
        <v>0.0076</v>
      </c>
      <c r="E142" s="57" t="n">
        <v>0.01029</v>
      </c>
      <c r="F142" s="57" t="n">
        <v>0.01316</v>
      </c>
      <c r="G142" s="57" t="n">
        <v>0.02051</v>
      </c>
    </row>
    <row r="143" customFormat="false" ht="15" hidden="false" customHeight="false" outlineLevel="0" collapsed="false">
      <c r="A143" s="52" t="n">
        <v>44392</v>
      </c>
      <c r="B143" s="57" t="n">
        <v>0.00364</v>
      </c>
      <c r="C143" s="57" t="n">
        <v>0.0057</v>
      </c>
      <c r="D143" s="57" t="n">
        <v>0.00752</v>
      </c>
      <c r="E143" s="57" t="n">
        <v>0.00997</v>
      </c>
      <c r="F143" s="57" t="n">
        <v>0.01298</v>
      </c>
      <c r="G143" s="57" t="n">
        <v>0.02053</v>
      </c>
    </row>
    <row r="144" customFormat="false" ht="15" hidden="false" customHeight="false" outlineLevel="0" collapsed="false">
      <c r="A144" s="52" t="n">
        <v>44393</v>
      </c>
      <c r="B144" s="57" t="n">
        <v>0.00364</v>
      </c>
      <c r="C144" s="57" t="n">
        <v>0.00572</v>
      </c>
      <c r="D144" s="57" t="n">
        <v>0.00776</v>
      </c>
      <c r="E144" s="57" t="n">
        <v>0.01024</v>
      </c>
      <c r="F144" s="57" t="n">
        <v>0.01324</v>
      </c>
      <c r="G144" s="57" t="n">
        <v>0.02074</v>
      </c>
    </row>
    <row r="145" customFormat="false" ht="15" hidden="false" customHeight="false" outlineLevel="0" collapsed="false">
      <c r="A145" s="52" t="n">
        <v>44396</v>
      </c>
      <c r="B145" s="57" t="n">
        <v>0.00364</v>
      </c>
      <c r="C145" s="57" t="n">
        <v>0.0057</v>
      </c>
      <c r="D145" s="57" t="n">
        <v>0.00765</v>
      </c>
      <c r="E145" s="57" t="n">
        <v>0.01032</v>
      </c>
      <c r="F145" s="57" t="n">
        <v>0.01325</v>
      </c>
      <c r="G145" s="57" t="n">
        <v>0.02083</v>
      </c>
    </row>
    <row r="146" customFormat="false" ht="15" hidden="false" customHeight="false" outlineLevel="0" collapsed="false">
      <c r="A146" s="52" t="n">
        <v>44397</v>
      </c>
      <c r="B146" s="57" t="n">
        <v>0.00354</v>
      </c>
      <c r="C146" s="57" t="n">
        <v>0.0057</v>
      </c>
      <c r="D146" s="57" t="n">
        <v>0.00772</v>
      </c>
      <c r="E146" s="57" t="n">
        <v>0.01034</v>
      </c>
      <c r="F146" s="57" t="n">
        <v>0.01334</v>
      </c>
      <c r="G146" s="57" t="n">
        <v>0.02082</v>
      </c>
    </row>
    <row r="147" customFormat="false" ht="15" hidden="false" customHeight="false" outlineLevel="0" collapsed="false">
      <c r="A147" s="52" t="n">
        <v>44398</v>
      </c>
      <c r="B147" s="57" t="n">
        <v>0.00353</v>
      </c>
      <c r="C147" s="57" t="n">
        <v>0.0057</v>
      </c>
      <c r="D147" s="57" t="n">
        <v>0.00777</v>
      </c>
      <c r="E147" s="57" t="n">
        <v>0.01012</v>
      </c>
      <c r="F147" s="57" t="n">
        <v>0.01328</v>
      </c>
      <c r="G147" s="57" t="n">
        <v>0.02073</v>
      </c>
    </row>
    <row r="148" customFormat="false" ht="15" hidden="false" customHeight="false" outlineLevel="0" collapsed="false">
      <c r="A148" s="52" t="n">
        <v>44399</v>
      </c>
      <c r="B148" s="57" t="n">
        <v>0.00354</v>
      </c>
      <c r="C148" s="57" t="n">
        <v>0.00569</v>
      </c>
      <c r="D148" s="57" t="n">
        <v>0.00766</v>
      </c>
      <c r="E148" s="57" t="n">
        <v>0.01032</v>
      </c>
      <c r="F148" s="57" t="n">
        <v>0.01328</v>
      </c>
      <c r="G148" s="57" t="n">
        <v>0.02069</v>
      </c>
    </row>
    <row r="149" customFormat="false" ht="15" hidden="false" customHeight="false" outlineLevel="0" collapsed="false">
      <c r="A149" s="52" t="n">
        <v>44400</v>
      </c>
      <c r="B149" s="57" t="n">
        <v>0.00358</v>
      </c>
      <c r="C149" s="57" t="n">
        <v>0.00567</v>
      </c>
      <c r="D149" s="57" t="n">
        <v>0.00768</v>
      </c>
      <c r="E149" s="57" t="n">
        <v>0.01034</v>
      </c>
      <c r="F149" s="57" t="n">
        <v>0.01327</v>
      </c>
      <c r="G149" s="57" t="n">
        <v>0.02077</v>
      </c>
    </row>
    <row r="150" customFormat="false" ht="15" hidden="false" customHeight="false" outlineLevel="0" collapsed="false">
      <c r="A150" s="52" t="n">
        <v>44403</v>
      </c>
      <c r="B150" s="57" t="n">
        <v>0.00356</v>
      </c>
      <c r="C150" s="57" t="n">
        <v>0.00568</v>
      </c>
      <c r="D150" s="57" t="n">
        <v>0.00775</v>
      </c>
      <c r="E150" s="57" t="n">
        <v>0.01004</v>
      </c>
      <c r="F150" s="57" t="n">
        <v>0.01328</v>
      </c>
      <c r="G150" s="57" t="n">
        <v>0.02064</v>
      </c>
    </row>
    <row r="151" customFormat="false" ht="15" hidden="false" customHeight="false" outlineLevel="0" collapsed="false">
      <c r="A151" s="52" t="n">
        <v>44404</v>
      </c>
      <c r="B151" s="57" t="n">
        <v>0.00355</v>
      </c>
      <c r="C151" s="57" t="n">
        <v>0.00568</v>
      </c>
      <c r="D151" s="57" t="n">
        <v>0.00781</v>
      </c>
      <c r="E151" s="57" t="n">
        <v>0.01</v>
      </c>
      <c r="F151" s="57" t="n">
        <v>0.01326</v>
      </c>
      <c r="G151" s="57" t="n">
        <v>0.02066</v>
      </c>
    </row>
    <row r="152" customFormat="false" ht="15" hidden="false" customHeight="false" outlineLevel="0" collapsed="false">
      <c r="A152" s="52" t="n">
        <v>44405</v>
      </c>
      <c r="B152" s="57" t="n">
        <v>0.00354</v>
      </c>
      <c r="C152" s="57" t="n">
        <v>0.00567</v>
      </c>
      <c r="D152" s="57" t="n">
        <v>0.00779</v>
      </c>
      <c r="E152" s="57" t="n">
        <v>0.01002</v>
      </c>
      <c r="F152" s="57" t="n">
        <v>0.01329</v>
      </c>
      <c r="G152" s="57" t="n">
        <v>0.02102</v>
      </c>
    </row>
    <row r="153" customFormat="false" ht="15" hidden="false" customHeight="false" outlineLevel="0" collapsed="false">
      <c r="A153" s="52" t="n">
        <v>44406</v>
      </c>
      <c r="B153" s="57" t="n">
        <v>0.00354</v>
      </c>
      <c r="C153" s="57" t="n">
        <v>0.00566</v>
      </c>
      <c r="D153" s="57" t="n">
        <v>0.00771</v>
      </c>
      <c r="E153" s="57" t="n">
        <v>0.01028</v>
      </c>
      <c r="F153" s="57" t="n">
        <v>0.01344</v>
      </c>
      <c r="G153" s="57" t="n">
        <v>0.02069</v>
      </c>
    </row>
    <row r="154" customFormat="false" ht="15" hidden="false" customHeight="false" outlineLevel="0" collapsed="false">
      <c r="A154" s="52" t="n">
        <v>44407</v>
      </c>
      <c r="B154" s="57" t="n">
        <v>0.00354</v>
      </c>
      <c r="C154" s="57" t="n">
        <v>0.00565</v>
      </c>
      <c r="D154" s="57" t="n">
        <v>0.00774</v>
      </c>
      <c r="E154" s="57" t="n">
        <v>0.01042</v>
      </c>
      <c r="F154" s="57" t="n">
        <v>0.01339</v>
      </c>
      <c r="G154" s="57" t="n">
        <v>0.02103</v>
      </c>
    </row>
    <row r="155" customFormat="false" ht="15" hidden="false" customHeight="false" outlineLevel="0" collapsed="false">
      <c r="A155" s="52" t="n">
        <v>44410</v>
      </c>
      <c r="B155" s="57" t="n">
        <v>0.00352</v>
      </c>
      <c r="C155" s="57" t="n">
        <v>0.00615</v>
      </c>
      <c r="D155" s="57" t="n">
        <v>0.00777</v>
      </c>
      <c r="E155" s="57" t="n">
        <v>0.00999</v>
      </c>
      <c r="F155" s="57" t="n">
        <v>0.01321</v>
      </c>
      <c r="G155" s="57" t="n">
        <v>0.02162</v>
      </c>
    </row>
    <row r="156" customFormat="false" ht="15" hidden="false" customHeight="false" outlineLevel="0" collapsed="false">
      <c r="A156" s="52" t="n">
        <v>44411</v>
      </c>
      <c r="B156" s="57" t="n">
        <v>0.00294</v>
      </c>
      <c r="C156" s="57" t="n">
        <v>0.00578</v>
      </c>
      <c r="D156" s="57" t="n">
        <v>0.00732</v>
      </c>
      <c r="E156" s="57" t="n">
        <v>0.00973</v>
      </c>
      <c r="F156" s="57" t="n">
        <v>0.01225</v>
      </c>
      <c r="G156" s="57" t="n">
        <v>0.02055</v>
      </c>
    </row>
    <row r="157" customFormat="false" ht="15" hidden="false" customHeight="false" outlineLevel="0" collapsed="false">
      <c r="A157" s="52" t="n">
        <v>44412</v>
      </c>
      <c r="B157" s="57" t="n">
        <v>0.00314</v>
      </c>
      <c r="C157" s="57" t="n">
        <v>0.00595</v>
      </c>
      <c r="D157" s="57" t="n">
        <v>0.00761</v>
      </c>
      <c r="E157" s="57" t="n">
        <v>0.00989</v>
      </c>
      <c r="F157" s="57" t="n">
        <v>0.01277</v>
      </c>
      <c r="G157" s="57" t="n">
        <v>0.02122</v>
      </c>
    </row>
    <row r="158" customFormat="false" ht="15" hidden="false" customHeight="false" outlineLevel="0" collapsed="false">
      <c r="A158" s="52" t="n">
        <v>44413</v>
      </c>
      <c r="B158" s="57" t="n">
        <v>0.00325</v>
      </c>
      <c r="C158" s="57" t="n">
        <v>0.00594</v>
      </c>
      <c r="D158" s="57" t="n">
        <v>0.00741</v>
      </c>
      <c r="E158" s="57" t="n">
        <v>0.00952</v>
      </c>
      <c r="F158" s="57" t="n">
        <v>0.01295</v>
      </c>
      <c r="G158" s="57" t="n">
        <v>0.02099</v>
      </c>
    </row>
    <row r="159" customFormat="false" ht="15" hidden="false" customHeight="false" outlineLevel="0" collapsed="false">
      <c r="A159" s="52" t="n">
        <v>44414</v>
      </c>
      <c r="B159" s="57" t="n">
        <v>0.00325</v>
      </c>
      <c r="C159" s="57" t="n">
        <v>0.00591</v>
      </c>
      <c r="D159" s="57" t="n">
        <v>0.00721</v>
      </c>
      <c r="E159" s="57" t="n">
        <v>0.00967</v>
      </c>
      <c r="F159" s="57" t="n">
        <v>0.01272</v>
      </c>
      <c r="G159" s="57" t="n">
        <v>0.02068</v>
      </c>
    </row>
    <row r="160" customFormat="false" ht="15" hidden="false" customHeight="false" outlineLevel="0" collapsed="false">
      <c r="A160" s="52" t="n">
        <v>44417</v>
      </c>
      <c r="B160" s="57" t="n">
        <v>0.0032</v>
      </c>
      <c r="C160" s="57" t="n">
        <v>0.00589</v>
      </c>
      <c r="D160" s="57" t="n">
        <v>0.0071</v>
      </c>
      <c r="E160" s="57" t="n">
        <v>0.00975</v>
      </c>
      <c r="F160" s="57" t="n">
        <v>0.01271</v>
      </c>
      <c r="G160" s="57" t="n">
        <v>0.02092</v>
      </c>
    </row>
    <row r="161" customFormat="false" ht="15" hidden="false" customHeight="false" outlineLevel="0" collapsed="false">
      <c r="A161" s="52" t="n">
        <v>44418</v>
      </c>
      <c r="B161" s="57" t="n">
        <v>0.0032</v>
      </c>
      <c r="C161" s="57" t="n">
        <v>0.0059</v>
      </c>
      <c r="D161" s="57" t="n">
        <v>0.00728</v>
      </c>
      <c r="E161" s="57" t="n">
        <v>0.00961</v>
      </c>
      <c r="F161" s="57" t="n">
        <v>0.01269</v>
      </c>
      <c r="G161" s="57" t="n">
        <v>0.02077</v>
      </c>
    </row>
    <row r="162" customFormat="false" ht="15" hidden="false" customHeight="false" outlineLevel="0" collapsed="false">
      <c r="A162" s="52" t="n">
        <v>44419</v>
      </c>
      <c r="B162" s="57" t="n">
        <v>0.0032</v>
      </c>
      <c r="C162" s="57" t="n">
        <v>0.00588</v>
      </c>
      <c r="D162" s="57" t="n">
        <v>0.00701</v>
      </c>
      <c r="E162" s="57" t="n">
        <v>0.00937</v>
      </c>
      <c r="F162" s="57" t="n">
        <v>0.01251</v>
      </c>
      <c r="G162" s="57" t="n">
        <v>0.02093</v>
      </c>
    </row>
    <row r="163" customFormat="false" ht="15" hidden="false" customHeight="false" outlineLevel="0" collapsed="false">
      <c r="A163" s="52" t="n">
        <v>44420</v>
      </c>
      <c r="B163" s="57" t="n">
        <v>0.0032</v>
      </c>
      <c r="C163" s="57" t="n">
        <v>0.00587</v>
      </c>
      <c r="D163" s="57" t="n">
        <v>0.00688</v>
      </c>
      <c r="E163" s="57" t="n">
        <v>0.00897</v>
      </c>
      <c r="F163" s="57" t="n">
        <v>0.01241</v>
      </c>
      <c r="G163" s="57" t="n">
        <v>0.02056</v>
      </c>
    </row>
    <row r="164" customFormat="false" ht="15" hidden="false" customHeight="false" outlineLevel="0" collapsed="false">
      <c r="A164" s="52" t="n">
        <v>44421</v>
      </c>
      <c r="B164" s="57" t="n">
        <v>0.00321</v>
      </c>
      <c r="C164" s="57" t="n">
        <v>0.00586</v>
      </c>
      <c r="D164" s="57" t="n">
        <v>0.00685</v>
      </c>
      <c r="E164" s="57" t="n">
        <v>0.00918</v>
      </c>
      <c r="F164" s="57" t="n">
        <v>0.01277</v>
      </c>
      <c r="G164" s="57" t="n">
        <v>0.0211</v>
      </c>
    </row>
    <row r="165" customFormat="false" ht="15" hidden="false" customHeight="false" outlineLevel="0" collapsed="false">
      <c r="A165" s="52" t="n">
        <v>44424</v>
      </c>
      <c r="B165" s="57" t="n">
        <v>0.0032</v>
      </c>
      <c r="C165" s="57" t="n">
        <v>0.00586</v>
      </c>
      <c r="D165" s="57" t="n">
        <v>0.00684</v>
      </c>
      <c r="E165" s="57" t="n">
        <v>0.00898</v>
      </c>
      <c r="F165" s="57" t="n">
        <v>0.01242</v>
      </c>
      <c r="G165" s="57" t="n">
        <v>0.02036</v>
      </c>
    </row>
    <row r="166" customFormat="false" ht="15" hidden="false" customHeight="false" outlineLevel="0" collapsed="false">
      <c r="A166" s="52" t="n">
        <v>44425</v>
      </c>
      <c r="B166" s="57" t="n">
        <v>0.00321</v>
      </c>
      <c r="C166" s="57" t="n">
        <v>0.00586</v>
      </c>
      <c r="D166" s="57" t="n">
        <v>0.00682</v>
      </c>
      <c r="E166" s="57" t="n">
        <v>0.00856</v>
      </c>
      <c r="F166" s="57" t="n">
        <v>0.01179</v>
      </c>
      <c r="G166" s="57" t="n">
        <v>0.02039</v>
      </c>
    </row>
    <row r="167" customFormat="false" ht="15" hidden="false" customHeight="false" outlineLevel="0" collapsed="false">
      <c r="A167" s="52" t="n">
        <v>44426</v>
      </c>
      <c r="B167" s="57" t="n">
        <v>0.0032</v>
      </c>
      <c r="C167" s="57" t="n">
        <v>0.00585</v>
      </c>
      <c r="D167" s="57" t="n">
        <v>0.00683</v>
      </c>
      <c r="E167" s="57" t="n">
        <v>0.00892</v>
      </c>
      <c r="F167" s="57" t="n">
        <v>0.01202</v>
      </c>
      <c r="G167" s="57" t="n">
        <v>0.02065</v>
      </c>
    </row>
    <row r="168" customFormat="false" ht="15" hidden="false" customHeight="false" outlineLevel="0" collapsed="false">
      <c r="A168" s="52" t="n">
        <v>44427</v>
      </c>
      <c r="B168" s="57" t="n">
        <v>0.0032</v>
      </c>
      <c r="C168" s="57" t="n">
        <v>0.00585</v>
      </c>
      <c r="D168" s="57" t="n">
        <v>0.00665</v>
      </c>
      <c r="E168" s="57" t="n">
        <v>0.00814</v>
      </c>
      <c r="F168" s="57" t="n">
        <v>0.01206</v>
      </c>
      <c r="G168" s="57" t="n">
        <v>0.02063</v>
      </c>
    </row>
    <row r="169" customFormat="false" ht="15" hidden="false" customHeight="false" outlineLevel="0" collapsed="false">
      <c r="A169" s="52" t="n">
        <v>44428</v>
      </c>
      <c r="B169" s="57" t="n">
        <v>0.00311</v>
      </c>
      <c r="C169" s="57" t="n">
        <v>0.00584</v>
      </c>
      <c r="D169" s="57" t="n">
        <v>0.00672</v>
      </c>
      <c r="E169" s="57" t="n">
        <v>0.00874</v>
      </c>
      <c r="F169" s="57" t="n">
        <v>0.01161</v>
      </c>
      <c r="G169" s="57" t="n">
        <v>0.02019</v>
      </c>
    </row>
    <row r="170" customFormat="false" ht="15" hidden="false" customHeight="false" outlineLevel="0" collapsed="false">
      <c r="A170" s="52" t="n">
        <v>44431</v>
      </c>
      <c r="B170" s="57" t="n">
        <v>0.00309</v>
      </c>
      <c r="C170" s="57" t="n">
        <v>0.00583</v>
      </c>
      <c r="D170" s="57" t="n">
        <v>0.00642</v>
      </c>
      <c r="E170" s="57" t="n">
        <v>0.00827</v>
      </c>
      <c r="F170" s="57" t="n">
        <v>0.01206</v>
      </c>
      <c r="G170" s="57" t="n">
        <v>0.02042</v>
      </c>
    </row>
    <row r="171" customFormat="false" ht="15" hidden="false" customHeight="false" outlineLevel="0" collapsed="false">
      <c r="A171" s="52" t="n">
        <v>44432</v>
      </c>
      <c r="B171" s="57" t="n">
        <v>0.00311</v>
      </c>
      <c r="C171" s="57" t="n">
        <v>0.00583</v>
      </c>
      <c r="D171" s="57" t="n">
        <v>0.00638</v>
      </c>
      <c r="E171" s="57" t="n">
        <v>0.00825</v>
      </c>
      <c r="F171" s="57" t="n">
        <v>0.01177</v>
      </c>
      <c r="G171" s="57" t="n">
        <v>0.02031</v>
      </c>
    </row>
    <row r="172" customFormat="false" ht="15" hidden="false" customHeight="false" outlineLevel="0" collapsed="false">
      <c r="A172" s="52" t="n">
        <v>44433</v>
      </c>
      <c r="B172" s="57" t="n">
        <v>0.0031</v>
      </c>
      <c r="C172" s="57" t="n">
        <v>0.00582</v>
      </c>
      <c r="D172" s="57" t="n">
        <v>0.00649</v>
      </c>
      <c r="E172" s="57" t="n">
        <v>0.00831</v>
      </c>
      <c r="F172" s="57" t="n">
        <v>0.01163</v>
      </c>
      <c r="G172" s="57" t="n">
        <v>0.02025</v>
      </c>
    </row>
    <row r="173" customFormat="false" ht="15" hidden="false" customHeight="false" outlineLevel="0" collapsed="false">
      <c r="A173" s="52" t="n">
        <v>44434</v>
      </c>
      <c r="B173" s="57" t="n">
        <v>0.00311</v>
      </c>
      <c r="C173" s="57" t="n">
        <v>0.00582</v>
      </c>
      <c r="D173" s="57" t="n">
        <v>0.00638</v>
      </c>
      <c r="E173" s="57" t="n">
        <v>0.00834</v>
      </c>
      <c r="F173" s="57" t="n">
        <v>0.01182</v>
      </c>
      <c r="G173" s="57" t="n">
        <v>0.02034</v>
      </c>
    </row>
    <row r="174" customFormat="false" ht="15" hidden="false" customHeight="false" outlineLevel="0" collapsed="false">
      <c r="A174" s="52" t="n">
        <v>44435</v>
      </c>
      <c r="B174" s="57" t="n">
        <v>0.00311</v>
      </c>
      <c r="C174" s="57" t="n">
        <v>0.0058</v>
      </c>
      <c r="D174" s="57" t="n">
        <v>0.00649</v>
      </c>
      <c r="E174" s="57" t="n">
        <v>0.00835</v>
      </c>
      <c r="F174" s="57" t="n">
        <v>0.01201</v>
      </c>
      <c r="G174" s="57" t="n">
        <v>0.02051</v>
      </c>
    </row>
    <row r="175" customFormat="false" ht="15" hidden="false" customHeight="false" outlineLevel="0" collapsed="false">
      <c r="A175" s="52" t="n">
        <v>44438</v>
      </c>
      <c r="B175" s="57" t="n">
        <v>0.0031</v>
      </c>
      <c r="C175" s="57" t="n">
        <v>0.00579</v>
      </c>
      <c r="D175" s="57" t="n">
        <v>0.00674</v>
      </c>
      <c r="E175" s="57" t="n">
        <v>0.00834</v>
      </c>
      <c r="F175" s="57" t="n">
        <v>0.01187</v>
      </c>
      <c r="G175" s="57" t="n">
        <v>0.02028</v>
      </c>
    </row>
    <row r="176" customFormat="false" ht="15" hidden="false" customHeight="false" outlineLevel="0" collapsed="false">
      <c r="A176" s="52" t="n">
        <v>44439</v>
      </c>
      <c r="B176" s="57" t="n">
        <v>0.00301</v>
      </c>
      <c r="C176" s="57" t="n">
        <v>0.00579</v>
      </c>
      <c r="D176" s="57" t="n">
        <v>0.00667</v>
      </c>
      <c r="E176" s="57" t="n">
        <v>0.0083</v>
      </c>
      <c r="F176" s="57" t="n">
        <v>0.01186</v>
      </c>
      <c r="G176" s="57" t="n">
        <v>0.02045</v>
      </c>
    </row>
    <row r="177" customFormat="false" ht="15" hidden="false" customHeight="false" outlineLevel="0" collapsed="false">
      <c r="A177" s="52" t="n">
        <v>44440</v>
      </c>
      <c r="B177" s="57" t="n">
        <v>0.00373</v>
      </c>
      <c r="C177" s="57" t="n">
        <v>0.00575</v>
      </c>
      <c r="D177" s="57" t="n">
        <v>0.00666</v>
      </c>
      <c r="E177" s="57" t="n">
        <v>0.0082</v>
      </c>
      <c r="F177" s="57" t="n">
        <v>0.01181</v>
      </c>
      <c r="G177" s="57" t="n">
        <v>0.0202</v>
      </c>
    </row>
    <row r="178" customFormat="false" ht="15" hidden="false" customHeight="false" outlineLevel="0" collapsed="false">
      <c r="A178" s="52" t="n">
        <v>44441</v>
      </c>
      <c r="B178" s="57" t="n">
        <v>0.00373</v>
      </c>
      <c r="C178" s="57" t="n">
        <v>0.00575</v>
      </c>
      <c r="D178" s="57" t="n">
        <v>0.00666</v>
      </c>
      <c r="E178" s="57" t="n">
        <v>0.0082</v>
      </c>
      <c r="F178" s="57" t="n">
        <v>0.01181</v>
      </c>
      <c r="G178" s="57" t="n">
        <v>0.0202</v>
      </c>
    </row>
    <row r="179" customFormat="false" ht="15" hidden="false" customHeight="false" outlineLevel="0" collapsed="false">
      <c r="A179" s="52" t="n">
        <v>44442</v>
      </c>
      <c r="B179" s="57" t="n">
        <v>0.00373</v>
      </c>
      <c r="C179" s="57" t="n">
        <v>0.00575</v>
      </c>
      <c r="D179" s="57" t="n">
        <v>0.00666</v>
      </c>
      <c r="E179" s="57" t="n">
        <v>0.0082</v>
      </c>
      <c r="F179" s="57" t="n">
        <v>0.01181</v>
      </c>
      <c r="G179" s="57" t="n">
        <v>0.0202</v>
      </c>
    </row>
    <row r="180" customFormat="false" ht="15" hidden="false" customHeight="false" outlineLevel="0" collapsed="false">
      <c r="A180" s="52" t="n">
        <v>44445</v>
      </c>
      <c r="B180" s="57" t="n">
        <v>0.00373</v>
      </c>
      <c r="C180" s="57" t="n">
        <v>0.00575</v>
      </c>
      <c r="D180" s="57" t="n">
        <v>0.00606</v>
      </c>
      <c r="E180" s="57" t="n">
        <v>0.00723</v>
      </c>
      <c r="F180" s="57" t="n">
        <v>0.01163</v>
      </c>
      <c r="G180" s="57" t="n">
        <v>0.02061</v>
      </c>
    </row>
    <row r="181" customFormat="false" ht="15" hidden="false" customHeight="false" outlineLevel="0" collapsed="false">
      <c r="A181" s="52" t="n">
        <v>44446</v>
      </c>
      <c r="B181" s="57" t="n">
        <v>0.00371</v>
      </c>
      <c r="C181" s="57" t="n">
        <v>0.00574</v>
      </c>
      <c r="D181" s="57" t="n">
        <v>0.00641</v>
      </c>
      <c r="E181" s="57" t="n">
        <v>0.00802</v>
      </c>
      <c r="F181" s="57" t="n">
        <v>0.01193</v>
      </c>
      <c r="G181" s="57" t="n">
        <v>0.02032</v>
      </c>
    </row>
    <row r="182" customFormat="false" ht="15" hidden="false" customHeight="false" outlineLevel="0" collapsed="false">
      <c r="A182" s="52" t="n">
        <v>44447</v>
      </c>
      <c r="B182" s="57" t="n">
        <v>0.0037</v>
      </c>
      <c r="C182" s="57" t="n">
        <v>0.00566</v>
      </c>
      <c r="D182" s="57" t="n">
        <v>0.00665</v>
      </c>
      <c r="E182" s="57" t="n">
        <v>0.00809</v>
      </c>
      <c r="F182" s="57" t="n">
        <v>0.01173</v>
      </c>
      <c r="G182" s="57" t="n">
        <v>0.02009</v>
      </c>
    </row>
    <row r="183" customFormat="false" ht="15" hidden="false" customHeight="false" outlineLevel="0" collapsed="false">
      <c r="A183" s="52" t="n">
        <v>44448</v>
      </c>
      <c r="B183" s="57" t="n">
        <v>0.0037</v>
      </c>
      <c r="C183" s="57" t="n">
        <v>0.00565</v>
      </c>
      <c r="D183" s="57" t="n">
        <v>0.0066</v>
      </c>
      <c r="E183" s="57" t="n">
        <v>0.00767</v>
      </c>
      <c r="F183" s="57" t="n">
        <v>0.01156</v>
      </c>
      <c r="G183" s="57" t="n">
        <v>0.02009</v>
      </c>
    </row>
    <row r="184" customFormat="false" ht="15" hidden="false" customHeight="false" outlineLevel="0" collapsed="false">
      <c r="A184" s="52" t="n">
        <v>44449</v>
      </c>
      <c r="B184" s="57" t="n">
        <v>0.00368</v>
      </c>
      <c r="C184" s="57" t="n">
        <v>0.00563</v>
      </c>
      <c r="D184" s="57" t="n">
        <v>0.00664</v>
      </c>
      <c r="E184" s="57" t="n">
        <v>0.00781</v>
      </c>
      <c r="F184" s="57" t="n">
        <v>0.01144</v>
      </c>
      <c r="G184" s="57" t="n">
        <v>0.02027</v>
      </c>
    </row>
    <row r="185" customFormat="false" ht="15" hidden="false" customHeight="false" outlineLevel="0" collapsed="false">
      <c r="A185" s="52" t="n">
        <v>44452</v>
      </c>
      <c r="B185" s="57" t="n">
        <v>0.00368</v>
      </c>
      <c r="C185" s="57" t="n">
        <v>0.00563</v>
      </c>
      <c r="D185" s="57" t="n">
        <v>0.00632</v>
      </c>
      <c r="E185" s="57" t="n">
        <v>0.00789</v>
      </c>
      <c r="F185" s="57" t="n">
        <v>0.01149</v>
      </c>
      <c r="G185" s="57" t="n">
        <v>0.02001</v>
      </c>
    </row>
    <row r="186" customFormat="false" ht="15" hidden="false" customHeight="false" outlineLevel="0" collapsed="false">
      <c r="A186" s="52" t="n">
        <v>44453</v>
      </c>
      <c r="B186" s="57" t="n">
        <v>0.00368</v>
      </c>
      <c r="C186" s="57" t="n">
        <v>0.00562</v>
      </c>
      <c r="D186" s="57" t="n">
        <v>0.00673</v>
      </c>
      <c r="E186" s="57" t="n">
        <v>0.00769</v>
      </c>
      <c r="F186" s="57" t="n">
        <v>0.01132</v>
      </c>
      <c r="G186" s="57" t="n">
        <v>0.02043</v>
      </c>
    </row>
    <row r="187" customFormat="false" ht="15" hidden="false" customHeight="false" outlineLevel="0" collapsed="false">
      <c r="A187" s="52" t="n">
        <v>44454</v>
      </c>
      <c r="B187" s="57" t="n">
        <v>0.00364</v>
      </c>
      <c r="C187" s="57" t="n">
        <v>0.0053</v>
      </c>
      <c r="D187" s="57" t="n">
        <v>0.00642</v>
      </c>
      <c r="E187" s="57" t="n">
        <v>0.00794</v>
      </c>
      <c r="F187" s="57" t="n">
        <v>0.01127</v>
      </c>
      <c r="G187" s="57" t="n">
        <v>0.01993</v>
      </c>
    </row>
    <row r="188" customFormat="false" ht="15" hidden="false" customHeight="false" outlineLevel="0" collapsed="false">
      <c r="A188" s="52" t="n">
        <v>44455</v>
      </c>
      <c r="B188" s="57" t="n">
        <v>0.00366</v>
      </c>
      <c r="C188" s="57" t="n">
        <v>0.00561</v>
      </c>
      <c r="D188" s="57" t="n">
        <v>0.00648</v>
      </c>
      <c r="E188" s="57" t="n">
        <v>0.00785</v>
      </c>
      <c r="F188" s="57" t="n">
        <v>0.01161</v>
      </c>
      <c r="G188" s="57" t="n">
        <v>0.02004</v>
      </c>
    </row>
    <row r="189" customFormat="false" ht="15" hidden="false" customHeight="false" outlineLevel="0" collapsed="false">
      <c r="A189" s="52" t="n">
        <v>44456</v>
      </c>
      <c r="B189" s="57" t="n">
        <v>0.00366</v>
      </c>
      <c r="C189" s="57" t="n">
        <v>0.00571</v>
      </c>
      <c r="D189" s="57" t="n">
        <v>0.00642</v>
      </c>
      <c r="E189" s="57" t="n">
        <v>0.00797</v>
      </c>
      <c r="F189" s="57" t="n">
        <v>0.01162</v>
      </c>
      <c r="G189" s="57" t="n">
        <v>0.02021</v>
      </c>
    </row>
    <row r="190" customFormat="false" ht="15" hidden="false" customHeight="false" outlineLevel="0" collapsed="false">
      <c r="A190" s="52" t="n">
        <v>44459</v>
      </c>
      <c r="B190" s="57" t="n">
        <v>0.00364</v>
      </c>
      <c r="C190" s="57" t="n">
        <v>0.00571</v>
      </c>
      <c r="D190" s="57" t="n">
        <v>0.00656</v>
      </c>
      <c r="E190" s="57" t="n">
        <v>0.00801</v>
      </c>
      <c r="F190" s="57" t="n">
        <v>0.01149</v>
      </c>
      <c r="G190" s="57" t="n">
        <v>0.02037</v>
      </c>
    </row>
    <row r="191" customFormat="false" ht="15" hidden="false" customHeight="false" outlineLevel="0" collapsed="false">
      <c r="A191" s="52" t="n">
        <v>44460</v>
      </c>
      <c r="B191" s="57" t="n">
        <v>0.00355</v>
      </c>
      <c r="C191" s="57" t="n">
        <v>0.00569</v>
      </c>
      <c r="D191" s="57" t="n">
        <v>0.0067</v>
      </c>
      <c r="E191" s="57" t="n">
        <v>0.00852</v>
      </c>
      <c r="F191" s="57" t="n">
        <v>0.01203</v>
      </c>
      <c r="G191" s="57" t="n">
        <v>0.02038</v>
      </c>
    </row>
    <row r="192" customFormat="false" ht="15" hidden="false" customHeight="false" outlineLevel="0" collapsed="false">
      <c r="A192" s="52" t="n">
        <v>44461</v>
      </c>
      <c r="B192" s="57" t="n">
        <v>0.00401</v>
      </c>
      <c r="C192" s="57" t="n">
        <v>0.00583</v>
      </c>
      <c r="D192" s="57" t="n">
        <v>0.00737</v>
      </c>
      <c r="E192" s="57" t="n">
        <v>0.00871</v>
      </c>
      <c r="F192" s="57" t="n">
        <v>0.01207</v>
      </c>
      <c r="G192" s="57" t="n">
        <v>0.02064</v>
      </c>
    </row>
    <row r="193" customFormat="false" ht="15" hidden="false" customHeight="false" outlineLevel="0" collapsed="false">
      <c r="A193" s="52" t="n">
        <v>44462</v>
      </c>
      <c r="B193" s="57" t="n">
        <v>0.00401</v>
      </c>
      <c r="C193" s="57" t="n">
        <v>0.00587</v>
      </c>
      <c r="D193" s="57" t="n">
        <v>0.00734</v>
      </c>
      <c r="E193" s="57" t="n">
        <v>0.00883</v>
      </c>
      <c r="F193" s="57" t="n">
        <v>0.01226</v>
      </c>
      <c r="G193" s="57" t="n">
        <v>0.02069</v>
      </c>
    </row>
    <row r="194" customFormat="false" ht="15" hidden="false" customHeight="false" outlineLevel="0" collapsed="false">
      <c r="A194" s="52" t="n">
        <v>44463</v>
      </c>
      <c r="B194" s="57" t="n">
        <v>0.0042</v>
      </c>
      <c r="C194" s="57" t="n">
        <v>0.00599</v>
      </c>
      <c r="D194" s="57" t="n">
        <v>0.00761</v>
      </c>
      <c r="E194" s="57" t="n">
        <v>0.00899</v>
      </c>
      <c r="F194" s="57" t="n">
        <v>0.01229</v>
      </c>
      <c r="G194" s="57" t="n">
        <v>0.02068</v>
      </c>
    </row>
    <row r="195" customFormat="false" ht="15" hidden="false" customHeight="false" outlineLevel="0" collapsed="false">
      <c r="A195" s="52" t="n">
        <v>44466</v>
      </c>
      <c r="B195" s="57" t="n">
        <v>0.00424</v>
      </c>
      <c r="C195" s="57" t="n">
        <v>0.00599</v>
      </c>
      <c r="D195" s="57" t="n">
        <v>0.00762</v>
      </c>
      <c r="E195" s="57" t="n">
        <v>0.0091</v>
      </c>
      <c r="F195" s="57" t="n">
        <v>0.01252</v>
      </c>
      <c r="G195" s="57" t="n">
        <v>0.02093</v>
      </c>
    </row>
    <row r="196" customFormat="false" ht="15" hidden="false" customHeight="false" outlineLevel="0" collapsed="false">
      <c r="A196" s="52" t="n">
        <v>44467</v>
      </c>
      <c r="B196" s="57" t="n">
        <v>0.00452</v>
      </c>
      <c r="C196" s="57" t="n">
        <v>0.00616</v>
      </c>
      <c r="D196" s="57" t="n">
        <v>0.00752</v>
      </c>
      <c r="E196" s="57" t="n">
        <v>0.00909</v>
      </c>
      <c r="F196" s="57" t="n">
        <v>0.01259</v>
      </c>
      <c r="G196" s="57" t="n">
        <v>0.0206</v>
      </c>
    </row>
    <row r="197" customFormat="false" ht="15" hidden="false" customHeight="false" outlineLevel="0" collapsed="false">
      <c r="A197" s="52" t="n">
        <v>44468</v>
      </c>
      <c r="B197" s="57" t="n">
        <v>0.00515</v>
      </c>
      <c r="C197" s="57" t="n">
        <v>0.00652</v>
      </c>
      <c r="D197" s="57" t="n">
        <v>0.00796</v>
      </c>
      <c r="E197" s="57" t="n">
        <v>0.00935</v>
      </c>
      <c r="F197" s="57" t="n">
        <v>0.01256</v>
      </c>
      <c r="G197" s="57" t="n">
        <v>0.02095</v>
      </c>
    </row>
    <row r="198" customFormat="false" ht="15" hidden="false" customHeight="false" outlineLevel="0" collapsed="false">
      <c r="A198" s="52" t="n">
        <v>44469</v>
      </c>
      <c r="B198" s="57" t="n">
        <v>0.00515</v>
      </c>
      <c r="C198" s="57" t="n">
        <v>0.00652</v>
      </c>
      <c r="D198" s="57" t="n">
        <v>0.00788</v>
      </c>
      <c r="E198" s="57" t="n">
        <v>0.00927</v>
      </c>
      <c r="F198" s="57" t="n">
        <v>0.0124</v>
      </c>
      <c r="G198" s="57" t="n">
        <v>0.02082</v>
      </c>
    </row>
    <row r="199" customFormat="false" ht="15" hidden="false" customHeight="false" outlineLevel="0" collapsed="false">
      <c r="A199" s="52" t="n">
        <v>44470</v>
      </c>
      <c r="B199" s="57" t="n">
        <v>0.00514</v>
      </c>
      <c r="C199" s="57" t="n">
        <v>0.00647</v>
      </c>
      <c r="D199" s="57" t="n">
        <v>0.00793</v>
      </c>
      <c r="E199" s="57" t="n">
        <v>0.00914</v>
      </c>
      <c r="F199" s="57" t="n">
        <v>0.01318</v>
      </c>
      <c r="G199" s="57" t="n">
        <v>0.02071</v>
      </c>
    </row>
    <row r="200" customFormat="false" ht="15" hidden="false" customHeight="false" outlineLevel="0" collapsed="false">
      <c r="A200" s="52" t="n">
        <v>44473</v>
      </c>
      <c r="B200" s="57" t="n">
        <v>0.00514</v>
      </c>
      <c r="C200" s="57" t="n">
        <v>0.00647</v>
      </c>
      <c r="D200" s="57" t="n">
        <v>0.00793</v>
      </c>
      <c r="E200" s="57" t="n">
        <v>0.00914</v>
      </c>
      <c r="F200" s="57" t="n">
        <v>0.01318</v>
      </c>
      <c r="G200" s="57" t="n">
        <v>0.02071</v>
      </c>
    </row>
    <row r="201" customFormat="false" ht="15" hidden="false" customHeight="false" outlineLevel="0" collapsed="false">
      <c r="A201" s="52" t="n">
        <v>44474</v>
      </c>
      <c r="B201" s="57" t="n">
        <v>0.00512</v>
      </c>
      <c r="C201" s="57" t="n">
        <v>0.00639</v>
      </c>
      <c r="D201" s="57" t="n">
        <v>0.00792</v>
      </c>
      <c r="E201" s="57" t="n">
        <v>0.00896</v>
      </c>
      <c r="F201" s="57" t="n">
        <v>0.01308</v>
      </c>
      <c r="G201" s="57" t="n">
        <v>0.02064</v>
      </c>
    </row>
    <row r="202" customFormat="false" ht="15" hidden="false" customHeight="false" outlineLevel="0" collapsed="false">
      <c r="A202" s="52" t="n">
        <v>44475</v>
      </c>
      <c r="B202" s="57" t="n">
        <v>0.00512</v>
      </c>
      <c r="C202" s="57" t="n">
        <v>0.00638</v>
      </c>
      <c r="D202" s="57" t="n">
        <v>0.00812</v>
      </c>
      <c r="E202" s="57" t="n">
        <v>0.00906</v>
      </c>
      <c r="F202" s="57" t="n">
        <v>0.01293</v>
      </c>
      <c r="G202" s="57" t="n">
        <v>0.0206</v>
      </c>
    </row>
    <row r="203" customFormat="false" ht="15" hidden="false" customHeight="false" outlineLevel="0" collapsed="false">
      <c r="A203" s="52" t="n">
        <v>44476</v>
      </c>
      <c r="B203" s="57" t="n">
        <v>0.00512</v>
      </c>
      <c r="C203" s="57" t="n">
        <v>0.00638</v>
      </c>
      <c r="D203" s="57" t="n">
        <v>0.0077</v>
      </c>
      <c r="E203" s="57" t="n">
        <v>0.00901</v>
      </c>
      <c r="F203" s="57" t="n">
        <v>0.01288</v>
      </c>
      <c r="G203" s="57" t="n">
        <v>0.0207</v>
      </c>
    </row>
    <row r="204" customFormat="false" ht="15" hidden="false" customHeight="false" outlineLevel="0" collapsed="false">
      <c r="A204" s="52" t="n">
        <v>44477</v>
      </c>
      <c r="B204" s="57" t="n">
        <v>0.00522</v>
      </c>
      <c r="C204" s="57" t="n">
        <v>0.00634</v>
      </c>
      <c r="D204" s="57" t="n">
        <v>0.00788</v>
      </c>
      <c r="E204" s="57" t="n">
        <v>0.00905</v>
      </c>
      <c r="F204" s="57" t="n">
        <v>0.01307</v>
      </c>
      <c r="G204" s="57" t="n">
        <v>0.02082</v>
      </c>
    </row>
    <row r="205" customFormat="false" ht="15" hidden="false" customHeight="false" outlineLevel="0" collapsed="false">
      <c r="A205" s="52" t="n">
        <v>44480</v>
      </c>
      <c r="B205" s="57" t="n">
        <v>0.0052</v>
      </c>
      <c r="C205" s="57" t="n">
        <v>0.00634</v>
      </c>
      <c r="D205" s="57" t="n">
        <v>0.00771</v>
      </c>
      <c r="E205" s="57" t="n">
        <v>0.00906</v>
      </c>
      <c r="F205" s="57" t="n">
        <v>0.01303</v>
      </c>
      <c r="G205" s="57" t="n">
        <v>0.02086</v>
      </c>
    </row>
    <row r="206" customFormat="false" ht="15" hidden="false" customHeight="false" outlineLevel="0" collapsed="false">
      <c r="A206" s="52" t="n">
        <v>44481</v>
      </c>
      <c r="B206" s="57" t="n">
        <v>0.0052</v>
      </c>
      <c r="C206" s="57" t="n">
        <v>0.0064</v>
      </c>
      <c r="D206" s="57" t="n">
        <v>0.00764</v>
      </c>
      <c r="E206" s="57" t="n">
        <v>0.00891</v>
      </c>
      <c r="F206" s="57" t="n">
        <v>0.013</v>
      </c>
      <c r="G206" s="57" t="n">
        <v>0.02084</v>
      </c>
    </row>
    <row r="207" customFormat="false" ht="15" hidden="false" customHeight="false" outlineLevel="0" collapsed="false">
      <c r="A207" s="52" t="n">
        <v>44482</v>
      </c>
      <c r="B207" s="57" t="n">
        <v>0.0052</v>
      </c>
      <c r="C207" s="57" t="n">
        <v>0.00639</v>
      </c>
      <c r="D207" s="57" t="n">
        <v>0.00752</v>
      </c>
      <c r="E207" s="57" t="n">
        <v>0.00886</v>
      </c>
      <c r="F207" s="57" t="n">
        <v>0.01323</v>
      </c>
      <c r="G207" s="57" t="n">
        <v>0.02084</v>
      </c>
    </row>
    <row r="208" customFormat="false" ht="15" hidden="false" customHeight="false" outlineLevel="0" collapsed="false">
      <c r="A208" s="52" t="n">
        <v>44483</v>
      </c>
      <c r="B208" s="57" t="n">
        <v>0.0052</v>
      </c>
      <c r="C208" s="57" t="n">
        <v>0.00639</v>
      </c>
      <c r="D208" s="57" t="n">
        <v>0.00749</v>
      </c>
      <c r="E208" s="57" t="n">
        <v>0.00882</v>
      </c>
      <c r="F208" s="57" t="n">
        <v>0.0131</v>
      </c>
      <c r="G208" s="57" t="n">
        <v>0.02079</v>
      </c>
    </row>
    <row r="209" customFormat="false" ht="15" hidden="false" customHeight="false" outlineLevel="0" collapsed="false">
      <c r="A209" s="52" t="n">
        <v>44484</v>
      </c>
      <c r="B209" s="57" t="n">
        <v>0.00508</v>
      </c>
      <c r="C209" s="57" t="n">
        <v>0.00624</v>
      </c>
      <c r="D209" s="57" t="n">
        <v>0.00744</v>
      </c>
      <c r="E209" s="57" t="n">
        <v>0.00866</v>
      </c>
      <c r="F209" s="57" t="n">
        <v>0.01297</v>
      </c>
      <c r="G209" s="57" t="n">
        <v>0.02073</v>
      </c>
    </row>
    <row r="210" customFormat="false" ht="15" hidden="false" customHeight="false" outlineLevel="0" collapsed="false">
      <c r="A210" s="52" t="n">
        <v>44487</v>
      </c>
      <c r="B210" s="57" t="n">
        <v>0.00508</v>
      </c>
      <c r="C210" s="57" t="n">
        <v>0.00591</v>
      </c>
      <c r="D210" s="57" t="n">
        <v>0.00721</v>
      </c>
      <c r="E210" s="57" t="n">
        <v>0.00896</v>
      </c>
      <c r="F210" s="57" t="n">
        <v>0.01304</v>
      </c>
      <c r="G210" s="57" t="n">
        <v>0.02075</v>
      </c>
    </row>
    <row r="211" customFormat="false" ht="15" hidden="false" customHeight="false" outlineLevel="0" collapsed="false">
      <c r="A211" s="52" t="n">
        <v>44488</v>
      </c>
      <c r="B211" s="57" t="n">
        <v>0.00509</v>
      </c>
      <c r="C211" s="57" t="n">
        <v>0.00593</v>
      </c>
      <c r="D211" s="57" t="n">
        <v>0.00721</v>
      </c>
      <c r="E211" s="57" t="n">
        <v>0.00875</v>
      </c>
      <c r="F211" s="57" t="n">
        <v>0.01279</v>
      </c>
      <c r="G211" s="57" t="n">
        <v>0.0208</v>
      </c>
    </row>
    <row r="212" customFormat="false" ht="15" hidden="false" customHeight="false" outlineLevel="0" collapsed="false">
      <c r="A212" s="52" t="n">
        <v>44489</v>
      </c>
      <c r="B212" s="57" t="n">
        <v>0.00508</v>
      </c>
      <c r="C212" s="57" t="n">
        <v>0.00593</v>
      </c>
      <c r="D212" s="57" t="n">
        <v>0.00727</v>
      </c>
      <c r="E212" s="57" t="n">
        <v>0.00889</v>
      </c>
      <c r="F212" s="57" t="n">
        <v>0.0131</v>
      </c>
      <c r="G212" s="57" t="n">
        <v>0.0209</v>
      </c>
    </row>
    <row r="213" customFormat="false" ht="15" hidden="false" customHeight="false" outlineLevel="0" collapsed="false">
      <c r="A213" s="52" t="n">
        <v>44490</v>
      </c>
      <c r="B213" s="57" t="n">
        <v>0.00507</v>
      </c>
      <c r="C213" s="57" t="n">
        <v>0.006</v>
      </c>
      <c r="D213" s="57" t="n">
        <v>0.00737</v>
      </c>
      <c r="E213" s="57" t="n">
        <v>0.00872</v>
      </c>
      <c r="F213" s="57" t="n">
        <v>0.01292</v>
      </c>
      <c r="G213" s="57" t="n">
        <v>0.02081</v>
      </c>
    </row>
    <row r="214" customFormat="false" ht="15" hidden="false" customHeight="false" outlineLevel="0" collapsed="false">
      <c r="A214" s="52" t="n">
        <v>44491</v>
      </c>
      <c r="B214" s="57" t="n">
        <v>0.00507</v>
      </c>
      <c r="C214" s="57" t="n">
        <v>0.00592</v>
      </c>
      <c r="D214" s="57" t="n">
        <v>0.00713</v>
      </c>
      <c r="E214" s="57" t="n">
        <v>0.00871</v>
      </c>
      <c r="F214" s="57" t="n">
        <v>0.01289</v>
      </c>
      <c r="G214" s="57" t="n">
        <v>0.02064</v>
      </c>
    </row>
    <row r="215" customFormat="false" ht="15" hidden="false" customHeight="false" outlineLevel="0" collapsed="false">
      <c r="A215" s="52" t="n">
        <v>44494</v>
      </c>
      <c r="B215" s="57" t="n">
        <v>0.00506</v>
      </c>
      <c r="C215" s="57" t="n">
        <v>0.00599</v>
      </c>
      <c r="D215" s="57" t="n">
        <v>0.00687</v>
      </c>
      <c r="E215" s="57" t="n">
        <v>0.00823</v>
      </c>
      <c r="F215" s="57" t="n">
        <v>0.0128</v>
      </c>
      <c r="G215" s="57" t="n">
        <v>0.02058</v>
      </c>
    </row>
    <row r="216" customFormat="false" ht="15" hidden="false" customHeight="false" outlineLevel="0" collapsed="false">
      <c r="A216" s="52" t="n">
        <v>44495</v>
      </c>
      <c r="B216" s="57" t="n">
        <v>0.00486</v>
      </c>
      <c r="C216" s="57" t="n">
        <v>0.00588</v>
      </c>
      <c r="D216" s="57" t="n">
        <v>0.0068</v>
      </c>
      <c r="E216" s="57" t="n">
        <v>0.00811</v>
      </c>
      <c r="F216" s="57" t="n">
        <v>0.01288</v>
      </c>
      <c r="G216" s="57" t="n">
        <v>0.02064</v>
      </c>
    </row>
    <row r="217" customFormat="false" ht="15" hidden="false" customHeight="false" outlineLevel="0" collapsed="false">
      <c r="A217" s="52" t="n">
        <v>44496</v>
      </c>
      <c r="B217" s="57" t="n">
        <v>0.00486</v>
      </c>
      <c r="C217" s="57" t="n">
        <v>0.00588</v>
      </c>
      <c r="D217" s="57" t="n">
        <v>0.00676</v>
      </c>
      <c r="E217" s="57" t="n">
        <v>0.00818</v>
      </c>
      <c r="F217" s="57" t="n">
        <v>0.0128</v>
      </c>
      <c r="G217" s="57" t="n">
        <v>0.02078</v>
      </c>
    </row>
    <row r="218" customFormat="false" ht="15" hidden="false" customHeight="false" outlineLevel="0" collapsed="false">
      <c r="A218" s="52" t="n">
        <v>44497</v>
      </c>
      <c r="B218" s="57" t="n">
        <v>0.00485</v>
      </c>
      <c r="C218" s="57" t="n">
        <v>0.00587</v>
      </c>
      <c r="D218" s="57" t="n">
        <v>0.00684</v>
      </c>
      <c r="E218" s="57" t="n">
        <v>0.00792</v>
      </c>
      <c r="F218" s="57" t="n">
        <v>0.01262</v>
      </c>
      <c r="G218" s="57" t="n">
        <v>0.02063</v>
      </c>
    </row>
    <row r="219" customFormat="false" ht="15" hidden="false" customHeight="false" outlineLevel="0" collapsed="false">
      <c r="A219" s="52" t="n">
        <v>44498</v>
      </c>
      <c r="B219" s="57" t="n">
        <v>0.00485</v>
      </c>
      <c r="C219" s="57" t="n">
        <v>0.00587</v>
      </c>
      <c r="D219" s="57" t="n">
        <v>0.00674</v>
      </c>
      <c r="E219" s="57" t="n">
        <v>0.0079</v>
      </c>
      <c r="F219" s="57" t="n">
        <v>0.01262</v>
      </c>
      <c r="G219" s="57" t="n">
        <v>0.02066</v>
      </c>
    </row>
    <row r="220" customFormat="false" ht="15" hidden="false" customHeight="false" outlineLevel="0" collapsed="false">
      <c r="A220" s="52" t="n">
        <v>44501</v>
      </c>
      <c r="B220" s="57" t="n">
        <v>0.00484</v>
      </c>
      <c r="C220" s="57" t="n">
        <v>0.00624</v>
      </c>
      <c r="D220" s="57" t="n">
        <v>0.00695</v>
      </c>
      <c r="E220" s="57" t="n">
        <v>0.00784</v>
      </c>
      <c r="F220" s="57" t="n">
        <v>0.01258</v>
      </c>
      <c r="G220" s="57" t="n">
        <v>0.02051</v>
      </c>
    </row>
    <row r="221" customFormat="false" ht="15" hidden="false" customHeight="false" outlineLevel="0" collapsed="false">
      <c r="A221" s="52" t="n">
        <v>44502</v>
      </c>
      <c r="B221" s="57" t="n">
        <v>0.00484</v>
      </c>
      <c r="C221" s="57" t="n">
        <v>0.00624</v>
      </c>
      <c r="D221" s="57" t="n">
        <v>0.00694</v>
      </c>
      <c r="E221" s="57" t="n">
        <v>0.00791</v>
      </c>
      <c r="F221" s="57" t="n">
        <v>0.0126</v>
      </c>
      <c r="G221" s="57" t="n">
        <v>0.02045</v>
      </c>
    </row>
    <row r="222" customFormat="false" ht="15" hidden="false" customHeight="false" outlineLevel="0" collapsed="false">
      <c r="A222" s="52" t="n">
        <v>44503</v>
      </c>
      <c r="B222" s="57" t="n">
        <v>0.00484</v>
      </c>
      <c r="C222" s="57" t="n">
        <v>0.00607</v>
      </c>
      <c r="D222" s="57" t="n">
        <v>0.00678</v>
      </c>
      <c r="E222" s="57" t="n">
        <v>0.00798</v>
      </c>
      <c r="F222" s="57" t="n">
        <v>0.0125</v>
      </c>
      <c r="G222" s="57" t="n">
        <v>0.0205</v>
      </c>
    </row>
    <row r="223" customFormat="false" ht="15" hidden="false" customHeight="false" outlineLevel="0" collapsed="false">
      <c r="A223" s="52" t="n">
        <v>44504</v>
      </c>
      <c r="B223" s="57" t="n">
        <v>0.00483</v>
      </c>
      <c r="C223" s="57" t="n">
        <v>0.0062</v>
      </c>
      <c r="D223" s="57" t="n">
        <v>0.0069</v>
      </c>
      <c r="E223" s="57" t="n">
        <v>0.00763</v>
      </c>
      <c r="F223" s="57" t="n">
        <v>0.01224</v>
      </c>
      <c r="G223" s="57" t="n">
        <v>0.02026</v>
      </c>
    </row>
    <row r="224" customFormat="false" ht="15" hidden="false" customHeight="false" outlineLevel="0" collapsed="false">
      <c r="A224" s="52" t="n">
        <v>44505</v>
      </c>
      <c r="B224" s="57" t="n">
        <v>0.00482</v>
      </c>
      <c r="C224" s="57" t="n">
        <v>0.00615</v>
      </c>
      <c r="D224" s="57" t="n">
        <v>0.00667</v>
      </c>
      <c r="E224" s="57" t="n">
        <v>0.00758</v>
      </c>
      <c r="F224" s="57" t="n">
        <v>0.0122</v>
      </c>
      <c r="G224" s="57" t="n">
        <v>0.02025</v>
      </c>
    </row>
    <row r="225" customFormat="false" ht="15" hidden="false" customHeight="false" outlineLevel="0" collapsed="false">
      <c r="A225" s="52" t="n">
        <v>44508</v>
      </c>
      <c r="B225" s="57" t="n">
        <v>0.00488</v>
      </c>
      <c r="C225" s="57" t="n">
        <v>0.00557</v>
      </c>
      <c r="D225" s="57" t="n">
        <v>0.00668</v>
      </c>
      <c r="E225" s="57" t="n">
        <v>0.0075</v>
      </c>
      <c r="F225" s="57" t="n">
        <v>0.01208</v>
      </c>
      <c r="G225" s="57" t="n">
        <v>0.01991</v>
      </c>
    </row>
    <row r="226" customFormat="false" ht="15" hidden="false" customHeight="false" outlineLevel="0" collapsed="false">
      <c r="A226" s="52" t="n">
        <v>44509</v>
      </c>
      <c r="B226" s="57" t="n">
        <v>0.00486</v>
      </c>
      <c r="C226" s="57" t="n">
        <v>0.00568</v>
      </c>
      <c r="D226" s="57" t="n">
        <v>0.00667</v>
      </c>
      <c r="E226" s="57" t="n">
        <v>0.0075</v>
      </c>
      <c r="F226" s="57" t="n">
        <v>0.01205</v>
      </c>
      <c r="G226" s="57" t="n">
        <v>0.01998</v>
      </c>
    </row>
    <row r="227" customFormat="false" ht="15" hidden="false" customHeight="false" outlineLevel="0" collapsed="false">
      <c r="A227" s="52" t="n">
        <v>44510</v>
      </c>
      <c r="B227" s="57" t="n">
        <v>0.00483</v>
      </c>
      <c r="C227" s="57" t="n">
        <v>0.00584</v>
      </c>
      <c r="D227" s="57" t="n">
        <v>0.00648</v>
      </c>
      <c r="E227" s="57" t="n">
        <v>0.00733</v>
      </c>
      <c r="F227" s="57" t="n">
        <v>0.01197</v>
      </c>
      <c r="G227" s="57" t="n">
        <v>0.01998</v>
      </c>
    </row>
    <row r="228" customFormat="false" ht="15" hidden="false" customHeight="false" outlineLevel="0" collapsed="false">
      <c r="A228" s="52" t="n">
        <v>44511</v>
      </c>
      <c r="B228" s="57" t="n">
        <v>0.00483</v>
      </c>
      <c r="C228" s="57" t="n">
        <v>0.00588</v>
      </c>
      <c r="D228" s="57" t="n">
        <v>0.00668</v>
      </c>
      <c r="E228" s="57" t="n">
        <v>0.00728</v>
      </c>
      <c r="F228" s="57" t="n">
        <v>0.01148</v>
      </c>
      <c r="G228" s="57" t="n">
        <v>0.01985</v>
      </c>
    </row>
    <row r="229" customFormat="false" ht="15" hidden="false" customHeight="false" outlineLevel="0" collapsed="false">
      <c r="A229" s="52" t="n">
        <v>44512</v>
      </c>
      <c r="B229" s="57" t="n">
        <v>0.00483</v>
      </c>
      <c r="C229" s="57" t="n">
        <v>0.00588</v>
      </c>
      <c r="D229" s="57" t="n">
        <v>0.00667</v>
      </c>
      <c r="E229" s="57" t="n">
        <v>0.00723</v>
      </c>
      <c r="F229" s="57" t="n">
        <v>0.01134</v>
      </c>
      <c r="G229" s="57" t="n">
        <v>0.0198</v>
      </c>
    </row>
    <row r="230" customFormat="false" ht="15" hidden="false" customHeight="false" outlineLevel="0" collapsed="false">
      <c r="A230" s="52" t="n">
        <v>44515</v>
      </c>
      <c r="B230" s="57" t="n">
        <v>0.00484</v>
      </c>
      <c r="C230" s="57" t="n">
        <v>0.00579</v>
      </c>
      <c r="D230" s="57" t="n">
        <v>0.00663</v>
      </c>
      <c r="E230" s="57" t="n">
        <v>0.00721</v>
      </c>
      <c r="F230" s="57" t="n">
        <v>0.01137</v>
      </c>
      <c r="G230" s="57" t="n">
        <v>0.01964</v>
      </c>
    </row>
    <row r="231" customFormat="false" ht="15" hidden="false" customHeight="false" outlineLevel="0" collapsed="false">
      <c r="A231" s="52" t="n">
        <v>44516</v>
      </c>
      <c r="B231" s="57" t="n">
        <v>0.00483</v>
      </c>
      <c r="C231" s="57" t="n">
        <v>0.00579</v>
      </c>
      <c r="D231" s="57" t="n">
        <v>0.00663</v>
      </c>
      <c r="E231" s="57" t="n">
        <v>0.00713</v>
      </c>
      <c r="F231" s="57" t="n">
        <v>0.01125</v>
      </c>
      <c r="G231" s="57" t="n">
        <v>0.01945</v>
      </c>
    </row>
    <row r="232" customFormat="false" ht="15" hidden="false" customHeight="false" outlineLevel="0" collapsed="false">
      <c r="A232" s="52" t="n">
        <v>44517</v>
      </c>
      <c r="B232" s="57" t="n">
        <v>0.00484</v>
      </c>
      <c r="C232" s="57" t="n">
        <v>0.00578</v>
      </c>
      <c r="D232" s="57" t="n">
        <v>0.00661</v>
      </c>
      <c r="E232" s="57" t="n">
        <v>0.00724</v>
      </c>
      <c r="F232" s="57" t="n">
        <v>0.01141</v>
      </c>
      <c r="G232" s="57" t="n">
        <v>0.01948</v>
      </c>
    </row>
    <row r="233" customFormat="false" ht="15" hidden="false" customHeight="false" outlineLevel="0" collapsed="false">
      <c r="A233" s="52" t="n">
        <v>44518</v>
      </c>
      <c r="B233" s="57" t="n">
        <v>0.00482</v>
      </c>
      <c r="C233" s="57" t="n">
        <v>0.00579</v>
      </c>
      <c r="D233" s="57" t="n">
        <v>0.00664</v>
      </c>
      <c r="E233" s="57" t="n">
        <v>0.00713</v>
      </c>
      <c r="F233" s="57" t="n">
        <v>0.01143</v>
      </c>
      <c r="G233" s="57" t="n">
        <v>0.01956</v>
      </c>
    </row>
    <row r="234" customFormat="false" ht="15" hidden="false" customHeight="false" outlineLevel="0" collapsed="false">
      <c r="A234" s="52" t="n">
        <v>44519</v>
      </c>
      <c r="B234" s="57" t="n">
        <v>0.00482</v>
      </c>
      <c r="C234" s="57" t="n">
        <v>0.00578</v>
      </c>
      <c r="D234" s="57" t="n">
        <v>0.00668</v>
      </c>
      <c r="E234" s="57" t="n">
        <v>0.00726</v>
      </c>
      <c r="F234" s="57" t="n">
        <v>0.01146</v>
      </c>
      <c r="G234" s="57" t="n">
        <v>0.0194</v>
      </c>
    </row>
    <row r="235" customFormat="false" ht="15" hidden="false" customHeight="false" outlineLevel="0" collapsed="false">
      <c r="A235" s="52" t="n">
        <v>44522</v>
      </c>
      <c r="B235" s="57" t="n">
        <v>0.00482</v>
      </c>
      <c r="C235" s="57" t="n">
        <v>0.00579</v>
      </c>
      <c r="D235" s="57" t="n">
        <v>0.00672</v>
      </c>
      <c r="E235" s="57" t="n">
        <v>0.00736</v>
      </c>
      <c r="F235" s="57" t="n">
        <v>0.01159</v>
      </c>
      <c r="G235" s="57" t="n">
        <v>0.01953</v>
      </c>
    </row>
    <row r="236" customFormat="false" ht="15" hidden="false" customHeight="false" outlineLevel="0" collapsed="false">
      <c r="A236" s="52" t="n">
        <v>44523</v>
      </c>
      <c r="B236" s="57" t="n">
        <v>0.00482</v>
      </c>
      <c r="C236" s="57" t="n">
        <v>0.00579</v>
      </c>
      <c r="D236" s="57" t="n">
        <v>0.0068</v>
      </c>
      <c r="E236" s="57" t="n">
        <v>0.00743</v>
      </c>
      <c r="F236" s="57" t="n">
        <v>0.01159</v>
      </c>
      <c r="G236" s="57" t="n">
        <v>0.01948</v>
      </c>
    </row>
    <row r="237" customFormat="false" ht="15" hidden="false" customHeight="false" outlineLevel="0" collapsed="false">
      <c r="A237" s="52" t="n">
        <v>44524</v>
      </c>
      <c r="B237" s="57" t="n">
        <v>0.00482</v>
      </c>
      <c r="C237" s="57" t="n">
        <v>0.00579</v>
      </c>
      <c r="D237" s="57" t="n">
        <v>0.0068</v>
      </c>
      <c r="E237" s="57" t="n">
        <v>0.00749</v>
      </c>
      <c r="F237" s="57" t="n">
        <v>0.01165</v>
      </c>
      <c r="G237" s="57" t="n">
        <v>0.01972</v>
      </c>
    </row>
    <row r="238" customFormat="false" ht="15" hidden="false" customHeight="false" outlineLevel="0" collapsed="false">
      <c r="A238" s="52" t="n">
        <v>44525</v>
      </c>
      <c r="B238" s="57" t="n">
        <v>0.00481</v>
      </c>
      <c r="C238" s="57" t="n">
        <v>0.00579</v>
      </c>
      <c r="D238" s="57" t="n">
        <v>0.00683</v>
      </c>
      <c r="E238" s="57" t="n">
        <v>0.0075</v>
      </c>
      <c r="F238" s="57" t="n">
        <v>0.01161</v>
      </c>
      <c r="G238" s="57" t="n">
        <v>0.01966</v>
      </c>
    </row>
    <row r="239" customFormat="false" ht="15" hidden="false" customHeight="false" outlineLevel="0" collapsed="false">
      <c r="A239" s="52" t="n">
        <v>44526</v>
      </c>
      <c r="B239" s="57" t="n">
        <v>0.00481</v>
      </c>
      <c r="C239" s="57" t="n">
        <v>0.00578</v>
      </c>
      <c r="D239" s="57" t="n">
        <v>0.00683</v>
      </c>
      <c r="E239" s="57" t="n">
        <v>0.0076</v>
      </c>
      <c r="F239" s="57" t="n">
        <v>0.01175</v>
      </c>
      <c r="G239" s="57" t="n">
        <v>0.01961</v>
      </c>
    </row>
    <row r="240" customFormat="false" ht="15" hidden="false" customHeight="false" outlineLevel="0" collapsed="false">
      <c r="A240" s="52" t="n">
        <v>44529</v>
      </c>
      <c r="B240" s="57" t="n">
        <v>0.0048</v>
      </c>
      <c r="C240" s="57" t="n">
        <v>0.0058</v>
      </c>
      <c r="D240" s="57" t="n">
        <v>0.00697</v>
      </c>
      <c r="E240" s="57" t="n">
        <v>0.00774</v>
      </c>
      <c r="F240" s="57" t="n">
        <v>0.01187</v>
      </c>
      <c r="G240" s="57" t="n">
        <v>0.01958</v>
      </c>
    </row>
    <row r="241" customFormat="false" ht="15" hidden="false" customHeight="false" outlineLevel="0" collapsed="false">
      <c r="A241" s="52" t="n">
        <v>44530</v>
      </c>
      <c r="B241" s="57" t="n">
        <v>0.0048</v>
      </c>
      <c r="C241" s="57" t="n">
        <v>0.0058</v>
      </c>
      <c r="D241" s="57" t="n">
        <v>0.00697</v>
      </c>
      <c r="E241" s="57" t="n">
        <v>0.00768</v>
      </c>
      <c r="F241" s="57" t="n">
        <v>0.01185</v>
      </c>
      <c r="G241" s="57" t="n">
        <v>0.01973</v>
      </c>
    </row>
    <row r="242" customFormat="false" ht="15" hidden="false" customHeight="false" outlineLevel="0" collapsed="false">
      <c r="A242" s="52" t="n">
        <v>44531</v>
      </c>
      <c r="B242" s="57" t="n">
        <v>0.00481</v>
      </c>
      <c r="C242" s="57" t="n">
        <v>0.00579</v>
      </c>
      <c r="D242" s="57" t="n">
        <v>0.00697</v>
      </c>
      <c r="E242" s="57" t="n">
        <v>0.00774</v>
      </c>
      <c r="F242" s="57" t="n">
        <v>0.01203</v>
      </c>
      <c r="G242" s="57" t="n">
        <v>0.01987</v>
      </c>
    </row>
    <row r="243" customFormat="false" ht="15" hidden="false" customHeight="false" outlineLevel="0" collapsed="false">
      <c r="A243" s="52" t="n">
        <v>44532</v>
      </c>
      <c r="B243" s="57" t="n">
        <v>0.0048</v>
      </c>
      <c r="C243" s="57" t="n">
        <v>0.00578</v>
      </c>
      <c r="D243" s="57" t="n">
        <v>0.00688</v>
      </c>
      <c r="E243" s="57" t="n">
        <v>0.00759</v>
      </c>
      <c r="F243" s="57" t="n">
        <v>0.01206</v>
      </c>
      <c r="G243" s="57" t="n">
        <v>0.01968</v>
      </c>
    </row>
    <row r="244" customFormat="false" ht="15" hidden="false" customHeight="false" outlineLevel="0" collapsed="false">
      <c r="A244" s="52" t="n">
        <v>44533</v>
      </c>
      <c r="B244" s="57" t="n">
        <v>0.00538</v>
      </c>
      <c r="C244" s="57" t="n">
        <v>0.00577</v>
      </c>
      <c r="D244" s="57" t="n">
        <v>0.00688</v>
      </c>
      <c r="E244" s="57" t="n">
        <v>0.00766</v>
      </c>
      <c r="F244" s="57" t="n">
        <v>0.01204</v>
      </c>
      <c r="G244" s="57" t="n">
        <v>0.01984</v>
      </c>
    </row>
    <row r="245" customFormat="false" ht="15" hidden="false" customHeight="false" outlineLevel="0" collapsed="false">
      <c r="A245" s="52" t="n">
        <v>44536</v>
      </c>
      <c r="B245" s="57" t="n">
        <v>0.00491</v>
      </c>
      <c r="C245" s="57" t="n">
        <v>0.00568</v>
      </c>
      <c r="D245" s="57" t="n">
        <v>0.00683</v>
      </c>
      <c r="E245" s="57" t="n">
        <v>0.00754</v>
      </c>
      <c r="F245" s="57" t="n">
        <v>0.01204</v>
      </c>
      <c r="G245" s="57" t="n">
        <v>0.01982</v>
      </c>
    </row>
    <row r="246" customFormat="false" ht="15" hidden="false" customHeight="false" outlineLevel="0" collapsed="false">
      <c r="A246" s="52" t="n">
        <v>44537</v>
      </c>
      <c r="B246" s="57" t="n">
        <v>0.00481</v>
      </c>
      <c r="C246" s="57" t="n">
        <v>0.00576</v>
      </c>
      <c r="D246" s="57" t="n">
        <v>0.00686</v>
      </c>
      <c r="E246" s="57" t="n">
        <v>0.0074</v>
      </c>
      <c r="F246" s="57" t="n">
        <v>0.01207</v>
      </c>
      <c r="G246" s="57" t="n">
        <v>0.01965</v>
      </c>
    </row>
    <row r="247" customFormat="false" ht="15" hidden="false" customHeight="false" outlineLevel="0" collapsed="false">
      <c r="A247" s="52" t="n">
        <v>44538</v>
      </c>
      <c r="B247" s="57" t="n">
        <v>0.0051</v>
      </c>
      <c r="C247" s="57" t="n">
        <v>0.00576</v>
      </c>
      <c r="D247" s="57" t="n">
        <v>0.00687</v>
      </c>
      <c r="E247" s="57" t="n">
        <v>0.0076</v>
      </c>
      <c r="F247" s="57" t="n">
        <v>0.01207</v>
      </c>
      <c r="G247" s="57" t="n">
        <v>0.0198</v>
      </c>
    </row>
    <row r="248" customFormat="false" ht="15" hidden="false" customHeight="false" outlineLevel="0" collapsed="false">
      <c r="A248" s="52" t="n">
        <v>44539</v>
      </c>
      <c r="B248" s="57" t="n">
        <v>0.00566</v>
      </c>
      <c r="C248" s="57" t="n">
        <v>0.00575</v>
      </c>
      <c r="D248" s="57" t="n">
        <v>0.00679</v>
      </c>
      <c r="E248" s="57" t="n">
        <v>0.00758</v>
      </c>
      <c r="F248" s="57" t="n">
        <v>0.01204</v>
      </c>
      <c r="G248" s="57" t="n">
        <v>0.01969</v>
      </c>
    </row>
    <row r="249" customFormat="false" ht="15" hidden="false" customHeight="false" outlineLevel="0" collapsed="false">
      <c r="A249" s="52" t="n">
        <v>44540</v>
      </c>
      <c r="B249" s="57" t="n">
        <v>0.00565</v>
      </c>
      <c r="C249" s="57" t="n">
        <v>0.00574</v>
      </c>
      <c r="D249" s="57" t="n">
        <v>0.00679</v>
      </c>
      <c r="E249" s="57" t="n">
        <v>0.00759</v>
      </c>
      <c r="F249" s="57" t="n">
        <v>0.01201</v>
      </c>
      <c r="G249" s="57" t="n">
        <v>0.01968</v>
      </c>
    </row>
    <row r="250" customFormat="false" ht="15" hidden="false" customHeight="false" outlineLevel="0" collapsed="false">
      <c r="A250" s="52" t="n">
        <v>44543</v>
      </c>
      <c r="B250" s="57" t="n">
        <v>0.00533</v>
      </c>
      <c r="C250" s="57" t="n">
        <v>0.00573</v>
      </c>
      <c r="D250" s="57" t="n">
        <v>0.00679</v>
      </c>
      <c r="E250" s="57" t="n">
        <v>0.00759</v>
      </c>
      <c r="F250" s="57" t="n">
        <v>0.01198</v>
      </c>
      <c r="G250" s="57" t="n">
        <v>0.01951</v>
      </c>
    </row>
    <row r="251" customFormat="false" ht="15" hidden="false" customHeight="false" outlineLevel="0" collapsed="false">
      <c r="A251" s="52" t="n">
        <v>44544</v>
      </c>
      <c r="B251" s="57" t="n">
        <v>0.00523</v>
      </c>
      <c r="C251" s="57" t="n">
        <v>0.00573</v>
      </c>
      <c r="D251" s="57" t="n">
        <v>0.00679</v>
      </c>
      <c r="E251" s="57" t="n">
        <v>0.00763</v>
      </c>
      <c r="F251" s="57" t="n">
        <v>0.01202</v>
      </c>
      <c r="G251" s="57" t="n">
        <v>0.01951</v>
      </c>
    </row>
    <row r="252" customFormat="false" ht="15" hidden="false" customHeight="false" outlineLevel="0" collapsed="false">
      <c r="A252" s="52" t="n">
        <v>44545</v>
      </c>
      <c r="B252" s="57" t="n">
        <v>0.00511</v>
      </c>
      <c r="C252" s="57" t="n">
        <v>0.00573</v>
      </c>
      <c r="D252" s="57" t="n">
        <v>0.00679</v>
      </c>
      <c r="E252" s="57" t="n">
        <v>0.00769</v>
      </c>
      <c r="F252" s="57" t="n">
        <v>0.01201</v>
      </c>
      <c r="G252" s="57" t="n">
        <v>0.01933</v>
      </c>
    </row>
    <row r="253" customFormat="false" ht="15" hidden="false" customHeight="false" outlineLevel="0" collapsed="false">
      <c r="A253" s="52" t="n">
        <v>44546</v>
      </c>
      <c r="B253" s="57" t="n">
        <v>0.0051</v>
      </c>
      <c r="C253" s="57" t="n">
        <v>0.00572</v>
      </c>
      <c r="D253" s="57" t="n">
        <v>0.00679</v>
      </c>
      <c r="E253" s="57" t="n">
        <v>0.00765</v>
      </c>
      <c r="F253" s="57" t="n">
        <v>0.0122</v>
      </c>
      <c r="G253" s="57" t="n">
        <v>0.01971</v>
      </c>
    </row>
    <row r="254" customFormat="false" ht="15" hidden="false" customHeight="false" outlineLevel="0" collapsed="false">
      <c r="A254" s="52" t="n">
        <v>44547</v>
      </c>
      <c r="B254" s="57" t="n">
        <v>0.00628</v>
      </c>
      <c r="C254" s="57" t="n">
        <v>0.00594</v>
      </c>
      <c r="D254" s="57" t="n">
        <v>0.00686</v>
      </c>
      <c r="E254" s="57" t="n">
        <v>0.00778</v>
      </c>
      <c r="F254" s="57" t="n">
        <v>0.01215</v>
      </c>
      <c r="G254" s="57" t="n">
        <v>0.01984</v>
      </c>
    </row>
    <row r="255" customFormat="false" ht="15" hidden="false" customHeight="false" outlineLevel="0" collapsed="false">
      <c r="A255" s="52" t="n">
        <v>44550</v>
      </c>
      <c r="B255" s="57" t="n">
        <v>0.00571</v>
      </c>
      <c r="C255" s="57" t="n">
        <v>0.00595</v>
      </c>
      <c r="D255" s="57" t="n">
        <v>0.00686</v>
      </c>
      <c r="E255" s="57" t="n">
        <v>0.0078</v>
      </c>
      <c r="F255" s="57" t="n">
        <v>0.01224</v>
      </c>
      <c r="G255" s="57" t="n">
        <v>0.01964</v>
      </c>
    </row>
    <row r="256" customFormat="false" ht="15" hidden="false" customHeight="false" outlineLevel="0" collapsed="false">
      <c r="A256" s="52" t="n">
        <v>44551</v>
      </c>
      <c r="B256" s="57" t="n">
        <v>0.00557</v>
      </c>
      <c r="C256" s="57" t="n">
        <v>0.00611</v>
      </c>
      <c r="D256" s="57" t="n">
        <v>0.00695</v>
      </c>
      <c r="E256" s="57" t="n">
        <v>0.00788</v>
      </c>
      <c r="F256" s="57" t="n">
        <v>0.0123</v>
      </c>
      <c r="G256" s="57" t="n">
        <v>0.01973</v>
      </c>
    </row>
    <row r="257" customFormat="false" ht="15" hidden="false" customHeight="false" outlineLevel="0" collapsed="false">
      <c r="A257" s="52" t="n">
        <v>44552</v>
      </c>
      <c r="B257" s="57" t="n">
        <v>0.00578</v>
      </c>
      <c r="C257" s="57" t="n">
        <v>0.00627</v>
      </c>
      <c r="D257" s="57" t="n">
        <v>0.00703</v>
      </c>
      <c r="E257" s="57" t="n">
        <v>0.00795</v>
      </c>
      <c r="F257" s="57" t="n">
        <v>0.0124</v>
      </c>
      <c r="G257" s="57" t="n">
        <v>0.02062</v>
      </c>
    </row>
    <row r="258" customFormat="false" ht="15" hidden="false" customHeight="false" outlineLevel="0" collapsed="false">
      <c r="A258" s="52" t="n">
        <v>44553</v>
      </c>
      <c r="B258" s="57" t="n">
        <v>0.00591</v>
      </c>
      <c r="C258" s="57" t="n">
        <v>0.00635</v>
      </c>
      <c r="D258" s="57" t="n">
        <v>0.00711</v>
      </c>
      <c r="E258" s="57" t="n">
        <v>0.00808</v>
      </c>
      <c r="F258" s="57" t="n">
        <v>0.01254</v>
      </c>
      <c r="G258" s="57" t="n">
        <v>0.02047</v>
      </c>
    </row>
    <row r="259" customFormat="false" ht="15" hidden="false" customHeight="false" outlineLevel="0" collapsed="false">
      <c r="A259" s="52" t="n">
        <v>44554</v>
      </c>
      <c r="B259" s="57" t="n">
        <v>0.00633</v>
      </c>
      <c r="C259" s="57" t="n">
        <v>0.00634</v>
      </c>
      <c r="D259" s="57" t="n">
        <v>0.00711</v>
      </c>
      <c r="E259" s="57" t="n">
        <v>0.00807</v>
      </c>
      <c r="F259" s="57" t="n">
        <v>0.01246</v>
      </c>
      <c r="G259" s="57" t="n">
        <v>0.02039</v>
      </c>
    </row>
    <row r="260" customFormat="false" ht="15" hidden="false" customHeight="false" outlineLevel="0" collapsed="false">
      <c r="A260" s="52" t="n">
        <v>44557</v>
      </c>
      <c r="B260" s="57" t="n">
        <v>0.00626</v>
      </c>
      <c r="C260" s="57" t="n">
        <v>0.00642</v>
      </c>
      <c r="D260" s="57" t="n">
        <v>0.00719</v>
      </c>
      <c r="E260" s="57" t="n">
        <v>0.00813</v>
      </c>
      <c r="F260" s="57" t="n">
        <v>0.01272</v>
      </c>
      <c r="G260" s="57" t="n">
        <v>0.02043</v>
      </c>
    </row>
    <row r="261" customFormat="false" ht="15" hidden="false" customHeight="false" outlineLevel="0" collapsed="false">
      <c r="A261" s="52" t="n">
        <v>44558</v>
      </c>
      <c r="B261" s="57" t="n">
        <v>0.00615</v>
      </c>
      <c r="C261" s="57" t="n">
        <v>0.00658</v>
      </c>
      <c r="D261" s="57" t="n">
        <v>0.00719</v>
      </c>
      <c r="E261" s="57" t="n">
        <v>0.00812</v>
      </c>
      <c r="F261" s="57" t="n">
        <v>0.0128</v>
      </c>
      <c r="G261" s="57" t="n">
        <v>0.0208</v>
      </c>
    </row>
    <row r="262" customFormat="false" ht="15" hidden="false" customHeight="false" outlineLevel="0" collapsed="false">
      <c r="A262" s="52" t="n">
        <v>44559</v>
      </c>
      <c r="B262" s="57" t="n">
        <v>0.00615</v>
      </c>
      <c r="C262" s="57" t="n">
        <v>0.00659</v>
      </c>
      <c r="D262" s="57" t="n">
        <v>0.00727</v>
      </c>
      <c r="E262" s="57" t="n">
        <v>0.00821</v>
      </c>
      <c r="F262" s="57" t="n">
        <v>0.01286</v>
      </c>
      <c r="G262" s="57" t="n">
        <v>0.0208</v>
      </c>
    </row>
    <row r="263" customFormat="false" ht="15" hidden="false" customHeight="false" outlineLevel="0" collapsed="false">
      <c r="A263" s="52" t="n">
        <v>44560</v>
      </c>
      <c r="B263" s="57" t="n">
        <v>0.00614</v>
      </c>
      <c r="C263" s="57" t="n">
        <v>0.00658</v>
      </c>
      <c r="D263" s="57" t="n">
        <v>0.00727</v>
      </c>
      <c r="E263" s="57" t="n">
        <v>0.00821</v>
      </c>
      <c r="F263" s="57" t="n">
        <v>0.01285</v>
      </c>
      <c r="G263" s="57" t="n">
        <v>0.02073</v>
      </c>
    </row>
    <row r="264" customFormat="false" ht="15" hidden="false" customHeight="false" outlineLevel="0" collapsed="false">
      <c r="A264" s="52" t="n">
        <v>44561</v>
      </c>
      <c r="B264" s="57" t="n">
        <v>0.00616</v>
      </c>
      <c r="C264" s="57" t="n">
        <v>0.00658</v>
      </c>
      <c r="D264" s="57" t="n">
        <v>0.00726</v>
      </c>
      <c r="E264" s="57" t="n">
        <v>0.00824</v>
      </c>
      <c r="F264" s="57" t="n">
        <v>0.01284</v>
      </c>
      <c r="G264" s="57" t="n">
        <v>0.0205</v>
      </c>
    </row>
    <row r="265" customFormat="false" ht="15" hidden="false" customHeight="false" outlineLevel="0" collapsed="false">
      <c r="A265" s="52" t="n">
        <v>44564</v>
      </c>
      <c r="B265" s="57" t="n">
        <v>0.00616</v>
      </c>
      <c r="C265" s="57" t="n">
        <v>0.00658</v>
      </c>
      <c r="D265" s="57" t="n">
        <v>0.00726</v>
      </c>
      <c r="E265" s="57" t="n">
        <v>0.00824</v>
      </c>
      <c r="F265" s="57" t="n">
        <v>0.01284</v>
      </c>
      <c r="G265" s="57" t="n">
        <v>0.0205</v>
      </c>
    </row>
    <row r="266" customFormat="false" ht="15" hidden="false" customHeight="false" outlineLevel="0" collapsed="false">
      <c r="A266" s="52" t="n">
        <v>44565</v>
      </c>
      <c r="B266" s="57" t="n">
        <v>0.00619</v>
      </c>
      <c r="C266" s="57" t="n">
        <v>0.00665</v>
      </c>
      <c r="D266" s="57" t="n">
        <v>0.00726</v>
      </c>
      <c r="E266" s="57" t="n">
        <v>0.00917</v>
      </c>
      <c r="F266" s="57" t="n">
        <v>0.0131</v>
      </c>
      <c r="G266" s="57" t="n">
        <v>0.02129</v>
      </c>
    </row>
    <row r="267" customFormat="false" ht="15" hidden="false" customHeight="false" outlineLevel="0" collapsed="false">
      <c r="A267" s="52" t="n">
        <v>44566</v>
      </c>
      <c r="B267" s="57" t="n">
        <v>0.00621</v>
      </c>
      <c r="C267" s="57" t="n">
        <v>0.00683</v>
      </c>
      <c r="D267" s="57" t="n">
        <v>0.00751</v>
      </c>
      <c r="E267" s="57" t="n">
        <v>0.00951</v>
      </c>
      <c r="F267" s="57" t="n">
        <v>0.01361</v>
      </c>
      <c r="G267" s="57" t="n">
        <v>0.02098</v>
      </c>
    </row>
    <row r="268" customFormat="false" ht="15" hidden="false" customHeight="false" outlineLevel="0" collapsed="false">
      <c r="A268" s="52" t="n">
        <v>44567</v>
      </c>
      <c r="B268" s="57" t="n">
        <v>0.0062</v>
      </c>
      <c r="C268" s="57" t="n">
        <v>0.00678</v>
      </c>
      <c r="D268" s="57" t="n">
        <v>0.00751</v>
      </c>
      <c r="E268" s="57" t="n">
        <v>0.00979</v>
      </c>
      <c r="F268" s="57" t="n">
        <v>0.01344</v>
      </c>
      <c r="G268" s="57" t="n">
        <v>0.021</v>
      </c>
    </row>
    <row r="269" customFormat="false" ht="15" hidden="false" customHeight="false" outlineLevel="0" collapsed="false">
      <c r="A269" s="52" t="n">
        <v>44568</v>
      </c>
      <c r="B269" s="57" t="n">
        <v>0.0062</v>
      </c>
      <c r="C269" s="57" t="n">
        <v>0.00676</v>
      </c>
      <c r="D269" s="57" t="n">
        <v>0.00741</v>
      </c>
      <c r="E269" s="57" t="n">
        <v>0.0098</v>
      </c>
      <c r="F269" s="57" t="n">
        <v>0.01344</v>
      </c>
      <c r="G269" s="57" t="n">
        <v>0.02126</v>
      </c>
    </row>
    <row r="270" customFormat="false" ht="15" hidden="false" customHeight="false" outlineLevel="0" collapsed="false">
      <c r="A270" s="52" t="n">
        <v>44571</v>
      </c>
      <c r="B270" s="57" t="n">
        <v>0.0062</v>
      </c>
      <c r="C270" s="57" t="n">
        <v>0.00675</v>
      </c>
      <c r="D270" s="57" t="n">
        <v>0.00738</v>
      </c>
      <c r="E270" s="57" t="n">
        <v>0.00992</v>
      </c>
      <c r="F270" s="57" t="n">
        <v>0.01375</v>
      </c>
      <c r="G270" s="57" t="n">
        <v>0.02096</v>
      </c>
    </row>
    <row r="271" customFormat="false" ht="15" hidden="false" customHeight="false" outlineLevel="0" collapsed="false">
      <c r="A271" s="52" t="n">
        <v>44572</v>
      </c>
      <c r="B271" s="57" t="n">
        <v>0.00599</v>
      </c>
      <c r="C271" s="57" t="n">
        <v>0.00679</v>
      </c>
      <c r="D271" s="57" t="n">
        <v>0.00766</v>
      </c>
      <c r="E271" s="57" t="n">
        <v>0.00979</v>
      </c>
      <c r="F271" s="57" t="n">
        <v>0.01357</v>
      </c>
      <c r="G271" s="57" t="n">
        <v>0.02115</v>
      </c>
    </row>
    <row r="272" customFormat="false" ht="15" hidden="false" customHeight="false" outlineLevel="0" collapsed="false">
      <c r="A272" s="52" t="n">
        <v>44573</v>
      </c>
      <c r="B272" s="57" t="n">
        <v>0.00598</v>
      </c>
      <c r="C272" s="57" t="n">
        <v>0.00674</v>
      </c>
      <c r="D272" s="57" t="n">
        <v>0.0077</v>
      </c>
      <c r="E272" s="57" t="n">
        <v>0.00977</v>
      </c>
      <c r="F272" s="57" t="n">
        <v>0.01361</v>
      </c>
      <c r="G272" s="57" t="n">
        <v>0.02092</v>
      </c>
    </row>
    <row r="273" customFormat="false" ht="15" hidden="false" customHeight="false" outlineLevel="0" collapsed="false">
      <c r="A273" s="52" t="n">
        <v>44574</v>
      </c>
      <c r="B273" s="57" t="n">
        <v>0.00606</v>
      </c>
      <c r="C273" s="57" t="n">
        <v>0.00677</v>
      </c>
      <c r="D273" s="57" t="n">
        <v>0.0076</v>
      </c>
      <c r="E273" s="57" t="n">
        <v>0.00964</v>
      </c>
      <c r="F273" s="57" t="n">
        <v>0.01344</v>
      </c>
      <c r="G273" s="57" t="n">
        <v>0.02101</v>
      </c>
    </row>
    <row r="274" customFormat="false" ht="15" hidden="false" customHeight="false" outlineLevel="0" collapsed="false">
      <c r="A274" s="52" t="n">
        <v>44575</v>
      </c>
      <c r="B274" s="57" t="n">
        <v>0.00597</v>
      </c>
      <c r="C274" s="57" t="n">
        <v>0.00676</v>
      </c>
      <c r="D274" s="57" t="n">
        <v>0.00755</v>
      </c>
      <c r="E274" s="57" t="n">
        <v>0.0096</v>
      </c>
      <c r="F274" s="57" t="n">
        <v>0.01328</v>
      </c>
      <c r="G274" s="57" t="n">
        <v>0.0209</v>
      </c>
    </row>
    <row r="275" customFormat="false" ht="15" hidden="false" customHeight="false" outlineLevel="0" collapsed="false">
      <c r="A275" s="52" t="n">
        <v>44578</v>
      </c>
      <c r="B275" s="57" t="n">
        <v>0.00605</v>
      </c>
      <c r="C275" s="57" t="n">
        <v>0.00676</v>
      </c>
      <c r="D275" s="57" t="n">
        <v>0.00755</v>
      </c>
      <c r="E275" s="57" t="n">
        <v>0.00951</v>
      </c>
      <c r="F275" s="57" t="n">
        <v>0.01322</v>
      </c>
      <c r="G275" s="57" t="n">
        <v>0.02091</v>
      </c>
    </row>
    <row r="276" customFormat="false" ht="15" hidden="false" customHeight="false" outlineLevel="0" collapsed="false">
      <c r="A276" s="52" t="n">
        <v>44579</v>
      </c>
      <c r="B276" s="57" t="n">
        <v>0.00605</v>
      </c>
      <c r="C276" s="57" t="n">
        <v>0.00656</v>
      </c>
      <c r="D276" s="57" t="n">
        <v>0.00705</v>
      </c>
      <c r="E276" s="57" t="n">
        <v>0.00933</v>
      </c>
      <c r="F276" s="57" t="n">
        <v>0.01303</v>
      </c>
      <c r="G276" s="57" t="n">
        <v>0.02075</v>
      </c>
    </row>
    <row r="277" customFormat="false" ht="15" hidden="false" customHeight="false" outlineLevel="0" collapsed="false">
      <c r="A277" s="52" t="n">
        <v>44580</v>
      </c>
      <c r="B277" s="57" t="n">
        <v>0.00571</v>
      </c>
      <c r="C277" s="57" t="n">
        <v>0.00632</v>
      </c>
      <c r="D277" s="57" t="n">
        <v>0.00693</v>
      </c>
      <c r="E277" s="57" t="n">
        <v>0.00945</v>
      </c>
      <c r="F277" s="57" t="n">
        <v>0.01303</v>
      </c>
      <c r="G277" s="57" t="n">
        <v>0.02086</v>
      </c>
    </row>
    <row r="278" customFormat="false" ht="15" hidden="false" customHeight="false" outlineLevel="0" collapsed="false">
      <c r="A278" s="52" t="n">
        <v>44581</v>
      </c>
      <c r="B278" s="57" t="n">
        <v>0.00572</v>
      </c>
      <c r="C278" s="57" t="n">
        <v>0.00632</v>
      </c>
      <c r="D278" s="57" t="n">
        <v>0.00693</v>
      </c>
      <c r="E278" s="57" t="n">
        <v>0.00944</v>
      </c>
      <c r="F278" s="57" t="n">
        <v>0.01302</v>
      </c>
      <c r="G278" s="57" t="n">
        <v>0.02085</v>
      </c>
    </row>
    <row r="279" customFormat="false" ht="15" hidden="false" customHeight="false" outlineLevel="0" collapsed="false">
      <c r="A279" s="52" t="n">
        <v>44582</v>
      </c>
      <c r="B279" s="57" t="n">
        <v>0.00563</v>
      </c>
      <c r="C279" s="57" t="n">
        <v>0.00636</v>
      </c>
      <c r="D279" s="57" t="n">
        <v>0.00692</v>
      </c>
      <c r="E279" s="57" t="n">
        <v>0.00933</v>
      </c>
      <c r="F279" s="57" t="n">
        <v>0.01291</v>
      </c>
      <c r="G279" s="57" t="n">
        <v>0.02087</v>
      </c>
    </row>
    <row r="280" customFormat="false" ht="15" hidden="false" customHeight="false" outlineLevel="0" collapsed="false">
      <c r="A280" s="52" t="n">
        <v>44585</v>
      </c>
      <c r="B280" s="57" t="n">
        <v>0.00539</v>
      </c>
      <c r="C280" s="57" t="n">
        <v>0.00623</v>
      </c>
      <c r="D280" s="57" t="n">
        <v>0.00675</v>
      </c>
      <c r="E280" s="57" t="n">
        <v>0.00928</v>
      </c>
      <c r="F280" s="57" t="n">
        <v>0.01299</v>
      </c>
      <c r="G280" s="57" t="n">
        <v>0.02089</v>
      </c>
    </row>
    <row r="281" customFormat="false" ht="15" hidden="false" customHeight="false" outlineLevel="0" collapsed="false">
      <c r="A281" s="52" t="n">
        <v>44586</v>
      </c>
      <c r="B281" s="57" t="n">
        <v>0.00546</v>
      </c>
      <c r="C281" s="57" t="n">
        <v>0.0063</v>
      </c>
      <c r="D281" s="57" t="n">
        <v>0.00683</v>
      </c>
      <c r="E281" s="57" t="n">
        <v>0.00934</v>
      </c>
      <c r="F281" s="57" t="n">
        <v>0.01288</v>
      </c>
      <c r="G281" s="57" t="n">
        <v>0.02105</v>
      </c>
    </row>
    <row r="282" customFormat="false" ht="15" hidden="false" customHeight="false" outlineLevel="0" collapsed="false">
      <c r="A282" s="52" t="n">
        <v>44587</v>
      </c>
      <c r="B282" s="57" t="n">
        <v>0.0053</v>
      </c>
      <c r="C282" s="57" t="n">
        <v>0.00617</v>
      </c>
      <c r="D282" s="57" t="n">
        <v>0.00689</v>
      </c>
      <c r="E282" s="57" t="n">
        <v>0.00935</v>
      </c>
      <c r="F282" s="57" t="n">
        <v>0.01282</v>
      </c>
      <c r="G282" s="57" t="n">
        <v>0.02086</v>
      </c>
    </row>
    <row r="283" customFormat="false" ht="15" hidden="false" customHeight="false" outlineLevel="0" collapsed="false">
      <c r="A283" s="52" t="n">
        <v>44588</v>
      </c>
      <c r="B283" s="57" t="n">
        <v>0.00528</v>
      </c>
      <c r="C283" s="57" t="n">
        <v>0.00615</v>
      </c>
      <c r="D283" s="57" t="n">
        <v>0.00693</v>
      </c>
      <c r="E283" s="57" t="n">
        <v>0.00928</v>
      </c>
      <c r="F283" s="57" t="n">
        <v>0.01298</v>
      </c>
      <c r="G283" s="57" t="n">
        <v>0.02109</v>
      </c>
    </row>
    <row r="284" customFormat="false" ht="15" hidden="false" customHeight="false" outlineLevel="0" collapsed="false">
      <c r="A284" s="52" t="n">
        <v>44589</v>
      </c>
      <c r="B284" s="57" t="n">
        <v>0.00528</v>
      </c>
      <c r="C284" s="57" t="n">
        <v>0.00614</v>
      </c>
      <c r="D284" s="57" t="n">
        <v>0.00703</v>
      </c>
      <c r="E284" s="57" t="n">
        <v>0.00934</v>
      </c>
      <c r="F284" s="57" t="n">
        <v>0.01304</v>
      </c>
      <c r="G284" s="57" t="n">
        <v>0.02113</v>
      </c>
    </row>
    <row r="285" customFormat="false" ht="15" hidden="false" customHeight="false" outlineLevel="0" collapsed="false">
      <c r="A285" s="52" t="n">
        <v>44592</v>
      </c>
      <c r="B285" s="57" t="n">
        <v>0.00528</v>
      </c>
      <c r="C285" s="57" t="n">
        <v>0.00614</v>
      </c>
      <c r="D285" s="57" t="n">
        <v>0.00703</v>
      </c>
      <c r="E285" s="57" t="n">
        <v>0.00934</v>
      </c>
      <c r="F285" s="57" t="n">
        <v>0.01304</v>
      </c>
      <c r="G285" s="57" t="n">
        <v>0.02113</v>
      </c>
    </row>
    <row r="286" customFormat="false" ht="15" hidden="false" customHeight="false" outlineLevel="0" collapsed="false">
      <c r="A286" s="52" t="n">
        <v>44593</v>
      </c>
      <c r="B286" s="57" t="n">
        <v>0.00528</v>
      </c>
      <c r="C286" s="57" t="n">
        <v>0.00614</v>
      </c>
      <c r="D286" s="57" t="n">
        <v>0.00703</v>
      </c>
      <c r="E286" s="57" t="n">
        <v>0.00934</v>
      </c>
      <c r="F286" s="57" t="n">
        <v>0.01304</v>
      </c>
      <c r="G286" s="57" t="n">
        <v>0.02113</v>
      </c>
    </row>
    <row r="287" customFormat="false" ht="15" hidden="false" customHeight="false" outlineLevel="0" collapsed="false">
      <c r="A287" s="52" t="n">
        <v>44594</v>
      </c>
      <c r="B287" s="57" t="n">
        <v>0.00528</v>
      </c>
      <c r="C287" s="57" t="n">
        <v>0.00614</v>
      </c>
      <c r="D287" s="57" t="n">
        <v>0.00703</v>
      </c>
      <c r="E287" s="57" t="n">
        <v>0.00934</v>
      </c>
      <c r="F287" s="57" t="n">
        <v>0.01304</v>
      </c>
      <c r="G287" s="57" t="n">
        <v>0.02113</v>
      </c>
    </row>
    <row r="288" customFormat="false" ht="15" hidden="false" customHeight="false" outlineLevel="0" collapsed="false">
      <c r="A288" s="52" t="n">
        <v>44595</v>
      </c>
      <c r="B288" s="57" t="n">
        <v>0.00528</v>
      </c>
      <c r="C288" s="57" t="n">
        <v>0.00614</v>
      </c>
      <c r="D288" s="57" t="n">
        <v>0.00703</v>
      </c>
      <c r="E288" s="57" t="n">
        <v>0.00934</v>
      </c>
      <c r="F288" s="57" t="n">
        <v>0.01304</v>
      </c>
      <c r="G288" s="57" t="n">
        <v>0.02113</v>
      </c>
    </row>
    <row r="289" customFormat="false" ht="15" hidden="false" customHeight="false" outlineLevel="0" collapsed="false">
      <c r="A289" s="52" t="n">
        <v>44596</v>
      </c>
      <c r="B289" s="57" t="n">
        <v>0.00528</v>
      </c>
      <c r="C289" s="57" t="n">
        <v>0.00614</v>
      </c>
      <c r="D289" s="57" t="n">
        <v>0.00703</v>
      </c>
      <c r="E289" s="57" t="n">
        <v>0.00934</v>
      </c>
      <c r="F289" s="57" t="n">
        <v>0.01304</v>
      </c>
      <c r="G289" s="57" t="n">
        <v>0.02113</v>
      </c>
    </row>
    <row r="290" customFormat="false" ht="15" hidden="false" customHeight="false" outlineLevel="0" collapsed="false">
      <c r="A290" s="52" t="n">
        <v>44599</v>
      </c>
      <c r="B290" s="57" t="n">
        <v>0.00534</v>
      </c>
      <c r="C290" s="57" t="n">
        <v>0.00589</v>
      </c>
      <c r="D290" s="57" t="n">
        <v>0.00697</v>
      </c>
      <c r="E290" s="57" t="n">
        <v>0.00918</v>
      </c>
      <c r="F290" s="57" t="n">
        <v>0.01306</v>
      </c>
      <c r="G290" s="57" t="n">
        <v>0.02107</v>
      </c>
    </row>
    <row r="291" customFormat="false" ht="15" hidden="false" customHeight="false" outlineLevel="0" collapsed="false">
      <c r="A291" s="52" t="n">
        <v>44600</v>
      </c>
      <c r="B291" s="57" t="n">
        <v>0.00545</v>
      </c>
      <c r="C291" s="57" t="n">
        <v>0.00613</v>
      </c>
      <c r="D291" s="57" t="n">
        <v>0.00704</v>
      </c>
      <c r="E291" s="57" t="n">
        <v>0.0093</v>
      </c>
      <c r="F291" s="57" t="n">
        <v>0.01325</v>
      </c>
      <c r="G291" s="57" t="n">
        <v>0.02096</v>
      </c>
    </row>
    <row r="292" customFormat="false" ht="15" hidden="false" customHeight="false" outlineLevel="0" collapsed="false">
      <c r="A292" s="52" t="n">
        <v>44601</v>
      </c>
      <c r="B292" s="57" t="n">
        <v>0.00603</v>
      </c>
      <c r="C292" s="57" t="n">
        <v>0.00694</v>
      </c>
      <c r="D292" s="57" t="n">
        <v>0.00773</v>
      </c>
      <c r="E292" s="57" t="n">
        <v>0.00938</v>
      </c>
      <c r="F292" s="57" t="n">
        <v>0.01366</v>
      </c>
      <c r="G292" s="57" t="n">
        <v>0.0214</v>
      </c>
    </row>
    <row r="293" customFormat="false" ht="15" hidden="false" customHeight="false" outlineLevel="0" collapsed="false">
      <c r="A293" s="52" t="n">
        <v>44602</v>
      </c>
      <c r="B293" s="57" t="n">
        <v>0.00606</v>
      </c>
      <c r="C293" s="57" t="n">
        <v>0.00699</v>
      </c>
      <c r="D293" s="57" t="n">
        <v>0.00794</v>
      </c>
      <c r="E293" s="57" t="n">
        <v>0.00927</v>
      </c>
      <c r="F293" s="57" t="n">
        <v>0.01353</v>
      </c>
      <c r="G293" s="57" t="n">
        <v>0.0213</v>
      </c>
    </row>
    <row r="294" customFormat="false" ht="15" hidden="false" customHeight="false" outlineLevel="0" collapsed="false">
      <c r="A294" s="52" t="n">
        <v>44603</v>
      </c>
      <c r="B294" s="57" t="n">
        <v>0.00621</v>
      </c>
      <c r="C294" s="57" t="n">
        <v>0.0071</v>
      </c>
      <c r="D294" s="57" t="n">
        <v>0.00794</v>
      </c>
      <c r="E294" s="57" t="n">
        <v>0.00956</v>
      </c>
      <c r="F294" s="57" t="n">
        <v>0.01382</v>
      </c>
      <c r="G294" s="57" t="n">
        <v>0.02142</v>
      </c>
    </row>
    <row r="295" customFormat="false" ht="15" hidden="false" customHeight="false" outlineLevel="0" collapsed="false">
      <c r="A295" s="52" t="n">
        <v>44606</v>
      </c>
      <c r="B295" s="57" t="n">
        <v>0.00637</v>
      </c>
      <c r="C295" s="57" t="n">
        <v>0.00726</v>
      </c>
      <c r="D295" s="57" t="n">
        <v>0.00799</v>
      </c>
      <c r="E295" s="57" t="n">
        <v>0.00939</v>
      </c>
      <c r="F295" s="57" t="n">
        <v>0.01347</v>
      </c>
      <c r="G295" s="57" t="n">
        <v>0.02141</v>
      </c>
    </row>
    <row r="296" customFormat="false" ht="15" hidden="false" customHeight="false" outlineLevel="0" collapsed="false">
      <c r="A296" s="52" t="n">
        <v>44607</v>
      </c>
      <c r="B296" s="57" t="n">
        <v>0.0066</v>
      </c>
      <c r="C296" s="57" t="n">
        <v>0.00754</v>
      </c>
      <c r="D296" s="57" t="n">
        <v>0.00806</v>
      </c>
      <c r="E296" s="57" t="n">
        <v>0.00983</v>
      </c>
      <c r="F296" s="57" t="n">
        <v>0.01404</v>
      </c>
      <c r="G296" s="57" t="n">
        <v>0.02172</v>
      </c>
    </row>
    <row r="297" customFormat="false" ht="15" hidden="false" customHeight="false" outlineLevel="0" collapsed="false">
      <c r="A297" s="52" t="n">
        <v>44608</v>
      </c>
      <c r="B297" s="57" t="n">
        <v>0.00732</v>
      </c>
      <c r="C297" s="57" t="n">
        <v>0.00813</v>
      </c>
      <c r="D297" s="57" t="n">
        <v>0.00862</v>
      </c>
      <c r="E297" s="57" t="n">
        <v>0.01035</v>
      </c>
      <c r="F297" s="57" t="n">
        <v>0.01465</v>
      </c>
      <c r="G297" s="57" t="n">
        <v>0.02211</v>
      </c>
    </row>
    <row r="298" customFormat="false" ht="15" hidden="false" customHeight="false" outlineLevel="0" collapsed="false">
      <c r="A298" s="52" t="n">
        <v>44609</v>
      </c>
      <c r="B298" s="57" t="n">
        <v>0.00825</v>
      </c>
      <c r="C298" s="57" t="n">
        <v>0.00982</v>
      </c>
      <c r="D298" s="57" t="n">
        <v>0.01061</v>
      </c>
      <c r="E298" s="57" t="n">
        <v>0.0121</v>
      </c>
      <c r="F298" s="57" t="n">
        <v>0.01618</v>
      </c>
      <c r="G298" s="57" t="n">
        <v>0.02298</v>
      </c>
    </row>
    <row r="299" customFormat="false" ht="15" hidden="false" customHeight="false" outlineLevel="0" collapsed="false">
      <c r="A299" s="52" t="n">
        <v>44610</v>
      </c>
      <c r="B299" s="57" t="n">
        <v>0.009</v>
      </c>
      <c r="C299" s="57" t="n">
        <v>0.01011</v>
      </c>
      <c r="D299" s="57" t="n">
        <v>0.01063</v>
      </c>
      <c r="E299" s="57" t="n">
        <v>0.0118</v>
      </c>
      <c r="F299" s="57" t="n">
        <v>0.01569</v>
      </c>
      <c r="G299" s="57" t="n">
        <v>0.02257</v>
      </c>
    </row>
    <row r="300" customFormat="false" ht="15" hidden="false" customHeight="false" outlineLevel="0" collapsed="false">
      <c r="A300" s="52" t="n">
        <v>44613</v>
      </c>
      <c r="B300" s="57" t="n">
        <v>0.00915</v>
      </c>
      <c r="C300" s="57" t="n">
        <v>0.01001</v>
      </c>
      <c r="D300" s="57" t="n">
        <v>0.01071</v>
      </c>
      <c r="E300" s="57" t="n">
        <v>0.0118</v>
      </c>
      <c r="F300" s="57" t="n">
        <v>0.01554</v>
      </c>
      <c r="G300" s="57" t="n">
        <v>0.02244</v>
      </c>
    </row>
    <row r="301" customFormat="false" ht="15" hidden="false" customHeight="false" outlineLevel="0" collapsed="false">
      <c r="A301" s="52" t="n">
        <v>44614</v>
      </c>
      <c r="B301" s="57" t="n">
        <v>0.00916</v>
      </c>
      <c r="C301" s="57" t="n">
        <v>0.00991</v>
      </c>
      <c r="D301" s="57" t="n">
        <v>0.0107</v>
      </c>
      <c r="E301" s="57" t="n">
        <v>0.01145</v>
      </c>
      <c r="F301" s="57" t="n">
        <v>0.01546</v>
      </c>
      <c r="G301" s="57" t="n">
        <v>0.02235</v>
      </c>
    </row>
    <row r="302" customFormat="false" ht="15" hidden="false" customHeight="false" outlineLevel="0" collapsed="false">
      <c r="A302" s="52" t="n">
        <v>44615</v>
      </c>
      <c r="B302" s="57" t="n">
        <v>0.00934</v>
      </c>
      <c r="C302" s="57" t="n">
        <v>0.01001</v>
      </c>
      <c r="D302" s="57" t="n">
        <v>0.0108</v>
      </c>
      <c r="E302" s="57" t="n">
        <v>0.01174</v>
      </c>
      <c r="F302" s="57" t="n">
        <v>0.01572</v>
      </c>
      <c r="G302" s="57" t="n">
        <v>0.02246</v>
      </c>
    </row>
    <row r="303" customFormat="false" ht="15" hidden="false" customHeight="false" outlineLevel="0" collapsed="false">
      <c r="A303" s="52" t="n">
        <v>44616</v>
      </c>
      <c r="B303" s="57" t="n">
        <v>0.00983</v>
      </c>
      <c r="C303" s="57" t="n">
        <v>0.01051</v>
      </c>
      <c r="D303" s="57" t="n">
        <v>0.0115</v>
      </c>
      <c r="E303" s="57" t="n">
        <v>0.01225</v>
      </c>
      <c r="F303" s="57" t="n">
        <v>0.01576</v>
      </c>
      <c r="G303" s="57" t="n">
        <v>0.0224</v>
      </c>
    </row>
    <row r="304" customFormat="false" ht="15" hidden="false" customHeight="false" outlineLevel="0" collapsed="false">
      <c r="A304" s="52" t="n">
        <v>44617</v>
      </c>
      <c r="B304" s="57" t="n">
        <v>0.01169</v>
      </c>
      <c r="C304" s="57" t="n">
        <v>0.01205</v>
      </c>
      <c r="D304" s="57" t="n">
        <v>0.01292</v>
      </c>
      <c r="E304" s="57" t="n">
        <v>0.01341</v>
      </c>
      <c r="F304" s="57" t="n">
        <v>0.01589</v>
      </c>
      <c r="G304" s="57" t="n">
        <v>0.02234</v>
      </c>
    </row>
    <row r="305" customFormat="false" ht="15" hidden="false" customHeight="false" outlineLevel="0" collapsed="false">
      <c r="A305" s="52" t="n">
        <v>44620</v>
      </c>
      <c r="B305" s="57" t="n">
        <v>0.01283</v>
      </c>
      <c r="C305" s="57" t="n">
        <v>0.01334</v>
      </c>
      <c r="D305" s="57" t="n">
        <v>0.01395</v>
      </c>
      <c r="E305" s="57" t="n">
        <v>0.0151</v>
      </c>
      <c r="F305" s="57" t="n">
        <v>0.0172</v>
      </c>
      <c r="G305" s="57" t="n">
        <v>0.0229</v>
      </c>
    </row>
    <row r="306" customFormat="false" ht="15" hidden="false" customHeight="false" outlineLevel="0" collapsed="false">
      <c r="A306" s="52" t="n">
        <v>44621</v>
      </c>
      <c r="B306" s="57" t="n">
        <v>0.01368</v>
      </c>
      <c r="C306" s="57" t="n">
        <v>0.01477</v>
      </c>
      <c r="D306" s="57" t="n">
        <v>0.01501</v>
      </c>
      <c r="E306" s="57" t="n">
        <v>0.01597</v>
      </c>
      <c r="F306" s="57" t="n">
        <v>0.01732</v>
      </c>
      <c r="G306" s="57" t="n">
        <v>0.02305</v>
      </c>
    </row>
    <row r="307" customFormat="false" ht="15" hidden="false" customHeight="false" outlineLevel="0" collapsed="false">
      <c r="A307" s="52" t="n">
        <v>44622</v>
      </c>
      <c r="B307" s="57" t="n">
        <v>0.01331</v>
      </c>
      <c r="C307" s="57" t="n">
        <v>0.01435</v>
      </c>
      <c r="D307" s="57" t="n">
        <v>0.01459</v>
      </c>
      <c r="E307" s="57" t="n">
        <v>0.01575</v>
      </c>
      <c r="F307" s="57" t="n">
        <v>0.01742</v>
      </c>
      <c r="G307" s="57" t="n">
        <v>0.02305</v>
      </c>
    </row>
    <row r="308" customFormat="false" ht="15" hidden="false" customHeight="false" outlineLevel="0" collapsed="false">
      <c r="A308" s="52" t="n">
        <v>44623</v>
      </c>
      <c r="B308" s="57" t="n">
        <v>0.01457</v>
      </c>
      <c r="C308" s="57" t="n">
        <v>0.01599</v>
      </c>
      <c r="D308" s="57" t="n">
        <v>0.01573</v>
      </c>
      <c r="E308" s="57" t="n">
        <v>0.01754</v>
      </c>
      <c r="F308" s="57" t="n">
        <v>0.01954</v>
      </c>
      <c r="G308" s="57" t="n">
        <v>0.02365</v>
      </c>
    </row>
    <row r="309" customFormat="false" ht="15" hidden="false" customHeight="false" outlineLevel="0" collapsed="false">
      <c r="A309" s="52" t="n">
        <v>44624</v>
      </c>
      <c r="B309" s="57" t="n">
        <v>0.01385</v>
      </c>
      <c r="C309" s="57" t="n">
        <v>0.01514</v>
      </c>
      <c r="D309" s="57" t="n">
        <v>0.0158</v>
      </c>
      <c r="E309" s="57" t="n">
        <v>0.01643</v>
      </c>
      <c r="F309" s="57" t="n">
        <v>0.01803</v>
      </c>
      <c r="G309" s="57" t="n">
        <v>0.02295</v>
      </c>
    </row>
    <row r="310" customFormat="false" ht="15" hidden="false" customHeight="false" outlineLevel="0" collapsed="false">
      <c r="A310" s="52" t="n">
        <v>44627</v>
      </c>
      <c r="B310" s="57" t="n">
        <v>0.0138</v>
      </c>
      <c r="C310" s="57" t="n">
        <v>0.01493</v>
      </c>
      <c r="D310" s="57" t="n">
        <v>0.01591</v>
      </c>
      <c r="E310" s="57" t="n">
        <v>0.01713</v>
      </c>
      <c r="F310" s="57" t="n">
        <v>0.01888</v>
      </c>
      <c r="G310" s="57" t="n">
        <v>0.02335</v>
      </c>
    </row>
    <row r="311" customFormat="false" ht="15" hidden="false" customHeight="false" outlineLevel="0" collapsed="false">
      <c r="A311" s="52" t="n">
        <v>44628</v>
      </c>
      <c r="B311" s="57" t="n">
        <v>0.0138</v>
      </c>
      <c r="C311" s="57" t="n">
        <v>0.01492</v>
      </c>
      <c r="D311" s="57" t="n">
        <v>0.01529</v>
      </c>
      <c r="E311" s="57" t="n">
        <v>0.01649</v>
      </c>
      <c r="F311" s="57" t="n">
        <v>0.01818</v>
      </c>
      <c r="G311" s="57" t="n">
        <v>0.02323</v>
      </c>
    </row>
    <row r="312" customFormat="false" ht="15" hidden="false" customHeight="false" outlineLevel="0" collapsed="false">
      <c r="A312" s="52" t="n">
        <v>44629</v>
      </c>
      <c r="B312" s="57" t="n">
        <v>0.0139</v>
      </c>
      <c r="C312" s="57" t="n">
        <v>0.01456</v>
      </c>
      <c r="D312" s="57" t="n">
        <v>0.01475</v>
      </c>
      <c r="E312" s="57" t="n">
        <v>0.01629</v>
      </c>
      <c r="F312" s="57" t="n">
        <v>0.01804</v>
      </c>
      <c r="G312" s="57" t="n">
        <v>0.02349</v>
      </c>
    </row>
    <row r="313" customFormat="false" ht="15" hidden="false" customHeight="false" outlineLevel="0" collapsed="false">
      <c r="A313" s="52" t="n">
        <v>44630</v>
      </c>
      <c r="B313" s="57" t="n">
        <v>0.01375</v>
      </c>
      <c r="C313" s="57" t="n">
        <v>0.01403</v>
      </c>
      <c r="D313" s="57" t="n">
        <v>0.01389</v>
      </c>
      <c r="E313" s="57" t="n">
        <v>0.01536</v>
      </c>
      <c r="F313" s="57" t="n">
        <v>0.01728</v>
      </c>
      <c r="G313" s="57" t="n">
        <v>0.02303</v>
      </c>
    </row>
    <row r="314" customFormat="false" ht="15" hidden="false" customHeight="false" outlineLevel="0" collapsed="false">
      <c r="A314" s="52" t="n">
        <v>44631</v>
      </c>
      <c r="B314" s="57" t="n">
        <v>0.01385</v>
      </c>
      <c r="C314" s="57" t="n">
        <v>0.01447</v>
      </c>
      <c r="D314" s="57" t="n">
        <v>0.01479</v>
      </c>
      <c r="E314" s="57" t="n">
        <v>0.01592</v>
      </c>
      <c r="F314" s="57" t="n">
        <v>0.01769</v>
      </c>
      <c r="G314" s="57" t="n">
        <v>0.02316</v>
      </c>
    </row>
    <row r="315" customFormat="false" ht="15" hidden="false" customHeight="false" outlineLevel="0" collapsed="false">
      <c r="A315" s="52" t="n">
        <v>44634</v>
      </c>
      <c r="B315" s="57" t="n">
        <v>0.01395</v>
      </c>
      <c r="C315" s="57" t="n">
        <v>0.01456</v>
      </c>
      <c r="D315" s="57" t="n">
        <v>0.01467</v>
      </c>
      <c r="E315" s="57" t="n">
        <v>0.01605</v>
      </c>
      <c r="F315" s="57" t="n">
        <v>0.01787</v>
      </c>
      <c r="G315" s="57" t="n">
        <v>0.02322</v>
      </c>
    </row>
    <row r="316" customFormat="false" ht="15" hidden="false" customHeight="false" outlineLevel="0" collapsed="false">
      <c r="A316" s="52" t="n">
        <v>44635</v>
      </c>
      <c r="B316" s="57" t="n">
        <v>0.01501</v>
      </c>
      <c r="C316" s="57" t="n">
        <v>0.01574</v>
      </c>
      <c r="D316" s="57" t="n">
        <v>0.01661</v>
      </c>
      <c r="E316" s="57" t="n">
        <v>0.01771</v>
      </c>
      <c r="F316" s="57" t="n">
        <v>0.01875</v>
      </c>
      <c r="G316" s="57" t="n">
        <v>0.02344</v>
      </c>
    </row>
    <row r="317" customFormat="false" ht="15" hidden="false" customHeight="false" outlineLevel="0" collapsed="false">
      <c r="A317" s="52" t="n">
        <v>44636</v>
      </c>
      <c r="B317" s="57" t="n">
        <v>0.01502</v>
      </c>
      <c r="C317" s="57" t="n">
        <v>0.0158</v>
      </c>
      <c r="D317" s="57" t="n">
        <v>0.01564</v>
      </c>
      <c r="E317" s="57" t="n">
        <v>0.01736</v>
      </c>
      <c r="F317" s="57" t="n">
        <v>0.01895</v>
      </c>
      <c r="G317" s="57" t="n">
        <v>0.02366</v>
      </c>
    </row>
    <row r="318" customFormat="false" ht="15" hidden="false" customHeight="false" outlineLevel="0" collapsed="false">
      <c r="A318" s="52" t="n">
        <v>44637</v>
      </c>
      <c r="B318" s="57" t="n">
        <v>0.01501</v>
      </c>
      <c r="C318" s="57" t="n">
        <v>0.01601</v>
      </c>
      <c r="D318" s="57" t="n">
        <v>0.01651</v>
      </c>
      <c r="E318" s="57" t="n">
        <v>0.01783</v>
      </c>
      <c r="F318" s="57" t="n">
        <v>0.01908</v>
      </c>
      <c r="G318" s="57" t="n">
        <v>0.02378</v>
      </c>
    </row>
    <row r="319" customFormat="false" ht="15" hidden="false" customHeight="false" outlineLevel="0" collapsed="false">
      <c r="A319" s="52" t="n">
        <v>44638</v>
      </c>
      <c r="B319" s="57" t="n">
        <v>0.01517</v>
      </c>
      <c r="C319" s="57" t="n">
        <v>0.01634</v>
      </c>
      <c r="D319" s="57" t="n">
        <v>0.01675</v>
      </c>
      <c r="E319" s="57" t="n">
        <v>0.01797</v>
      </c>
      <c r="F319" s="57" t="n">
        <v>0.01923</v>
      </c>
      <c r="G319" s="57" t="n">
        <v>0.02382</v>
      </c>
    </row>
    <row r="320" customFormat="false" ht="15" hidden="false" customHeight="false" outlineLevel="0" collapsed="false">
      <c r="A320" s="52" t="n">
        <v>44641</v>
      </c>
      <c r="B320" s="57" t="n">
        <v>0.01614</v>
      </c>
      <c r="C320" s="57" t="n">
        <v>0.01742</v>
      </c>
      <c r="D320" s="57" t="n">
        <v>0.01788</v>
      </c>
      <c r="E320" s="57" t="n">
        <v>0.01891</v>
      </c>
      <c r="F320" s="57" t="n">
        <v>0.02068</v>
      </c>
      <c r="G320" s="57" t="n">
        <v>0.02456</v>
      </c>
    </row>
    <row r="321" customFormat="false" ht="15" hidden="false" customHeight="false" outlineLevel="0" collapsed="false">
      <c r="A321" s="52" t="n">
        <v>44642</v>
      </c>
      <c r="B321" s="57" t="n">
        <v>0.0168</v>
      </c>
      <c r="C321" s="57" t="n">
        <v>0.01733</v>
      </c>
      <c r="D321" s="57" t="n">
        <v>0.01779</v>
      </c>
      <c r="E321" s="57" t="n">
        <v>0.01894</v>
      </c>
      <c r="F321" s="57" t="n">
        <v>0.02092</v>
      </c>
      <c r="G321" s="57" t="n">
        <v>0.02488</v>
      </c>
    </row>
    <row r="322" customFormat="false" ht="15" hidden="false" customHeight="false" outlineLevel="0" collapsed="false">
      <c r="A322" s="52" t="n">
        <v>44643</v>
      </c>
      <c r="B322" s="57" t="n">
        <v>0.01675</v>
      </c>
      <c r="C322" s="57" t="n">
        <v>0.01688</v>
      </c>
      <c r="D322" s="57" t="n">
        <v>0.0172</v>
      </c>
      <c r="E322" s="57" t="n">
        <v>0.01892</v>
      </c>
      <c r="F322" s="57" t="n">
        <v>0.02074</v>
      </c>
      <c r="G322" s="57" t="n">
        <v>0.02475</v>
      </c>
    </row>
    <row r="323" customFormat="false" ht="15" hidden="false" customHeight="false" outlineLevel="0" collapsed="false">
      <c r="A323" s="52" t="n">
        <v>44644</v>
      </c>
      <c r="B323" s="57" t="n">
        <v>0.0166</v>
      </c>
      <c r="C323" s="57" t="n">
        <v>0.01694</v>
      </c>
      <c r="D323" s="57" t="n">
        <v>0.01721</v>
      </c>
      <c r="E323" s="57" t="n">
        <v>0.01864</v>
      </c>
      <c r="F323" s="57" t="n">
        <v>0.02068</v>
      </c>
      <c r="G323" s="57" t="n">
        <v>0.02461</v>
      </c>
    </row>
    <row r="324" customFormat="false" ht="15" hidden="false" customHeight="false" outlineLevel="0" collapsed="false">
      <c r="A324" s="52" t="n">
        <v>44645</v>
      </c>
      <c r="B324" s="57" t="n">
        <v>0.0167</v>
      </c>
      <c r="C324" s="57" t="n">
        <v>0.01658</v>
      </c>
      <c r="D324" s="57" t="n">
        <v>0.01667</v>
      </c>
      <c r="E324" s="57" t="n">
        <v>0.01818</v>
      </c>
      <c r="F324" s="57" t="n">
        <v>0.0201</v>
      </c>
      <c r="G324" s="57" t="n">
        <v>0.02444</v>
      </c>
    </row>
    <row r="325" customFormat="false" ht="15" hidden="false" customHeight="false" outlineLevel="0" collapsed="false">
      <c r="A325" s="52" t="n">
        <v>44648</v>
      </c>
      <c r="B325" s="57" t="n">
        <v>0.0162</v>
      </c>
      <c r="C325" s="57" t="n">
        <v>0.01699</v>
      </c>
      <c r="D325" s="57" t="n">
        <v>0.01668</v>
      </c>
      <c r="E325" s="57" t="n">
        <v>0.01891</v>
      </c>
      <c r="F325" s="57" t="n">
        <v>0.02059</v>
      </c>
      <c r="G325" s="57" t="n">
        <v>0.02469</v>
      </c>
    </row>
    <row r="326" customFormat="false" ht="15" hidden="false" customHeight="false" outlineLevel="0" collapsed="false">
      <c r="A326" s="52" t="n">
        <v>44649</v>
      </c>
      <c r="B326" s="57" t="n">
        <v>0.0164</v>
      </c>
      <c r="C326" s="57" t="n">
        <v>0.01648</v>
      </c>
      <c r="D326" s="57" t="n">
        <v>0.01624</v>
      </c>
      <c r="E326" s="57" t="n">
        <v>0.01887</v>
      </c>
      <c r="F326" s="57" t="n">
        <v>0.02033</v>
      </c>
      <c r="G326" s="57" t="n">
        <v>0.02452</v>
      </c>
    </row>
    <row r="327" customFormat="false" ht="15" hidden="false" customHeight="false" outlineLevel="0" collapsed="false">
      <c r="A327" s="52" t="n">
        <v>44650</v>
      </c>
      <c r="B327" s="57" t="n">
        <v>0.0164</v>
      </c>
      <c r="C327" s="57" t="n">
        <v>0.01675</v>
      </c>
      <c r="D327" s="57" t="n">
        <v>0.01635</v>
      </c>
      <c r="E327" s="57" t="n">
        <v>0.01851</v>
      </c>
      <c r="F327" s="57" t="n">
        <v>0.02032</v>
      </c>
      <c r="G327" s="57" t="n">
        <v>0.02448</v>
      </c>
    </row>
    <row r="328" customFormat="false" ht="15" hidden="false" customHeight="false" outlineLevel="0" collapsed="false">
      <c r="A328" s="52" t="n">
        <v>44651</v>
      </c>
      <c r="B328" s="57" t="n">
        <v>0.01624</v>
      </c>
      <c r="C328" s="57" t="n">
        <v>0.01646</v>
      </c>
      <c r="D328" s="57" t="n">
        <v>0.01623</v>
      </c>
      <c r="E328" s="57" t="n">
        <v>0.01846</v>
      </c>
      <c r="F328" s="57" t="n">
        <v>0.02019</v>
      </c>
      <c r="G328" s="57" t="n">
        <v>0.02429</v>
      </c>
    </row>
    <row r="329" customFormat="false" ht="15" hidden="false" customHeight="false" outlineLevel="0" collapsed="false">
      <c r="A329" s="52" t="n">
        <v>44652</v>
      </c>
      <c r="B329" s="57" t="n">
        <v>0.0163</v>
      </c>
      <c r="C329" s="57" t="n">
        <v>0.01657</v>
      </c>
      <c r="D329" s="57" t="n">
        <v>0.01732</v>
      </c>
      <c r="E329" s="57" t="n">
        <v>0.01851</v>
      </c>
      <c r="F329" s="57" t="n">
        <v>0.0206</v>
      </c>
      <c r="G329" s="57" t="n">
        <v>0.02451</v>
      </c>
    </row>
    <row r="330" customFormat="false" ht="15" hidden="false" customHeight="false" outlineLevel="0" collapsed="false">
      <c r="A330" s="52" t="n">
        <v>44655</v>
      </c>
      <c r="B330" s="57" t="n">
        <v>0.01641</v>
      </c>
      <c r="C330" s="57" t="n">
        <v>0.01666</v>
      </c>
      <c r="D330" s="57" t="n">
        <v>0.01726</v>
      </c>
      <c r="E330" s="57" t="n">
        <v>0.01857</v>
      </c>
      <c r="F330" s="57" t="n">
        <v>0.02071</v>
      </c>
      <c r="G330" s="57" t="n">
        <v>0.02457</v>
      </c>
    </row>
    <row r="331" customFormat="false" ht="15" hidden="false" customHeight="false" outlineLevel="0" collapsed="false">
      <c r="A331" s="52" t="n">
        <v>44656</v>
      </c>
      <c r="B331" s="57" t="n">
        <v>0.01654</v>
      </c>
      <c r="C331" s="57" t="n">
        <v>0.0173</v>
      </c>
      <c r="D331" s="57" t="n">
        <v>0.01834</v>
      </c>
      <c r="E331" s="57" t="n">
        <v>0.01998</v>
      </c>
      <c r="F331" s="57" t="n">
        <v>0.02148</v>
      </c>
      <c r="G331" s="57" t="n">
        <v>0.02488</v>
      </c>
    </row>
    <row r="332" customFormat="false" ht="15" hidden="false" customHeight="false" outlineLevel="0" collapsed="false">
      <c r="A332" s="52" t="n">
        <v>44657</v>
      </c>
      <c r="B332" s="57" t="n">
        <v>0.01824</v>
      </c>
      <c r="C332" s="57" t="n">
        <v>0.02041</v>
      </c>
      <c r="D332" s="57" t="n">
        <v>0.02258</v>
      </c>
      <c r="E332" s="57" t="n">
        <v>0.02355</v>
      </c>
      <c r="F332" s="57" t="n">
        <v>0.02545</v>
      </c>
      <c r="G332" s="57" t="n">
        <v>0.02791</v>
      </c>
    </row>
    <row r="333" customFormat="false" ht="15" hidden="false" customHeight="false" outlineLevel="0" collapsed="false">
      <c r="A333" s="52" t="n">
        <v>44658</v>
      </c>
      <c r="B333" s="57" t="n">
        <v>0.01913</v>
      </c>
      <c r="C333" s="57" t="n">
        <v>0.01967</v>
      </c>
      <c r="D333" s="57" t="n">
        <v>0.02038</v>
      </c>
      <c r="E333" s="57" t="n">
        <v>0.02158</v>
      </c>
      <c r="F333" s="57" t="n">
        <v>0.02382</v>
      </c>
      <c r="G333" s="57" t="n">
        <v>0.02752</v>
      </c>
    </row>
    <row r="334" customFormat="false" ht="15" hidden="false" customHeight="false" outlineLevel="0" collapsed="false">
      <c r="A334" s="52" t="n">
        <v>44659</v>
      </c>
      <c r="B334" s="57" t="n">
        <v>0.01926</v>
      </c>
      <c r="C334" s="57" t="n">
        <v>0.02004</v>
      </c>
      <c r="D334" s="57" t="n">
        <v>0.02124</v>
      </c>
      <c r="E334" s="57" t="n">
        <v>0.02258</v>
      </c>
      <c r="F334" s="57" t="n">
        <v>0.02501</v>
      </c>
      <c r="G334" s="57" t="n">
        <v>0.02823</v>
      </c>
    </row>
    <row r="335" customFormat="false" ht="15" hidden="false" customHeight="false" outlineLevel="0" collapsed="false">
      <c r="A335" s="52" t="n">
        <v>44662</v>
      </c>
      <c r="B335" s="57" t="n">
        <v>0.01926</v>
      </c>
      <c r="C335" s="57" t="n">
        <v>0.02004</v>
      </c>
      <c r="D335" s="57" t="n">
        <v>0.02124</v>
      </c>
      <c r="E335" s="57" t="n">
        <v>0.02258</v>
      </c>
      <c r="F335" s="57" t="n">
        <v>0.02501</v>
      </c>
      <c r="G335" s="57" t="n">
        <v>0.02823</v>
      </c>
    </row>
    <row r="336" customFormat="false" ht="15" hidden="false" customHeight="false" outlineLevel="0" collapsed="false">
      <c r="A336" s="52" t="n">
        <v>44663</v>
      </c>
      <c r="B336" s="57" t="n">
        <v>0.02055</v>
      </c>
      <c r="C336" s="57" t="n">
        <v>0.02158</v>
      </c>
      <c r="D336" s="57" t="n">
        <v>0.02317</v>
      </c>
      <c r="E336" s="57" t="n">
        <v>0.0244</v>
      </c>
      <c r="F336" s="57" t="n">
        <v>0.02739</v>
      </c>
      <c r="G336" s="57" t="n">
        <v>0.03099</v>
      </c>
    </row>
    <row r="337" customFormat="false" ht="15" hidden="false" customHeight="false" outlineLevel="0" collapsed="false">
      <c r="A337" s="52" t="n">
        <v>44664</v>
      </c>
      <c r="B337" s="57" t="n">
        <v>0.02003</v>
      </c>
      <c r="C337" s="57" t="n">
        <v>0.02128</v>
      </c>
      <c r="D337" s="57" t="n">
        <v>0.02273</v>
      </c>
      <c r="E337" s="57" t="n">
        <v>0.02417</v>
      </c>
      <c r="F337" s="57" t="n">
        <v>0.02699</v>
      </c>
      <c r="G337" s="57" t="n">
        <v>0.03084</v>
      </c>
    </row>
    <row r="338" customFormat="false" ht="15" hidden="false" customHeight="false" outlineLevel="0" collapsed="false">
      <c r="A338" s="52" t="n">
        <v>44665</v>
      </c>
      <c r="B338" s="57" t="n">
        <v>0.02011</v>
      </c>
      <c r="C338" s="57" t="n">
        <v>0.02132</v>
      </c>
      <c r="D338" s="57" t="n">
        <v>0.02248</v>
      </c>
      <c r="E338" s="57" t="n">
        <v>0.0241</v>
      </c>
      <c r="F338" s="57" t="n">
        <v>0.02693</v>
      </c>
      <c r="G338" s="57" t="n">
        <v>0.03063</v>
      </c>
    </row>
    <row r="339" customFormat="false" ht="15" hidden="false" customHeight="false" outlineLevel="0" collapsed="false">
      <c r="A339" s="52" t="n">
        <v>44666</v>
      </c>
      <c r="B339" s="57" t="n">
        <v>0.01982</v>
      </c>
      <c r="C339" s="57" t="n">
        <v>0.02112</v>
      </c>
      <c r="D339" s="57" t="n">
        <v>0.0224</v>
      </c>
      <c r="E339" s="57" t="n">
        <v>0.02405</v>
      </c>
      <c r="F339" s="57" t="n">
        <v>0.02701</v>
      </c>
      <c r="G339" s="57" t="n">
        <v>0.03115</v>
      </c>
    </row>
    <row r="340" customFormat="false" ht="15" hidden="false" customHeight="false" outlineLevel="0" collapsed="false">
      <c r="A340" s="52" t="n">
        <v>44669</v>
      </c>
      <c r="B340" s="57" t="n">
        <v>0.02013</v>
      </c>
      <c r="C340" s="57" t="n">
        <v>0.02113</v>
      </c>
      <c r="D340" s="57" t="n">
        <v>0.02256</v>
      </c>
      <c r="E340" s="57" t="n">
        <v>0.02468</v>
      </c>
      <c r="F340" s="57" t="n">
        <v>0.02727</v>
      </c>
      <c r="G340" s="57" t="n">
        <v>0.03121</v>
      </c>
    </row>
    <row r="341" customFormat="false" ht="15" hidden="false" customHeight="false" outlineLevel="0" collapsed="false">
      <c r="A341" s="52" t="n">
        <v>44670</v>
      </c>
      <c r="B341" s="57" t="n">
        <v>0.01906</v>
      </c>
      <c r="C341" s="57" t="n">
        <v>0.01999</v>
      </c>
      <c r="D341" s="57" t="n">
        <v>0.02167</v>
      </c>
      <c r="E341" s="57" t="n">
        <v>0.02309</v>
      </c>
      <c r="F341" s="57" t="n">
        <v>0.0256</v>
      </c>
      <c r="G341" s="57" t="n">
        <v>0.03117</v>
      </c>
    </row>
    <row r="342" customFormat="false" ht="15" hidden="false" customHeight="false" outlineLevel="0" collapsed="false">
      <c r="A342" s="52" t="n">
        <v>44671</v>
      </c>
      <c r="B342" s="57" t="n">
        <v>0.01877</v>
      </c>
      <c r="C342" s="57" t="n">
        <v>0.02016</v>
      </c>
      <c r="D342" s="57" t="n">
        <v>0.02162</v>
      </c>
      <c r="E342" s="57" t="n">
        <v>0.02348</v>
      </c>
      <c r="F342" s="57" t="n">
        <v>0.02651</v>
      </c>
      <c r="G342" s="57" t="n">
        <v>0.03142</v>
      </c>
    </row>
    <row r="343" customFormat="false" ht="15" hidden="false" customHeight="false" outlineLevel="0" collapsed="false">
      <c r="A343" s="52" t="n">
        <v>44672</v>
      </c>
      <c r="B343" s="57" t="n">
        <v>0.01865</v>
      </c>
      <c r="C343" s="57" t="n">
        <v>0.02021</v>
      </c>
      <c r="D343" s="57" t="n">
        <v>0.02132</v>
      </c>
      <c r="E343" s="57" t="n">
        <v>0.0233</v>
      </c>
      <c r="F343" s="57" t="n">
        <v>0.0266</v>
      </c>
      <c r="G343" s="57" t="n">
        <v>0.03131</v>
      </c>
    </row>
    <row r="344" customFormat="false" ht="15" hidden="false" customHeight="false" outlineLevel="0" collapsed="false">
      <c r="A344" s="52" t="n">
        <v>44673</v>
      </c>
      <c r="B344" s="57" t="n">
        <v>0.01906</v>
      </c>
      <c r="C344" s="57" t="n">
        <v>0.02029</v>
      </c>
      <c r="D344" s="57" t="n">
        <v>0.0214</v>
      </c>
      <c r="E344" s="57" t="n">
        <v>0.02324</v>
      </c>
      <c r="F344" s="57" t="n">
        <v>0.02659</v>
      </c>
      <c r="G344" s="57" t="n">
        <v>0.03133</v>
      </c>
    </row>
    <row r="345" customFormat="false" ht="15" hidden="false" customHeight="false" outlineLevel="0" collapsed="false">
      <c r="A345" s="52" t="n">
        <v>44676</v>
      </c>
      <c r="B345" s="57" t="n">
        <v>0.01893</v>
      </c>
      <c r="C345" s="57" t="n">
        <v>0.02038</v>
      </c>
      <c r="D345" s="57" t="n">
        <v>0.02166</v>
      </c>
      <c r="E345" s="57" t="n">
        <v>0.02322</v>
      </c>
      <c r="F345" s="57" t="n">
        <v>0.02656</v>
      </c>
      <c r="G345" s="57" t="n">
        <v>0.03113</v>
      </c>
    </row>
    <row r="346" customFormat="false" ht="15" hidden="false" customHeight="false" outlineLevel="0" collapsed="false">
      <c r="A346" s="52" t="n">
        <v>44677</v>
      </c>
      <c r="B346" s="57" t="n">
        <v>0.01894</v>
      </c>
      <c r="C346" s="57" t="n">
        <v>0.02045</v>
      </c>
      <c r="D346" s="57" t="n">
        <v>0.02138</v>
      </c>
      <c r="E346" s="57" t="n">
        <v>0.02227</v>
      </c>
      <c r="F346" s="57" t="n">
        <v>0.02596</v>
      </c>
      <c r="G346" s="57" t="n">
        <v>0.03073</v>
      </c>
    </row>
    <row r="347" customFormat="false" ht="15" hidden="false" customHeight="false" outlineLevel="0" collapsed="false">
      <c r="A347" s="52" t="n">
        <v>44678</v>
      </c>
      <c r="B347" s="57" t="n">
        <v>0.01893</v>
      </c>
      <c r="C347" s="57" t="n">
        <v>0.02034</v>
      </c>
      <c r="D347" s="57" t="n">
        <v>0.02105</v>
      </c>
      <c r="E347" s="57" t="n">
        <v>0.02211</v>
      </c>
      <c r="F347" s="57" t="n">
        <v>0.02586</v>
      </c>
      <c r="G347" s="57" t="n">
        <v>0.03079</v>
      </c>
    </row>
    <row r="348" customFormat="false" ht="15" hidden="false" customHeight="false" outlineLevel="0" collapsed="false">
      <c r="A348" s="52" t="n">
        <v>44679</v>
      </c>
      <c r="B348" s="57" t="n">
        <v>0.0189</v>
      </c>
      <c r="C348" s="57" t="n">
        <v>0.02026</v>
      </c>
      <c r="D348" s="57" t="n">
        <v>0.02106</v>
      </c>
      <c r="E348" s="57" t="n">
        <v>0.02214</v>
      </c>
      <c r="F348" s="57" t="n">
        <v>0.02581</v>
      </c>
      <c r="G348" s="57" t="n">
        <v>0.03077</v>
      </c>
    </row>
    <row r="349" customFormat="false" ht="15" hidden="false" customHeight="false" outlineLevel="0" collapsed="false">
      <c r="A349" s="52" t="n">
        <v>44680</v>
      </c>
      <c r="B349" s="57" t="n">
        <v>0.01886</v>
      </c>
      <c r="C349" s="57" t="n">
        <v>0.02009</v>
      </c>
      <c r="D349" s="57" t="n">
        <v>0.02093</v>
      </c>
      <c r="E349" s="57" t="n">
        <v>0.022</v>
      </c>
      <c r="F349" s="57" t="n">
        <v>0.02592</v>
      </c>
      <c r="G349" s="57" t="n">
        <v>0.03053</v>
      </c>
    </row>
    <row r="350" customFormat="false" ht="15" hidden="false" customHeight="false" outlineLevel="0" collapsed="false">
      <c r="A350" s="52" t="n">
        <v>44683</v>
      </c>
      <c r="B350" s="57" t="n">
        <v>0.01886</v>
      </c>
      <c r="C350" s="57" t="n">
        <v>0.02009</v>
      </c>
      <c r="D350" s="57" t="n">
        <v>0.02093</v>
      </c>
      <c r="E350" s="57" t="n">
        <v>0.022</v>
      </c>
      <c r="F350" s="57" t="n">
        <v>0.02592</v>
      </c>
      <c r="G350" s="57" t="n">
        <v>0.03053</v>
      </c>
    </row>
    <row r="351" customFormat="false" ht="15" hidden="false" customHeight="false" outlineLevel="0" collapsed="false">
      <c r="A351" s="52" t="n">
        <v>44684</v>
      </c>
      <c r="B351" s="57" t="n">
        <v>0.01886</v>
      </c>
      <c r="C351" s="57" t="n">
        <v>0.02009</v>
      </c>
      <c r="D351" s="57" t="n">
        <v>0.02093</v>
      </c>
      <c r="E351" s="57" t="n">
        <v>0.022</v>
      </c>
      <c r="F351" s="57" t="n">
        <v>0.02592</v>
      </c>
      <c r="G351" s="57" t="n">
        <v>0.03053</v>
      </c>
    </row>
    <row r="352" customFormat="false" ht="15" hidden="false" customHeight="false" outlineLevel="0" collapsed="false">
      <c r="A352" s="52" t="n">
        <v>44685</v>
      </c>
      <c r="B352" s="57" t="n">
        <v>0.01888</v>
      </c>
      <c r="C352" s="57" t="n">
        <v>0.02029</v>
      </c>
      <c r="D352" s="57" t="n">
        <v>0.02137</v>
      </c>
      <c r="E352" s="57" t="n">
        <v>0.02269</v>
      </c>
      <c r="F352" s="57" t="n">
        <v>0.02663</v>
      </c>
      <c r="G352" s="57" t="n">
        <v>0.03087</v>
      </c>
    </row>
    <row r="353" customFormat="false" ht="15" hidden="false" customHeight="false" outlineLevel="0" collapsed="false">
      <c r="A353" s="52" t="n">
        <v>44686</v>
      </c>
      <c r="B353" s="57" t="n">
        <v>0.01918</v>
      </c>
      <c r="C353" s="57" t="n">
        <v>0.02037</v>
      </c>
      <c r="D353" s="57" t="n">
        <v>0.02155</v>
      </c>
      <c r="E353" s="57" t="n">
        <v>0.02309</v>
      </c>
      <c r="F353" s="57" t="n">
        <v>0.02689</v>
      </c>
      <c r="G353" s="57" t="n">
        <v>0.03109</v>
      </c>
    </row>
    <row r="354" customFormat="false" ht="15" hidden="false" customHeight="false" outlineLevel="0" collapsed="false">
      <c r="A354" s="52" t="n">
        <v>44687</v>
      </c>
      <c r="B354" s="57" t="n">
        <v>0.01916</v>
      </c>
      <c r="C354" s="57" t="n">
        <v>0.02039</v>
      </c>
      <c r="D354" s="57" t="n">
        <v>0.02181</v>
      </c>
      <c r="E354" s="57" t="n">
        <v>0.02385</v>
      </c>
      <c r="F354" s="57" t="n">
        <v>0.02728</v>
      </c>
      <c r="G354" s="57" t="n">
        <v>0.03141</v>
      </c>
    </row>
    <row r="355" customFormat="false" ht="15" hidden="false" customHeight="false" outlineLevel="0" collapsed="false">
      <c r="A355" s="52" t="n">
        <v>44690</v>
      </c>
      <c r="B355" s="57" t="n">
        <v>0.01978</v>
      </c>
      <c r="C355" s="57" t="n">
        <v>0.02065</v>
      </c>
      <c r="D355" s="57" t="n">
        <v>0.02231</v>
      </c>
      <c r="E355" s="57" t="n">
        <v>0.02422</v>
      </c>
      <c r="F355" s="57" t="n">
        <v>0.0279</v>
      </c>
      <c r="G355" s="57" t="n">
        <v>0.03189</v>
      </c>
    </row>
    <row r="356" customFormat="false" ht="15" hidden="false" customHeight="false" outlineLevel="0" collapsed="false">
      <c r="A356" s="52" t="n">
        <v>44691</v>
      </c>
      <c r="B356" s="57" t="n">
        <v>0.01979</v>
      </c>
      <c r="C356" s="57" t="n">
        <v>0.02072</v>
      </c>
      <c r="D356" s="57" t="n">
        <v>0.02214</v>
      </c>
      <c r="E356" s="57" t="n">
        <v>0.02414</v>
      </c>
      <c r="F356" s="57" t="n">
        <v>0.02787</v>
      </c>
      <c r="G356" s="57" t="n">
        <v>0.03185</v>
      </c>
    </row>
    <row r="357" customFormat="false" ht="15" hidden="false" customHeight="false" outlineLevel="0" collapsed="false">
      <c r="A357" s="52" t="n">
        <v>44692</v>
      </c>
      <c r="B357" s="57" t="n">
        <v>0.0201</v>
      </c>
      <c r="C357" s="57" t="n">
        <v>0.02096</v>
      </c>
      <c r="D357" s="57" t="n">
        <v>0.02233</v>
      </c>
      <c r="E357" s="57" t="n">
        <v>0.02528</v>
      </c>
      <c r="F357" s="57" t="n">
        <v>0.0294</v>
      </c>
      <c r="G357" s="57" t="n">
        <v>0.03253</v>
      </c>
    </row>
    <row r="358" customFormat="false" ht="15" hidden="false" customHeight="false" outlineLevel="0" collapsed="false">
      <c r="A358" s="52" t="n">
        <v>44693</v>
      </c>
      <c r="B358" s="57" t="n">
        <v>0.02069</v>
      </c>
      <c r="C358" s="57" t="n">
        <v>0.02212</v>
      </c>
      <c r="D358" s="57" t="n">
        <v>0.02303</v>
      </c>
      <c r="E358" s="57" t="n">
        <v>0.02605</v>
      </c>
      <c r="F358" s="57" t="n">
        <v>0.03</v>
      </c>
      <c r="G358" s="57" t="n">
        <v>0.03338</v>
      </c>
    </row>
    <row r="359" customFormat="false" ht="15" hidden="false" customHeight="false" outlineLevel="0" collapsed="false">
      <c r="A359" s="52" t="n">
        <v>44694</v>
      </c>
      <c r="B359" s="57" t="n">
        <v>0.02087</v>
      </c>
      <c r="C359" s="57" t="n">
        <v>0.02211</v>
      </c>
      <c r="D359" s="57" t="n">
        <v>0.02344</v>
      </c>
      <c r="E359" s="57" t="n">
        <v>0.02636</v>
      </c>
      <c r="F359" s="57" t="n">
        <v>0.03056</v>
      </c>
      <c r="G359" s="57" t="n">
        <v>0.03365</v>
      </c>
    </row>
    <row r="360" customFormat="false" ht="15" hidden="false" customHeight="false" outlineLevel="0" collapsed="false">
      <c r="A360" s="52" t="n">
        <v>44697</v>
      </c>
      <c r="B360" s="57" t="n">
        <v>0.0208</v>
      </c>
      <c r="C360" s="57" t="n">
        <v>0.02203</v>
      </c>
      <c r="D360" s="57" t="n">
        <v>0.02326</v>
      </c>
      <c r="E360" s="57" t="n">
        <v>0.02588</v>
      </c>
      <c r="F360" s="57" t="n">
        <v>0.0301</v>
      </c>
      <c r="G360" s="57" t="n">
        <v>0.03293</v>
      </c>
    </row>
    <row r="361" customFormat="false" ht="15" hidden="false" customHeight="false" outlineLevel="0" collapsed="false">
      <c r="A361" s="52" t="n">
        <v>44698</v>
      </c>
      <c r="B361" s="57" t="n">
        <v>0.0208</v>
      </c>
      <c r="C361" s="57" t="n">
        <v>0.02148</v>
      </c>
      <c r="D361" s="57" t="n">
        <v>0.02222</v>
      </c>
      <c r="E361" s="57" t="n">
        <v>0.02579</v>
      </c>
      <c r="F361" s="57" t="n">
        <v>0.02996</v>
      </c>
      <c r="G361" s="57" t="n">
        <v>0.03293</v>
      </c>
    </row>
    <row r="362" customFormat="false" ht="15" hidden="false" customHeight="false" outlineLevel="0" collapsed="false">
      <c r="A362" s="52" t="n">
        <v>44699</v>
      </c>
      <c r="B362" s="57" t="n">
        <v>0.02079</v>
      </c>
      <c r="C362" s="57" t="n">
        <v>0.02139</v>
      </c>
      <c r="D362" s="57" t="n">
        <v>0.02236</v>
      </c>
      <c r="E362" s="57" t="n">
        <v>0.02537</v>
      </c>
      <c r="F362" s="57" t="n">
        <v>0.02989</v>
      </c>
      <c r="G362" s="57" t="n">
        <v>0.03283</v>
      </c>
    </row>
    <row r="363" customFormat="false" ht="15" hidden="false" customHeight="false" outlineLevel="0" collapsed="false">
      <c r="A363" s="52" t="n">
        <v>44700</v>
      </c>
      <c r="B363" s="57" t="n">
        <v>0.0207</v>
      </c>
      <c r="C363" s="57" t="n">
        <v>0.02104</v>
      </c>
      <c r="D363" s="57" t="n">
        <v>0.02216</v>
      </c>
      <c r="E363" s="57" t="n">
        <v>0.02531</v>
      </c>
      <c r="F363" s="57" t="n">
        <v>0.02971</v>
      </c>
      <c r="G363" s="57" t="n">
        <v>0.03229</v>
      </c>
    </row>
    <row r="364" customFormat="false" ht="15" hidden="false" customHeight="false" outlineLevel="0" collapsed="false">
      <c r="A364" s="52" t="n">
        <v>44701</v>
      </c>
      <c r="B364" s="57" t="n">
        <v>0.02056</v>
      </c>
      <c r="C364" s="57" t="n">
        <v>0.02121</v>
      </c>
      <c r="D364" s="57" t="n">
        <v>0.02208</v>
      </c>
      <c r="E364" s="57" t="n">
        <v>0.02507</v>
      </c>
      <c r="F364" s="57" t="n">
        <v>0.02945</v>
      </c>
      <c r="G364" s="57" t="n">
        <v>0.03199</v>
      </c>
    </row>
    <row r="365" customFormat="false" ht="15" hidden="false" customHeight="false" outlineLevel="0" collapsed="false">
      <c r="A365" s="52" t="n">
        <v>44704</v>
      </c>
      <c r="B365" s="57" t="n">
        <v>0.02009</v>
      </c>
      <c r="C365" s="57" t="n">
        <v>0.02109</v>
      </c>
      <c r="D365" s="57" t="n">
        <v>0.02204</v>
      </c>
      <c r="E365" s="57" t="n">
        <v>0.02503</v>
      </c>
      <c r="F365" s="57" t="n">
        <v>0.02936</v>
      </c>
      <c r="G365" s="57" t="n">
        <v>0.03217</v>
      </c>
    </row>
    <row r="366" customFormat="false" ht="15" hidden="false" customHeight="false" outlineLevel="0" collapsed="false">
      <c r="A366" s="52" t="n">
        <v>44705</v>
      </c>
      <c r="B366" s="57" t="n">
        <v>0.02</v>
      </c>
      <c r="C366" s="57" t="n">
        <v>0.02081</v>
      </c>
      <c r="D366" s="57" t="n">
        <v>0.02184</v>
      </c>
      <c r="E366" s="57" t="n">
        <v>0.02486</v>
      </c>
      <c r="F366" s="57" t="n">
        <v>0.02931</v>
      </c>
      <c r="G366" s="57" t="n">
        <v>0.03193</v>
      </c>
    </row>
    <row r="367" customFormat="false" ht="15" hidden="false" customHeight="false" outlineLevel="0" collapsed="false">
      <c r="A367" s="52" t="n">
        <v>44706</v>
      </c>
      <c r="B367" s="57" t="n">
        <v>0.01985</v>
      </c>
      <c r="C367" s="57" t="n">
        <v>0.0201</v>
      </c>
      <c r="D367" s="57" t="n">
        <v>0.02173</v>
      </c>
      <c r="E367" s="57" t="n">
        <v>0.02475</v>
      </c>
      <c r="F367" s="57" t="n">
        <v>0.02929</v>
      </c>
      <c r="G367" s="57" t="n">
        <v>0.0318</v>
      </c>
    </row>
    <row r="368" customFormat="false" ht="15" hidden="false" customHeight="false" outlineLevel="0" collapsed="false">
      <c r="A368" s="52" t="n">
        <v>44707</v>
      </c>
      <c r="B368" s="57" t="n">
        <v>0.02004</v>
      </c>
      <c r="C368" s="57" t="n">
        <v>0.02059</v>
      </c>
      <c r="D368" s="57" t="n">
        <v>0.02193</v>
      </c>
      <c r="E368" s="57" t="n">
        <v>0.02506</v>
      </c>
      <c r="F368" s="57" t="n">
        <v>0.02961</v>
      </c>
      <c r="G368" s="57" t="n">
        <v>0.03198</v>
      </c>
    </row>
    <row r="369" customFormat="false" ht="15" hidden="false" customHeight="false" outlineLevel="0" collapsed="false">
      <c r="A369" s="52" t="n">
        <v>44708</v>
      </c>
      <c r="B369" s="57" t="n">
        <v>0.02087</v>
      </c>
      <c r="C369" s="57" t="n">
        <v>0.02138</v>
      </c>
      <c r="D369" s="57" t="n">
        <v>0.02232</v>
      </c>
      <c r="E369" s="57" t="n">
        <v>0.02562</v>
      </c>
      <c r="F369" s="57" t="n">
        <v>0.02993</v>
      </c>
      <c r="G369" s="57" t="n">
        <v>0.03247</v>
      </c>
    </row>
    <row r="370" customFormat="false" ht="15" hidden="false" customHeight="false" outlineLevel="0" collapsed="false">
      <c r="A370" s="52" t="n">
        <v>44711</v>
      </c>
      <c r="B370" s="57" t="n">
        <v>0.02102</v>
      </c>
      <c r="C370" s="57" t="n">
        <v>0.0213</v>
      </c>
      <c r="D370" s="57" t="n">
        <v>0.02212</v>
      </c>
      <c r="E370" s="57" t="n">
        <v>0.02543</v>
      </c>
      <c r="F370" s="57" t="n">
        <v>0.02987</v>
      </c>
      <c r="G370" s="57" t="n">
        <v>0.03251</v>
      </c>
    </row>
    <row r="371" customFormat="false" ht="15" hidden="false" customHeight="false" outlineLevel="0" collapsed="false">
      <c r="A371" s="52" t="n">
        <v>44712</v>
      </c>
      <c r="B371" s="57" t="n">
        <v>0.02086</v>
      </c>
      <c r="C371" s="57" t="n">
        <v>0.02125</v>
      </c>
      <c r="D371" s="57" t="n">
        <v>0.02221</v>
      </c>
      <c r="E371" s="57" t="n">
        <v>0.02531</v>
      </c>
      <c r="F371" s="57" t="n">
        <v>0.02965</v>
      </c>
      <c r="G371" s="57" t="n">
        <v>0.03249</v>
      </c>
    </row>
    <row r="372" customFormat="false" ht="15" hidden="false" customHeight="false" outlineLevel="0" collapsed="false">
      <c r="A372" s="52" t="n">
        <v>44713</v>
      </c>
      <c r="B372" s="57" t="n">
        <v>0.02074</v>
      </c>
      <c r="C372" s="57" t="n">
        <v>0.02144</v>
      </c>
      <c r="D372" s="57" t="n">
        <v>0.02211</v>
      </c>
      <c r="E372" s="57" t="n">
        <v>0.02528</v>
      </c>
      <c r="F372" s="57" t="n">
        <v>0.03014</v>
      </c>
      <c r="G372" s="57" t="n">
        <v>0.03262</v>
      </c>
    </row>
    <row r="373" customFormat="false" ht="15" hidden="false" customHeight="false" outlineLevel="0" collapsed="false">
      <c r="A373" s="52" t="n">
        <v>44714</v>
      </c>
      <c r="B373" s="57" t="n">
        <v>0.0206</v>
      </c>
      <c r="C373" s="57" t="n">
        <v>0.02162</v>
      </c>
      <c r="D373" s="57" t="n">
        <v>0.02201</v>
      </c>
      <c r="E373" s="57" t="n">
        <v>0.02552</v>
      </c>
      <c r="F373" s="57" t="n">
        <v>0.03026</v>
      </c>
      <c r="G373" s="57" t="n">
        <v>0.03263</v>
      </c>
    </row>
    <row r="374" customFormat="false" ht="15" hidden="false" customHeight="false" outlineLevel="0" collapsed="false">
      <c r="A374" s="52" t="n">
        <v>44715</v>
      </c>
      <c r="B374" s="57" t="n">
        <v>0.02075</v>
      </c>
      <c r="C374" s="57" t="n">
        <v>0.02172</v>
      </c>
      <c r="D374" s="57" t="n">
        <v>0.02222</v>
      </c>
      <c r="E374" s="57" t="n">
        <v>0.02542</v>
      </c>
      <c r="F374" s="57" t="n">
        <v>0.03016</v>
      </c>
      <c r="G374" s="57" t="n">
        <v>0.03267</v>
      </c>
    </row>
    <row r="375" customFormat="false" ht="15" hidden="false" customHeight="false" outlineLevel="0" collapsed="false">
      <c r="A375" s="52" t="n">
        <v>44718</v>
      </c>
      <c r="B375" s="57" t="n">
        <v>0.01916</v>
      </c>
      <c r="C375" s="57" t="n">
        <v>0.02106</v>
      </c>
      <c r="D375" s="57" t="n">
        <v>0.0217</v>
      </c>
      <c r="E375" s="57" t="n">
        <v>0.02544</v>
      </c>
      <c r="F375" s="57" t="n">
        <v>0.03035</v>
      </c>
      <c r="G375" s="57" t="n">
        <v>0.03263</v>
      </c>
    </row>
    <row r="376" customFormat="false" ht="15" hidden="false" customHeight="false" outlineLevel="0" collapsed="false">
      <c r="A376" s="52" t="n">
        <v>44719</v>
      </c>
      <c r="B376" s="57" t="n">
        <v>0.01933</v>
      </c>
      <c r="C376" s="57" t="n">
        <v>0.02125</v>
      </c>
      <c r="D376" s="57" t="n">
        <v>0.02209</v>
      </c>
      <c r="E376" s="57" t="n">
        <v>0.02592</v>
      </c>
      <c r="F376" s="57" t="n">
        <v>0.03054</v>
      </c>
      <c r="G376" s="57" t="n">
        <v>0.03268</v>
      </c>
    </row>
    <row r="377" customFormat="false" ht="15" hidden="false" customHeight="false" outlineLevel="0" collapsed="false">
      <c r="A377" s="52" t="n">
        <v>44720</v>
      </c>
      <c r="B377" s="57" t="n">
        <v>0.01931</v>
      </c>
      <c r="C377" s="57" t="n">
        <v>0.021</v>
      </c>
      <c r="D377" s="57" t="n">
        <v>0.02189</v>
      </c>
      <c r="E377" s="57" t="n">
        <v>0.02595</v>
      </c>
      <c r="F377" s="57" t="n">
        <v>0.03062</v>
      </c>
      <c r="G377" s="57" t="n">
        <v>0.03267</v>
      </c>
    </row>
    <row r="378" customFormat="false" ht="15" hidden="false" customHeight="false" outlineLevel="0" collapsed="false">
      <c r="A378" s="52" t="n">
        <v>44721</v>
      </c>
      <c r="B378" s="57" t="n">
        <v>0.01894</v>
      </c>
      <c r="C378" s="57" t="n">
        <v>0.02122</v>
      </c>
      <c r="D378" s="57" t="n">
        <v>0.02179</v>
      </c>
      <c r="E378" s="57" t="n">
        <v>0.02542</v>
      </c>
      <c r="F378" s="57" t="n">
        <v>0.03039</v>
      </c>
      <c r="G378" s="57" t="n">
        <v>0.03283</v>
      </c>
    </row>
    <row r="379" customFormat="false" ht="15" hidden="false" customHeight="false" outlineLevel="0" collapsed="false">
      <c r="A379" s="52" t="n">
        <v>44722</v>
      </c>
      <c r="B379" s="57" t="n">
        <v>0.01869</v>
      </c>
      <c r="C379" s="57" t="n">
        <v>0.02101</v>
      </c>
      <c r="D379" s="57" t="n">
        <v>0.02178</v>
      </c>
      <c r="E379" s="57" t="n">
        <v>0.02533</v>
      </c>
      <c r="F379" s="57" t="n">
        <v>0.03048</v>
      </c>
      <c r="G379" s="57" t="n">
        <v>0.03273</v>
      </c>
    </row>
    <row r="380" customFormat="false" ht="15" hidden="false" customHeight="false" outlineLevel="0" collapsed="false">
      <c r="A380" s="52" t="n">
        <v>44725</v>
      </c>
      <c r="B380" s="57" t="n">
        <v>0.01931</v>
      </c>
      <c r="C380" s="57" t="n">
        <v>0.02142</v>
      </c>
      <c r="D380" s="57" t="n">
        <v>0.02208</v>
      </c>
      <c r="E380" s="57" t="n">
        <v>0.02611</v>
      </c>
      <c r="F380" s="57" t="n">
        <v>0.03122</v>
      </c>
      <c r="G380" s="57" t="n">
        <v>0.03317</v>
      </c>
    </row>
    <row r="381" customFormat="false" ht="15" hidden="false" customHeight="false" outlineLevel="0" collapsed="false">
      <c r="A381" s="52" t="n">
        <v>44726</v>
      </c>
      <c r="B381" s="57" t="n">
        <v>0.01934</v>
      </c>
      <c r="C381" s="57" t="n">
        <v>0.02159</v>
      </c>
      <c r="D381" s="57" t="n">
        <v>0.02288</v>
      </c>
      <c r="E381" s="57" t="n">
        <v>0.02641</v>
      </c>
      <c r="F381" s="57" t="n">
        <v>0.03154</v>
      </c>
      <c r="G381" s="57" t="n">
        <v>0.03392</v>
      </c>
    </row>
    <row r="382" customFormat="false" ht="15" hidden="false" customHeight="false" outlineLevel="0" collapsed="false">
      <c r="A382" s="52" t="n">
        <v>44727</v>
      </c>
      <c r="B382" s="57" t="n">
        <v>0.01935</v>
      </c>
      <c r="C382" s="57" t="n">
        <v>0.02249</v>
      </c>
      <c r="D382" s="57" t="n">
        <v>0.02346</v>
      </c>
      <c r="E382" s="57" t="n">
        <v>0.02699</v>
      </c>
      <c r="F382" s="57" t="n">
        <v>0.03241</v>
      </c>
      <c r="G382" s="57" t="n">
        <v>0.03451</v>
      </c>
    </row>
    <row r="383" customFormat="false" ht="15" hidden="false" customHeight="false" outlineLevel="0" collapsed="false">
      <c r="A383" s="52" t="n">
        <v>44728</v>
      </c>
      <c r="B383" s="57" t="n">
        <v>0.01894</v>
      </c>
      <c r="C383" s="57" t="n">
        <v>0.02226</v>
      </c>
      <c r="D383" s="57" t="n">
        <v>0.02326</v>
      </c>
      <c r="E383" s="57" t="n">
        <v>0.02616</v>
      </c>
      <c r="F383" s="57" t="n">
        <v>0.03184</v>
      </c>
      <c r="G383" s="57" t="n">
        <v>0.03445</v>
      </c>
    </row>
    <row r="384" customFormat="false" ht="15" hidden="false" customHeight="false" outlineLevel="0" collapsed="false">
      <c r="A384" s="52" t="n">
        <v>44729</v>
      </c>
      <c r="B384" s="57" t="n">
        <v>0.01857</v>
      </c>
      <c r="C384" s="57" t="n">
        <v>0.02208</v>
      </c>
      <c r="D384" s="57" t="n">
        <v>0.02286</v>
      </c>
      <c r="E384" s="57" t="n">
        <v>0.02547</v>
      </c>
      <c r="F384" s="57" t="n">
        <v>0.03166</v>
      </c>
      <c r="G384" s="57" t="n">
        <v>0.03432</v>
      </c>
    </row>
    <row r="385" customFormat="false" ht="15" hidden="false" customHeight="false" outlineLevel="0" collapsed="false">
      <c r="A385" s="52" t="n">
        <v>44732</v>
      </c>
      <c r="B385" s="57" t="n">
        <v>0.01945</v>
      </c>
      <c r="C385" s="57" t="n">
        <v>0.02215</v>
      </c>
      <c r="D385" s="57" t="n">
        <v>0.02315</v>
      </c>
      <c r="E385" s="57" t="n">
        <v>0.02595</v>
      </c>
      <c r="F385" s="57" t="n">
        <v>0.03162</v>
      </c>
      <c r="G385" s="57" t="n">
        <v>0.03439</v>
      </c>
    </row>
    <row r="386" customFormat="false" ht="15" hidden="false" customHeight="false" outlineLevel="0" collapsed="false">
      <c r="A386" s="52" t="n">
        <v>44733</v>
      </c>
      <c r="B386" s="57" t="n">
        <v>0.01944</v>
      </c>
      <c r="C386" s="57" t="n">
        <v>0.02224</v>
      </c>
      <c r="D386" s="57" t="n">
        <v>0.02315</v>
      </c>
      <c r="E386" s="57" t="n">
        <v>0.02571</v>
      </c>
      <c r="F386" s="57" t="n">
        <v>0.03156</v>
      </c>
      <c r="G386" s="57" t="n">
        <v>0.03426</v>
      </c>
    </row>
    <row r="387" customFormat="false" ht="15" hidden="false" customHeight="false" outlineLevel="0" collapsed="false">
      <c r="A387" s="52" t="n">
        <v>44734</v>
      </c>
      <c r="B387" s="57" t="n">
        <v>0.01943</v>
      </c>
      <c r="C387" s="57" t="n">
        <v>0.02201</v>
      </c>
      <c r="D387" s="57" t="n">
        <v>0.02304</v>
      </c>
      <c r="E387" s="57" t="n">
        <v>0.02561</v>
      </c>
      <c r="F387" s="57" t="n">
        <v>0.0314</v>
      </c>
      <c r="G387" s="57" t="n">
        <v>0.03421</v>
      </c>
    </row>
    <row r="388" customFormat="false" ht="15" hidden="false" customHeight="false" outlineLevel="0" collapsed="false">
      <c r="A388" s="52" t="n">
        <v>44735</v>
      </c>
      <c r="B388" s="57" t="n">
        <v>0.01942</v>
      </c>
      <c r="C388" s="57" t="n">
        <v>0.02201</v>
      </c>
      <c r="D388" s="57" t="n">
        <v>0.02294</v>
      </c>
      <c r="E388" s="57" t="n">
        <v>0.02554</v>
      </c>
      <c r="F388" s="57" t="n">
        <v>0.03147</v>
      </c>
      <c r="G388" s="57" t="n">
        <v>0.03418</v>
      </c>
    </row>
    <row r="389" customFormat="false" ht="15" hidden="false" customHeight="false" outlineLevel="0" collapsed="false">
      <c r="A389" s="52" t="n">
        <v>44736</v>
      </c>
      <c r="B389" s="57" t="n">
        <v>0.01941</v>
      </c>
      <c r="C389" s="57" t="n">
        <v>0.02223</v>
      </c>
      <c r="D389" s="57" t="n">
        <v>0.02304</v>
      </c>
      <c r="E389" s="57" t="n">
        <v>0.02559</v>
      </c>
      <c r="F389" s="57" t="n">
        <v>0.03146</v>
      </c>
      <c r="G389" s="57" t="n">
        <v>0.03428</v>
      </c>
    </row>
    <row r="390" customFormat="false" ht="15" hidden="false" customHeight="false" outlineLevel="0" collapsed="false">
      <c r="A390" s="52" t="n">
        <v>44739</v>
      </c>
      <c r="B390" s="57" t="n">
        <v>0.0194</v>
      </c>
      <c r="C390" s="57" t="n">
        <v>0.02223</v>
      </c>
      <c r="D390" s="57" t="n">
        <v>0.02313</v>
      </c>
      <c r="E390" s="57" t="n">
        <v>0.0256</v>
      </c>
      <c r="F390" s="57" t="n">
        <v>0.03151</v>
      </c>
      <c r="G390" s="57" t="n">
        <v>0.03401</v>
      </c>
    </row>
    <row r="391" customFormat="false" ht="15" hidden="false" customHeight="false" outlineLevel="0" collapsed="false">
      <c r="A391" s="52" t="n">
        <v>44740</v>
      </c>
      <c r="B391" s="57" t="n">
        <v>0.01956</v>
      </c>
      <c r="C391" s="57" t="n">
        <v>0.02243</v>
      </c>
      <c r="D391" s="57" t="n">
        <v>0.0238</v>
      </c>
      <c r="E391" s="57" t="n">
        <v>0.02553</v>
      </c>
      <c r="F391" s="57" t="n">
        <v>0.03135</v>
      </c>
      <c r="G391" s="57" t="n">
        <v>0.03395</v>
      </c>
    </row>
    <row r="392" customFormat="false" ht="15" hidden="false" customHeight="false" outlineLevel="0" collapsed="false">
      <c r="A392" s="52" t="n">
        <v>44741</v>
      </c>
      <c r="B392" s="57" t="n">
        <v>0.01988</v>
      </c>
      <c r="C392" s="57" t="n">
        <v>0.02254</v>
      </c>
      <c r="D392" s="57" t="n">
        <v>0.02412</v>
      </c>
      <c r="E392" s="57" t="n">
        <v>0.02541</v>
      </c>
      <c r="F392" s="57" t="n">
        <v>0.03117</v>
      </c>
      <c r="G392" s="57" t="n">
        <v>0.03373</v>
      </c>
    </row>
    <row r="393" customFormat="false" ht="15" hidden="false" customHeight="false" outlineLevel="0" collapsed="false">
      <c r="A393" s="52" t="n">
        <v>44742</v>
      </c>
      <c r="B393" s="57" t="n">
        <v>0.0195</v>
      </c>
      <c r="C393" s="57" t="n">
        <v>0.02263</v>
      </c>
      <c r="D393" s="57" t="n">
        <v>0.02393</v>
      </c>
      <c r="E393" s="57" t="n">
        <v>0.02546</v>
      </c>
      <c r="F393" s="57" t="n">
        <v>0.03115</v>
      </c>
      <c r="G393" s="57" t="n">
        <v>0.03368</v>
      </c>
    </row>
    <row r="394" customFormat="false" ht="15" hidden="false" customHeight="false" outlineLevel="0" collapsed="false">
      <c r="A394" s="52" t="n">
        <v>44743</v>
      </c>
      <c r="B394" s="57" t="n">
        <v>0.01952</v>
      </c>
      <c r="C394" s="57" t="n">
        <v>0.02285</v>
      </c>
      <c r="D394" s="57" t="n">
        <v>0.02427</v>
      </c>
      <c r="E394" s="57" t="n">
        <v>0.02639</v>
      </c>
      <c r="F394" s="57" t="n">
        <v>0.0313</v>
      </c>
      <c r="G394" s="57" t="n">
        <v>0.03365</v>
      </c>
    </row>
    <row r="395" customFormat="false" ht="15" hidden="false" customHeight="false" outlineLevel="0" collapsed="false">
      <c r="A395" s="52" t="n">
        <v>44746</v>
      </c>
      <c r="B395" s="57" t="n">
        <v>0.01928</v>
      </c>
      <c r="C395" s="57" t="n">
        <v>0.02296</v>
      </c>
      <c r="D395" s="57" t="n">
        <v>0.02445</v>
      </c>
      <c r="E395" s="57" t="n">
        <v>0.02642</v>
      </c>
      <c r="F395" s="57" t="n">
        <v>0.0312</v>
      </c>
      <c r="G395" s="57" t="n">
        <v>0.03375</v>
      </c>
    </row>
    <row r="396" customFormat="false" ht="15" hidden="false" customHeight="false" outlineLevel="0" collapsed="false">
      <c r="A396" s="52" t="n">
        <v>44747</v>
      </c>
      <c r="B396" s="57" t="n">
        <v>0.02037</v>
      </c>
      <c r="C396" s="57" t="n">
        <v>0.02296</v>
      </c>
      <c r="D396" s="57" t="n">
        <v>0.0245</v>
      </c>
      <c r="E396" s="57" t="n">
        <v>0.02644</v>
      </c>
      <c r="F396" s="57" t="n">
        <v>0.03112</v>
      </c>
      <c r="G396" s="57" t="n">
        <v>0.03368</v>
      </c>
    </row>
    <row r="397" customFormat="false" ht="15" hidden="false" customHeight="false" outlineLevel="0" collapsed="false">
      <c r="A397" s="52" t="n">
        <v>44748</v>
      </c>
      <c r="B397" s="57" t="n">
        <v>0.01979</v>
      </c>
      <c r="C397" s="57" t="n">
        <v>0.02296</v>
      </c>
      <c r="D397" s="57" t="n">
        <v>0.02447</v>
      </c>
      <c r="E397" s="57" t="n">
        <v>0.02626</v>
      </c>
      <c r="F397" s="57" t="n">
        <v>0.03106</v>
      </c>
      <c r="G397" s="57" t="n">
        <v>0.0336</v>
      </c>
    </row>
    <row r="398" customFormat="false" ht="15" hidden="false" customHeight="false" outlineLevel="0" collapsed="false">
      <c r="A398" s="52" t="n">
        <v>44749</v>
      </c>
      <c r="B398" s="57" t="n">
        <v>0.01974</v>
      </c>
      <c r="C398" s="57" t="n">
        <v>0.023</v>
      </c>
      <c r="D398" s="57" t="n">
        <v>0.02429</v>
      </c>
      <c r="E398" s="57" t="n">
        <v>0.02619</v>
      </c>
      <c r="F398" s="57" t="n">
        <v>0.03106</v>
      </c>
      <c r="G398" s="57" t="n">
        <v>0.03361</v>
      </c>
    </row>
    <row r="399" customFormat="false" ht="15" hidden="false" customHeight="false" outlineLevel="0" collapsed="false">
      <c r="A399" s="52" t="n">
        <v>44750</v>
      </c>
      <c r="B399" s="57" t="n">
        <v>0.02047</v>
      </c>
      <c r="C399" s="57" t="n">
        <v>0.02389</v>
      </c>
      <c r="D399" s="57" t="n">
        <v>0.02455</v>
      </c>
      <c r="E399" s="57" t="n">
        <v>0.02628</v>
      </c>
      <c r="F399" s="57" t="n">
        <v>0.03115</v>
      </c>
      <c r="G399" s="57" t="n">
        <v>0.03378</v>
      </c>
    </row>
    <row r="400" customFormat="false" ht="15" hidden="false" customHeight="false" outlineLevel="0" collapsed="false">
      <c r="A400" s="52" t="n">
        <v>44753</v>
      </c>
      <c r="B400" s="57" t="n">
        <v>0.02029</v>
      </c>
      <c r="C400" s="57" t="n">
        <v>0.02379</v>
      </c>
      <c r="D400" s="57" t="n">
        <v>0.02453</v>
      </c>
      <c r="E400" s="57" t="n">
        <v>0.02632</v>
      </c>
      <c r="F400" s="57" t="n">
        <v>0.03122</v>
      </c>
      <c r="G400" s="57" t="n">
        <v>0.03361</v>
      </c>
    </row>
    <row r="401" customFormat="false" ht="15" hidden="false" customHeight="false" outlineLevel="0" collapsed="false">
      <c r="A401" s="52" t="n">
        <v>44754</v>
      </c>
      <c r="B401" s="57" t="n">
        <v>0.02019</v>
      </c>
      <c r="C401" s="57" t="n">
        <v>0.02371</v>
      </c>
      <c r="D401" s="57" t="n">
        <v>0.02451</v>
      </c>
      <c r="E401" s="57" t="n">
        <v>0.0262</v>
      </c>
      <c r="F401" s="57" t="n">
        <v>0.03109</v>
      </c>
      <c r="G401" s="57" t="n">
        <v>0.03364</v>
      </c>
    </row>
    <row r="402" customFormat="false" ht="15" hidden="false" customHeight="false" outlineLevel="0" collapsed="false">
      <c r="A402" s="52" t="n">
        <v>44755</v>
      </c>
      <c r="B402" s="57" t="n">
        <v>0.02011</v>
      </c>
      <c r="C402" s="57" t="n">
        <v>0.0238</v>
      </c>
      <c r="D402" s="57" t="n">
        <v>0.02456</v>
      </c>
      <c r="E402" s="57" t="n">
        <v>0.02619</v>
      </c>
      <c r="F402" s="57" t="n">
        <v>0.031</v>
      </c>
      <c r="G402" s="57" t="n">
        <v>0.0336</v>
      </c>
    </row>
    <row r="403" customFormat="false" ht="15" hidden="false" customHeight="false" outlineLevel="0" collapsed="false">
      <c r="A403" s="52" t="n">
        <v>44756</v>
      </c>
      <c r="B403" s="57" t="n">
        <v>0.02019</v>
      </c>
      <c r="C403" s="57" t="n">
        <v>0.02392</v>
      </c>
      <c r="D403" s="57" t="n">
        <v>0.02481</v>
      </c>
      <c r="E403" s="57" t="n">
        <v>0.02647</v>
      </c>
      <c r="F403" s="57" t="n">
        <v>0.03122</v>
      </c>
      <c r="G403" s="57" t="n">
        <v>0.0339</v>
      </c>
    </row>
    <row r="404" customFormat="false" ht="15" hidden="false" customHeight="false" outlineLevel="0" collapsed="false">
      <c r="A404" s="52" t="n">
        <v>44757</v>
      </c>
      <c r="B404" s="57" t="n">
        <v>0.02025</v>
      </c>
      <c r="C404" s="57" t="n">
        <v>0.0241</v>
      </c>
      <c r="D404" s="57" t="n">
        <v>0.02495</v>
      </c>
      <c r="E404" s="57" t="n">
        <v>0.02665</v>
      </c>
      <c r="F404" s="57" t="n">
        <v>0.03151</v>
      </c>
      <c r="G404" s="57" t="n">
        <v>0.034</v>
      </c>
    </row>
    <row r="405" customFormat="false" ht="15" hidden="false" customHeight="false" outlineLevel="0" collapsed="false">
      <c r="A405" s="52" t="n">
        <v>44760</v>
      </c>
      <c r="B405" s="57" t="n">
        <v>0.02058</v>
      </c>
      <c r="C405" s="57" t="n">
        <v>0.02455</v>
      </c>
      <c r="D405" s="57" t="n">
        <v>0.02572</v>
      </c>
      <c r="E405" s="57" t="n">
        <v>0.02717</v>
      </c>
      <c r="F405" s="57" t="n">
        <v>0.03155</v>
      </c>
      <c r="G405" s="57" t="n">
        <v>0.03425</v>
      </c>
    </row>
    <row r="406" customFormat="false" ht="15" hidden="false" customHeight="false" outlineLevel="0" collapsed="false">
      <c r="A406" s="52" t="n">
        <v>44761</v>
      </c>
      <c r="B406" s="57" t="n">
        <v>0.02195</v>
      </c>
      <c r="C406" s="57" t="n">
        <v>0.02689</v>
      </c>
      <c r="D406" s="57" t="n">
        <v>0.02757</v>
      </c>
      <c r="E406" s="57" t="n">
        <v>0.02855</v>
      </c>
      <c r="F406" s="57" t="n">
        <v>0.03204</v>
      </c>
      <c r="G406" s="57" t="n">
        <v>0.03422</v>
      </c>
    </row>
    <row r="407" customFormat="false" ht="15" hidden="false" customHeight="false" outlineLevel="0" collapsed="false">
      <c r="A407" s="52" t="n">
        <v>44762</v>
      </c>
      <c r="B407" s="57" t="n">
        <v>0.02174</v>
      </c>
      <c r="C407" s="57" t="n">
        <v>0.02668</v>
      </c>
      <c r="D407" s="57" t="n">
        <v>0.02748</v>
      </c>
      <c r="E407" s="57" t="n">
        <v>0.02849</v>
      </c>
      <c r="F407" s="57" t="n">
        <v>0.03179</v>
      </c>
      <c r="G407" s="57" t="n">
        <v>0.03414</v>
      </c>
    </row>
    <row r="408" customFormat="false" ht="15" hidden="false" customHeight="false" outlineLevel="0" collapsed="false">
      <c r="A408" s="52" t="n">
        <v>44763</v>
      </c>
      <c r="B408" s="57" t="n">
        <v>0.0215</v>
      </c>
      <c r="C408" s="57" t="n">
        <v>0.02682</v>
      </c>
      <c r="D408" s="57" t="n">
        <v>0.02767</v>
      </c>
      <c r="E408" s="57" t="n">
        <v>0.02863</v>
      </c>
      <c r="F408" s="57" t="n">
        <v>0.03197</v>
      </c>
      <c r="G408" s="57" t="n">
        <v>0.03428</v>
      </c>
    </row>
    <row r="409" customFormat="false" ht="15" hidden="false" customHeight="false" outlineLevel="0" collapsed="false">
      <c r="A409" s="52" t="n">
        <v>44764</v>
      </c>
      <c r="B409" s="57" t="n">
        <v>0.02199</v>
      </c>
      <c r="C409" s="57" t="n">
        <v>0.02779</v>
      </c>
      <c r="D409" s="57" t="n">
        <v>0.02841</v>
      </c>
      <c r="E409" s="57" t="n">
        <v>0.02896</v>
      </c>
      <c r="F409" s="57" t="n">
        <v>0.03209</v>
      </c>
      <c r="G409" s="57" t="n">
        <v>0.03427</v>
      </c>
    </row>
    <row r="410" customFormat="false" ht="15" hidden="false" customHeight="false" outlineLevel="0" collapsed="false">
      <c r="A410" s="52" t="n">
        <v>44767</v>
      </c>
      <c r="B410" s="57" t="n">
        <v>0.02223</v>
      </c>
      <c r="C410" s="57" t="n">
        <v>0.02848</v>
      </c>
      <c r="D410" s="57" t="n">
        <v>0.02899</v>
      </c>
      <c r="E410" s="57" t="n">
        <v>0.02938</v>
      </c>
      <c r="F410" s="57" t="n">
        <v>0.0322</v>
      </c>
      <c r="G410" s="57" t="n">
        <v>0.03431</v>
      </c>
    </row>
    <row r="411" customFormat="false" ht="15" hidden="false" customHeight="false" outlineLevel="0" collapsed="false">
      <c r="A411" s="52" t="n">
        <v>44768</v>
      </c>
      <c r="B411" s="57" t="n">
        <v>0.02301</v>
      </c>
      <c r="C411" s="57" t="n">
        <v>0.02941</v>
      </c>
      <c r="D411" s="57" t="n">
        <v>0.02991</v>
      </c>
      <c r="E411" s="57" t="n">
        <v>0.03082</v>
      </c>
      <c r="F411" s="57" t="n">
        <v>0.03352</v>
      </c>
      <c r="G411" s="57" t="n">
        <v>0.03487</v>
      </c>
    </row>
    <row r="412" customFormat="false" ht="15" hidden="false" customHeight="false" outlineLevel="0" collapsed="false">
      <c r="A412" s="52" t="n">
        <v>44769</v>
      </c>
      <c r="B412" s="57" t="n">
        <v>0.02867</v>
      </c>
      <c r="C412" s="57" t="n">
        <v>0.03334</v>
      </c>
      <c r="D412" s="57" t="n">
        <v>0.03401</v>
      </c>
      <c r="E412" s="57" t="n">
        <v>0.03443</v>
      </c>
      <c r="F412" s="57" t="n">
        <v>0.0368</v>
      </c>
      <c r="G412" s="57" t="n">
        <v>0.03863</v>
      </c>
    </row>
    <row r="413" customFormat="false" ht="15" hidden="false" customHeight="false" outlineLevel="0" collapsed="false">
      <c r="A413" s="52" t="n">
        <v>44770</v>
      </c>
      <c r="B413" s="57" t="n">
        <v>0.02705</v>
      </c>
      <c r="C413" s="57" t="n">
        <v>0.03069</v>
      </c>
      <c r="D413" s="57" t="n">
        <v>0.03029</v>
      </c>
      <c r="E413" s="57" t="n">
        <v>0.03113</v>
      </c>
      <c r="F413" s="57" t="n">
        <v>0.0331</v>
      </c>
      <c r="G413" s="57" t="n">
        <v>0.03707</v>
      </c>
    </row>
    <row r="414" customFormat="false" ht="15" hidden="false" customHeight="false" outlineLevel="0" collapsed="false">
      <c r="A414" s="52" t="n">
        <v>44771</v>
      </c>
      <c r="B414" s="57" t="n">
        <v>0.02736</v>
      </c>
      <c r="C414" s="57" t="n">
        <v>0.0309</v>
      </c>
      <c r="D414" s="57" t="n">
        <v>0.03178</v>
      </c>
      <c r="E414" s="57" t="n">
        <v>0.03214</v>
      </c>
      <c r="F414" s="57" t="n">
        <v>0.03349</v>
      </c>
      <c r="G414" s="57" t="n">
        <v>0.03632</v>
      </c>
    </row>
    <row r="415" customFormat="false" ht="15" hidden="false" customHeight="false" outlineLevel="0" collapsed="false">
      <c r="A415" s="52" t="n">
        <v>44774</v>
      </c>
      <c r="B415" s="57" t="n">
        <v>0.02735</v>
      </c>
      <c r="C415" s="57" t="n">
        <v>0.03137</v>
      </c>
      <c r="D415" s="57" t="n">
        <v>0.03181</v>
      </c>
      <c r="E415" s="57" t="n">
        <v>0.03259</v>
      </c>
      <c r="F415" s="57" t="n">
        <v>0.0344</v>
      </c>
      <c r="G415" s="57" t="n">
        <v>0.03686</v>
      </c>
    </row>
    <row r="416" customFormat="false" ht="15" hidden="false" customHeight="false" outlineLevel="0" collapsed="false">
      <c r="A416" s="52" t="n">
        <v>44775</v>
      </c>
      <c r="B416" s="57" t="n">
        <v>0.02735</v>
      </c>
      <c r="C416" s="57" t="n">
        <v>0.03088</v>
      </c>
      <c r="D416" s="57" t="n">
        <v>0.03143</v>
      </c>
      <c r="E416" s="57" t="n">
        <v>0.03205</v>
      </c>
      <c r="F416" s="57" t="n">
        <v>0.03341</v>
      </c>
      <c r="G416" s="57" t="n">
        <v>0.03595</v>
      </c>
    </row>
    <row r="417" customFormat="false" ht="15" hidden="false" customHeight="false" outlineLevel="0" collapsed="false">
      <c r="A417" s="52" t="n">
        <v>44776</v>
      </c>
      <c r="B417" s="57" t="n">
        <v>0.02747</v>
      </c>
      <c r="C417" s="57" t="n">
        <v>0.03098</v>
      </c>
      <c r="D417" s="57" t="n">
        <v>0.03158</v>
      </c>
      <c r="E417" s="57" t="n">
        <v>0.03207</v>
      </c>
      <c r="F417" s="57" t="n">
        <v>0.03359</v>
      </c>
      <c r="G417" s="57" t="n">
        <v>0.036</v>
      </c>
    </row>
    <row r="418" customFormat="false" ht="15" hidden="false" customHeight="false" outlineLevel="0" collapsed="false">
      <c r="A418" s="52" t="n">
        <v>44777</v>
      </c>
      <c r="B418" s="57" t="n">
        <v>0.02746</v>
      </c>
      <c r="C418" s="57" t="n">
        <v>0.03128</v>
      </c>
      <c r="D418" s="57" t="n">
        <v>0.03169</v>
      </c>
      <c r="E418" s="57" t="n">
        <v>0.03229</v>
      </c>
      <c r="F418" s="57" t="n">
        <v>0.0342</v>
      </c>
      <c r="G418" s="57" t="n">
        <v>0.03686</v>
      </c>
    </row>
    <row r="419" customFormat="false" ht="15" hidden="false" customHeight="false" outlineLevel="0" collapsed="false">
      <c r="A419" s="52" t="n">
        <v>44778</v>
      </c>
      <c r="B419" s="57" t="n">
        <v>0.02749</v>
      </c>
      <c r="C419" s="57" t="n">
        <v>0.0316</v>
      </c>
      <c r="D419" s="57" t="n">
        <v>0.03209</v>
      </c>
      <c r="E419" s="57" t="n">
        <v>0.03243</v>
      </c>
      <c r="F419" s="57" t="n">
        <v>0.03432</v>
      </c>
      <c r="G419" s="57" t="n">
        <v>0.03712</v>
      </c>
    </row>
    <row r="420" customFormat="false" ht="15" hidden="false" customHeight="false" outlineLevel="0" collapsed="false">
      <c r="A420" s="52" t="n">
        <v>44781</v>
      </c>
      <c r="B420" s="57" t="n">
        <v>0.02752</v>
      </c>
      <c r="C420" s="57" t="n">
        <v>0.03158</v>
      </c>
      <c r="D420" s="57" t="n">
        <v>0.03209</v>
      </c>
      <c r="E420" s="57" t="n">
        <v>0.0325</v>
      </c>
      <c r="F420" s="57" t="n">
        <v>0.0345</v>
      </c>
      <c r="G420" s="57" t="n">
        <v>0.037</v>
      </c>
    </row>
    <row r="421" customFormat="false" ht="15" hidden="false" customHeight="false" outlineLevel="0" collapsed="false">
      <c r="A421" s="52" t="n">
        <v>44782</v>
      </c>
      <c r="B421" s="57" t="n">
        <v>0.02787</v>
      </c>
      <c r="C421" s="57" t="n">
        <v>0.03221</v>
      </c>
      <c r="D421" s="57" t="n">
        <v>0.03255</v>
      </c>
      <c r="E421" s="57" t="n">
        <v>0.03322</v>
      </c>
      <c r="F421" s="57" t="n">
        <v>0.03477</v>
      </c>
      <c r="G421" s="57" t="n">
        <v>0.0371</v>
      </c>
    </row>
    <row r="422" customFormat="false" ht="15" hidden="false" customHeight="false" outlineLevel="0" collapsed="false">
      <c r="A422" s="52" t="n">
        <v>44783</v>
      </c>
      <c r="B422" s="57" t="n">
        <v>0.0277</v>
      </c>
      <c r="C422" s="57" t="n">
        <v>0.03191</v>
      </c>
      <c r="D422" s="57" t="n">
        <v>0.03234</v>
      </c>
      <c r="E422" s="57" t="n">
        <v>0.03277</v>
      </c>
      <c r="F422" s="57" t="n">
        <v>0.0347</v>
      </c>
      <c r="G422" s="57" t="n">
        <v>0.03718</v>
      </c>
    </row>
    <row r="423" customFormat="false" ht="15" hidden="false" customHeight="false" outlineLevel="0" collapsed="false">
      <c r="A423" s="52" t="n">
        <v>44784</v>
      </c>
      <c r="B423" s="57" t="n">
        <v>0.02737</v>
      </c>
      <c r="C423" s="57" t="n">
        <v>0.0306</v>
      </c>
      <c r="D423" s="57" t="n">
        <v>0.03126</v>
      </c>
      <c r="E423" s="57" t="n">
        <v>0.03164</v>
      </c>
      <c r="F423" s="57" t="n">
        <v>0.03345</v>
      </c>
      <c r="G423" s="57" t="n">
        <v>0.03591</v>
      </c>
    </row>
    <row r="424" customFormat="false" ht="15" hidden="false" customHeight="false" outlineLevel="0" collapsed="false">
      <c r="A424" s="52" t="n">
        <v>44785</v>
      </c>
      <c r="B424" s="57" t="n">
        <v>0.02723</v>
      </c>
      <c r="C424" s="57" t="n">
        <v>0.03071</v>
      </c>
      <c r="D424" s="57" t="n">
        <v>0.03123</v>
      </c>
      <c r="E424" s="57" t="n">
        <v>0.03162</v>
      </c>
      <c r="F424" s="57" t="n">
        <v>0.03354</v>
      </c>
      <c r="G424" s="57" t="n">
        <v>0.03618</v>
      </c>
    </row>
    <row r="425" customFormat="false" ht="15" hidden="false" customHeight="false" outlineLevel="0" collapsed="false">
      <c r="A425" s="52" t="n">
        <v>44788</v>
      </c>
      <c r="B425" s="57" t="n">
        <v>0.0273</v>
      </c>
      <c r="C425" s="57" t="n">
        <v>0.03078</v>
      </c>
      <c r="D425" s="57" t="n">
        <v>0.03119</v>
      </c>
      <c r="E425" s="57" t="n">
        <v>0.03159</v>
      </c>
      <c r="F425" s="57" t="n">
        <v>0.03399</v>
      </c>
      <c r="G425" s="57" t="n">
        <v>0.03621</v>
      </c>
    </row>
    <row r="426" customFormat="false" ht="15" hidden="false" customHeight="false" outlineLevel="0" collapsed="false">
      <c r="A426" s="52" t="n">
        <v>44789</v>
      </c>
      <c r="B426" s="57" t="n">
        <v>0.02728</v>
      </c>
      <c r="C426" s="57" t="n">
        <v>0.0306</v>
      </c>
      <c r="D426" s="57" t="n">
        <v>0.03099</v>
      </c>
      <c r="E426" s="57" t="n">
        <v>0.03145</v>
      </c>
      <c r="F426" s="57" t="n">
        <v>0.03363</v>
      </c>
      <c r="G426" s="57" t="n">
        <v>0.03599</v>
      </c>
    </row>
    <row r="427" customFormat="false" ht="15" hidden="false" customHeight="false" outlineLevel="0" collapsed="false">
      <c r="A427" s="52" t="n">
        <v>44790</v>
      </c>
      <c r="B427" s="57" t="n">
        <v>0.0274</v>
      </c>
      <c r="C427" s="57" t="n">
        <v>0.03075</v>
      </c>
      <c r="D427" s="57" t="n">
        <v>0.03109</v>
      </c>
      <c r="E427" s="57" t="n">
        <v>0.03155</v>
      </c>
      <c r="F427" s="57" t="n">
        <v>0.03397</v>
      </c>
      <c r="G427" s="57" t="n">
        <v>0.03618</v>
      </c>
    </row>
    <row r="428" customFormat="false" ht="15" hidden="false" customHeight="false" outlineLevel="0" collapsed="false">
      <c r="A428" s="52" t="n">
        <v>44791</v>
      </c>
      <c r="B428" s="57" t="n">
        <v>0.02739</v>
      </c>
      <c r="C428" s="57" t="n">
        <v>0.03076</v>
      </c>
      <c r="D428" s="57" t="n">
        <v>0.03123</v>
      </c>
      <c r="E428" s="57" t="n">
        <v>0.03177</v>
      </c>
      <c r="F428" s="57" t="n">
        <v>0.03408</v>
      </c>
      <c r="G428" s="57" t="n">
        <v>0.03596</v>
      </c>
    </row>
    <row r="429" customFormat="false" ht="15" hidden="false" customHeight="false" outlineLevel="0" collapsed="false">
      <c r="A429" s="52" t="n">
        <v>44792</v>
      </c>
      <c r="B429" s="57" t="n">
        <v>0.02748</v>
      </c>
      <c r="C429" s="57" t="n">
        <v>0.03084</v>
      </c>
      <c r="D429" s="57" t="n">
        <v>0.03131</v>
      </c>
      <c r="E429" s="57" t="n">
        <v>0.03179</v>
      </c>
      <c r="F429" s="57" t="n">
        <v>0.03422</v>
      </c>
      <c r="G429" s="57" t="n">
        <v>0.03603</v>
      </c>
    </row>
    <row r="430" customFormat="false" ht="15" hidden="false" customHeight="false" outlineLevel="0" collapsed="false">
      <c r="A430" s="52" t="n">
        <v>44795</v>
      </c>
      <c r="B430" s="57" t="n">
        <v>0.02744</v>
      </c>
      <c r="C430" s="57" t="n">
        <v>0.031</v>
      </c>
      <c r="D430" s="57" t="n">
        <v>0.03144</v>
      </c>
      <c r="E430" s="57" t="n">
        <v>0.03181</v>
      </c>
      <c r="F430" s="57" t="n">
        <v>0.03434</v>
      </c>
      <c r="G430" s="57" t="n">
        <v>0.03609</v>
      </c>
    </row>
    <row r="431" customFormat="false" ht="15" hidden="false" customHeight="false" outlineLevel="0" collapsed="false">
      <c r="A431" s="52" t="n">
        <v>44796</v>
      </c>
      <c r="B431" s="57" t="n">
        <v>0.02759</v>
      </c>
      <c r="C431" s="57" t="n">
        <v>0.03125</v>
      </c>
      <c r="D431" s="57" t="n">
        <v>0.03163</v>
      </c>
      <c r="E431" s="57" t="n">
        <v>0.03231</v>
      </c>
      <c r="F431" s="57" t="n">
        <v>0.03471</v>
      </c>
      <c r="G431" s="57" t="n">
        <v>0.03642</v>
      </c>
    </row>
    <row r="432" customFormat="false" ht="15" hidden="false" customHeight="false" outlineLevel="0" collapsed="false">
      <c r="A432" s="52" t="n">
        <v>44797</v>
      </c>
      <c r="B432" s="57" t="n">
        <v>0.02754</v>
      </c>
      <c r="C432" s="57" t="n">
        <v>0.03164</v>
      </c>
      <c r="D432" s="57" t="n">
        <v>0.03186</v>
      </c>
      <c r="E432" s="57" t="n">
        <v>0.03239</v>
      </c>
      <c r="F432" s="57" t="n">
        <v>0.03468</v>
      </c>
      <c r="G432" s="57" t="n">
        <v>0.03647</v>
      </c>
    </row>
    <row r="433" customFormat="false" ht="15" hidden="false" customHeight="false" outlineLevel="0" collapsed="false">
      <c r="A433" s="52" t="n">
        <v>44798</v>
      </c>
      <c r="B433" s="57" t="n">
        <v>0.02767</v>
      </c>
      <c r="C433" s="57" t="n">
        <v>0.03167</v>
      </c>
      <c r="D433" s="57" t="n">
        <v>0.03191</v>
      </c>
      <c r="E433" s="57" t="n">
        <v>0.03246</v>
      </c>
      <c r="F433" s="57" t="n">
        <v>0.03469</v>
      </c>
      <c r="G433" s="57" t="n">
        <v>0.03645</v>
      </c>
    </row>
    <row r="434" customFormat="false" ht="15" hidden="false" customHeight="false" outlineLevel="0" collapsed="false">
      <c r="A434" s="52" t="n">
        <v>44799</v>
      </c>
      <c r="B434" s="57" t="n">
        <v>0.02763</v>
      </c>
      <c r="C434" s="57" t="n">
        <v>0.03165</v>
      </c>
      <c r="D434" s="57" t="n">
        <v>0.03192</v>
      </c>
      <c r="E434" s="57" t="n">
        <v>0.03246</v>
      </c>
      <c r="F434" s="57" t="n">
        <v>0.03481</v>
      </c>
      <c r="G434" s="57" t="n">
        <v>0.03641</v>
      </c>
    </row>
    <row r="435" customFormat="false" ht="15" hidden="false" customHeight="false" outlineLevel="0" collapsed="false">
      <c r="A435" s="52" t="n">
        <v>44802</v>
      </c>
      <c r="B435" s="57" t="n">
        <v>0.0275</v>
      </c>
      <c r="C435" s="57" t="n">
        <v>0.03193</v>
      </c>
      <c r="D435" s="57" t="n">
        <v>0.03217</v>
      </c>
      <c r="E435" s="57" t="n">
        <v>0.03248</v>
      </c>
      <c r="F435" s="57" t="n">
        <v>0.03492</v>
      </c>
      <c r="G435" s="57" t="n">
        <v>0.03668</v>
      </c>
    </row>
    <row r="436" customFormat="false" ht="15" hidden="false" customHeight="false" outlineLevel="0" collapsed="false">
      <c r="A436" s="52" t="n">
        <v>44803</v>
      </c>
      <c r="B436" s="57" t="n">
        <v>0.02747</v>
      </c>
      <c r="C436" s="57" t="n">
        <v>0.03193</v>
      </c>
      <c r="D436" s="57" t="n">
        <v>0.03218</v>
      </c>
      <c r="E436" s="57" t="n">
        <v>0.03249</v>
      </c>
      <c r="F436" s="57" t="n">
        <v>0.03497</v>
      </c>
      <c r="G436" s="57" t="n">
        <v>0.03673</v>
      </c>
    </row>
    <row r="437" customFormat="false" ht="15" hidden="false" customHeight="false" outlineLevel="0" collapsed="false">
      <c r="A437" s="52" t="n">
        <v>44804</v>
      </c>
      <c r="B437" s="57" t="n">
        <v>0.02743</v>
      </c>
      <c r="C437" s="57" t="n">
        <v>0.03198</v>
      </c>
      <c r="D437" s="57" t="n">
        <v>0.03231</v>
      </c>
      <c r="E437" s="57" t="n">
        <v>0.03255</v>
      </c>
      <c r="F437" s="57" t="n">
        <v>0.03519</v>
      </c>
      <c r="G437" s="57" t="n">
        <v>0.03681</v>
      </c>
    </row>
    <row r="438" customFormat="false" ht="15" hidden="false" customHeight="false" outlineLevel="0" collapsed="false">
      <c r="A438" s="52" t="n">
        <v>44805</v>
      </c>
      <c r="B438" s="57" t="n">
        <v>0.02743</v>
      </c>
      <c r="C438" s="57" t="n">
        <v>0.03198</v>
      </c>
      <c r="D438" s="57" t="n">
        <v>0.03231</v>
      </c>
      <c r="E438" s="57" t="n">
        <v>0.03255</v>
      </c>
      <c r="F438" s="57" t="n">
        <v>0.03519</v>
      </c>
      <c r="G438" s="57" t="n">
        <v>0.03681</v>
      </c>
    </row>
    <row r="439" customFormat="false" ht="15" hidden="false" customHeight="false" outlineLevel="0" collapsed="false">
      <c r="A439" s="52" t="n">
        <v>44806</v>
      </c>
      <c r="B439" s="57" t="n">
        <v>0.02743</v>
      </c>
      <c r="C439" s="57" t="n">
        <v>0.03198</v>
      </c>
      <c r="D439" s="57" t="n">
        <v>0.03231</v>
      </c>
      <c r="E439" s="57" t="n">
        <v>0.03255</v>
      </c>
      <c r="F439" s="57" t="n">
        <v>0.03519</v>
      </c>
      <c r="G439" s="57" t="n">
        <v>0.03681</v>
      </c>
    </row>
    <row r="440" customFormat="false" ht="15" hidden="false" customHeight="false" outlineLevel="0" collapsed="false">
      <c r="A440" s="52" t="n">
        <v>44809</v>
      </c>
      <c r="B440" s="57" t="n">
        <v>0.02809</v>
      </c>
      <c r="C440" s="57" t="n">
        <v>0.03245</v>
      </c>
      <c r="D440" s="57" t="n">
        <v>0.03257</v>
      </c>
      <c r="E440" s="57" t="n">
        <v>0.03281</v>
      </c>
      <c r="F440" s="57" t="n">
        <v>0.0353</v>
      </c>
      <c r="G440" s="57" t="n">
        <v>0.03716</v>
      </c>
    </row>
    <row r="441" customFormat="false" ht="15" hidden="false" customHeight="false" outlineLevel="0" collapsed="false">
      <c r="A441" s="52" t="n">
        <v>44810</v>
      </c>
      <c r="B441" s="57" t="n">
        <v>0.02882</v>
      </c>
      <c r="C441" s="57" t="n">
        <v>0.03231</v>
      </c>
      <c r="D441" s="57" t="n">
        <v>0.0326</v>
      </c>
      <c r="E441" s="57" t="n">
        <v>0.03317</v>
      </c>
      <c r="F441" s="57" t="n">
        <v>0.03609</v>
      </c>
      <c r="G441" s="57" t="n">
        <v>0.03769</v>
      </c>
    </row>
    <row r="442" customFormat="false" ht="15" hidden="false" customHeight="false" outlineLevel="0" collapsed="false">
      <c r="A442" s="52" t="n">
        <v>44811</v>
      </c>
      <c r="B442" s="57" t="n">
        <v>0.02934</v>
      </c>
      <c r="C442" s="57" t="n">
        <v>0.03235</v>
      </c>
      <c r="D442" s="57" t="n">
        <v>0.03262</v>
      </c>
      <c r="E442" s="57" t="n">
        <v>0.03367</v>
      </c>
      <c r="F442" s="57" t="n">
        <v>0.03708</v>
      </c>
      <c r="G442" s="57" t="n">
        <v>0.03819</v>
      </c>
    </row>
    <row r="443" customFormat="false" ht="15" hidden="false" customHeight="false" outlineLevel="0" collapsed="false">
      <c r="A443" s="52" t="n">
        <v>44812</v>
      </c>
      <c r="B443" s="57" t="n">
        <v>0.0301</v>
      </c>
      <c r="C443" s="57" t="n">
        <v>0.03216</v>
      </c>
      <c r="D443" s="57" t="n">
        <v>0.03244</v>
      </c>
      <c r="E443" s="57" t="n">
        <v>0.03352</v>
      </c>
      <c r="F443" s="57" t="n">
        <v>0.03712</v>
      </c>
      <c r="G443" s="57" t="n">
        <v>0.03833</v>
      </c>
    </row>
    <row r="444" customFormat="false" ht="15" hidden="false" customHeight="false" outlineLevel="0" collapsed="false">
      <c r="A444" s="52" t="n">
        <v>44813</v>
      </c>
      <c r="B444" s="57" t="n">
        <v>0.03011</v>
      </c>
      <c r="C444" s="57" t="n">
        <v>0.03199</v>
      </c>
      <c r="D444" s="57" t="n">
        <v>0.03235</v>
      </c>
      <c r="E444" s="57" t="n">
        <v>0.03328</v>
      </c>
      <c r="F444" s="57" t="n">
        <v>0.03693</v>
      </c>
      <c r="G444" s="57" t="n">
        <v>0.03817</v>
      </c>
    </row>
    <row r="445" customFormat="false" ht="15" hidden="false" customHeight="false" outlineLevel="0" collapsed="false">
      <c r="A445" s="52" t="n">
        <v>44816</v>
      </c>
      <c r="B445" s="57" t="n">
        <v>0.03022</v>
      </c>
      <c r="C445" s="57" t="n">
        <v>0.03191</v>
      </c>
      <c r="D445" s="57" t="n">
        <v>0.0322</v>
      </c>
      <c r="E445" s="57" t="n">
        <v>0.03318</v>
      </c>
      <c r="F445" s="57" t="n">
        <v>0.03687</v>
      </c>
      <c r="G445" s="57" t="n">
        <v>0.038</v>
      </c>
    </row>
    <row r="446" customFormat="false" ht="15" hidden="false" customHeight="false" outlineLevel="0" collapsed="false">
      <c r="A446" s="52" t="n">
        <v>44817</v>
      </c>
      <c r="B446" s="57" t="n">
        <v>0.0308</v>
      </c>
      <c r="C446" s="57" t="n">
        <v>0.03187</v>
      </c>
      <c r="D446" s="57" t="n">
        <v>0.0322</v>
      </c>
      <c r="E446" s="57" t="n">
        <v>0.03335</v>
      </c>
      <c r="F446" s="57" t="n">
        <v>0.03707</v>
      </c>
      <c r="G446" s="57" t="n">
        <v>0.03803</v>
      </c>
    </row>
    <row r="447" customFormat="false" ht="15" hidden="false" customHeight="false" outlineLevel="0" collapsed="false">
      <c r="A447" s="52" t="n">
        <v>44818</v>
      </c>
      <c r="B447" s="57" t="n">
        <v>0.03114</v>
      </c>
      <c r="C447" s="57" t="n">
        <v>0.03224</v>
      </c>
      <c r="D447" s="57" t="n">
        <v>0.03244</v>
      </c>
      <c r="E447" s="57" t="n">
        <v>0.03381</v>
      </c>
      <c r="F447" s="57" t="n">
        <v>0.03744</v>
      </c>
      <c r="G447" s="57" t="n">
        <v>0.03852</v>
      </c>
    </row>
    <row r="448" customFormat="false" ht="15" hidden="false" customHeight="false" outlineLevel="0" collapsed="false">
      <c r="A448" s="52" t="n">
        <v>44819</v>
      </c>
      <c r="B448" s="57" t="n">
        <v>0.03113</v>
      </c>
      <c r="C448" s="57" t="n">
        <v>0.03222</v>
      </c>
      <c r="D448" s="57" t="n">
        <v>0.03242</v>
      </c>
      <c r="E448" s="57" t="n">
        <v>0.03378</v>
      </c>
      <c r="F448" s="57" t="n">
        <v>0.03754</v>
      </c>
      <c r="G448" s="57" t="n">
        <v>0.03862</v>
      </c>
    </row>
    <row r="449" customFormat="false" ht="15" hidden="false" customHeight="false" outlineLevel="0" collapsed="false">
      <c r="A449" s="52" t="n">
        <v>44820</v>
      </c>
      <c r="B449" s="57" t="n">
        <v>0.03193</v>
      </c>
      <c r="C449" s="57" t="n">
        <v>0.03276</v>
      </c>
      <c r="D449" s="57" t="n">
        <v>0.03286</v>
      </c>
      <c r="E449" s="57" t="n">
        <v>0.03426</v>
      </c>
      <c r="F449" s="57" t="n">
        <v>0.03787</v>
      </c>
      <c r="G449" s="57" t="n">
        <v>0.039</v>
      </c>
    </row>
    <row r="450" customFormat="false" ht="15" hidden="false" customHeight="false" outlineLevel="0" collapsed="false">
      <c r="A450" s="52" t="n">
        <v>44823</v>
      </c>
      <c r="B450" s="57" t="n">
        <v>0.03214</v>
      </c>
      <c r="C450" s="57" t="n">
        <v>0.03294</v>
      </c>
      <c r="D450" s="57" t="n">
        <v>0.03303</v>
      </c>
      <c r="E450" s="57" t="n">
        <v>0.03414</v>
      </c>
      <c r="F450" s="57" t="n">
        <v>0.03794</v>
      </c>
      <c r="G450" s="57" t="n">
        <v>0.03896</v>
      </c>
    </row>
    <row r="451" customFormat="false" ht="15" hidden="false" customHeight="false" outlineLevel="0" collapsed="false">
      <c r="A451" s="52" t="n">
        <v>44824</v>
      </c>
      <c r="B451" s="57" t="n">
        <v>0.0333</v>
      </c>
      <c r="C451" s="57" t="n">
        <v>0.03345</v>
      </c>
      <c r="D451" s="57" t="n">
        <v>0.03356</v>
      </c>
      <c r="E451" s="57" t="n">
        <v>0.03472</v>
      </c>
      <c r="F451" s="57" t="n">
        <v>0.03847</v>
      </c>
      <c r="G451" s="57" t="n">
        <v>0.03943</v>
      </c>
    </row>
    <row r="452" customFormat="false" ht="15" hidden="false" customHeight="false" outlineLevel="0" collapsed="false">
      <c r="A452" s="52" t="n">
        <v>44825</v>
      </c>
      <c r="B452" s="57" t="n">
        <v>0.03615</v>
      </c>
      <c r="C452" s="57" t="n">
        <v>0.03656</v>
      </c>
      <c r="D452" s="57" t="n">
        <v>0.03848</v>
      </c>
      <c r="E452" s="57" t="n">
        <v>0.03828</v>
      </c>
      <c r="F452" s="57" t="n">
        <v>0.04062</v>
      </c>
      <c r="G452" s="57" t="n">
        <v>0.04305</v>
      </c>
    </row>
    <row r="453" customFormat="false" ht="15" hidden="false" customHeight="false" outlineLevel="0" collapsed="false">
      <c r="A453" s="52" t="n">
        <v>44826</v>
      </c>
      <c r="B453" s="57" t="n">
        <v>0.04117</v>
      </c>
      <c r="C453" s="57" t="n">
        <v>0.04115</v>
      </c>
      <c r="D453" s="57" t="n">
        <v>0.04145</v>
      </c>
      <c r="E453" s="57" t="n">
        <v>0.042</v>
      </c>
      <c r="F453" s="57" t="n">
        <v>0.04416</v>
      </c>
      <c r="G453" s="57" t="n">
        <v>0.04531</v>
      </c>
    </row>
    <row r="454" customFormat="false" ht="15" hidden="false" customHeight="false" outlineLevel="0" collapsed="false">
      <c r="A454" s="52" t="n">
        <v>44827</v>
      </c>
      <c r="B454" s="57" t="n">
        <v>0.043</v>
      </c>
      <c r="C454" s="57" t="n">
        <v>0.04272</v>
      </c>
      <c r="D454" s="57" t="n">
        <v>0.04286</v>
      </c>
      <c r="E454" s="57" t="n">
        <v>0.04306</v>
      </c>
      <c r="F454" s="57" t="n">
        <v>0.04541</v>
      </c>
      <c r="G454" s="57" t="n">
        <v>0.04645</v>
      </c>
    </row>
    <row r="455" customFormat="false" ht="15" hidden="false" customHeight="false" outlineLevel="0" collapsed="false">
      <c r="A455" s="52" t="n">
        <v>44830</v>
      </c>
      <c r="B455" s="57" t="n">
        <v>0.04317</v>
      </c>
      <c r="C455" s="57" t="n">
        <v>0.04314</v>
      </c>
      <c r="D455" s="57" t="n">
        <v>0.04313</v>
      </c>
      <c r="E455" s="57" t="n">
        <v>0.04327</v>
      </c>
      <c r="F455" s="57" t="n">
        <v>0.04556</v>
      </c>
      <c r="G455" s="57" t="n">
        <v>0.04667</v>
      </c>
    </row>
    <row r="456" customFormat="false" ht="15" hidden="false" customHeight="false" outlineLevel="0" collapsed="false">
      <c r="A456" s="52" t="n">
        <v>44831</v>
      </c>
      <c r="B456" s="57" t="n">
        <v>0.04601</v>
      </c>
      <c r="C456" s="57" t="n">
        <v>0.0464</v>
      </c>
      <c r="D456" s="57" t="n">
        <v>0.046</v>
      </c>
      <c r="E456" s="57" t="n">
        <v>0.0461</v>
      </c>
      <c r="F456" s="57" t="n">
        <v>0.04804</v>
      </c>
      <c r="G456" s="57" t="n">
        <v>0.04874</v>
      </c>
    </row>
    <row r="457" customFormat="false" ht="15" hidden="false" customHeight="false" outlineLevel="0" collapsed="false">
      <c r="A457" s="52" t="n">
        <v>44832</v>
      </c>
      <c r="B457" s="57" t="n">
        <v>0.04733</v>
      </c>
      <c r="C457" s="57" t="n">
        <v>0.04715</v>
      </c>
      <c r="D457" s="57" t="n">
        <v>0.04684</v>
      </c>
      <c r="E457" s="57" t="n">
        <v>0.0471</v>
      </c>
      <c r="F457" s="57" t="n">
        <v>0.0491</v>
      </c>
      <c r="G457" s="57" t="n">
        <v>0.05025</v>
      </c>
    </row>
    <row r="458" customFormat="false" ht="15" hidden="false" customHeight="false" outlineLevel="0" collapsed="false">
      <c r="A458" s="52" t="n">
        <v>44833</v>
      </c>
      <c r="B458" s="57" t="n">
        <v>0.04701</v>
      </c>
      <c r="C458" s="57" t="n">
        <v>0.04696</v>
      </c>
      <c r="D458" s="57" t="n">
        <v>0.04667</v>
      </c>
      <c r="E458" s="57" t="n">
        <v>0.04677</v>
      </c>
      <c r="F458" s="57" t="n">
        <v>0.04855</v>
      </c>
      <c r="G458" s="57" t="n">
        <v>0.04975</v>
      </c>
    </row>
    <row r="459" customFormat="false" ht="15" hidden="false" customHeight="false" outlineLevel="0" collapsed="false">
      <c r="A459" s="52" t="n">
        <v>44834</v>
      </c>
      <c r="B459" s="57" t="n">
        <v>0.0474</v>
      </c>
      <c r="C459" s="57" t="n">
        <v>0.04716</v>
      </c>
      <c r="D459" s="57" t="n">
        <v>0.04706</v>
      </c>
      <c r="E459" s="57" t="n">
        <v>0.04702</v>
      </c>
      <c r="F459" s="57" t="n">
        <v>0.04885</v>
      </c>
      <c r="G459" s="57" t="n">
        <v>0.05016</v>
      </c>
    </row>
    <row r="460" customFormat="false" ht="15" hidden="false" customHeight="false" outlineLevel="0" collapsed="false">
      <c r="A460" s="52" t="n">
        <v>44837</v>
      </c>
      <c r="B460" s="57" t="n">
        <v>0.04747</v>
      </c>
      <c r="C460" s="57" t="n">
        <v>0.0472</v>
      </c>
      <c r="D460" s="57" t="n">
        <v>0.04706</v>
      </c>
      <c r="E460" s="57" t="n">
        <v>0.04704</v>
      </c>
      <c r="F460" s="57" t="n">
        <v>0.04898</v>
      </c>
      <c r="G460" s="57" t="n">
        <v>0.05027</v>
      </c>
    </row>
    <row r="461" customFormat="false" ht="15" hidden="false" customHeight="false" outlineLevel="0" collapsed="false">
      <c r="A461" s="52" t="n">
        <v>44838</v>
      </c>
      <c r="B461" s="57" t="n">
        <v>0.04929</v>
      </c>
      <c r="C461" s="57" t="n">
        <v>0.04885</v>
      </c>
      <c r="D461" s="57" t="n">
        <v>0.04899</v>
      </c>
      <c r="E461" s="57" t="n">
        <v>0.0489</v>
      </c>
      <c r="F461" s="57" t="n">
        <v>0.04996</v>
      </c>
      <c r="G461" s="57" t="n">
        <v>0.05115</v>
      </c>
    </row>
    <row r="462" customFormat="false" ht="15" hidden="false" customHeight="false" outlineLevel="0" collapsed="false">
      <c r="A462" s="52" t="n">
        <v>44839</v>
      </c>
      <c r="B462" s="57" t="n">
        <v>0.0498</v>
      </c>
      <c r="C462" s="57" t="n">
        <v>0.04941</v>
      </c>
      <c r="D462" s="57" t="n">
        <v>0.04934</v>
      </c>
      <c r="E462" s="57" t="n">
        <v>0.04958</v>
      </c>
      <c r="F462" s="57" t="n">
        <v>0.05026</v>
      </c>
      <c r="G462" s="57" t="n">
        <v>0.05128</v>
      </c>
    </row>
    <row r="463" customFormat="false" ht="15" hidden="false" customHeight="false" outlineLevel="0" collapsed="false">
      <c r="A463" s="52" t="n">
        <v>44840</v>
      </c>
      <c r="B463" s="57" t="n">
        <v>0.04966</v>
      </c>
      <c r="C463" s="57" t="n">
        <v>0.0495</v>
      </c>
      <c r="D463" s="57" t="n">
        <v>0.0495</v>
      </c>
      <c r="E463" s="57" t="n">
        <v>0.04952</v>
      </c>
      <c r="F463" s="57" t="n">
        <v>0.05025</v>
      </c>
      <c r="G463" s="57" t="n">
        <v>0.05123</v>
      </c>
    </row>
    <row r="464" customFormat="false" ht="15" hidden="false" customHeight="false" outlineLevel="0" collapsed="false">
      <c r="A464" s="52" t="n">
        <v>44841</v>
      </c>
      <c r="B464" s="57" t="n">
        <v>0.04952</v>
      </c>
      <c r="C464" s="57" t="n">
        <v>0.04976</v>
      </c>
      <c r="D464" s="57" t="n">
        <v>0.0495</v>
      </c>
      <c r="E464" s="57" t="n">
        <v>0.04953</v>
      </c>
      <c r="F464" s="57" t="n">
        <v>0.05044</v>
      </c>
      <c r="G464" s="57" t="n">
        <v>0.05142</v>
      </c>
    </row>
    <row r="465" customFormat="false" ht="15" hidden="false" customHeight="false" outlineLevel="0" collapsed="false">
      <c r="A465" s="52" t="n">
        <v>44844</v>
      </c>
      <c r="B465" s="57" t="n">
        <v>0.04955</v>
      </c>
      <c r="C465" s="57" t="n">
        <v>0.04948</v>
      </c>
      <c r="D465" s="57" t="n">
        <v>0.04974</v>
      </c>
      <c r="E465" s="57" t="n">
        <v>0.05002</v>
      </c>
      <c r="F465" s="57" t="n">
        <v>0.05059</v>
      </c>
      <c r="G465" s="57" t="n">
        <v>0.05131</v>
      </c>
    </row>
    <row r="466" customFormat="false" ht="15" hidden="false" customHeight="false" outlineLevel="0" collapsed="false">
      <c r="A466" s="52" t="n">
        <v>44845</v>
      </c>
      <c r="B466" s="57" t="n">
        <v>0.04941</v>
      </c>
      <c r="C466" s="57" t="n">
        <v>0.04946</v>
      </c>
      <c r="D466" s="57" t="n">
        <v>0.04956</v>
      </c>
      <c r="E466" s="57" t="n">
        <v>0.04988</v>
      </c>
      <c r="F466" s="57" t="n">
        <v>0.05063</v>
      </c>
      <c r="G466" s="57" t="n">
        <v>0.05154</v>
      </c>
    </row>
    <row r="467" customFormat="false" ht="15" hidden="false" customHeight="false" outlineLevel="0" collapsed="false">
      <c r="A467" s="52" t="n">
        <v>44846</v>
      </c>
      <c r="B467" s="57" t="n">
        <v>0.04977</v>
      </c>
      <c r="C467" s="57" t="n">
        <v>0.04986</v>
      </c>
      <c r="D467" s="57" t="n">
        <v>0.04992</v>
      </c>
      <c r="E467" s="57" t="n">
        <v>0.05025</v>
      </c>
      <c r="F467" s="57" t="n">
        <v>0.05099</v>
      </c>
      <c r="G467" s="57" t="n">
        <v>0.0518</v>
      </c>
    </row>
    <row r="468" customFormat="false" ht="15" hidden="false" customHeight="false" outlineLevel="0" collapsed="false">
      <c r="A468" s="52" t="n">
        <v>44847</v>
      </c>
      <c r="B468" s="57" t="n">
        <v>0.04973</v>
      </c>
      <c r="C468" s="57" t="n">
        <v>0.04982</v>
      </c>
      <c r="D468" s="57" t="n">
        <v>0.04987</v>
      </c>
      <c r="E468" s="57" t="n">
        <v>0.05016</v>
      </c>
      <c r="F468" s="57" t="n">
        <v>0.05095</v>
      </c>
      <c r="G468" s="57" t="n">
        <v>0.05171</v>
      </c>
    </row>
    <row r="469" customFormat="false" ht="15" hidden="false" customHeight="false" outlineLevel="0" collapsed="false">
      <c r="A469" s="52" t="n">
        <v>44848</v>
      </c>
      <c r="B469" s="57" t="n">
        <v>0.04964</v>
      </c>
      <c r="C469" s="57" t="n">
        <v>0.04973</v>
      </c>
      <c r="D469" s="57" t="n">
        <v>0.04978</v>
      </c>
      <c r="E469" s="57" t="n">
        <v>0.05016</v>
      </c>
      <c r="F469" s="57" t="n">
        <v>0.05095</v>
      </c>
      <c r="G469" s="57" t="n">
        <v>0.05171</v>
      </c>
    </row>
    <row r="470" customFormat="false" ht="15" hidden="false" customHeight="false" outlineLevel="0" collapsed="false">
      <c r="A470" s="52" t="n">
        <v>44851</v>
      </c>
      <c r="B470" s="57" t="n">
        <v>0.04958</v>
      </c>
      <c r="C470" s="57" t="n">
        <v>0.04944</v>
      </c>
      <c r="D470" s="57" t="n">
        <v>0.04974</v>
      </c>
      <c r="E470" s="57" t="n">
        <v>0.05006</v>
      </c>
      <c r="F470" s="57" t="n">
        <v>0.05058</v>
      </c>
      <c r="G470" s="57" t="n">
        <v>0.05132</v>
      </c>
    </row>
    <row r="471" customFormat="false" ht="15" hidden="false" customHeight="false" outlineLevel="0" collapsed="false">
      <c r="A471" s="52" t="n">
        <v>44852</v>
      </c>
      <c r="B471" s="57" t="n">
        <v>0.04895</v>
      </c>
      <c r="C471" s="57" t="n">
        <v>0.04896</v>
      </c>
      <c r="D471" s="57" t="n">
        <v>0.04909</v>
      </c>
      <c r="E471" s="57" t="n">
        <v>0.04925</v>
      </c>
      <c r="F471" s="57" t="n">
        <v>0.04971</v>
      </c>
      <c r="G471" s="57" t="n">
        <v>0.05056</v>
      </c>
    </row>
    <row r="472" customFormat="false" ht="15" hidden="false" customHeight="false" outlineLevel="0" collapsed="false">
      <c r="A472" s="52" t="n">
        <v>44853</v>
      </c>
      <c r="B472" s="57" t="n">
        <v>0.04872</v>
      </c>
      <c r="C472" s="57" t="n">
        <v>0.04854</v>
      </c>
      <c r="D472" s="57" t="n">
        <v>0.04871</v>
      </c>
      <c r="E472" s="57" t="n">
        <v>0.04905</v>
      </c>
      <c r="F472" s="57" t="n">
        <v>0.04968</v>
      </c>
      <c r="G472" s="57" t="n">
        <v>0.05051</v>
      </c>
    </row>
    <row r="473" customFormat="false" ht="15" hidden="false" customHeight="false" outlineLevel="0" collapsed="false">
      <c r="A473" s="52" t="n">
        <v>44854</v>
      </c>
      <c r="B473" s="57" t="n">
        <v>0.04895</v>
      </c>
      <c r="C473" s="57" t="n">
        <v>0.04896</v>
      </c>
      <c r="D473" s="57" t="n">
        <v>0.04905</v>
      </c>
      <c r="E473" s="57" t="n">
        <v>0.04928</v>
      </c>
      <c r="F473" s="57" t="n">
        <v>0.04988</v>
      </c>
      <c r="G473" s="57" t="n">
        <v>0.0505</v>
      </c>
    </row>
    <row r="474" customFormat="false" ht="15" hidden="false" customHeight="false" outlineLevel="0" collapsed="false">
      <c r="A474" s="52" t="n">
        <v>44855</v>
      </c>
      <c r="B474" s="57" t="n">
        <v>0.04918</v>
      </c>
      <c r="C474" s="57" t="n">
        <v>0.04927</v>
      </c>
      <c r="D474" s="57" t="n">
        <v>0.04927</v>
      </c>
      <c r="E474" s="57" t="n">
        <v>0.04942</v>
      </c>
      <c r="F474" s="57" t="n">
        <v>0.05003</v>
      </c>
      <c r="G474" s="57" t="n">
        <v>0.05078</v>
      </c>
    </row>
    <row r="475" customFormat="false" ht="15" hidden="false" customHeight="false" outlineLevel="0" collapsed="false">
      <c r="A475" s="52" t="n">
        <v>44858</v>
      </c>
      <c r="B475" s="57" t="n">
        <v>0.04914</v>
      </c>
      <c r="C475" s="57" t="n">
        <v>0.04927</v>
      </c>
      <c r="D475" s="57" t="n">
        <v>0.04927</v>
      </c>
      <c r="E475" s="57" t="n">
        <v>0.04942</v>
      </c>
      <c r="F475" s="57" t="n">
        <v>0.05008</v>
      </c>
      <c r="G475" s="57" t="n">
        <v>0.05095</v>
      </c>
    </row>
    <row r="476" customFormat="false" ht="15" hidden="false" customHeight="false" outlineLevel="0" collapsed="false">
      <c r="A476" s="52" t="n">
        <v>44859</v>
      </c>
      <c r="B476" s="57" t="n">
        <v>0.04973</v>
      </c>
      <c r="C476" s="57" t="n">
        <v>0.04977</v>
      </c>
      <c r="D476" s="57" t="n">
        <v>0.04977</v>
      </c>
      <c r="E476" s="57" t="n">
        <v>0.05001</v>
      </c>
      <c r="F476" s="57" t="n">
        <v>0.05076</v>
      </c>
      <c r="G476" s="57" t="n">
        <v>0.05159</v>
      </c>
    </row>
    <row r="477" customFormat="false" ht="15" hidden="false" customHeight="false" outlineLevel="0" collapsed="false">
      <c r="A477" s="52" t="n">
        <v>44860</v>
      </c>
      <c r="B477" s="57" t="n">
        <v>0.04986</v>
      </c>
      <c r="C477" s="57" t="n">
        <v>0.04991</v>
      </c>
      <c r="D477" s="57" t="n">
        <v>0.04991</v>
      </c>
      <c r="E477" s="57" t="n">
        <v>0.05019</v>
      </c>
      <c r="F477" s="57" t="n">
        <v>0.05097</v>
      </c>
      <c r="G477" s="57" t="n">
        <v>0.05172</v>
      </c>
    </row>
    <row r="478" customFormat="false" ht="15" hidden="false" customHeight="false" outlineLevel="0" collapsed="false">
      <c r="A478" s="52" t="n">
        <v>44861</v>
      </c>
      <c r="B478" s="57" t="n">
        <v>0.05009</v>
      </c>
      <c r="C478" s="57" t="n">
        <v>0.05009</v>
      </c>
      <c r="D478" s="57" t="n">
        <v>0.05014</v>
      </c>
      <c r="E478" s="57" t="n">
        <v>0.05033</v>
      </c>
      <c r="F478" s="57" t="n">
        <v>0.05121</v>
      </c>
      <c r="G478" s="57" t="n">
        <v>0.05204</v>
      </c>
    </row>
    <row r="479" customFormat="false" ht="15" hidden="false" customHeight="false" outlineLevel="0" collapsed="false">
      <c r="A479" s="52" t="n">
        <v>44862</v>
      </c>
      <c r="B479" s="57" t="n">
        <v>0.05</v>
      </c>
      <c r="C479" s="57" t="n">
        <v>0.05005</v>
      </c>
      <c r="D479" s="57" t="n">
        <v>0.05009</v>
      </c>
      <c r="E479" s="57" t="n">
        <v>0.05032</v>
      </c>
      <c r="F479" s="57" t="n">
        <v>0.05111</v>
      </c>
      <c r="G479" s="57" t="n">
        <v>0.05189</v>
      </c>
    </row>
    <row r="480" customFormat="false" ht="15" hidden="false" customHeight="false" outlineLevel="0" collapsed="false">
      <c r="A480" s="52" t="n">
        <v>44865</v>
      </c>
      <c r="B480" s="57" t="n">
        <v>0.05005</v>
      </c>
      <c r="C480" s="57" t="n">
        <v>0.05009</v>
      </c>
      <c r="D480" s="57" t="n">
        <v>0.05014</v>
      </c>
      <c r="E480" s="57" t="n">
        <v>0.05036</v>
      </c>
      <c r="F480" s="57" t="n">
        <v>0.05116</v>
      </c>
      <c r="G480" s="57" t="n">
        <v>0.05194</v>
      </c>
    </row>
    <row r="481" customFormat="false" ht="15" hidden="false" customHeight="false" outlineLevel="0" collapsed="false">
      <c r="A481" s="52" t="n">
        <v>44866</v>
      </c>
      <c r="B481" s="57" t="n">
        <v>0.05006</v>
      </c>
      <c r="C481" s="57" t="n">
        <v>0.0501</v>
      </c>
      <c r="D481" s="57" t="n">
        <v>0.05016</v>
      </c>
      <c r="E481" s="57" t="n">
        <v>0.05043</v>
      </c>
      <c r="F481" s="57" t="n">
        <v>0.05116</v>
      </c>
      <c r="G481" s="57" t="n">
        <v>0.05194</v>
      </c>
    </row>
    <row r="482" customFormat="false" ht="15" hidden="false" customHeight="false" outlineLevel="0" collapsed="false">
      <c r="A482" s="52" t="n">
        <v>44867</v>
      </c>
      <c r="B482" s="57" t="n">
        <v>0.05015</v>
      </c>
      <c r="C482" s="57" t="n">
        <v>0.0502</v>
      </c>
      <c r="D482" s="57" t="n">
        <v>0.0503</v>
      </c>
      <c r="E482" s="57" t="n">
        <v>0.05064</v>
      </c>
      <c r="F482" s="57" t="n">
        <v>0.0512</v>
      </c>
      <c r="G482" s="57" t="n">
        <v>0.0519</v>
      </c>
    </row>
    <row r="483" customFormat="false" ht="15" hidden="false" customHeight="false" outlineLevel="0" collapsed="false">
      <c r="A483" s="52" t="n">
        <v>44868</v>
      </c>
      <c r="B483" s="57" t="n">
        <v>0.05023</v>
      </c>
      <c r="C483" s="57" t="n">
        <v>0.05024</v>
      </c>
      <c r="D483" s="57" t="n">
        <v>0.0503</v>
      </c>
      <c r="E483" s="57" t="n">
        <v>0.05069</v>
      </c>
      <c r="F483" s="57" t="n">
        <v>0.05129</v>
      </c>
      <c r="G483" s="57" t="n">
        <v>0.05209</v>
      </c>
    </row>
    <row r="484" customFormat="false" ht="15" hidden="false" customHeight="false" outlineLevel="0" collapsed="false">
      <c r="A484" s="52" t="n">
        <v>44869</v>
      </c>
      <c r="B484" s="57" t="n">
        <v>0.05032</v>
      </c>
      <c r="C484" s="57" t="n">
        <v>0.05033</v>
      </c>
      <c r="D484" s="57" t="n">
        <v>0.05039</v>
      </c>
      <c r="E484" s="57" t="n">
        <v>0.0507</v>
      </c>
      <c r="F484" s="57" t="n">
        <v>0.05138</v>
      </c>
      <c r="G484" s="57" t="n">
        <v>0.05209</v>
      </c>
    </row>
    <row r="485" customFormat="false" ht="15" hidden="false" customHeight="false" outlineLevel="0" collapsed="false">
      <c r="A485" s="52" t="n">
        <v>44872</v>
      </c>
      <c r="B485" s="57" t="n">
        <v>0.05034</v>
      </c>
      <c r="C485" s="57" t="n">
        <v>0.05042</v>
      </c>
      <c r="D485" s="57" t="n">
        <v>0.05047</v>
      </c>
      <c r="E485" s="57" t="n">
        <v>0.0507</v>
      </c>
      <c r="F485" s="57" t="n">
        <v>0.05138</v>
      </c>
      <c r="G485" s="57" t="n">
        <v>0.05203</v>
      </c>
    </row>
    <row r="486" customFormat="false" ht="15" hidden="false" customHeight="false" outlineLevel="0" collapsed="false">
      <c r="A486" s="52" t="n">
        <v>44873</v>
      </c>
      <c r="B486" s="57" t="n">
        <v>0.05032</v>
      </c>
      <c r="C486" s="57" t="n">
        <v>0.05033</v>
      </c>
      <c r="D486" s="57" t="n">
        <v>0.05039</v>
      </c>
      <c r="E486" s="57" t="n">
        <v>0.05069</v>
      </c>
      <c r="F486" s="57" t="n">
        <v>0.05119</v>
      </c>
      <c r="G486" s="57" t="n">
        <v>0.05177</v>
      </c>
    </row>
    <row r="487" customFormat="false" ht="15" hidden="false" customHeight="false" outlineLevel="0" collapsed="false">
      <c r="A487" s="52" t="n">
        <v>44874</v>
      </c>
      <c r="B487" s="57" t="n">
        <v>0.05025</v>
      </c>
      <c r="C487" s="57" t="n">
        <v>0.05032</v>
      </c>
      <c r="D487" s="57" t="n">
        <v>0.05038</v>
      </c>
      <c r="E487" s="57" t="n">
        <v>0.05069</v>
      </c>
      <c r="F487" s="57" t="n">
        <v>0.05115</v>
      </c>
      <c r="G487" s="57" t="n">
        <v>0.05167</v>
      </c>
    </row>
    <row r="488" customFormat="false" ht="15" hidden="false" customHeight="false" outlineLevel="0" collapsed="false">
      <c r="A488" s="52" t="n">
        <v>44875</v>
      </c>
      <c r="B488" s="57" t="n">
        <v>0.05019</v>
      </c>
      <c r="C488" s="57" t="n">
        <v>0.05028</v>
      </c>
      <c r="D488" s="57" t="n">
        <v>0.05034</v>
      </c>
      <c r="E488" s="57" t="n">
        <v>0.05065</v>
      </c>
      <c r="F488" s="57" t="n">
        <v>0.05115</v>
      </c>
      <c r="G488" s="57" t="n">
        <v>0.05164</v>
      </c>
    </row>
    <row r="489" customFormat="false" ht="15" hidden="false" customHeight="false" outlineLevel="0" collapsed="false">
      <c r="A489" s="52" t="n">
        <v>44876</v>
      </c>
      <c r="B489" s="57" t="n">
        <v>0.05023</v>
      </c>
      <c r="C489" s="57" t="n">
        <v>0.05024</v>
      </c>
      <c r="D489" s="57" t="n">
        <v>0.0503</v>
      </c>
      <c r="E489" s="57" t="n">
        <v>0.05065</v>
      </c>
      <c r="F489" s="57" t="n">
        <v>0.05115</v>
      </c>
      <c r="G489" s="57" t="n">
        <v>0.05168</v>
      </c>
    </row>
    <row r="490" customFormat="false" ht="15" hidden="false" customHeight="false" outlineLevel="0" collapsed="false">
      <c r="A490" s="52" t="n">
        <v>44879</v>
      </c>
      <c r="B490" s="57" t="n">
        <v>0.05001</v>
      </c>
      <c r="C490" s="57" t="n">
        <v>0.05006</v>
      </c>
      <c r="D490" s="57" t="n">
        <v>0.05012</v>
      </c>
      <c r="E490" s="57" t="n">
        <v>0.05051</v>
      </c>
      <c r="F490" s="57" t="n">
        <v>0.05101</v>
      </c>
      <c r="G490" s="57" t="n">
        <v>0.05141</v>
      </c>
    </row>
    <row r="491" customFormat="false" ht="15" hidden="false" customHeight="false" outlineLevel="0" collapsed="false">
      <c r="A491" s="52" t="n">
        <v>44880</v>
      </c>
      <c r="B491" s="57" t="n">
        <v>0.04979</v>
      </c>
      <c r="C491" s="57" t="n">
        <v>0.04993</v>
      </c>
      <c r="D491" s="57" t="n">
        <v>0.05007</v>
      </c>
      <c r="E491" s="57" t="n">
        <v>0.05038</v>
      </c>
      <c r="F491" s="57" t="n">
        <v>0.05096</v>
      </c>
      <c r="G491" s="57" t="n">
        <v>0.05151</v>
      </c>
    </row>
    <row r="492" customFormat="false" ht="15" hidden="false" customHeight="false" outlineLevel="0" collapsed="false">
      <c r="A492" s="52" t="n">
        <v>44881</v>
      </c>
      <c r="B492" s="57" t="n">
        <v>0.04976</v>
      </c>
      <c r="C492" s="57" t="n">
        <v>0.04993</v>
      </c>
      <c r="D492" s="57" t="n">
        <v>0.05007</v>
      </c>
      <c r="E492" s="57" t="n">
        <v>0.05038</v>
      </c>
      <c r="F492" s="57" t="n">
        <v>0.05096</v>
      </c>
      <c r="G492" s="57" t="n">
        <v>0.05147</v>
      </c>
    </row>
    <row r="493" customFormat="false" ht="15" hidden="false" customHeight="false" outlineLevel="0" collapsed="false">
      <c r="A493" s="52" t="n">
        <v>44882</v>
      </c>
      <c r="B493" s="57" t="n">
        <v>0.04976</v>
      </c>
      <c r="C493" s="57" t="n">
        <v>0.04993</v>
      </c>
      <c r="D493" s="57" t="n">
        <v>0.05007</v>
      </c>
      <c r="E493" s="57" t="n">
        <v>0.05038</v>
      </c>
      <c r="F493" s="57" t="n">
        <v>0.05095</v>
      </c>
      <c r="G493" s="57" t="n">
        <v>0.05129</v>
      </c>
    </row>
    <row r="494" customFormat="false" ht="15" hidden="false" customHeight="false" outlineLevel="0" collapsed="false">
      <c r="A494" s="52" t="n">
        <v>44883</v>
      </c>
      <c r="B494" s="57" t="n">
        <v>0.04976</v>
      </c>
      <c r="C494" s="57" t="n">
        <v>0.04993</v>
      </c>
      <c r="D494" s="57" t="n">
        <v>0.05007</v>
      </c>
      <c r="E494" s="57" t="n">
        <v>0.05038</v>
      </c>
      <c r="F494" s="57" t="n">
        <v>0.05096</v>
      </c>
      <c r="G494" s="57" t="n">
        <v>0.05142</v>
      </c>
    </row>
    <row r="495" customFormat="false" ht="15" hidden="false" customHeight="false" outlineLevel="0" collapsed="false">
      <c r="A495" s="52" t="n">
        <v>44886</v>
      </c>
      <c r="B495" s="57" t="n">
        <v>0.04971</v>
      </c>
      <c r="C495" s="57" t="n">
        <v>0.04993</v>
      </c>
      <c r="D495" s="57" t="n">
        <v>0.05007</v>
      </c>
      <c r="E495" s="57" t="n">
        <v>0.05037</v>
      </c>
      <c r="F495" s="57" t="n">
        <v>0.05092</v>
      </c>
      <c r="G495" s="57" t="n">
        <v>0.05142</v>
      </c>
    </row>
    <row r="496" customFormat="false" ht="15" hidden="false" customHeight="false" outlineLevel="0" collapsed="false">
      <c r="A496" s="52" t="n">
        <v>44887</v>
      </c>
      <c r="B496" s="57" t="n">
        <v>0.04971</v>
      </c>
      <c r="C496" s="57" t="n">
        <v>0.04992</v>
      </c>
      <c r="D496" s="57" t="n">
        <v>0.05002</v>
      </c>
      <c r="E496" s="57" t="n">
        <v>0.05037</v>
      </c>
      <c r="F496" s="57" t="n">
        <v>0.05092</v>
      </c>
      <c r="G496" s="57" t="n">
        <v>0.05146</v>
      </c>
    </row>
    <row r="497" customFormat="false" ht="15" hidden="false" customHeight="false" outlineLevel="0" collapsed="false">
      <c r="A497" s="52" t="n">
        <v>44888</v>
      </c>
      <c r="B497" s="57" t="n">
        <v>0.04971</v>
      </c>
      <c r="C497" s="57" t="n">
        <v>0.04992</v>
      </c>
      <c r="D497" s="57" t="n">
        <v>0.05002</v>
      </c>
      <c r="E497" s="57" t="n">
        <v>0.05037</v>
      </c>
      <c r="F497" s="57" t="n">
        <v>0.05095</v>
      </c>
      <c r="G497" s="57" t="n">
        <v>0.05146</v>
      </c>
    </row>
    <row r="498" customFormat="false" ht="15" hidden="false" customHeight="false" outlineLevel="0" collapsed="false">
      <c r="A498" s="52" t="n">
        <v>44889</v>
      </c>
      <c r="B498" s="57" t="n">
        <v>0.04978</v>
      </c>
      <c r="C498" s="57" t="n">
        <v>0.04992</v>
      </c>
      <c r="D498" s="57" t="n">
        <v>0.05003</v>
      </c>
      <c r="E498" s="57" t="n">
        <v>0.05047</v>
      </c>
      <c r="F498" s="57" t="n">
        <v>0.05109</v>
      </c>
      <c r="G498" s="57" t="n">
        <v>0.05159</v>
      </c>
    </row>
    <row r="499" customFormat="false" ht="15" hidden="false" customHeight="false" outlineLevel="0" collapsed="false">
      <c r="A499" s="52" t="n">
        <v>44890</v>
      </c>
      <c r="B499" s="57" t="n">
        <v>0.04978</v>
      </c>
      <c r="C499" s="57" t="n">
        <v>0.04992</v>
      </c>
      <c r="D499" s="57" t="n">
        <v>0.05003</v>
      </c>
      <c r="E499" s="57" t="n">
        <v>0.05046</v>
      </c>
      <c r="F499" s="57" t="n">
        <v>0.05109</v>
      </c>
      <c r="G499" s="57" t="n">
        <v>0.05159</v>
      </c>
    </row>
    <row r="500" customFormat="false" ht="15" hidden="false" customHeight="false" outlineLevel="0" collapsed="false">
      <c r="A500" s="52" t="n">
        <v>44893</v>
      </c>
      <c r="B500" s="57" t="n">
        <v>0.04976</v>
      </c>
      <c r="C500" s="57" t="n">
        <v>0.04991</v>
      </c>
      <c r="D500" s="57" t="n">
        <v>0.04998</v>
      </c>
      <c r="E500" s="57" t="n">
        <v>0.05044</v>
      </c>
      <c r="F500" s="57" t="n">
        <v>0.05109</v>
      </c>
      <c r="G500" s="57" t="n">
        <v>0.05159</v>
      </c>
    </row>
    <row r="501" customFormat="false" ht="15" hidden="false" customHeight="false" outlineLevel="0" collapsed="false">
      <c r="A501" s="52" t="n">
        <v>44894</v>
      </c>
      <c r="B501" s="57" t="n">
        <v>0.04979</v>
      </c>
      <c r="C501" s="57" t="n">
        <v>0.04996</v>
      </c>
      <c r="D501" s="57" t="n">
        <v>0.05003</v>
      </c>
      <c r="E501" s="57" t="n">
        <v>0.05048</v>
      </c>
      <c r="F501" s="57" t="n">
        <v>0.05105</v>
      </c>
      <c r="G501" s="57" t="n">
        <v>0.05155</v>
      </c>
    </row>
    <row r="502" customFormat="false" ht="15" hidden="false" customHeight="false" outlineLevel="0" collapsed="false">
      <c r="A502" s="52" t="n">
        <v>44895</v>
      </c>
      <c r="B502" s="57" t="n">
        <v>0.04979</v>
      </c>
      <c r="C502" s="57" t="n">
        <v>0.04996</v>
      </c>
      <c r="D502" s="57" t="n">
        <v>0.05003</v>
      </c>
      <c r="E502" s="57" t="n">
        <v>0.05048</v>
      </c>
      <c r="F502" s="57" t="n">
        <v>0.05105</v>
      </c>
      <c r="G502" s="57" t="n">
        <v>0.05164</v>
      </c>
    </row>
    <row r="503" customFormat="false" ht="15" hidden="false" customHeight="false" outlineLevel="0" collapsed="false">
      <c r="A503" s="52" t="n">
        <v>44896</v>
      </c>
      <c r="B503" s="57" t="n">
        <v>0.04979</v>
      </c>
      <c r="C503" s="57" t="n">
        <v>0.04996</v>
      </c>
      <c r="D503" s="57" t="n">
        <v>0.05002</v>
      </c>
      <c r="E503" s="57" t="n">
        <v>0.05048</v>
      </c>
      <c r="F503" s="57" t="n">
        <v>0.05116</v>
      </c>
      <c r="G503" s="57" t="n">
        <v>0.05168</v>
      </c>
    </row>
    <row r="504" customFormat="false" ht="15" hidden="false" customHeight="false" outlineLevel="0" collapsed="false">
      <c r="A504" s="52" t="n">
        <v>44897</v>
      </c>
      <c r="B504" s="57" t="n">
        <v>0.04979</v>
      </c>
      <c r="C504" s="57" t="n">
        <v>0.04995</v>
      </c>
      <c r="D504" s="57" t="n">
        <v>0.05002</v>
      </c>
      <c r="E504" s="57" t="n">
        <v>0.05048</v>
      </c>
      <c r="F504" s="57" t="n">
        <v>0.05116</v>
      </c>
      <c r="G504" s="57" t="n">
        <v>0.05168</v>
      </c>
    </row>
    <row r="505" customFormat="false" ht="15" hidden="false" customHeight="false" outlineLevel="0" collapsed="false">
      <c r="A505" s="52" t="n">
        <v>44900</v>
      </c>
      <c r="B505" s="57" t="n">
        <v>0.0497</v>
      </c>
      <c r="C505" s="57" t="n">
        <v>0.04991</v>
      </c>
      <c r="D505" s="57" t="n">
        <v>0.04997</v>
      </c>
      <c r="E505" s="57" t="n">
        <v>0.05048</v>
      </c>
      <c r="F505" s="57" t="n">
        <v>0.05111</v>
      </c>
      <c r="G505" s="57" t="n">
        <v>0.05163</v>
      </c>
    </row>
    <row r="506" customFormat="false" ht="15" hidden="false" customHeight="false" outlineLevel="0" collapsed="false">
      <c r="A506" s="52" t="n">
        <v>44901</v>
      </c>
      <c r="B506" s="57" t="n">
        <v>0.0497</v>
      </c>
      <c r="C506" s="57" t="n">
        <v>0.04991</v>
      </c>
      <c r="D506" s="57" t="n">
        <v>0.04997</v>
      </c>
      <c r="E506" s="57" t="n">
        <v>0.05048</v>
      </c>
      <c r="F506" s="57" t="n">
        <v>0.05111</v>
      </c>
      <c r="G506" s="57" t="n">
        <v>0.0517</v>
      </c>
    </row>
    <row r="507" customFormat="false" ht="15" hidden="false" customHeight="false" outlineLevel="0" collapsed="false">
      <c r="A507" s="52" t="n">
        <v>44902</v>
      </c>
      <c r="B507" s="57" t="n">
        <v>0.04967</v>
      </c>
      <c r="C507" s="57" t="n">
        <v>0.04992</v>
      </c>
      <c r="D507" s="57" t="n">
        <v>0.05002</v>
      </c>
      <c r="E507" s="57" t="n">
        <v>0.05047</v>
      </c>
      <c r="F507" s="57" t="n">
        <v>0.05111</v>
      </c>
      <c r="G507" s="57" t="n">
        <v>0.0517</v>
      </c>
    </row>
    <row r="508" customFormat="false" ht="15" hidden="false" customHeight="false" outlineLevel="0" collapsed="false">
      <c r="A508" s="52" t="n">
        <v>44903</v>
      </c>
      <c r="B508" s="57" t="n">
        <v>0.04958</v>
      </c>
      <c r="C508" s="57" t="n">
        <v>0.04983</v>
      </c>
      <c r="D508" s="57" t="n">
        <v>0.04993</v>
      </c>
      <c r="E508" s="57" t="n">
        <v>0.05038</v>
      </c>
      <c r="F508" s="57" t="n">
        <v>0.05106</v>
      </c>
      <c r="G508" s="57" t="n">
        <v>0.05152</v>
      </c>
    </row>
    <row r="509" customFormat="false" ht="15" hidden="false" customHeight="false" outlineLevel="0" collapsed="false">
      <c r="A509" s="52" t="n">
        <v>44904</v>
      </c>
      <c r="B509" s="57" t="n">
        <v>0.04957</v>
      </c>
      <c r="C509" s="57" t="n">
        <v>0.04974</v>
      </c>
      <c r="D509" s="57" t="n">
        <v>0.04984</v>
      </c>
      <c r="E509" s="57" t="n">
        <v>0.05034</v>
      </c>
      <c r="F509" s="57" t="n">
        <v>0.05096</v>
      </c>
      <c r="G509" s="57" t="n">
        <v>0.05143</v>
      </c>
    </row>
    <row r="510" customFormat="false" ht="15" hidden="false" customHeight="false" outlineLevel="0" collapsed="false">
      <c r="A510" s="52" t="n">
        <v>44907</v>
      </c>
      <c r="B510" s="57" t="n">
        <v>0.04957</v>
      </c>
      <c r="C510" s="57" t="n">
        <v>0.04974</v>
      </c>
      <c r="D510" s="57" t="n">
        <v>0.04984</v>
      </c>
      <c r="E510" s="57" t="n">
        <v>0.05034</v>
      </c>
      <c r="F510" s="57" t="n">
        <v>0.05096</v>
      </c>
      <c r="G510" s="57" t="n">
        <v>0.05143</v>
      </c>
    </row>
    <row r="511" customFormat="false" ht="15" hidden="false" customHeight="false" outlineLevel="0" collapsed="false">
      <c r="A511" s="52" t="n">
        <v>44908</v>
      </c>
      <c r="B511" s="57" t="n">
        <v>0.04957</v>
      </c>
      <c r="C511" s="57" t="n">
        <v>0.04974</v>
      </c>
      <c r="D511" s="57" t="n">
        <v>0.04984</v>
      </c>
      <c r="E511" s="57" t="n">
        <v>0.05034</v>
      </c>
      <c r="F511" s="57" t="n">
        <v>0.05092</v>
      </c>
      <c r="G511" s="57" t="n">
        <v>0.05138</v>
      </c>
    </row>
    <row r="512" customFormat="false" ht="15" hidden="false" customHeight="false" outlineLevel="0" collapsed="false">
      <c r="A512" s="52" t="n">
        <v>44909</v>
      </c>
      <c r="B512" s="57" t="n">
        <v>0.04957</v>
      </c>
      <c r="C512" s="57" t="n">
        <v>0.04973</v>
      </c>
      <c r="D512" s="57" t="n">
        <v>0.04984</v>
      </c>
      <c r="E512" s="57" t="n">
        <v>0.05034</v>
      </c>
      <c r="F512" s="57" t="n">
        <v>0.05092</v>
      </c>
      <c r="G512" s="57" t="n">
        <v>0.05138</v>
      </c>
    </row>
    <row r="513" customFormat="false" ht="15" hidden="false" customHeight="false" outlineLevel="0" collapsed="false">
      <c r="A513" s="52" t="n">
        <v>44910</v>
      </c>
      <c r="B513" s="57" t="n">
        <v>0.04956</v>
      </c>
      <c r="C513" s="57" t="n">
        <v>0.04968</v>
      </c>
      <c r="D513" s="57" t="n">
        <v>0.04975</v>
      </c>
      <c r="E513" s="57" t="n">
        <v>0.05029</v>
      </c>
      <c r="F513" s="57" t="n">
        <v>0.05083</v>
      </c>
      <c r="G513" s="57" t="n">
        <v>0.05129</v>
      </c>
    </row>
    <row r="514" customFormat="false" ht="15" hidden="false" customHeight="false" outlineLevel="0" collapsed="false">
      <c r="A514" s="52" t="n">
        <v>44911</v>
      </c>
      <c r="B514" s="57" t="n">
        <v>0.04956</v>
      </c>
      <c r="C514" s="57" t="n">
        <v>0.04969</v>
      </c>
      <c r="D514" s="57" t="n">
        <v>0.04975</v>
      </c>
      <c r="E514" s="57" t="n">
        <v>0.05028</v>
      </c>
      <c r="F514" s="57" t="n">
        <v>0.05078</v>
      </c>
      <c r="G514" s="57" t="n">
        <v>0.05129</v>
      </c>
    </row>
    <row r="515" customFormat="false" ht="15" hidden="false" customHeight="false" outlineLevel="0" collapsed="false">
      <c r="A515" s="52" t="n">
        <v>44914</v>
      </c>
      <c r="B515" s="57" t="n">
        <v>0.04953</v>
      </c>
      <c r="C515" s="57" t="n">
        <v>0.04964</v>
      </c>
      <c r="D515" s="57" t="n">
        <v>0.0497</v>
      </c>
      <c r="E515" s="57" t="n">
        <v>0.05021</v>
      </c>
      <c r="F515" s="57" t="n">
        <v>0.05078</v>
      </c>
      <c r="G515" s="57" t="n">
        <v>0.05122</v>
      </c>
    </row>
    <row r="516" customFormat="false" ht="15" hidden="false" customHeight="false" outlineLevel="0" collapsed="false">
      <c r="A516" s="52" t="n">
        <v>44915</v>
      </c>
      <c r="B516" s="57" t="n">
        <v>0.04944</v>
      </c>
      <c r="C516" s="57" t="n">
        <v>0.04955</v>
      </c>
      <c r="D516" s="57" t="n">
        <v>0.0496</v>
      </c>
      <c r="E516" s="57" t="n">
        <v>0.05007</v>
      </c>
      <c r="F516" s="57" t="n">
        <v>0.05074</v>
      </c>
      <c r="G516" s="57" t="n">
        <v>0.05117</v>
      </c>
    </row>
    <row r="517" customFormat="false" ht="15" hidden="false" customHeight="false" outlineLevel="0" collapsed="false">
      <c r="A517" s="52" t="n">
        <v>44916</v>
      </c>
      <c r="B517" s="57" t="n">
        <v>0.04944</v>
      </c>
      <c r="C517" s="57" t="n">
        <v>0.04955</v>
      </c>
      <c r="D517" s="57" t="n">
        <v>0.0496</v>
      </c>
      <c r="E517" s="57" t="n">
        <v>0.05007</v>
      </c>
      <c r="F517" s="57" t="n">
        <v>0.05074</v>
      </c>
      <c r="G517" s="57" t="n">
        <v>0.05117</v>
      </c>
    </row>
    <row r="518" customFormat="false" ht="15" hidden="false" customHeight="false" outlineLevel="0" collapsed="false">
      <c r="A518" s="52" t="n">
        <v>44917</v>
      </c>
      <c r="B518" s="57" t="n">
        <v>0.04939</v>
      </c>
      <c r="C518" s="57" t="n">
        <v>0.0495</v>
      </c>
      <c r="D518" s="57" t="n">
        <v>0.04956</v>
      </c>
      <c r="E518" s="57" t="n">
        <v>0.04998</v>
      </c>
      <c r="F518" s="57" t="n">
        <v>0.05056</v>
      </c>
      <c r="G518" s="57" t="n">
        <v>0.05092</v>
      </c>
    </row>
    <row r="519" customFormat="false" ht="15" hidden="false" customHeight="false" outlineLevel="0" collapsed="false">
      <c r="A519" s="52" t="n">
        <v>44918</v>
      </c>
      <c r="B519" s="57" t="n">
        <v>0.04915</v>
      </c>
      <c r="C519" s="57" t="n">
        <v>0.04926</v>
      </c>
      <c r="D519" s="57" t="n">
        <v>0.04932</v>
      </c>
      <c r="E519" s="57" t="n">
        <v>0.04979</v>
      </c>
      <c r="F519" s="57" t="n">
        <v>0.05036</v>
      </c>
      <c r="G519" s="57" t="n">
        <v>0.05092</v>
      </c>
    </row>
    <row r="520" customFormat="false" ht="15" hidden="false" customHeight="false" outlineLevel="0" collapsed="false">
      <c r="A520" s="52" t="n">
        <v>44921</v>
      </c>
      <c r="B520" s="57" t="n">
        <v>0.04926</v>
      </c>
      <c r="C520" s="57" t="n">
        <v>0.04936</v>
      </c>
      <c r="D520" s="57" t="n">
        <v>0.04942</v>
      </c>
      <c r="E520" s="57" t="n">
        <v>0.04983</v>
      </c>
      <c r="F520" s="57" t="n">
        <v>0.05036</v>
      </c>
      <c r="G520" s="57" t="n">
        <v>0.05087</v>
      </c>
    </row>
    <row r="521" customFormat="false" ht="15" hidden="false" customHeight="false" outlineLevel="0" collapsed="false">
      <c r="A521" s="52" t="n">
        <v>44922</v>
      </c>
      <c r="B521" s="57" t="n">
        <v>0.04926</v>
      </c>
      <c r="C521" s="57" t="n">
        <v>0.04937</v>
      </c>
      <c r="D521" s="57" t="n">
        <v>0.04942</v>
      </c>
      <c r="E521" s="57" t="n">
        <v>0.04983</v>
      </c>
      <c r="F521" s="57" t="n">
        <v>0.05036</v>
      </c>
      <c r="G521" s="57" t="n">
        <v>0.05087</v>
      </c>
    </row>
    <row r="522" customFormat="false" ht="15" hidden="false" customHeight="false" outlineLevel="0" collapsed="false">
      <c r="A522" s="52" t="n">
        <v>44923</v>
      </c>
      <c r="B522" s="57" t="n">
        <v>0.04926</v>
      </c>
      <c r="C522" s="57" t="n">
        <v>0.04936</v>
      </c>
      <c r="D522" s="57" t="n">
        <v>0.04942</v>
      </c>
      <c r="E522" s="57" t="n">
        <v>0.04982</v>
      </c>
      <c r="F522" s="57" t="n">
        <v>0.05032</v>
      </c>
      <c r="G522" s="57" t="n">
        <v>0.05078</v>
      </c>
    </row>
    <row r="523" customFormat="false" ht="15" hidden="false" customHeight="false" outlineLevel="0" collapsed="false">
      <c r="A523" s="52" t="n">
        <v>44924</v>
      </c>
      <c r="B523" s="57" t="n">
        <v>0.04891</v>
      </c>
      <c r="C523" s="57" t="n">
        <v>0.04903</v>
      </c>
      <c r="D523" s="57" t="n">
        <v>0.04915</v>
      </c>
      <c r="E523" s="57" t="n">
        <v>0.04945</v>
      </c>
      <c r="F523" s="57" t="n">
        <v>0.05</v>
      </c>
      <c r="G523" s="57" t="n">
        <v>0.05042</v>
      </c>
    </row>
    <row r="524" customFormat="false" ht="15" hidden="false" customHeight="false" outlineLevel="0" collapsed="false">
      <c r="A524" s="52" t="n">
        <v>44925</v>
      </c>
      <c r="B524" s="57" t="n">
        <v>0.04886</v>
      </c>
      <c r="C524" s="57" t="n">
        <v>0.04893</v>
      </c>
      <c r="D524" s="57" t="n">
        <v>0.04905</v>
      </c>
      <c r="E524" s="57" t="n">
        <v>0.04932</v>
      </c>
      <c r="F524" s="57" t="n">
        <v>0.04986</v>
      </c>
      <c r="G524" s="57" t="n">
        <v>0.05037</v>
      </c>
    </row>
    <row r="525" customFormat="false" ht="15" hidden="false" customHeight="false" outlineLevel="0" collapsed="false">
      <c r="A525" s="52" t="n">
        <v>44928</v>
      </c>
      <c r="B525" s="57" t="n">
        <v>0.04786</v>
      </c>
      <c r="C525" s="57" t="n">
        <v>0.04793</v>
      </c>
      <c r="D525" s="57" t="n">
        <v>0.04805</v>
      </c>
      <c r="E525" s="57" t="n">
        <v>0.04882</v>
      </c>
      <c r="F525" s="57" t="n">
        <v>0.04936</v>
      </c>
      <c r="G525" s="57" t="n">
        <v>0.04987</v>
      </c>
    </row>
    <row r="526" customFormat="false" ht="15" hidden="false" customHeight="false" outlineLevel="0" collapsed="false">
      <c r="A526" s="52" t="n">
        <v>44929</v>
      </c>
      <c r="B526" s="57" t="n">
        <v>0.04783</v>
      </c>
      <c r="C526" s="57" t="n">
        <v>0.04789</v>
      </c>
      <c r="D526" s="57" t="n">
        <v>0.04851</v>
      </c>
      <c r="E526" s="57" t="n">
        <v>0.0488</v>
      </c>
      <c r="F526" s="57" t="n">
        <v>0.04933</v>
      </c>
      <c r="G526" s="57" t="n">
        <v>0.04978</v>
      </c>
    </row>
    <row r="527" customFormat="false" ht="15" hidden="false" customHeight="false" outlineLevel="0" collapsed="false">
      <c r="A527" s="52" t="n">
        <v>44930</v>
      </c>
      <c r="B527" s="57" t="n">
        <v>0.04787</v>
      </c>
      <c r="C527" s="57" t="n">
        <v>0.04794</v>
      </c>
      <c r="D527" s="57" t="n">
        <v>0.04856</v>
      </c>
      <c r="E527" s="57" t="n">
        <v>0.04885</v>
      </c>
      <c r="F527" s="57" t="n">
        <v>0.04937</v>
      </c>
      <c r="G527" s="57" t="n">
        <v>0.04982</v>
      </c>
    </row>
    <row r="528" customFormat="false" ht="15" hidden="false" customHeight="false" outlineLevel="0" collapsed="false">
      <c r="A528" s="52" t="n">
        <v>44931</v>
      </c>
      <c r="B528" s="57" t="n">
        <v>0.04765</v>
      </c>
      <c r="C528" s="57" t="n">
        <v>0.04776</v>
      </c>
      <c r="D528" s="57" t="n">
        <v>0.04837</v>
      </c>
      <c r="E528" s="57" t="n">
        <v>0.04875</v>
      </c>
      <c r="F528" s="57" t="n">
        <v>0.04915</v>
      </c>
      <c r="G528" s="57" t="n">
        <v>0.0495</v>
      </c>
    </row>
    <row r="529" customFormat="false" ht="15" hidden="false" customHeight="false" outlineLevel="0" collapsed="false">
      <c r="A529" s="52" t="n">
        <v>44932</v>
      </c>
      <c r="B529" s="57" t="n">
        <v>0.04757</v>
      </c>
      <c r="C529" s="57" t="n">
        <v>0.04769</v>
      </c>
      <c r="D529" s="57" t="n">
        <v>0.04833</v>
      </c>
      <c r="E529" s="57" t="n">
        <v>0.04866</v>
      </c>
      <c r="F529" s="57" t="n">
        <v>0.04905</v>
      </c>
      <c r="G529" s="57" t="n">
        <v>0.04932</v>
      </c>
    </row>
    <row r="530" customFormat="false" ht="15" hidden="false" customHeight="false" outlineLevel="0" collapsed="false">
      <c r="A530" s="52" t="n">
        <v>44935</v>
      </c>
      <c r="B530" s="57" t="n">
        <v>0.04738</v>
      </c>
      <c r="C530" s="57" t="n">
        <v>0.0475</v>
      </c>
      <c r="D530" s="57" t="n">
        <v>0.04806</v>
      </c>
      <c r="E530" s="57" t="n">
        <v>0.04828</v>
      </c>
      <c r="F530" s="57" t="n">
        <v>0.04868</v>
      </c>
      <c r="G530" s="57" t="n">
        <v>0.04891</v>
      </c>
    </row>
    <row r="531" customFormat="false" ht="15" hidden="false" customHeight="false" outlineLevel="0" collapsed="false">
      <c r="A531" s="52" t="n">
        <v>44936</v>
      </c>
      <c r="B531" s="57" t="n">
        <v>0.0472</v>
      </c>
      <c r="C531" s="57" t="n">
        <v>0.04732</v>
      </c>
      <c r="D531" s="57" t="n">
        <v>0.04782</v>
      </c>
      <c r="E531" s="57" t="n">
        <v>0.04809</v>
      </c>
      <c r="F531" s="57" t="n">
        <v>0.04796</v>
      </c>
      <c r="G531" s="57" t="n">
        <v>0.04869</v>
      </c>
    </row>
    <row r="532" customFormat="false" ht="15" hidden="false" customHeight="false" outlineLevel="0" collapsed="false">
      <c r="A532" s="52" t="n">
        <v>44937</v>
      </c>
      <c r="B532" s="57" t="n">
        <v>0.04715</v>
      </c>
      <c r="C532" s="57" t="n">
        <v>0.04723</v>
      </c>
      <c r="D532" s="57" t="n">
        <v>0.04774</v>
      </c>
      <c r="E532" s="57" t="n">
        <v>0.04801</v>
      </c>
      <c r="F532" s="57" t="n">
        <v>0.04824</v>
      </c>
      <c r="G532" s="57" t="n">
        <v>0.0486</v>
      </c>
    </row>
    <row r="533" customFormat="false" ht="15" hidden="false" customHeight="false" outlineLevel="0" collapsed="false">
      <c r="A533" s="52" t="n">
        <v>44938</v>
      </c>
      <c r="B533" s="57" t="n">
        <v>0.04628</v>
      </c>
      <c r="C533" s="57" t="n">
        <v>0.04632</v>
      </c>
      <c r="D533" s="57" t="n">
        <v>0.04683</v>
      </c>
      <c r="E533" s="57" t="n">
        <v>0.04706</v>
      </c>
      <c r="F533" s="57" t="n">
        <v>0.04746</v>
      </c>
      <c r="G533" s="57" t="n">
        <v>0.0479</v>
      </c>
    </row>
    <row r="534" customFormat="false" ht="15" hidden="false" customHeight="false" outlineLevel="0" collapsed="false">
      <c r="A534" s="52" t="n">
        <v>44939</v>
      </c>
      <c r="B534" s="57" t="n">
        <v>0.04605</v>
      </c>
      <c r="C534" s="57" t="n">
        <v>0.04605</v>
      </c>
      <c r="D534" s="57" t="n">
        <v>0.04659</v>
      </c>
      <c r="E534" s="57" t="n">
        <v>0.04678</v>
      </c>
      <c r="F534" s="57" t="n">
        <v>0.04726</v>
      </c>
      <c r="G534" s="57" t="n">
        <v>0.04772</v>
      </c>
    </row>
    <row r="535" customFormat="false" ht="15" hidden="false" customHeight="false" outlineLevel="0" collapsed="false">
      <c r="A535" s="52" t="n">
        <v>44942</v>
      </c>
      <c r="B535" s="57" t="n">
        <v>0.04604</v>
      </c>
      <c r="C535" s="57" t="n">
        <v>0.04605</v>
      </c>
      <c r="D535" s="57" t="n">
        <v>0.04659</v>
      </c>
      <c r="E535" s="57" t="n">
        <v>0.04678</v>
      </c>
      <c r="F535" s="57" t="n">
        <v>0.04722</v>
      </c>
      <c r="G535" s="57" t="n">
        <v>0.04768</v>
      </c>
    </row>
    <row r="536" customFormat="false" ht="15" hidden="false" customHeight="false" outlineLevel="0" collapsed="false">
      <c r="A536" s="52" t="n">
        <v>44943</v>
      </c>
      <c r="B536" s="57" t="n">
        <v>0.04595</v>
      </c>
      <c r="C536" s="57" t="n">
        <v>0.04595</v>
      </c>
      <c r="D536" s="57" t="n">
        <v>0.0465</v>
      </c>
      <c r="E536" s="57" t="n">
        <v>0.0467</v>
      </c>
      <c r="F536" s="57" t="n">
        <v>0.04725</v>
      </c>
      <c r="G536" s="57" t="n">
        <v>0.04768</v>
      </c>
    </row>
    <row r="537" customFormat="false" ht="15" hidden="false" customHeight="false" outlineLevel="0" collapsed="false">
      <c r="A537" s="52" t="n">
        <v>44944</v>
      </c>
      <c r="B537" s="57" t="n">
        <v>0.04541</v>
      </c>
      <c r="C537" s="57" t="n">
        <v>0.04541</v>
      </c>
      <c r="D537" s="57" t="n">
        <v>0.04595</v>
      </c>
      <c r="E537" s="57" t="n">
        <v>0.04616</v>
      </c>
      <c r="F537" s="57" t="n">
        <v>0.04686</v>
      </c>
      <c r="G537" s="57" t="n">
        <v>0.04749</v>
      </c>
    </row>
    <row r="538" customFormat="false" ht="15" hidden="false" customHeight="false" outlineLevel="0" collapsed="false">
      <c r="A538" s="52" t="n">
        <v>44945</v>
      </c>
      <c r="B538" s="57" t="n">
        <v>0.04536</v>
      </c>
      <c r="C538" s="57" t="n">
        <v>0.04536</v>
      </c>
      <c r="D538" s="57" t="n">
        <v>0.04591</v>
      </c>
      <c r="E538" s="57" t="n">
        <v>0.04607</v>
      </c>
      <c r="F538" s="57" t="n">
        <v>0.04667</v>
      </c>
      <c r="G538" s="57" t="n">
        <v>0.0474</v>
      </c>
    </row>
    <row r="539" customFormat="false" ht="15" hidden="false" customHeight="false" outlineLevel="0" collapsed="false">
      <c r="A539" s="52" t="n">
        <v>44946</v>
      </c>
      <c r="B539" s="57" t="n">
        <v>0.04536</v>
      </c>
      <c r="C539" s="57" t="n">
        <v>0.04536</v>
      </c>
      <c r="D539" s="57" t="n">
        <v>0.04591</v>
      </c>
      <c r="E539" s="57" t="n">
        <v>0.04606</v>
      </c>
      <c r="F539" s="57" t="n">
        <v>0.04666</v>
      </c>
      <c r="G539" s="57" t="n">
        <v>0.04739</v>
      </c>
    </row>
    <row r="540" customFormat="false" ht="15" hidden="false" customHeight="false" outlineLevel="0" collapsed="false">
      <c r="A540" s="52" t="n">
        <v>44949</v>
      </c>
      <c r="B540" s="57" t="n">
        <v>0.04536</v>
      </c>
      <c r="C540" s="57" t="n">
        <v>0.04536</v>
      </c>
      <c r="D540" s="57" t="n">
        <v>0.04591</v>
      </c>
      <c r="E540" s="57" t="n">
        <v>0.04606</v>
      </c>
      <c r="F540" s="57" t="n">
        <v>0.04666</v>
      </c>
      <c r="G540" s="57" t="n">
        <v>0.04739</v>
      </c>
    </row>
    <row r="541" customFormat="false" ht="15" hidden="false" customHeight="false" outlineLevel="0" collapsed="false">
      <c r="A541" s="52" t="n">
        <v>44950</v>
      </c>
      <c r="B541" s="57" t="n">
        <v>0.04536</v>
      </c>
      <c r="C541" s="57" t="n">
        <v>0.04536</v>
      </c>
      <c r="D541" s="57" t="n">
        <v>0.04591</v>
      </c>
      <c r="E541" s="57" t="n">
        <v>0.04606</v>
      </c>
      <c r="F541" s="57" t="n">
        <v>0.04666</v>
      </c>
      <c r="G541" s="57" t="n">
        <v>0.04739</v>
      </c>
    </row>
    <row r="542" customFormat="false" ht="15" hidden="false" customHeight="false" outlineLevel="0" collapsed="false">
      <c r="A542" s="52" t="n">
        <v>44951</v>
      </c>
      <c r="B542" s="57" t="n">
        <v>0.04536</v>
      </c>
      <c r="C542" s="57" t="n">
        <v>0.04536</v>
      </c>
      <c r="D542" s="57" t="n">
        <v>0.04591</v>
      </c>
      <c r="E542" s="57" t="n">
        <v>0.04606</v>
      </c>
      <c r="F542" s="57" t="n">
        <v>0.04666</v>
      </c>
      <c r="G542" s="57" t="n">
        <v>0.04739</v>
      </c>
    </row>
    <row r="543" customFormat="false" ht="15" hidden="false" customHeight="false" outlineLevel="0" collapsed="false">
      <c r="A543" s="52" t="n">
        <v>44952</v>
      </c>
      <c r="B543" s="57" t="n">
        <v>0.04536</v>
      </c>
      <c r="C543" s="57" t="n">
        <v>0.04536</v>
      </c>
      <c r="D543" s="57" t="n">
        <v>0.04591</v>
      </c>
      <c r="E543" s="57" t="n">
        <v>0.04606</v>
      </c>
      <c r="F543" s="57" t="n">
        <v>0.04666</v>
      </c>
      <c r="G543" s="57" t="n">
        <v>0.04739</v>
      </c>
    </row>
    <row r="544" customFormat="false" ht="15" hidden="false" customHeight="false" outlineLevel="0" collapsed="false">
      <c r="A544" s="52" t="n">
        <v>44953</v>
      </c>
      <c r="B544" s="57" t="n">
        <v>0.045</v>
      </c>
      <c r="C544" s="57" t="n">
        <v>0.045</v>
      </c>
      <c r="D544" s="57" t="n">
        <v>0.04559</v>
      </c>
      <c r="E544" s="57" t="n">
        <v>0.04578</v>
      </c>
      <c r="F544" s="57" t="n">
        <v>0.04635</v>
      </c>
      <c r="G544" s="57" t="n">
        <v>0.04712</v>
      </c>
    </row>
    <row r="545" customFormat="false" ht="15" hidden="false" customHeight="false" outlineLevel="0" collapsed="false">
      <c r="A545" s="52" t="n">
        <v>44956</v>
      </c>
      <c r="B545" s="57" t="n">
        <v>0.04464</v>
      </c>
      <c r="C545" s="57" t="n">
        <v>0.04464</v>
      </c>
      <c r="D545" s="57" t="n">
        <v>0.04518</v>
      </c>
      <c r="E545" s="57" t="n">
        <v>0.04537</v>
      </c>
      <c r="F545" s="57" t="n">
        <v>0.04607</v>
      </c>
      <c r="G545" s="57" t="n">
        <v>0.04671</v>
      </c>
    </row>
    <row r="546" customFormat="false" ht="15" hidden="false" customHeight="false" outlineLevel="0" collapsed="false">
      <c r="A546" s="52" t="n">
        <v>44957</v>
      </c>
      <c r="B546" s="57" t="n">
        <v>0.04391</v>
      </c>
      <c r="C546" s="57" t="n">
        <v>0.04391</v>
      </c>
      <c r="D546" s="57" t="n">
        <v>0.04441</v>
      </c>
      <c r="E546" s="57" t="n">
        <v>0.04468</v>
      </c>
      <c r="F546" s="57" t="n">
        <v>0.04527</v>
      </c>
      <c r="G546" s="57" t="n">
        <v>0.04589</v>
      </c>
    </row>
    <row r="547" customFormat="false" ht="15" hidden="false" customHeight="false" outlineLevel="0" collapsed="false">
      <c r="A547" s="52" t="n">
        <v>44958</v>
      </c>
      <c r="B547" s="57" t="n">
        <v>0.04077</v>
      </c>
      <c r="C547" s="57" t="n">
        <v>0.04079</v>
      </c>
      <c r="D547" s="57" t="n">
        <v>0.04111</v>
      </c>
      <c r="E547" s="57" t="n">
        <v>0.04214</v>
      </c>
      <c r="F547" s="57" t="n">
        <v>0.04331</v>
      </c>
      <c r="G547" s="57" t="n">
        <v>0.04425</v>
      </c>
    </row>
    <row r="548" customFormat="false" ht="15" hidden="false" customHeight="false" outlineLevel="0" collapsed="false">
      <c r="A548" s="52" t="n">
        <v>44959</v>
      </c>
      <c r="B548" s="57" t="n">
        <v>0.03918</v>
      </c>
      <c r="C548" s="57" t="n">
        <v>0.0392</v>
      </c>
      <c r="D548" s="57" t="n">
        <v>0.03953</v>
      </c>
      <c r="E548" s="57" t="n">
        <v>0.04065</v>
      </c>
      <c r="F548" s="57" t="n">
        <v>0.04007</v>
      </c>
      <c r="G548" s="57" t="n">
        <v>0.04308</v>
      </c>
    </row>
    <row r="549" customFormat="false" ht="15" hidden="false" customHeight="false" outlineLevel="0" collapsed="false">
      <c r="A549" s="52" t="n">
        <v>44960</v>
      </c>
      <c r="B549" s="57" t="n">
        <v>0.03902</v>
      </c>
      <c r="C549" s="57" t="n">
        <v>0.03903</v>
      </c>
      <c r="D549" s="57" t="n">
        <v>0.03925</v>
      </c>
      <c r="E549" s="57" t="n">
        <v>0.04022</v>
      </c>
      <c r="F549" s="57" t="n">
        <v>0.04005</v>
      </c>
      <c r="G549" s="57" t="n">
        <v>0.04276</v>
      </c>
    </row>
    <row r="550" customFormat="false" ht="15" hidden="false" customHeight="false" outlineLevel="0" collapsed="false">
      <c r="A550" s="52" t="n">
        <v>44963</v>
      </c>
      <c r="B550" s="57" t="n">
        <v>0.03917</v>
      </c>
      <c r="C550" s="57" t="n">
        <v>0.03901</v>
      </c>
      <c r="D550" s="57" t="n">
        <v>0.03924</v>
      </c>
      <c r="E550" s="57" t="n">
        <v>0.04008</v>
      </c>
      <c r="F550" s="57" t="n">
        <v>0.03986</v>
      </c>
      <c r="G550" s="57" t="n">
        <v>0.04272</v>
      </c>
    </row>
    <row r="551" customFormat="false" ht="15" hidden="false" customHeight="false" outlineLevel="0" collapsed="false">
      <c r="A551" s="52" t="n">
        <v>44964</v>
      </c>
      <c r="B551" s="57" t="n">
        <v>0.03922</v>
      </c>
      <c r="C551" s="57" t="n">
        <v>0.03906</v>
      </c>
      <c r="D551" s="57" t="n">
        <v>0.03928</v>
      </c>
      <c r="E551" s="57" t="n">
        <v>0.04022</v>
      </c>
      <c r="F551" s="57" t="n">
        <v>0.03995</v>
      </c>
      <c r="G551" s="57" t="n">
        <v>0.04252</v>
      </c>
    </row>
    <row r="552" customFormat="false" ht="15" hidden="false" customHeight="false" outlineLevel="0" collapsed="false">
      <c r="A552" s="52" t="n">
        <v>44965</v>
      </c>
      <c r="B552" s="57" t="n">
        <v>0.03913</v>
      </c>
      <c r="C552" s="57" t="n">
        <v>0.03896</v>
      </c>
      <c r="D552" s="57" t="n">
        <v>0.0392</v>
      </c>
      <c r="E552" s="57" t="n">
        <v>0.04014</v>
      </c>
      <c r="F552" s="57" t="n">
        <v>0.04014</v>
      </c>
      <c r="G552" s="57" t="n">
        <v>0.04273</v>
      </c>
    </row>
    <row r="553" customFormat="false" ht="15" hidden="false" customHeight="false" outlineLevel="0" collapsed="false">
      <c r="A553" s="52" t="n">
        <v>44966</v>
      </c>
      <c r="B553" s="57" t="n">
        <v>0.03908</v>
      </c>
      <c r="C553" s="57" t="n">
        <v>0.03892</v>
      </c>
      <c r="D553" s="57" t="n">
        <v>0.03915</v>
      </c>
      <c r="E553" s="57" t="n">
        <v>0.03997</v>
      </c>
      <c r="F553" s="57" t="n">
        <v>0.03895</v>
      </c>
      <c r="G553" s="57" t="n">
        <v>0.04207</v>
      </c>
    </row>
    <row r="554" customFormat="false" ht="15" hidden="false" customHeight="false" outlineLevel="0" collapsed="false">
      <c r="A554" s="52" t="n">
        <v>44967</v>
      </c>
      <c r="B554" s="57" t="n">
        <v>0.03874</v>
      </c>
      <c r="C554" s="57" t="n">
        <v>0.03883</v>
      </c>
      <c r="D554" s="57" t="n">
        <v>0.03901</v>
      </c>
      <c r="E554" s="57" t="n">
        <v>0.03991</v>
      </c>
      <c r="F554" s="57" t="n">
        <v>0.03875</v>
      </c>
      <c r="G554" s="57" t="n">
        <v>0.04204</v>
      </c>
    </row>
    <row r="555" customFormat="false" ht="15" hidden="false" customHeight="false" outlineLevel="0" collapsed="false">
      <c r="A555" s="52" t="n">
        <v>44970</v>
      </c>
      <c r="B555" s="57" t="n">
        <v>0.03895</v>
      </c>
      <c r="C555" s="57" t="n">
        <v>0.03886</v>
      </c>
      <c r="D555" s="57" t="n">
        <v>0.03911</v>
      </c>
      <c r="E555" s="57" t="n">
        <v>0.03997</v>
      </c>
      <c r="F555" s="57" t="n">
        <v>0.03884</v>
      </c>
      <c r="G555" s="57" t="n">
        <v>0.04201</v>
      </c>
    </row>
    <row r="556" customFormat="false" ht="15" hidden="false" customHeight="false" outlineLevel="0" collapsed="false">
      <c r="A556" s="52" t="n">
        <v>44971</v>
      </c>
      <c r="B556" s="57" t="n">
        <v>0.03881</v>
      </c>
      <c r="C556" s="57" t="n">
        <v>0.03874</v>
      </c>
      <c r="D556" s="57" t="n">
        <v>0.03901</v>
      </c>
      <c r="E556" s="57" t="n">
        <v>0.0398</v>
      </c>
      <c r="F556" s="57" t="n">
        <v>0.03903</v>
      </c>
      <c r="G556" s="57" t="n">
        <v>0.04155</v>
      </c>
    </row>
    <row r="557" customFormat="false" ht="15" hidden="false" customHeight="false" outlineLevel="0" collapsed="false">
      <c r="A557" s="52" t="n">
        <v>44972</v>
      </c>
      <c r="B557" s="57" t="n">
        <v>0.03881</v>
      </c>
      <c r="C557" s="57" t="n">
        <v>0.03874</v>
      </c>
      <c r="D557" s="57" t="n">
        <v>0.03901</v>
      </c>
      <c r="E557" s="57" t="n">
        <v>0.0398</v>
      </c>
      <c r="F557" s="57" t="n">
        <v>0.03903</v>
      </c>
      <c r="G557" s="57" t="n">
        <v>0.04201</v>
      </c>
    </row>
    <row r="558" customFormat="false" ht="15" hidden="false" customHeight="false" outlineLevel="0" collapsed="false">
      <c r="A558" s="52" t="n">
        <v>44973</v>
      </c>
      <c r="B558" s="57" t="n">
        <v>0.03891</v>
      </c>
      <c r="C558" s="57" t="n">
        <v>0.03883</v>
      </c>
      <c r="D558" s="57" t="n">
        <v>0.03905</v>
      </c>
      <c r="E558" s="57" t="n">
        <v>0.03976</v>
      </c>
      <c r="F558" s="57" t="n">
        <v>0.03914</v>
      </c>
      <c r="G558" s="57" t="n">
        <v>0.04261</v>
      </c>
    </row>
    <row r="559" customFormat="false" ht="15" hidden="false" customHeight="false" outlineLevel="0" collapsed="false">
      <c r="A559" s="52" t="n">
        <v>44974</v>
      </c>
      <c r="B559" s="57" t="n">
        <v>0.03891</v>
      </c>
      <c r="C559" s="57" t="n">
        <v>0.03892</v>
      </c>
      <c r="D559" s="57" t="n">
        <v>0.03914</v>
      </c>
      <c r="E559" s="57" t="n">
        <v>0.03976</v>
      </c>
      <c r="F559" s="57" t="n">
        <v>0.03923</v>
      </c>
      <c r="G559" s="57" t="n">
        <v>0.04297</v>
      </c>
    </row>
    <row r="560" customFormat="false" ht="15" hidden="false" customHeight="false" outlineLevel="0" collapsed="false">
      <c r="A560" s="52" t="n">
        <v>44977</v>
      </c>
      <c r="B560" s="57" t="n">
        <v>0.03908</v>
      </c>
      <c r="C560" s="57" t="n">
        <v>0.03909</v>
      </c>
      <c r="D560" s="57" t="n">
        <v>0.03918</v>
      </c>
      <c r="E560" s="57" t="n">
        <v>0.03982</v>
      </c>
      <c r="F560" s="57" t="n">
        <v>0.03972</v>
      </c>
      <c r="G560" s="57" t="n">
        <v>0.04325</v>
      </c>
    </row>
    <row r="561" customFormat="false" ht="15" hidden="false" customHeight="false" outlineLevel="0" collapsed="false">
      <c r="A561" s="52" t="n">
        <v>44978</v>
      </c>
      <c r="B561" s="57" t="n">
        <v>0.03932</v>
      </c>
      <c r="C561" s="57" t="n">
        <v>0.03932</v>
      </c>
      <c r="D561" s="57" t="n">
        <v>0.03923</v>
      </c>
      <c r="E561" s="57" t="n">
        <v>0.03991</v>
      </c>
      <c r="F561" s="57" t="n">
        <v>0.03982</v>
      </c>
      <c r="G561" s="57" t="n">
        <v>0.04396</v>
      </c>
    </row>
    <row r="562" customFormat="false" ht="15" hidden="false" customHeight="false" outlineLevel="0" collapsed="false">
      <c r="A562" s="52" t="n">
        <v>44979</v>
      </c>
      <c r="B562" s="57" t="n">
        <v>0.03944</v>
      </c>
      <c r="C562" s="57" t="n">
        <v>0.03945</v>
      </c>
      <c r="D562" s="57" t="n">
        <v>0.03945</v>
      </c>
      <c r="E562" s="57" t="n">
        <v>0.04024</v>
      </c>
      <c r="F562" s="57" t="n">
        <v>0.04072</v>
      </c>
      <c r="G562" s="57" t="n">
        <v>0.04479</v>
      </c>
    </row>
    <row r="563" customFormat="false" ht="15" hidden="false" customHeight="false" outlineLevel="0" collapsed="false">
      <c r="A563" s="52" t="n">
        <v>44980</v>
      </c>
      <c r="B563" s="57" t="n">
        <v>0.03947</v>
      </c>
      <c r="C563" s="57" t="n">
        <v>0.03947</v>
      </c>
      <c r="D563" s="57" t="n">
        <v>0.03964</v>
      </c>
      <c r="E563" s="57" t="n">
        <v>0.04042</v>
      </c>
      <c r="F563" s="57" t="n">
        <v>0.04111</v>
      </c>
      <c r="G563" s="57" t="n">
        <v>0.04506</v>
      </c>
    </row>
    <row r="564" customFormat="false" ht="15" hidden="false" customHeight="false" outlineLevel="0" collapsed="false">
      <c r="A564" s="52" t="n">
        <v>44981</v>
      </c>
      <c r="B564" s="57" t="n">
        <v>0.03957</v>
      </c>
      <c r="C564" s="57" t="n">
        <v>0.03957</v>
      </c>
      <c r="D564" s="57" t="n">
        <v>0.03974</v>
      </c>
      <c r="E564" s="57" t="n">
        <v>0.04049</v>
      </c>
      <c r="F564" s="57" t="n">
        <v>0.0406</v>
      </c>
      <c r="G564" s="57" t="n">
        <v>0.04527</v>
      </c>
    </row>
    <row r="565" customFormat="false" ht="15" hidden="false" customHeight="false" outlineLevel="0" collapsed="false">
      <c r="A565" s="52" t="n">
        <v>44984</v>
      </c>
      <c r="B565" s="57" t="n">
        <v>0.03961</v>
      </c>
      <c r="C565" s="57" t="n">
        <v>0.03961</v>
      </c>
      <c r="D565" s="57" t="n">
        <v>0.03975</v>
      </c>
      <c r="E565" s="57" t="n">
        <v>0.04041</v>
      </c>
      <c r="F565" s="57" t="n">
        <v>0.041</v>
      </c>
      <c r="G565" s="57" t="n">
        <v>0.04495</v>
      </c>
    </row>
    <row r="566" customFormat="false" ht="15" hidden="false" customHeight="false" outlineLevel="0" collapsed="false">
      <c r="A566" s="52" t="n">
        <v>44985</v>
      </c>
      <c r="B566" s="57" t="n">
        <v>0.03956</v>
      </c>
      <c r="C566" s="57" t="n">
        <v>0.03956</v>
      </c>
      <c r="D566" s="57" t="n">
        <v>0.03975</v>
      </c>
      <c r="E566" s="57" t="n">
        <v>0.04041</v>
      </c>
      <c r="F566" s="57" t="n">
        <v>0.0407</v>
      </c>
      <c r="G566" s="57" t="n">
        <v>0.04482</v>
      </c>
    </row>
    <row r="567" customFormat="false" ht="15" hidden="false" customHeight="false" outlineLevel="0" collapsed="false">
      <c r="A567" s="52" t="n">
        <v>44986</v>
      </c>
      <c r="B567" s="57" t="n">
        <v>0.03955</v>
      </c>
      <c r="C567" s="57" t="n">
        <v>0.0401</v>
      </c>
      <c r="D567" s="57" t="n">
        <v>0.04024</v>
      </c>
      <c r="E567" s="57" t="n">
        <v>0.04045</v>
      </c>
      <c r="F567" s="57" t="n">
        <v>0.04116</v>
      </c>
      <c r="G567" s="57" t="n">
        <v>0.04487</v>
      </c>
    </row>
    <row r="568" customFormat="false" ht="15" hidden="false" customHeight="false" outlineLevel="0" collapsed="false">
      <c r="A568" s="52" t="n">
        <v>44987</v>
      </c>
      <c r="B568" s="57" t="n">
        <v>0.03956</v>
      </c>
      <c r="C568" s="57" t="n">
        <v>0.04011</v>
      </c>
      <c r="D568" s="57" t="n">
        <v>0.04027</v>
      </c>
      <c r="E568" s="57" t="n">
        <v>0.04062</v>
      </c>
      <c r="F568" s="57" t="n">
        <v>0.04147</v>
      </c>
      <c r="G568" s="57" t="n">
        <v>0.0454</v>
      </c>
    </row>
    <row r="569" customFormat="false" ht="15" hidden="false" customHeight="false" outlineLevel="0" collapsed="false">
      <c r="A569" s="52" t="n">
        <v>44988</v>
      </c>
      <c r="B569" s="57" t="n">
        <v>0.03955</v>
      </c>
      <c r="C569" s="57" t="n">
        <v>0.0401</v>
      </c>
      <c r="D569" s="57" t="n">
        <v>0.04025</v>
      </c>
      <c r="E569" s="57" t="n">
        <v>0.04047</v>
      </c>
      <c r="F569" s="57" t="n">
        <v>0.04127</v>
      </c>
      <c r="G569" s="57" t="n">
        <v>0.04545</v>
      </c>
    </row>
    <row r="570" customFormat="false" ht="15" hidden="false" customHeight="false" outlineLevel="0" collapsed="false">
      <c r="A570" s="52" t="n">
        <v>44991</v>
      </c>
      <c r="B570" s="57" t="n">
        <v>0.03955</v>
      </c>
      <c r="C570" s="57" t="n">
        <v>0.0401</v>
      </c>
      <c r="D570" s="57" t="n">
        <v>0.04025</v>
      </c>
      <c r="E570" s="57" t="n">
        <v>0.04057</v>
      </c>
      <c r="F570" s="57" t="n">
        <v>0.04111</v>
      </c>
      <c r="G570" s="57" t="n">
        <v>0.04535</v>
      </c>
    </row>
    <row r="571" customFormat="false" ht="15" hidden="false" customHeight="false" outlineLevel="0" collapsed="false">
      <c r="A571" s="52" t="n">
        <v>44992</v>
      </c>
      <c r="B571" s="57" t="n">
        <v>0.03951</v>
      </c>
      <c r="C571" s="57" t="n">
        <v>0.04009</v>
      </c>
      <c r="D571" s="57" t="n">
        <v>0.04023</v>
      </c>
      <c r="E571" s="57" t="n">
        <v>0.04023</v>
      </c>
      <c r="F571" s="57" t="n">
        <v>0.04061</v>
      </c>
      <c r="G571" s="57" t="n">
        <v>0.04501</v>
      </c>
    </row>
    <row r="572" customFormat="false" ht="15" hidden="false" customHeight="false" outlineLevel="0" collapsed="false">
      <c r="A572" s="52" t="n">
        <v>44993</v>
      </c>
      <c r="B572" s="57" t="n">
        <v>0.03956</v>
      </c>
      <c r="C572" s="57" t="n">
        <v>0.04015</v>
      </c>
      <c r="D572" s="57" t="n">
        <v>0.04031</v>
      </c>
      <c r="E572" s="57" t="n">
        <v>0.04041</v>
      </c>
      <c r="F572" s="57" t="n">
        <v>0.04078</v>
      </c>
      <c r="G572" s="57" t="n">
        <v>0.04528</v>
      </c>
    </row>
    <row r="573" customFormat="false" ht="15" hidden="false" customHeight="false" outlineLevel="0" collapsed="false">
      <c r="A573" s="52" t="n">
        <v>44994</v>
      </c>
      <c r="B573" s="57" t="n">
        <v>0.03951</v>
      </c>
      <c r="C573" s="57" t="n">
        <v>0.04009</v>
      </c>
      <c r="D573" s="57" t="n">
        <v>0.04023</v>
      </c>
      <c r="E573" s="57" t="n">
        <v>0.04036</v>
      </c>
      <c r="F573" s="57" t="n">
        <v>0.0409</v>
      </c>
      <c r="G573" s="57" t="n">
        <v>0.04469</v>
      </c>
    </row>
    <row r="574" customFormat="false" ht="15" hidden="false" customHeight="false" outlineLevel="0" collapsed="false">
      <c r="A574" s="52" t="n">
        <v>44995</v>
      </c>
      <c r="B574" s="57" t="n">
        <v>0.03951</v>
      </c>
      <c r="C574" s="57" t="n">
        <v>0.04008</v>
      </c>
      <c r="D574" s="57" t="n">
        <v>0.04024</v>
      </c>
      <c r="E574" s="57" t="n">
        <v>0.04042</v>
      </c>
      <c r="F574" s="57" t="n">
        <v>0.04117</v>
      </c>
      <c r="G574" s="57" t="n">
        <v>0.04415</v>
      </c>
    </row>
    <row r="575" customFormat="false" ht="15" hidden="false" customHeight="false" outlineLevel="0" collapsed="false">
      <c r="A575" s="52" t="n">
        <v>44998</v>
      </c>
      <c r="B575" s="57" t="n">
        <v>0.03923</v>
      </c>
      <c r="C575" s="57" t="n">
        <v>0.03981</v>
      </c>
      <c r="D575" s="57" t="n">
        <v>0.03995</v>
      </c>
      <c r="E575" s="57" t="n">
        <v>0.03986</v>
      </c>
      <c r="F575" s="57" t="n">
        <v>0.03962</v>
      </c>
      <c r="G575" s="57" t="n">
        <v>0.0431</v>
      </c>
    </row>
    <row r="576" customFormat="false" ht="15" hidden="false" customHeight="false" outlineLevel="0" collapsed="false">
      <c r="A576" s="52" t="n">
        <v>44999</v>
      </c>
      <c r="B576" s="57" t="n">
        <v>0.03901</v>
      </c>
      <c r="C576" s="57" t="n">
        <v>0.03959</v>
      </c>
      <c r="D576" s="57" t="n">
        <v>0.03972</v>
      </c>
      <c r="E576" s="57" t="n">
        <v>0.03962</v>
      </c>
      <c r="F576" s="57" t="n">
        <v>0.03958</v>
      </c>
      <c r="G576" s="57" t="n">
        <v>0.04254</v>
      </c>
    </row>
    <row r="577" customFormat="false" ht="15" hidden="false" customHeight="false" outlineLevel="0" collapsed="false">
      <c r="A577" s="52" t="n">
        <v>45000</v>
      </c>
      <c r="B577" s="57" t="n">
        <v>0.03897</v>
      </c>
      <c r="C577" s="57" t="n">
        <v>0.03959</v>
      </c>
      <c r="D577" s="57" t="n">
        <v>0.03972</v>
      </c>
      <c r="E577" s="57" t="n">
        <v>0.03962</v>
      </c>
      <c r="F577" s="57" t="n">
        <v>0.03955</v>
      </c>
      <c r="G577" s="57" t="n">
        <v>0.04223</v>
      </c>
    </row>
    <row r="578" customFormat="false" ht="15" hidden="false" customHeight="false" outlineLevel="0" collapsed="false">
      <c r="A578" s="52" t="n">
        <v>45001</v>
      </c>
      <c r="B578" s="57" t="n">
        <v>0.03746</v>
      </c>
      <c r="C578" s="57" t="n">
        <v>0.03806</v>
      </c>
      <c r="D578" s="57" t="n">
        <v>0.03826</v>
      </c>
      <c r="E578" s="57" t="n">
        <v>0.0379</v>
      </c>
      <c r="F578" s="57" t="n">
        <v>0.03754</v>
      </c>
      <c r="G578" s="57" t="n">
        <v>0.04053</v>
      </c>
    </row>
    <row r="579" customFormat="false" ht="15" hidden="false" customHeight="false" outlineLevel="0" collapsed="false">
      <c r="A579" s="52" t="n">
        <v>45002</v>
      </c>
      <c r="B579" s="57" t="n">
        <v>0.03743</v>
      </c>
      <c r="C579" s="57" t="n">
        <v>0.03804</v>
      </c>
      <c r="D579" s="57" t="n">
        <v>0.03818</v>
      </c>
      <c r="E579" s="57" t="n">
        <v>0.03825</v>
      </c>
      <c r="F579" s="57" t="n">
        <v>0.03818</v>
      </c>
      <c r="G579" s="57" t="n">
        <v>0.04048</v>
      </c>
    </row>
    <row r="580" customFormat="false" ht="15" hidden="false" customHeight="false" outlineLevel="0" collapsed="false">
      <c r="A580" s="52" t="n">
        <v>45005</v>
      </c>
      <c r="B580" s="57" t="n">
        <v>0.03738</v>
      </c>
      <c r="C580" s="57" t="n">
        <v>0.03799</v>
      </c>
      <c r="D580" s="57" t="n">
        <v>0.03814</v>
      </c>
      <c r="E580" s="57" t="n">
        <v>0.03813</v>
      </c>
      <c r="F580" s="57" t="n">
        <v>0.03719</v>
      </c>
      <c r="G580" s="57" t="n">
        <v>0.0398</v>
      </c>
    </row>
    <row r="581" customFormat="false" ht="15" hidden="false" customHeight="false" outlineLevel="0" collapsed="false">
      <c r="A581" s="52" t="n">
        <v>45006</v>
      </c>
      <c r="B581" s="57" t="n">
        <v>0.03716</v>
      </c>
      <c r="C581" s="57" t="n">
        <v>0.03776</v>
      </c>
      <c r="D581" s="57" t="n">
        <v>0.03786</v>
      </c>
      <c r="E581" s="57" t="n">
        <v>0.0379</v>
      </c>
      <c r="F581" s="57" t="n">
        <v>0.03743</v>
      </c>
      <c r="G581" s="57" t="n">
        <v>0.03938</v>
      </c>
    </row>
    <row r="582" customFormat="false" ht="15" hidden="false" customHeight="false" outlineLevel="0" collapsed="false">
      <c r="A582" s="52" t="n">
        <v>45007</v>
      </c>
      <c r="B582" s="57" t="n">
        <v>0.03693</v>
      </c>
      <c r="C582" s="57" t="n">
        <v>0.03755</v>
      </c>
      <c r="D582" s="57" t="n">
        <v>0.03773</v>
      </c>
      <c r="E582" s="57" t="n">
        <v>0.03771</v>
      </c>
      <c r="F582" s="57" t="n">
        <v>0.03659</v>
      </c>
      <c r="G582" s="57" t="n">
        <v>0.03864</v>
      </c>
    </row>
    <row r="583" customFormat="false" ht="15" hidden="false" customHeight="false" outlineLevel="0" collapsed="false">
      <c r="A583" s="52" t="n">
        <v>45008</v>
      </c>
      <c r="B583" s="57" t="n">
        <v>0.03545</v>
      </c>
      <c r="C583" s="57" t="n">
        <v>0.03601</v>
      </c>
      <c r="D583" s="57" t="n">
        <v>0.03622</v>
      </c>
      <c r="E583" s="57" t="n">
        <v>0.03597</v>
      </c>
      <c r="F583" s="57" t="n">
        <v>0.03667</v>
      </c>
      <c r="G583" s="57" t="n">
        <v>0.03823</v>
      </c>
    </row>
    <row r="584" customFormat="false" ht="15" hidden="false" customHeight="false" outlineLevel="0" collapsed="false">
      <c r="A584" s="52" t="n">
        <v>45009</v>
      </c>
      <c r="B584" s="57" t="n">
        <v>0.03523</v>
      </c>
      <c r="C584" s="57" t="n">
        <v>0.03576</v>
      </c>
      <c r="D584" s="57" t="n">
        <v>0.03586</v>
      </c>
      <c r="E584" s="57" t="n">
        <v>0.03586</v>
      </c>
      <c r="F584" s="57" t="n">
        <v>0.0353</v>
      </c>
      <c r="G584" s="57" t="n">
        <v>0.03655</v>
      </c>
    </row>
    <row r="585" customFormat="false" ht="15" hidden="false" customHeight="false" outlineLevel="0" collapsed="false">
      <c r="A585" s="52" t="n">
        <v>45012</v>
      </c>
      <c r="B585" s="57" t="n">
        <v>0.03464</v>
      </c>
      <c r="C585" s="57" t="n">
        <v>0.03517</v>
      </c>
      <c r="D585" s="57" t="n">
        <v>0.03531</v>
      </c>
      <c r="E585" s="57" t="n">
        <v>0.03515</v>
      </c>
      <c r="F585" s="57" t="n">
        <v>0.03533</v>
      </c>
      <c r="G585" s="57" t="n">
        <v>0.03731</v>
      </c>
    </row>
    <row r="586" customFormat="false" ht="15" hidden="false" customHeight="false" outlineLevel="0" collapsed="false">
      <c r="A586" s="52" t="n">
        <v>45013</v>
      </c>
      <c r="B586" s="57" t="n">
        <v>0.03437</v>
      </c>
      <c r="C586" s="57" t="n">
        <v>0.0349</v>
      </c>
      <c r="D586" s="57" t="n">
        <v>0.03505</v>
      </c>
      <c r="E586" s="57" t="n">
        <v>0.03504</v>
      </c>
      <c r="F586" s="57" t="n">
        <v>0.03497</v>
      </c>
      <c r="G586" s="57" t="n">
        <v>0.03708</v>
      </c>
    </row>
    <row r="587" customFormat="false" ht="15" hidden="false" customHeight="false" outlineLevel="0" collapsed="false">
      <c r="A587" s="52" t="n">
        <v>45014</v>
      </c>
      <c r="B587" s="57" t="n">
        <v>0.03409</v>
      </c>
      <c r="C587" s="57" t="n">
        <v>0.0346</v>
      </c>
      <c r="D587" s="57" t="n">
        <v>0.03468</v>
      </c>
      <c r="E587" s="57" t="n">
        <v>0.03455</v>
      </c>
      <c r="F587" s="57" t="n">
        <v>0.03354</v>
      </c>
      <c r="G587" s="57" t="n">
        <v>0.03696</v>
      </c>
    </row>
    <row r="588" customFormat="false" ht="15" hidden="false" customHeight="false" outlineLevel="0" collapsed="false">
      <c r="A588" s="52" t="n">
        <v>45015</v>
      </c>
      <c r="B588" s="57" t="n">
        <v>0.03268</v>
      </c>
      <c r="C588" s="57" t="n">
        <v>0.03318</v>
      </c>
      <c r="D588" s="57" t="n">
        <v>0.03318</v>
      </c>
      <c r="E588" s="57" t="n">
        <v>0.03293</v>
      </c>
      <c r="F588" s="57" t="n">
        <v>0.03228</v>
      </c>
      <c r="G588" s="57" t="n">
        <v>0.03664</v>
      </c>
    </row>
    <row r="589" customFormat="false" ht="15" hidden="false" customHeight="false" outlineLevel="0" collapsed="false">
      <c r="A589" s="52" t="n">
        <v>45016</v>
      </c>
      <c r="B589" s="57" t="n">
        <v>0.03069</v>
      </c>
      <c r="C589" s="57" t="n">
        <v>0.03118</v>
      </c>
      <c r="D589" s="57" t="n">
        <v>0.03119</v>
      </c>
      <c r="E589" s="57" t="n">
        <v>0.03127</v>
      </c>
      <c r="F589" s="57" t="n">
        <v>0.02957</v>
      </c>
      <c r="G589" s="57" t="n">
        <v>0.03419</v>
      </c>
    </row>
    <row r="590" customFormat="false" ht="15" hidden="false" customHeight="false" outlineLevel="0" collapsed="false">
      <c r="A590" s="52" t="n">
        <v>45019</v>
      </c>
      <c r="B590" s="57" t="n">
        <v>0.02945</v>
      </c>
      <c r="C590" s="57" t="n">
        <v>0.02999</v>
      </c>
      <c r="D590" s="57" t="n">
        <v>0.03073</v>
      </c>
      <c r="E590" s="57" t="n">
        <v>0.03054</v>
      </c>
      <c r="F590" s="57" t="n">
        <v>0.03125</v>
      </c>
      <c r="G590" s="57" t="n">
        <v>0.03542</v>
      </c>
    </row>
    <row r="591" customFormat="false" ht="15" hidden="false" customHeight="false" outlineLevel="0" collapsed="false">
      <c r="A591" s="52" t="n">
        <v>45020</v>
      </c>
      <c r="B591" s="57" t="n">
        <v>0.02951</v>
      </c>
      <c r="C591" s="57" t="n">
        <v>0.03012</v>
      </c>
      <c r="D591" s="57" t="n">
        <v>0.03033</v>
      </c>
      <c r="E591" s="57" t="n">
        <v>0.03071</v>
      </c>
      <c r="F591" s="57" t="n">
        <v>0.03122</v>
      </c>
      <c r="G591" s="57" t="n">
        <v>0.03514</v>
      </c>
    </row>
    <row r="592" customFormat="false" ht="15" hidden="false" customHeight="false" outlineLevel="0" collapsed="false">
      <c r="A592" s="52" t="n">
        <v>45021</v>
      </c>
      <c r="B592" s="57" t="n">
        <v>0.02825</v>
      </c>
      <c r="C592" s="57" t="n">
        <v>0.02938</v>
      </c>
      <c r="D592" s="57" t="n">
        <v>0.02965</v>
      </c>
      <c r="E592" s="57" t="n">
        <v>0.03033</v>
      </c>
      <c r="F592" s="57" t="n">
        <v>0.03163</v>
      </c>
      <c r="G592" s="57" t="n">
        <v>0.03524</v>
      </c>
    </row>
    <row r="593" customFormat="false" ht="15" hidden="false" customHeight="false" outlineLevel="0" collapsed="false">
      <c r="A593" s="52" t="n">
        <v>45022</v>
      </c>
      <c r="B593" s="57" t="n">
        <v>0.02908</v>
      </c>
      <c r="C593" s="57" t="n">
        <v>0.02982</v>
      </c>
      <c r="D593" s="57" t="n">
        <v>0.02992</v>
      </c>
      <c r="E593" s="57" t="n">
        <v>0.0306</v>
      </c>
      <c r="F593" s="57" t="n">
        <v>0.03212</v>
      </c>
      <c r="G593" s="57" t="n">
        <v>0.0355</v>
      </c>
    </row>
    <row r="594" customFormat="false" ht="15" hidden="false" customHeight="false" outlineLevel="0" collapsed="false">
      <c r="A594" s="52" t="n">
        <v>45023</v>
      </c>
      <c r="B594" s="57" t="n">
        <v>0.02927</v>
      </c>
      <c r="C594" s="57" t="n">
        <v>0.03041</v>
      </c>
      <c r="D594" s="57" t="n">
        <v>0.03</v>
      </c>
      <c r="E594" s="57" t="n">
        <v>0.03065</v>
      </c>
      <c r="F594" s="57" t="n">
        <v>0.03173</v>
      </c>
      <c r="G594" s="57" t="n">
        <v>0.03497</v>
      </c>
    </row>
    <row r="595" customFormat="false" ht="15" hidden="false" customHeight="false" outlineLevel="0" collapsed="false">
      <c r="A595" s="52" t="n">
        <v>45026</v>
      </c>
      <c r="B595" s="57" t="n">
        <v>0.02825</v>
      </c>
      <c r="C595" s="57" t="n">
        <v>0.02952</v>
      </c>
      <c r="D595" s="57" t="n">
        <v>0.02973</v>
      </c>
      <c r="E595" s="57" t="n">
        <v>0.03033</v>
      </c>
      <c r="F595" s="57" t="n">
        <v>0.0306</v>
      </c>
      <c r="G595" s="57" t="n">
        <v>0.03402</v>
      </c>
    </row>
    <row r="596" customFormat="false" ht="15" hidden="false" customHeight="false" outlineLevel="0" collapsed="false">
      <c r="A596" s="52" t="n">
        <v>45027</v>
      </c>
      <c r="B596" s="57" t="n">
        <v>0.02848</v>
      </c>
      <c r="C596" s="57" t="n">
        <v>0.02928</v>
      </c>
      <c r="D596" s="57" t="n">
        <v>0.02963</v>
      </c>
      <c r="E596" s="57" t="n">
        <v>0.03013</v>
      </c>
      <c r="F596" s="57" t="n">
        <v>0.03</v>
      </c>
      <c r="G596" s="57" t="n">
        <v>0.03395</v>
      </c>
    </row>
    <row r="597" customFormat="false" ht="15" hidden="false" customHeight="false" outlineLevel="0" collapsed="false">
      <c r="A597" s="52" t="n">
        <v>45028</v>
      </c>
      <c r="B597" s="57" t="n">
        <v>0.02843</v>
      </c>
      <c r="C597" s="57" t="n">
        <v>0.02918</v>
      </c>
      <c r="D597" s="57" t="n">
        <v>0.02949</v>
      </c>
      <c r="E597" s="57" t="n">
        <v>0.02994</v>
      </c>
      <c r="F597" s="57" t="n">
        <v>0.02986</v>
      </c>
      <c r="G597" s="57" t="n">
        <v>0.03379</v>
      </c>
    </row>
    <row r="598" customFormat="false" ht="15" hidden="false" customHeight="false" outlineLevel="0" collapsed="false">
      <c r="A598" s="52" t="n">
        <v>45029</v>
      </c>
      <c r="B598" s="57" t="n">
        <v>0.02843</v>
      </c>
      <c r="C598" s="57" t="n">
        <v>0.02918</v>
      </c>
      <c r="D598" s="57" t="n">
        <v>0.02949</v>
      </c>
      <c r="E598" s="57" t="n">
        <v>0.02999</v>
      </c>
      <c r="F598" s="57" t="n">
        <v>0.02992</v>
      </c>
      <c r="G598" s="57" t="n">
        <v>0.03439</v>
      </c>
    </row>
    <row r="599" customFormat="false" ht="15" hidden="false" customHeight="false" outlineLevel="0" collapsed="false">
      <c r="A599" s="52" t="n">
        <v>45030</v>
      </c>
      <c r="B599" s="57" t="n">
        <v>0.02843</v>
      </c>
      <c r="C599" s="57" t="n">
        <v>0.02917</v>
      </c>
      <c r="D599" s="57" t="n">
        <v>0.02944</v>
      </c>
      <c r="E599" s="57" t="n">
        <v>0.02965</v>
      </c>
      <c r="F599" s="57" t="n">
        <v>0.02998</v>
      </c>
      <c r="G599" s="57" t="n">
        <v>0.0342</v>
      </c>
    </row>
    <row r="600" customFormat="false" ht="15" hidden="false" customHeight="false" outlineLevel="0" collapsed="false">
      <c r="A600" s="52" t="n">
        <v>45033</v>
      </c>
      <c r="B600" s="57" t="n">
        <v>0.02848</v>
      </c>
      <c r="C600" s="57" t="n">
        <v>0.02927</v>
      </c>
      <c r="D600" s="57" t="n">
        <v>0.02957</v>
      </c>
      <c r="E600" s="57" t="n">
        <v>0.03004</v>
      </c>
      <c r="F600" s="57" t="n">
        <v>0.03086</v>
      </c>
      <c r="G600" s="57" t="n">
        <v>0.03362</v>
      </c>
    </row>
    <row r="601" customFormat="false" ht="15" hidden="false" customHeight="false" outlineLevel="0" collapsed="false">
      <c r="A601" s="52" t="n">
        <v>45034</v>
      </c>
      <c r="B601" s="57" t="n">
        <v>0.02864</v>
      </c>
      <c r="C601" s="57" t="n">
        <v>0.02936</v>
      </c>
      <c r="D601" s="57" t="n">
        <v>0.02957</v>
      </c>
      <c r="E601" s="57" t="n">
        <v>0.03002</v>
      </c>
      <c r="F601" s="57" t="n">
        <v>0.03047</v>
      </c>
      <c r="G601" s="57" t="n">
        <v>0.03427</v>
      </c>
    </row>
    <row r="602" customFormat="false" ht="15" hidden="false" customHeight="false" outlineLevel="0" collapsed="false">
      <c r="A602" s="52" t="n">
        <v>45035</v>
      </c>
      <c r="B602" s="57" t="n">
        <v>0.02792</v>
      </c>
      <c r="C602" s="57" t="n">
        <v>0.02895</v>
      </c>
      <c r="D602" s="57" t="n">
        <v>0.02934</v>
      </c>
      <c r="E602" s="57" t="n">
        <v>0.0289</v>
      </c>
      <c r="F602" s="57" t="n">
        <v>0.03036</v>
      </c>
      <c r="G602" s="57" t="n">
        <v>0.03393</v>
      </c>
    </row>
    <row r="603" customFormat="false" ht="15" hidden="false" customHeight="false" outlineLevel="0" collapsed="false">
      <c r="A603" s="52" t="n">
        <v>45036</v>
      </c>
      <c r="B603" s="57" t="n">
        <v>0.02838</v>
      </c>
      <c r="C603" s="57" t="n">
        <v>0.02913</v>
      </c>
      <c r="D603" s="57" t="n">
        <v>0.02947</v>
      </c>
      <c r="E603" s="57" t="n">
        <v>0.02987</v>
      </c>
      <c r="F603" s="57" t="n">
        <v>0.03005</v>
      </c>
      <c r="G603" s="57" t="n">
        <v>0.03399</v>
      </c>
    </row>
    <row r="604" customFormat="false" ht="15" hidden="false" customHeight="false" outlineLevel="0" collapsed="false">
      <c r="A604" s="52" t="n">
        <v>45037</v>
      </c>
      <c r="B604" s="57" t="n">
        <v>0.02838</v>
      </c>
      <c r="C604" s="57" t="n">
        <v>0.02913</v>
      </c>
      <c r="D604" s="57" t="n">
        <v>0.02946</v>
      </c>
      <c r="E604" s="57" t="n">
        <v>0.02983</v>
      </c>
      <c r="F604" s="57" t="n">
        <v>0.03007</v>
      </c>
      <c r="G604" s="57" t="n">
        <v>0.03369</v>
      </c>
    </row>
    <row r="605" customFormat="false" ht="15" hidden="false" customHeight="false" outlineLevel="0" collapsed="false">
      <c r="A605" s="52" t="n">
        <v>45040</v>
      </c>
      <c r="B605" s="57" t="n">
        <v>0.02842</v>
      </c>
      <c r="C605" s="57" t="n">
        <v>0.02918</v>
      </c>
      <c r="D605" s="57" t="n">
        <v>0.0295</v>
      </c>
      <c r="E605" s="57" t="n">
        <v>0.02988</v>
      </c>
      <c r="F605" s="57" t="n">
        <v>0.0304</v>
      </c>
      <c r="G605" s="57" t="n">
        <v>0.03441</v>
      </c>
    </row>
    <row r="606" customFormat="false" ht="15" hidden="false" customHeight="false" outlineLevel="0" collapsed="false">
      <c r="A606" s="52" t="n">
        <v>45041</v>
      </c>
      <c r="B606" s="57" t="n">
        <v>0.02801</v>
      </c>
      <c r="C606" s="57" t="n">
        <v>0.02872</v>
      </c>
      <c r="D606" s="57" t="n">
        <v>0.02922</v>
      </c>
      <c r="E606" s="57" t="n">
        <v>0.0295</v>
      </c>
      <c r="F606" s="57" t="n">
        <v>0.02947</v>
      </c>
      <c r="G606" s="57" t="n">
        <v>0.03342</v>
      </c>
    </row>
    <row r="607" customFormat="false" ht="15" hidden="false" customHeight="false" outlineLevel="0" collapsed="false">
      <c r="A607" s="52" t="n">
        <v>45042</v>
      </c>
      <c r="B607" s="57" t="n">
        <v>0.02803</v>
      </c>
      <c r="C607" s="57" t="n">
        <v>0.02898</v>
      </c>
      <c r="D607" s="57" t="n">
        <v>0.02922</v>
      </c>
      <c r="E607" s="57" t="n">
        <v>0.0295</v>
      </c>
      <c r="F607" s="57" t="n">
        <v>0.02961</v>
      </c>
      <c r="G607" s="57" t="n">
        <v>0.03325</v>
      </c>
    </row>
    <row r="608" customFormat="false" ht="15" hidden="false" customHeight="false" outlineLevel="0" collapsed="false">
      <c r="A608" s="52" t="n">
        <v>45043</v>
      </c>
      <c r="B608" s="57" t="n">
        <v>0.02672</v>
      </c>
      <c r="C608" s="57" t="n">
        <v>0.02694</v>
      </c>
      <c r="D608" s="57" t="n">
        <v>0.02842</v>
      </c>
      <c r="E608" s="57" t="n">
        <v>0.02719</v>
      </c>
      <c r="F608" s="57" t="n">
        <v>0.02899</v>
      </c>
      <c r="G608" s="57" t="n">
        <v>0.03286</v>
      </c>
    </row>
    <row r="609" customFormat="false" ht="15" hidden="false" customHeight="false" outlineLevel="0" collapsed="false">
      <c r="A609" s="52" t="n">
        <v>45044</v>
      </c>
      <c r="B609" s="57" t="n">
        <v>0.02687</v>
      </c>
      <c r="C609" s="57" t="n">
        <v>0.02802</v>
      </c>
      <c r="D609" s="57" t="n">
        <v>0.02809</v>
      </c>
      <c r="E609" s="57" t="n">
        <v>0.02743</v>
      </c>
      <c r="F609" s="57" t="n">
        <v>0.02897</v>
      </c>
      <c r="G609" s="57" t="n">
        <v>0.03313</v>
      </c>
    </row>
    <row r="610" customFormat="false" ht="15" hidden="false" customHeight="false" outlineLevel="0" collapsed="false">
      <c r="A610" s="52" t="n">
        <v>45047</v>
      </c>
      <c r="B610" s="57" t="n">
        <v>0.02687</v>
      </c>
      <c r="C610" s="57" t="n">
        <v>0.02802</v>
      </c>
      <c r="D610" s="57" t="n">
        <v>0.02809</v>
      </c>
      <c r="E610" s="57" t="n">
        <v>0.02743</v>
      </c>
      <c r="F610" s="57" t="n">
        <v>0.02897</v>
      </c>
      <c r="G610" s="57" t="n">
        <v>0.03313</v>
      </c>
    </row>
    <row r="611" customFormat="false" ht="15" hidden="false" customHeight="false" outlineLevel="0" collapsed="false">
      <c r="A611" s="52" t="n">
        <v>45048</v>
      </c>
      <c r="B611" s="57" t="n">
        <v>0.02687</v>
      </c>
      <c r="C611" s="57" t="n">
        <v>0.02802</v>
      </c>
      <c r="D611" s="57" t="n">
        <v>0.02809</v>
      </c>
      <c r="E611" s="57" t="n">
        <v>0.02743</v>
      </c>
      <c r="F611" s="57" t="n">
        <v>0.02897</v>
      </c>
      <c r="G611" s="57" t="n">
        <v>0.03313</v>
      </c>
    </row>
    <row r="612" customFormat="false" ht="15" hidden="false" customHeight="false" outlineLevel="0" collapsed="false">
      <c r="A612" s="52" t="n">
        <v>45049</v>
      </c>
      <c r="B612" s="57" t="n">
        <v>0.02685</v>
      </c>
      <c r="C612" s="57" t="n">
        <v>0.02802</v>
      </c>
      <c r="D612" s="57" t="n">
        <v>0.02809</v>
      </c>
      <c r="E612" s="57" t="n">
        <v>0.02742</v>
      </c>
      <c r="F612" s="57" t="n">
        <v>0.02897</v>
      </c>
      <c r="G612" s="57" t="n">
        <v>0.03313</v>
      </c>
    </row>
    <row r="613" customFormat="false" ht="15" hidden="false" customHeight="false" outlineLevel="0" collapsed="false">
      <c r="A613" s="52" t="n">
        <v>45050</v>
      </c>
      <c r="B613" s="57" t="n">
        <v>0.02714</v>
      </c>
      <c r="C613" s="57" t="n">
        <v>0.02774</v>
      </c>
      <c r="D613" s="57" t="n">
        <v>0.02786</v>
      </c>
      <c r="E613" s="57" t="n">
        <v>0.02789</v>
      </c>
      <c r="F613" s="57" t="n">
        <v>0.02882</v>
      </c>
      <c r="G613" s="57" t="n">
        <v>0.03281</v>
      </c>
    </row>
    <row r="614" customFormat="false" ht="15" hidden="false" customHeight="false" outlineLevel="0" collapsed="false">
      <c r="A614" s="52" t="n">
        <v>45051</v>
      </c>
      <c r="B614" s="57" t="n">
        <v>0.02651</v>
      </c>
      <c r="C614" s="57" t="n">
        <v>0.02706</v>
      </c>
      <c r="D614" s="57" t="n">
        <v>0.0271</v>
      </c>
      <c r="E614" s="57" t="n">
        <v>0.02686</v>
      </c>
      <c r="F614" s="57" t="n">
        <v>0.0284</v>
      </c>
      <c r="G614" s="57" t="n">
        <v>0.03216</v>
      </c>
    </row>
    <row r="615" customFormat="false" ht="15" hidden="false" customHeight="false" outlineLevel="0" collapsed="false">
      <c r="A615" s="52" t="n">
        <v>45054</v>
      </c>
      <c r="B615" s="57" t="n">
        <v>0.02614</v>
      </c>
      <c r="C615" s="57" t="n">
        <v>0.02665</v>
      </c>
      <c r="D615" s="57" t="n">
        <v>0.0268</v>
      </c>
      <c r="E615" s="57" t="n">
        <v>0.0271</v>
      </c>
      <c r="F615" s="57" t="n">
        <v>0.02861</v>
      </c>
      <c r="G615" s="57" t="n">
        <v>0.03144</v>
      </c>
    </row>
    <row r="616" customFormat="false" ht="15" hidden="false" customHeight="false" outlineLevel="0" collapsed="false">
      <c r="A616" s="52" t="n">
        <v>45055</v>
      </c>
      <c r="B616" s="57" t="n">
        <v>0.02583</v>
      </c>
      <c r="C616" s="57" t="n">
        <v>0.02646</v>
      </c>
      <c r="D616" s="57" t="n">
        <v>0.02648</v>
      </c>
      <c r="E616" s="57" t="n">
        <v>0.02601</v>
      </c>
      <c r="F616" s="57" t="n">
        <v>0.02773</v>
      </c>
      <c r="G616" s="57" t="n">
        <v>0.03115</v>
      </c>
    </row>
    <row r="617" customFormat="false" ht="15" hidden="false" customHeight="false" outlineLevel="0" collapsed="false">
      <c r="A617" s="52" t="n">
        <v>45056</v>
      </c>
      <c r="B617" s="57" t="n">
        <v>0.02582</v>
      </c>
      <c r="C617" s="57" t="n">
        <v>0.02637</v>
      </c>
      <c r="D617" s="57" t="n">
        <v>0.02649</v>
      </c>
      <c r="E617" s="57" t="n">
        <v>0.02602</v>
      </c>
      <c r="F617" s="57" t="n">
        <v>0.02747</v>
      </c>
      <c r="G617" s="57" t="n">
        <v>0.03153</v>
      </c>
    </row>
    <row r="618" customFormat="false" ht="15" hidden="false" customHeight="false" outlineLevel="0" collapsed="false">
      <c r="A618" s="52" t="n">
        <v>45057</v>
      </c>
      <c r="B618" s="57" t="n">
        <v>0.02577</v>
      </c>
      <c r="C618" s="57" t="n">
        <v>0.02633</v>
      </c>
      <c r="D618" s="57" t="n">
        <v>0.02652</v>
      </c>
      <c r="E618" s="57" t="n">
        <v>0.02673</v>
      </c>
      <c r="F618" s="57" t="n">
        <v>0.02758</v>
      </c>
      <c r="G618" s="57" t="n">
        <v>0.03081</v>
      </c>
    </row>
    <row r="619" customFormat="false" ht="15" hidden="false" customHeight="false" outlineLevel="0" collapsed="false">
      <c r="A619" s="52" t="n">
        <v>45058</v>
      </c>
      <c r="B619" s="57" t="n">
        <v>0.02573</v>
      </c>
      <c r="C619" s="57" t="n">
        <v>0.02628</v>
      </c>
      <c r="D619" s="57" t="n">
        <v>0.02636</v>
      </c>
      <c r="E619" s="57" t="n">
        <v>0.02561</v>
      </c>
      <c r="F619" s="57" t="n">
        <v>0.02771</v>
      </c>
      <c r="G619" s="57" t="n">
        <v>0.03068</v>
      </c>
    </row>
    <row r="620" customFormat="false" ht="15" hidden="false" customHeight="false" outlineLevel="0" collapsed="false">
      <c r="A620" s="52" t="n">
        <v>45061</v>
      </c>
      <c r="B620" s="57" t="n">
        <v>0.02585</v>
      </c>
      <c r="C620" s="57" t="n">
        <v>0.02619</v>
      </c>
      <c r="D620" s="57" t="n">
        <v>0.02649</v>
      </c>
      <c r="E620" s="57" t="n">
        <v>0.02602</v>
      </c>
      <c r="F620" s="57" t="n">
        <v>0.02763</v>
      </c>
      <c r="G620" s="57" t="n">
        <v>0.03069</v>
      </c>
    </row>
    <row r="621" customFormat="false" ht="15" hidden="false" customHeight="false" outlineLevel="0" collapsed="false">
      <c r="A621" s="52" t="n">
        <v>45062</v>
      </c>
      <c r="B621" s="57" t="n">
        <v>0.02549</v>
      </c>
      <c r="C621" s="57" t="n">
        <v>0.02582</v>
      </c>
      <c r="D621" s="57" t="n">
        <v>0.02609</v>
      </c>
      <c r="E621" s="57" t="n">
        <v>0.02526</v>
      </c>
      <c r="F621" s="57" t="n">
        <v>0.02724</v>
      </c>
      <c r="G621" s="57" t="n">
        <v>0.03054</v>
      </c>
    </row>
    <row r="622" customFormat="false" ht="15" hidden="false" customHeight="false" outlineLevel="0" collapsed="false">
      <c r="A622" s="52" t="n">
        <v>45063</v>
      </c>
      <c r="B622" s="57" t="n">
        <v>0.0255</v>
      </c>
      <c r="C622" s="57" t="n">
        <v>0.02601</v>
      </c>
      <c r="D622" s="57" t="n">
        <v>0.02601</v>
      </c>
      <c r="E622" s="57" t="n">
        <v>0.02445</v>
      </c>
      <c r="F622" s="57" t="n">
        <v>0.02712</v>
      </c>
      <c r="G622" s="57" t="n">
        <v>0.03069</v>
      </c>
    </row>
    <row r="623" customFormat="false" ht="15" hidden="false" customHeight="false" outlineLevel="0" collapsed="false">
      <c r="A623" s="52" t="n">
        <v>45064</v>
      </c>
      <c r="B623" s="57" t="n">
        <v>0.02551</v>
      </c>
      <c r="C623" s="57" t="n">
        <v>0.026</v>
      </c>
      <c r="D623" s="57" t="n">
        <v>0.02603</v>
      </c>
      <c r="E623" s="57" t="n">
        <v>0.02553</v>
      </c>
      <c r="F623" s="57" t="n">
        <v>0.02734</v>
      </c>
      <c r="G623" s="57" t="n">
        <v>0.03043</v>
      </c>
    </row>
    <row r="624" customFormat="false" ht="15" hidden="false" customHeight="false" outlineLevel="0" collapsed="false">
      <c r="A624" s="52" t="n">
        <v>45065</v>
      </c>
      <c r="B624" s="57" t="n">
        <v>0.02568</v>
      </c>
      <c r="C624" s="57" t="n">
        <v>0.02618</v>
      </c>
      <c r="D624" s="57" t="n">
        <v>0.02621</v>
      </c>
      <c r="E624" s="57" t="n">
        <v>0.02561</v>
      </c>
      <c r="F624" s="57" t="n">
        <v>0.02771</v>
      </c>
      <c r="G624" s="57" t="n">
        <v>0.03046</v>
      </c>
    </row>
    <row r="625" customFormat="false" ht="15" hidden="false" customHeight="false" outlineLevel="0" collapsed="false">
      <c r="A625" s="52" t="n">
        <v>45068</v>
      </c>
      <c r="B625" s="57" t="n">
        <v>0.02555</v>
      </c>
      <c r="C625" s="57" t="n">
        <v>0.02609</v>
      </c>
      <c r="D625" s="57" t="n">
        <v>0.02613</v>
      </c>
      <c r="E625" s="57" t="n">
        <v>0.0256</v>
      </c>
      <c r="F625" s="57" t="n">
        <v>0.02762</v>
      </c>
      <c r="G625" s="57" t="n">
        <v>0.03093</v>
      </c>
    </row>
    <row r="626" customFormat="false" ht="15" hidden="false" customHeight="false" outlineLevel="0" collapsed="false">
      <c r="A626" s="52" t="n">
        <v>45069</v>
      </c>
      <c r="B626" s="57" t="n">
        <v>0.02555</v>
      </c>
      <c r="C626" s="57" t="n">
        <v>0.02609</v>
      </c>
      <c r="D626" s="57" t="n">
        <v>0.02618</v>
      </c>
      <c r="E626" s="57" t="n">
        <v>0.02631</v>
      </c>
      <c r="F626" s="57" t="n">
        <v>0.02787</v>
      </c>
      <c r="G626" s="57" t="n">
        <v>0.03081</v>
      </c>
    </row>
    <row r="627" customFormat="false" ht="15" hidden="false" customHeight="false" outlineLevel="0" collapsed="false">
      <c r="A627" s="52" t="n">
        <v>45070</v>
      </c>
      <c r="B627" s="57" t="n">
        <v>0.02559</v>
      </c>
      <c r="C627" s="57" t="n">
        <v>0.02614</v>
      </c>
      <c r="D627" s="57" t="n">
        <v>0.02623</v>
      </c>
      <c r="E627" s="57" t="n">
        <v>0.02624</v>
      </c>
      <c r="F627" s="57" t="n">
        <v>0.02754</v>
      </c>
      <c r="G627" s="57" t="n">
        <v>0.03096</v>
      </c>
    </row>
    <row r="628" customFormat="false" ht="15" hidden="false" customHeight="false" outlineLevel="0" collapsed="false">
      <c r="A628" s="52" t="n">
        <v>45071</v>
      </c>
      <c r="B628" s="57" t="n">
        <v>0.02564</v>
      </c>
      <c r="C628" s="57" t="n">
        <v>0.02618</v>
      </c>
      <c r="D628" s="57" t="n">
        <v>0.02627</v>
      </c>
      <c r="E628" s="57" t="n">
        <v>0.02634</v>
      </c>
      <c r="F628" s="57" t="n">
        <v>0.02867</v>
      </c>
      <c r="G628" s="57" t="n">
        <v>0.03188</v>
      </c>
    </row>
    <row r="629" customFormat="false" ht="15" hidden="false" customHeight="false" outlineLevel="0" collapsed="false">
      <c r="A629" s="52" t="n">
        <v>45072</v>
      </c>
      <c r="B629" s="57" t="n">
        <v>0.02586</v>
      </c>
      <c r="C629" s="57" t="n">
        <v>0.02641</v>
      </c>
      <c r="D629" s="57" t="n">
        <v>0.02651</v>
      </c>
      <c r="E629" s="57" t="n">
        <v>0.02678</v>
      </c>
      <c r="F629" s="57" t="n">
        <v>0.02918</v>
      </c>
      <c r="G629" s="57" t="n">
        <v>0.03258</v>
      </c>
    </row>
    <row r="630" customFormat="false" ht="15" hidden="false" customHeight="false" outlineLevel="0" collapsed="false">
      <c r="A630" s="52" t="n">
        <v>45075</v>
      </c>
      <c r="B630" s="57" t="n">
        <v>0.02614</v>
      </c>
      <c r="C630" s="57" t="n">
        <v>0.02668</v>
      </c>
      <c r="D630" s="57" t="n">
        <v>0.02678</v>
      </c>
      <c r="E630" s="57" t="n">
        <v>0.02705</v>
      </c>
      <c r="F630" s="57" t="n">
        <v>0.02947</v>
      </c>
      <c r="G630" s="57" t="n">
        <v>0.03311</v>
      </c>
    </row>
    <row r="631" customFormat="false" ht="15" hidden="false" customHeight="false" outlineLevel="0" collapsed="false">
      <c r="A631" s="52" t="n">
        <v>45076</v>
      </c>
      <c r="B631" s="57" t="n">
        <v>0.02609</v>
      </c>
      <c r="C631" s="57" t="n">
        <v>0.02664</v>
      </c>
      <c r="D631" s="57" t="n">
        <v>0.02673</v>
      </c>
      <c r="E631" s="57" t="n">
        <v>0.02684</v>
      </c>
      <c r="F631" s="57" t="n">
        <v>0.02866</v>
      </c>
      <c r="G631" s="57" t="n">
        <v>0.03232</v>
      </c>
    </row>
    <row r="632" customFormat="false" ht="15" hidden="false" customHeight="false" outlineLevel="0" collapsed="false">
      <c r="A632" s="52" t="n">
        <v>45077</v>
      </c>
      <c r="B632" s="57" t="n">
        <v>0.02601</v>
      </c>
      <c r="C632" s="57" t="n">
        <v>0.02655</v>
      </c>
      <c r="D632" s="57" t="n">
        <v>0.02654</v>
      </c>
      <c r="E632" s="57" t="n">
        <v>0.0253</v>
      </c>
      <c r="F632" s="57" t="n">
        <v>0.02871</v>
      </c>
      <c r="G632" s="57" t="n">
        <v>0.0322</v>
      </c>
    </row>
    <row r="633" customFormat="false" ht="15" hidden="false" customHeight="false" outlineLevel="0" collapsed="false">
      <c r="A633" s="52" t="n">
        <v>45078</v>
      </c>
      <c r="B633" s="57" t="n">
        <v>0.02596</v>
      </c>
      <c r="C633" s="57" t="n">
        <v>0.02655</v>
      </c>
      <c r="D633" s="57" t="n">
        <v>0.02654</v>
      </c>
      <c r="E633" s="57" t="n">
        <v>0.0254</v>
      </c>
      <c r="F633" s="57" t="n">
        <v>0.02832</v>
      </c>
      <c r="G633" s="57" t="n">
        <v>0.03182</v>
      </c>
    </row>
    <row r="634" customFormat="false" ht="15" hidden="false" customHeight="false" outlineLevel="0" collapsed="false">
      <c r="A634" s="52" t="n">
        <v>45079</v>
      </c>
      <c r="B634" s="57" t="n">
        <v>0.02573</v>
      </c>
      <c r="C634" s="57" t="n">
        <v>0.02627</v>
      </c>
      <c r="D634" s="57" t="n">
        <v>0.02628</v>
      </c>
      <c r="E634" s="57" t="n">
        <v>0.02526</v>
      </c>
      <c r="F634" s="57" t="n">
        <v>0.02782</v>
      </c>
      <c r="G634" s="57" t="n">
        <v>0.03131</v>
      </c>
    </row>
    <row r="635" customFormat="false" ht="15" hidden="false" customHeight="false" outlineLevel="0" collapsed="false">
      <c r="A635" s="52" t="n">
        <v>45082</v>
      </c>
      <c r="B635" s="57" t="n">
        <v>0.02573</v>
      </c>
      <c r="C635" s="57" t="n">
        <v>0.02623</v>
      </c>
      <c r="D635" s="57" t="n">
        <v>0.02624</v>
      </c>
      <c r="E635" s="57" t="n">
        <v>0.02526</v>
      </c>
      <c r="F635" s="57" t="n">
        <v>0.02791</v>
      </c>
      <c r="G635" s="57" t="n">
        <v>0.03155</v>
      </c>
    </row>
    <row r="636" customFormat="false" ht="15" hidden="false" customHeight="false" outlineLevel="0" collapsed="false">
      <c r="A636" s="52" t="n">
        <v>45083</v>
      </c>
      <c r="B636" s="57" t="n">
        <v>0.02568</v>
      </c>
      <c r="C636" s="57" t="n">
        <v>0.02618</v>
      </c>
      <c r="D636" s="57" t="n">
        <v>0.02618</v>
      </c>
      <c r="E636" s="57" t="n">
        <v>0.02493</v>
      </c>
      <c r="F636" s="57" t="n">
        <v>0.02777</v>
      </c>
      <c r="G636" s="57" t="n">
        <v>0.03146</v>
      </c>
    </row>
    <row r="637" customFormat="false" ht="15" hidden="false" customHeight="false" outlineLevel="0" collapsed="false">
      <c r="A637" s="52" t="n">
        <v>45084</v>
      </c>
      <c r="B637" s="57" t="n">
        <v>0.02559</v>
      </c>
      <c r="C637" s="57" t="n">
        <v>0.02609</v>
      </c>
      <c r="D637" s="57" t="n">
        <v>0.02609</v>
      </c>
      <c r="E637" s="57" t="n">
        <v>0.02491</v>
      </c>
      <c r="F637" s="57" t="n">
        <v>0.0276</v>
      </c>
      <c r="G637" s="57" t="n">
        <v>0.03138</v>
      </c>
    </row>
    <row r="638" customFormat="false" ht="15" hidden="false" customHeight="false" outlineLevel="0" collapsed="false">
      <c r="A638" s="52" t="n">
        <v>45085</v>
      </c>
      <c r="B638" s="57" t="n">
        <v>0.02559</v>
      </c>
      <c r="C638" s="57" t="n">
        <v>0.02609</v>
      </c>
      <c r="D638" s="57" t="n">
        <v>0.02609</v>
      </c>
      <c r="E638" s="57" t="n">
        <v>0.02492</v>
      </c>
      <c r="F638" s="57" t="n">
        <v>0.0278</v>
      </c>
      <c r="G638" s="57" t="n">
        <v>0.03155</v>
      </c>
    </row>
    <row r="639" customFormat="false" ht="15" hidden="false" customHeight="false" outlineLevel="0" collapsed="false">
      <c r="A639" s="52" t="n">
        <v>45086</v>
      </c>
      <c r="B639" s="57" t="n">
        <v>0.02518</v>
      </c>
      <c r="C639" s="57" t="n">
        <v>0.02568</v>
      </c>
      <c r="D639" s="57" t="n">
        <v>0.02566</v>
      </c>
      <c r="E639" s="57" t="n">
        <v>0.02403</v>
      </c>
      <c r="F639" s="57" t="n">
        <v>0.02726</v>
      </c>
      <c r="G639" s="57" t="n">
        <v>0.03113</v>
      </c>
    </row>
    <row r="640" customFormat="false" ht="15" hidden="false" customHeight="false" outlineLevel="0" collapsed="false">
      <c r="A640" s="52" t="n">
        <v>45089</v>
      </c>
      <c r="B640" s="57" t="n">
        <v>0.02514</v>
      </c>
      <c r="C640" s="57" t="n">
        <v>0.02564</v>
      </c>
      <c r="D640" s="57" t="n">
        <v>0.02558</v>
      </c>
      <c r="E640" s="57" t="n">
        <v>0.02403</v>
      </c>
      <c r="F640" s="57" t="n">
        <v>0.02729</v>
      </c>
      <c r="G640" s="57" t="n">
        <v>0.03114</v>
      </c>
    </row>
    <row r="641" customFormat="false" ht="15" hidden="false" customHeight="false" outlineLevel="0" collapsed="false">
      <c r="A641" s="52" t="n">
        <v>45090</v>
      </c>
      <c r="B641" s="57" t="n">
        <v>0.02468</v>
      </c>
      <c r="C641" s="57" t="n">
        <v>0.02523</v>
      </c>
      <c r="D641" s="57" t="n">
        <v>0.02527</v>
      </c>
      <c r="E641" s="57" t="n">
        <v>0.02384</v>
      </c>
      <c r="F641" s="57" t="n">
        <v>0.02659</v>
      </c>
      <c r="G641" s="57" t="n">
        <v>0.03053</v>
      </c>
    </row>
    <row r="642" customFormat="false" ht="15" hidden="false" customHeight="false" outlineLevel="0" collapsed="false">
      <c r="A642" s="52" t="n">
        <v>45091</v>
      </c>
      <c r="B642" s="57" t="n">
        <v>0.0245</v>
      </c>
      <c r="C642" s="57" t="n">
        <v>0.02505</v>
      </c>
      <c r="D642" s="57" t="n">
        <v>0.02508</v>
      </c>
      <c r="E642" s="57" t="n">
        <v>0.025</v>
      </c>
      <c r="F642" s="57" t="n">
        <v>0.02599</v>
      </c>
      <c r="G642" s="57" t="n">
        <v>0.03008</v>
      </c>
    </row>
    <row r="643" customFormat="false" ht="15" hidden="false" customHeight="false" outlineLevel="0" collapsed="false">
      <c r="A643" s="52" t="n">
        <v>45092</v>
      </c>
      <c r="B643" s="57" t="n">
        <v>0.02391</v>
      </c>
      <c r="C643" s="57" t="n">
        <v>0.02441</v>
      </c>
      <c r="D643" s="57" t="n">
        <v>0.02464</v>
      </c>
      <c r="E643" s="57" t="n">
        <v>0.02477</v>
      </c>
      <c r="F643" s="57" t="n">
        <v>0.02546</v>
      </c>
      <c r="G643" s="57" t="n">
        <v>0.03015</v>
      </c>
    </row>
    <row r="644" customFormat="false" ht="15" hidden="false" customHeight="false" outlineLevel="0" collapsed="false">
      <c r="A644" s="52" t="n">
        <v>45093</v>
      </c>
      <c r="B644" s="57" t="n">
        <v>0.02319</v>
      </c>
      <c r="C644" s="57" t="n">
        <v>0.02368</v>
      </c>
      <c r="D644" s="57" t="n">
        <v>0.02383</v>
      </c>
      <c r="E644" s="57" t="n">
        <v>0.02398</v>
      </c>
      <c r="F644" s="57" t="n">
        <v>0.02469</v>
      </c>
      <c r="G644" s="57" t="n">
        <v>0.02886</v>
      </c>
    </row>
    <row r="645" customFormat="false" ht="15" hidden="false" customHeight="false" outlineLevel="0" collapsed="false">
      <c r="A645" s="52" t="n">
        <v>45096</v>
      </c>
      <c r="B645" s="57" t="n">
        <v>0.02305</v>
      </c>
      <c r="C645" s="57" t="n">
        <v>0.02355</v>
      </c>
      <c r="D645" s="57" t="n">
        <v>0.02373</v>
      </c>
      <c r="E645" s="57" t="n">
        <v>0.02385</v>
      </c>
      <c r="F645" s="57" t="n">
        <v>0.02454</v>
      </c>
      <c r="G645" s="57" t="n">
        <v>0.02848</v>
      </c>
    </row>
    <row r="646" customFormat="false" ht="15" hidden="false" customHeight="false" outlineLevel="0" collapsed="false">
      <c r="A646" s="52" t="n">
        <v>45097</v>
      </c>
      <c r="B646" s="57" t="n">
        <v>0.02277</v>
      </c>
      <c r="C646" s="57" t="n">
        <v>0.02327</v>
      </c>
      <c r="D646" s="57" t="n">
        <v>0.02342</v>
      </c>
      <c r="E646" s="57" t="n">
        <v>0.02276</v>
      </c>
      <c r="F646" s="57" t="n">
        <v>0.02461</v>
      </c>
      <c r="G646" s="57" t="n">
        <v>0.02807</v>
      </c>
    </row>
    <row r="647" customFormat="false" ht="15" hidden="false" customHeight="false" outlineLevel="0" collapsed="false">
      <c r="A647" s="52" t="n">
        <v>45098</v>
      </c>
      <c r="B647" s="57" t="n">
        <v>0.02268</v>
      </c>
      <c r="C647" s="57" t="n">
        <v>0.02318</v>
      </c>
      <c r="D647" s="57" t="n">
        <v>0.02336</v>
      </c>
      <c r="E647" s="57" t="n">
        <v>0.0235</v>
      </c>
      <c r="F647" s="57" t="n">
        <v>0.0246</v>
      </c>
      <c r="G647" s="57" t="n">
        <v>0.02795</v>
      </c>
    </row>
    <row r="648" customFormat="false" ht="15" hidden="false" customHeight="false" outlineLevel="0" collapsed="false">
      <c r="A648" s="52" t="n">
        <v>45099</v>
      </c>
      <c r="B648" s="57" t="n">
        <v>0.02245</v>
      </c>
      <c r="C648" s="57" t="n">
        <v>0.02295</v>
      </c>
      <c r="D648" s="57" t="n">
        <v>0.02314</v>
      </c>
      <c r="E648" s="57" t="n">
        <v>0.02319</v>
      </c>
      <c r="F648" s="57" t="n">
        <v>0.02338</v>
      </c>
      <c r="G648" s="57" t="n">
        <v>0.02634</v>
      </c>
    </row>
    <row r="649" customFormat="false" ht="15" hidden="false" customHeight="false" outlineLevel="0" collapsed="false">
      <c r="A649" s="52" t="n">
        <v>45100</v>
      </c>
      <c r="B649" s="57" t="n">
        <v>0.02227</v>
      </c>
      <c r="C649" s="57" t="n">
        <v>0.02277</v>
      </c>
      <c r="D649" s="57" t="n">
        <v>0.02295</v>
      </c>
      <c r="E649" s="57" t="n">
        <v>0.02298</v>
      </c>
      <c r="F649" s="57" t="n">
        <v>0.02377</v>
      </c>
      <c r="G649" s="57" t="n">
        <v>0.02693</v>
      </c>
    </row>
    <row r="650" customFormat="false" ht="15" hidden="false" customHeight="false" outlineLevel="0" collapsed="false">
      <c r="A650" s="52" t="n">
        <v>45103</v>
      </c>
      <c r="B650" s="57" t="n">
        <v>0.02236</v>
      </c>
      <c r="C650" s="57" t="n">
        <v>0.02286</v>
      </c>
      <c r="D650" s="57" t="n">
        <v>0.02305</v>
      </c>
      <c r="E650" s="57" t="n">
        <v>0.02307</v>
      </c>
      <c r="F650" s="57" t="n">
        <v>0.02365</v>
      </c>
      <c r="G650" s="57" t="n">
        <v>0.02641</v>
      </c>
    </row>
    <row r="651" customFormat="false" ht="15" hidden="false" customHeight="false" outlineLevel="0" collapsed="false">
      <c r="A651" s="52" t="n">
        <v>45104</v>
      </c>
      <c r="B651" s="57" t="n">
        <v>0.02236</v>
      </c>
      <c r="C651" s="57" t="n">
        <v>0.02286</v>
      </c>
      <c r="D651" s="57" t="n">
        <v>0.02305</v>
      </c>
      <c r="E651" s="57" t="n">
        <v>0.02307</v>
      </c>
      <c r="F651" s="57" t="n">
        <v>0.02344</v>
      </c>
      <c r="G651" s="57" t="n">
        <v>0.0264</v>
      </c>
    </row>
    <row r="652" customFormat="false" ht="15" hidden="false" customHeight="false" outlineLevel="0" collapsed="false">
      <c r="A652" s="52" t="n">
        <v>45105</v>
      </c>
      <c r="B652" s="57" t="n">
        <v>0.02236</v>
      </c>
      <c r="C652" s="57" t="n">
        <v>0.02286</v>
      </c>
      <c r="D652" s="57" t="n">
        <v>0.02305</v>
      </c>
      <c r="E652" s="57" t="n">
        <v>0.02306</v>
      </c>
      <c r="F652" s="57" t="n">
        <v>0.02335</v>
      </c>
      <c r="G652" s="57" t="n">
        <v>0.02612</v>
      </c>
    </row>
    <row r="653" customFormat="false" ht="15" hidden="false" customHeight="false" outlineLevel="0" collapsed="false">
      <c r="A653" s="52" t="n">
        <v>45106</v>
      </c>
      <c r="B653" s="57" t="n">
        <v>0.02236</v>
      </c>
      <c r="C653" s="57" t="n">
        <v>0.02286</v>
      </c>
      <c r="D653" s="57" t="n">
        <v>0.02305</v>
      </c>
      <c r="E653" s="57" t="n">
        <v>0.02307</v>
      </c>
      <c r="F653" s="57" t="n">
        <v>0.02374</v>
      </c>
      <c r="G653" s="57" t="n">
        <v>0.02649</v>
      </c>
    </row>
    <row r="654" customFormat="false" ht="15" hidden="false" customHeight="false" outlineLevel="0" collapsed="false">
      <c r="A654" s="52" t="n">
        <v>45107</v>
      </c>
      <c r="B654" s="57" t="n">
        <v>0.02235</v>
      </c>
      <c r="C654" s="57" t="n">
        <v>0.02286</v>
      </c>
      <c r="D654" s="57" t="n">
        <v>0.02305</v>
      </c>
      <c r="E654" s="57" t="n">
        <v>0.02309</v>
      </c>
      <c r="F654" s="57" t="n">
        <v>0.02429</v>
      </c>
      <c r="G654" s="57" t="n">
        <v>0.02697</v>
      </c>
    </row>
    <row r="655" customFormat="false" ht="15" hidden="false" customHeight="false" outlineLevel="0" collapsed="false">
      <c r="A655" s="52" t="n">
        <v>45110</v>
      </c>
      <c r="B655" s="57" t="n">
        <v>0.02233</v>
      </c>
      <c r="C655" s="57" t="n">
        <v>0.02286</v>
      </c>
      <c r="D655" s="57" t="n">
        <v>0.02255</v>
      </c>
      <c r="E655" s="57" t="n">
        <v>0.02318</v>
      </c>
      <c r="F655" s="57" t="n">
        <v>0.0251</v>
      </c>
      <c r="G655" s="57" t="n">
        <v>0.02813</v>
      </c>
    </row>
    <row r="656" customFormat="false" ht="15" hidden="false" customHeight="false" outlineLevel="0" collapsed="false">
      <c r="A656" s="52" t="n">
        <v>45111</v>
      </c>
      <c r="B656" s="57" t="n">
        <v>0.02233</v>
      </c>
      <c r="C656" s="57" t="n">
        <v>0.02286</v>
      </c>
      <c r="D656" s="57" t="n">
        <v>0.02255</v>
      </c>
      <c r="E656" s="57" t="n">
        <v>0.02316</v>
      </c>
      <c r="F656" s="57" t="n">
        <v>0.02495</v>
      </c>
      <c r="G656" s="57" t="n">
        <v>0.02826</v>
      </c>
    </row>
    <row r="657" customFormat="false" ht="15" hidden="false" customHeight="false" outlineLevel="0" collapsed="false">
      <c r="A657" s="52" t="n">
        <v>45112</v>
      </c>
      <c r="B657" s="57" t="n">
        <v>0.02223</v>
      </c>
      <c r="C657" s="57" t="n">
        <v>0.02277</v>
      </c>
      <c r="D657" s="57" t="n">
        <v>0.02244</v>
      </c>
      <c r="E657" s="57" t="n">
        <v>0.02304</v>
      </c>
      <c r="F657" s="57" t="n">
        <v>0.02497</v>
      </c>
      <c r="G657" s="57" t="n">
        <v>0.02789</v>
      </c>
    </row>
    <row r="658" customFormat="false" ht="15" hidden="false" customHeight="false" outlineLevel="0" collapsed="false">
      <c r="A658" s="52" t="n">
        <v>45113</v>
      </c>
      <c r="B658" s="57" t="n">
        <v>0.02232</v>
      </c>
      <c r="C658" s="57" t="n">
        <v>0.02285</v>
      </c>
      <c r="D658" s="57" t="n">
        <v>0.02251</v>
      </c>
      <c r="E658" s="57" t="n">
        <v>0.02289</v>
      </c>
      <c r="F658" s="57" t="n">
        <v>0.02531</v>
      </c>
      <c r="G658" s="57" t="n">
        <v>0.02814</v>
      </c>
    </row>
    <row r="659" customFormat="false" ht="15" hidden="false" customHeight="false" outlineLevel="0" collapsed="false">
      <c r="A659" s="52" t="n">
        <v>45114</v>
      </c>
      <c r="B659" s="57" t="n">
        <v>0.02229</v>
      </c>
      <c r="C659" s="57" t="n">
        <v>0.0229</v>
      </c>
      <c r="D659" s="57" t="n">
        <v>0.02258</v>
      </c>
      <c r="E659" s="57" t="n">
        <v>0.02314</v>
      </c>
      <c r="F659" s="57" t="n">
        <v>0.02546</v>
      </c>
      <c r="G659" s="57" t="n">
        <v>0.02864</v>
      </c>
    </row>
    <row r="660" customFormat="false" ht="15" hidden="false" customHeight="false" outlineLevel="0" collapsed="false">
      <c r="A660" s="52" t="n">
        <v>45117</v>
      </c>
      <c r="B660" s="57" t="n">
        <v>0.02237</v>
      </c>
      <c r="C660" s="57" t="n">
        <v>0.02294</v>
      </c>
      <c r="D660" s="57" t="n">
        <v>0.02262</v>
      </c>
      <c r="E660" s="57" t="n">
        <v>0.02306</v>
      </c>
      <c r="F660" s="57" t="n">
        <v>0.02496</v>
      </c>
      <c r="G660" s="57" t="n">
        <v>0.02792</v>
      </c>
    </row>
    <row r="661" customFormat="false" ht="15" hidden="false" customHeight="false" outlineLevel="0" collapsed="false">
      <c r="A661" s="52" t="n">
        <v>45118</v>
      </c>
      <c r="B661" s="57" t="n">
        <v>0.0216</v>
      </c>
      <c r="C661" s="57" t="n">
        <v>0.02213</v>
      </c>
      <c r="D661" s="57" t="n">
        <v>0.0218</v>
      </c>
      <c r="E661" s="57" t="n">
        <v>0.02229</v>
      </c>
      <c r="F661" s="57" t="n">
        <v>0.02465</v>
      </c>
      <c r="G661" s="57" t="n">
        <v>0.02737</v>
      </c>
    </row>
    <row r="662" customFormat="false" ht="15" hidden="false" customHeight="false" outlineLevel="0" collapsed="false">
      <c r="A662" s="52" t="n">
        <v>45119</v>
      </c>
      <c r="B662" s="57" t="n">
        <v>0.02034</v>
      </c>
      <c r="C662" s="57" t="n">
        <v>0.02075</v>
      </c>
      <c r="D662" s="57" t="n">
        <v>0.02074</v>
      </c>
      <c r="E662" s="57" t="n">
        <v>0.02189</v>
      </c>
      <c r="F662" s="57" t="n">
        <v>0.0244</v>
      </c>
      <c r="G662" s="57" t="n">
        <v>0.02784</v>
      </c>
    </row>
    <row r="663" customFormat="false" ht="15" hidden="false" customHeight="false" outlineLevel="0" collapsed="false">
      <c r="A663" s="52" t="n">
        <v>45120</v>
      </c>
      <c r="B663" s="57" t="n">
        <v>0.01941</v>
      </c>
      <c r="C663" s="57" t="n">
        <v>0.01991</v>
      </c>
      <c r="D663" s="57" t="n">
        <v>0.02</v>
      </c>
      <c r="E663" s="57" t="n">
        <v>0.02141</v>
      </c>
      <c r="F663" s="57" t="n">
        <v>0.02426</v>
      </c>
      <c r="G663" s="57" t="n">
        <v>0.02728</v>
      </c>
    </row>
    <row r="664" customFormat="false" ht="15" hidden="false" customHeight="false" outlineLevel="0" collapsed="false">
      <c r="A664" s="52" t="n">
        <v>45121</v>
      </c>
      <c r="B664" s="57" t="n">
        <v>0.01932</v>
      </c>
      <c r="C664" s="57" t="n">
        <v>0.01982</v>
      </c>
      <c r="D664" s="57" t="n">
        <v>0.01991</v>
      </c>
      <c r="E664" s="57" t="n">
        <v>0.02133</v>
      </c>
      <c r="F664" s="57" t="n">
        <v>0.02389</v>
      </c>
      <c r="G664" s="57" t="n">
        <v>0.02743</v>
      </c>
    </row>
    <row r="665" customFormat="false" ht="15" hidden="false" customHeight="false" outlineLevel="0" collapsed="false">
      <c r="A665" s="52" t="n">
        <v>45124</v>
      </c>
      <c r="B665" s="57" t="n">
        <v>0.01927</v>
      </c>
      <c r="C665" s="57" t="n">
        <v>0.01977</v>
      </c>
      <c r="D665" s="57" t="n">
        <v>0.01981</v>
      </c>
      <c r="E665" s="57" t="n">
        <v>0.0211</v>
      </c>
      <c r="F665" s="57" t="n">
        <v>0.02321</v>
      </c>
      <c r="G665" s="57" t="n">
        <v>0.02623</v>
      </c>
    </row>
    <row r="666" customFormat="false" ht="15" hidden="false" customHeight="false" outlineLevel="0" collapsed="false">
      <c r="A666" s="52" t="n">
        <v>45125</v>
      </c>
      <c r="B666" s="57" t="n">
        <v>0.01927</v>
      </c>
      <c r="C666" s="57" t="n">
        <v>0.01977</v>
      </c>
      <c r="D666" s="57" t="n">
        <v>0.01972</v>
      </c>
      <c r="E666" s="57" t="n">
        <v>0.02111</v>
      </c>
      <c r="F666" s="57" t="n">
        <v>0.02335</v>
      </c>
      <c r="G666" s="57" t="n">
        <v>0.02608</v>
      </c>
    </row>
    <row r="667" customFormat="false" ht="15" hidden="false" customHeight="false" outlineLevel="0" collapsed="false">
      <c r="A667" s="52" t="n">
        <v>45126</v>
      </c>
      <c r="B667" s="57" t="n">
        <v>0.01895</v>
      </c>
      <c r="C667" s="57" t="n">
        <v>0.01945</v>
      </c>
      <c r="D667" s="57" t="n">
        <v>0.01943</v>
      </c>
      <c r="E667" s="57" t="n">
        <v>0.02105</v>
      </c>
      <c r="F667" s="57" t="n">
        <v>0.02323</v>
      </c>
      <c r="G667" s="57" t="n">
        <v>0.02553</v>
      </c>
    </row>
    <row r="668" customFormat="false" ht="15" hidden="false" customHeight="false" outlineLevel="0" collapsed="false">
      <c r="A668" s="52" t="n">
        <v>45127</v>
      </c>
      <c r="B668" s="57" t="n">
        <v>0.01859</v>
      </c>
      <c r="C668" s="57" t="n">
        <v>0.01909</v>
      </c>
      <c r="D668" s="57" t="n">
        <v>0.01917</v>
      </c>
      <c r="E668" s="57" t="n">
        <v>0.0209</v>
      </c>
      <c r="F668" s="57" t="n">
        <v>0.02306</v>
      </c>
      <c r="G668" s="57" t="n">
        <v>0.02528</v>
      </c>
    </row>
    <row r="669" customFormat="false" ht="15" hidden="false" customHeight="false" outlineLevel="0" collapsed="false">
      <c r="A669" s="52" t="n">
        <v>45128</v>
      </c>
      <c r="B669" s="57" t="n">
        <v>0.0185</v>
      </c>
      <c r="C669" s="57" t="n">
        <v>0.019</v>
      </c>
      <c r="D669" s="57" t="n">
        <v>0.01907</v>
      </c>
      <c r="E669" s="57" t="n">
        <v>0.02088</v>
      </c>
      <c r="F669" s="57" t="n">
        <v>0.02283</v>
      </c>
      <c r="G669" s="57" t="n">
        <v>0.02511</v>
      </c>
    </row>
    <row r="670" customFormat="false" ht="15" hidden="false" customHeight="false" outlineLevel="0" collapsed="false">
      <c r="A670" s="52" t="n">
        <v>45131</v>
      </c>
      <c r="B670" s="57" t="n">
        <v>0.0185</v>
      </c>
      <c r="C670" s="57" t="n">
        <v>0.019</v>
      </c>
      <c r="D670" s="57" t="n">
        <v>0.01907</v>
      </c>
      <c r="E670" s="57" t="n">
        <v>0.02088</v>
      </c>
      <c r="F670" s="57" t="n">
        <v>0.02301</v>
      </c>
      <c r="G670" s="57" t="n">
        <v>0.02549</v>
      </c>
    </row>
    <row r="671" customFormat="false" ht="15" hidden="false" customHeight="false" outlineLevel="0" collapsed="false">
      <c r="A671" s="52" t="n">
        <v>45132</v>
      </c>
      <c r="B671" s="57" t="n">
        <v>0.0185</v>
      </c>
      <c r="C671" s="57" t="n">
        <v>0.019</v>
      </c>
      <c r="D671" s="57" t="n">
        <v>0.01907</v>
      </c>
      <c r="E671" s="57" t="n">
        <v>0.02088</v>
      </c>
      <c r="F671" s="57" t="n">
        <v>0.02282</v>
      </c>
      <c r="G671" s="57" t="n">
        <v>0.02514</v>
      </c>
    </row>
    <row r="672" customFormat="false" ht="15" hidden="false" customHeight="false" outlineLevel="0" collapsed="false">
      <c r="A672" s="52" t="n">
        <v>45133</v>
      </c>
      <c r="B672" s="57" t="n">
        <v>0.01841</v>
      </c>
      <c r="C672" s="57" t="n">
        <v>0.01891</v>
      </c>
      <c r="D672" s="57" t="n">
        <v>0.01896</v>
      </c>
      <c r="E672" s="57" t="n">
        <v>0.02066</v>
      </c>
      <c r="F672" s="57" t="n">
        <v>0.02282</v>
      </c>
      <c r="G672" s="57" t="n">
        <v>0.02546</v>
      </c>
    </row>
    <row r="673" customFormat="false" ht="15" hidden="false" customHeight="false" outlineLevel="0" collapsed="false">
      <c r="A673" s="52" t="n">
        <v>45134</v>
      </c>
      <c r="B673" s="57" t="n">
        <v>0.01824</v>
      </c>
      <c r="C673" s="57" t="n">
        <v>0.01873</v>
      </c>
      <c r="D673" s="57" t="n">
        <v>0.01869</v>
      </c>
      <c r="E673" s="57" t="n">
        <v>0.02033</v>
      </c>
      <c r="F673" s="57" t="n">
        <v>0.02245</v>
      </c>
      <c r="G673" s="57" t="n">
        <v>0.02487</v>
      </c>
    </row>
    <row r="674" customFormat="false" ht="15" hidden="false" customHeight="false" outlineLevel="0" collapsed="false">
      <c r="A674" s="52" t="n">
        <v>45135</v>
      </c>
      <c r="B674" s="57" t="n">
        <v>0.01823</v>
      </c>
      <c r="C674" s="57" t="n">
        <v>0.01873</v>
      </c>
      <c r="D674" s="57" t="n">
        <v>0.01868</v>
      </c>
      <c r="E674" s="57" t="n">
        <v>0.02032</v>
      </c>
      <c r="F674" s="57" t="n">
        <v>0.02269</v>
      </c>
      <c r="G674" s="57" t="n">
        <v>0.02501</v>
      </c>
    </row>
    <row r="675" customFormat="false" ht="15" hidden="false" customHeight="false" outlineLevel="0" collapsed="false">
      <c r="A675" s="52" t="n">
        <v>45138</v>
      </c>
      <c r="B675" s="57" t="n">
        <v>0.01823</v>
      </c>
      <c r="C675" s="57" t="n">
        <v>0.01873</v>
      </c>
      <c r="D675" s="57" t="n">
        <v>0.01868</v>
      </c>
      <c r="E675" s="57" t="n">
        <v>0.02032</v>
      </c>
      <c r="F675" s="57" t="n">
        <v>0.02279</v>
      </c>
      <c r="G675" s="57" t="n">
        <v>0.02511</v>
      </c>
    </row>
    <row r="676" customFormat="false" ht="15" hidden="false" customHeight="false" outlineLevel="0" collapsed="false">
      <c r="A676" s="52" t="n">
        <v>45139</v>
      </c>
      <c r="B676" s="57" t="n">
        <v>0.01823</v>
      </c>
      <c r="C676" s="57" t="n">
        <v>0.01873</v>
      </c>
      <c r="D676" s="57" t="n">
        <v>0.01866</v>
      </c>
      <c r="E676" s="57" t="n">
        <v>0.02016</v>
      </c>
      <c r="F676" s="57" t="n">
        <v>0.0225</v>
      </c>
      <c r="G676" s="57" t="n">
        <v>0.02447</v>
      </c>
    </row>
    <row r="677" customFormat="false" ht="15" hidden="false" customHeight="false" outlineLevel="0" collapsed="false">
      <c r="A677" s="52" t="n">
        <v>45140</v>
      </c>
      <c r="B677" s="57" t="n">
        <v>0.01823</v>
      </c>
      <c r="C677" s="57" t="n">
        <v>0.01873</v>
      </c>
      <c r="D677" s="57" t="n">
        <v>0.01862</v>
      </c>
      <c r="E677" s="57" t="n">
        <v>0.01966</v>
      </c>
      <c r="F677" s="57" t="n">
        <v>0.02197</v>
      </c>
      <c r="G677" s="57" t="n">
        <v>0.02477</v>
      </c>
    </row>
    <row r="678" customFormat="false" ht="15" hidden="false" customHeight="false" outlineLevel="0" collapsed="false">
      <c r="A678" s="52" t="n">
        <v>45141</v>
      </c>
      <c r="B678" s="57" t="n">
        <v>0.01818</v>
      </c>
      <c r="C678" s="57" t="n">
        <v>0.01868</v>
      </c>
      <c r="D678" s="57" t="n">
        <v>0.01857</v>
      </c>
      <c r="E678" s="57" t="n">
        <v>0.01952</v>
      </c>
      <c r="F678" s="57" t="n">
        <v>0.02231</v>
      </c>
      <c r="G678" s="57" t="n">
        <v>0.02477</v>
      </c>
    </row>
    <row r="679" customFormat="false" ht="15" hidden="false" customHeight="false" outlineLevel="0" collapsed="false">
      <c r="A679" s="52" t="n">
        <v>45142</v>
      </c>
      <c r="B679" s="57" t="n">
        <v>0.01809</v>
      </c>
      <c r="C679" s="57" t="n">
        <v>0.01859</v>
      </c>
      <c r="D679" s="57" t="n">
        <v>0.01861</v>
      </c>
      <c r="E679" s="57" t="n">
        <v>0.02002</v>
      </c>
      <c r="F679" s="57" t="n">
        <v>0.02182</v>
      </c>
      <c r="G679" s="57" t="n">
        <v>0.02448</v>
      </c>
    </row>
    <row r="680" customFormat="false" ht="15" hidden="false" customHeight="false" outlineLevel="0" collapsed="false">
      <c r="A680" s="52" t="n">
        <v>45145</v>
      </c>
      <c r="B680" s="57" t="n">
        <v>0.01805</v>
      </c>
      <c r="C680" s="57" t="n">
        <v>0.01855</v>
      </c>
      <c r="D680" s="57" t="n">
        <v>0.01852</v>
      </c>
      <c r="E680" s="57" t="n">
        <v>0.02004</v>
      </c>
      <c r="F680" s="57" t="n">
        <v>0.02213</v>
      </c>
      <c r="G680" s="57" t="n">
        <v>0.02524</v>
      </c>
    </row>
    <row r="681" customFormat="false" ht="15" hidden="false" customHeight="false" outlineLevel="0" collapsed="false">
      <c r="A681" s="52" t="n">
        <v>45146</v>
      </c>
      <c r="B681" s="57" t="n">
        <v>0.01805</v>
      </c>
      <c r="C681" s="57" t="n">
        <v>0.01855</v>
      </c>
      <c r="D681" s="57" t="n">
        <v>0.01845</v>
      </c>
      <c r="E681" s="57" t="n">
        <v>0.01919</v>
      </c>
      <c r="F681" s="57" t="n">
        <v>0.02232</v>
      </c>
      <c r="G681" s="57" t="n">
        <v>0.02482</v>
      </c>
    </row>
    <row r="682" customFormat="false" ht="15" hidden="false" customHeight="false" outlineLevel="0" collapsed="false">
      <c r="A682" s="52" t="n">
        <v>45147</v>
      </c>
      <c r="B682" s="57" t="n">
        <v>0.01824</v>
      </c>
      <c r="C682" s="57" t="n">
        <v>0.01873</v>
      </c>
      <c r="D682" s="57" t="n">
        <v>0.01859</v>
      </c>
      <c r="E682" s="57" t="n">
        <v>0.01983</v>
      </c>
      <c r="F682" s="57" t="n">
        <v>0.02256</v>
      </c>
      <c r="G682" s="57" t="n">
        <v>0.02548</v>
      </c>
    </row>
    <row r="683" customFormat="false" ht="15" hidden="false" customHeight="false" outlineLevel="0" collapsed="false">
      <c r="A683" s="52" t="n">
        <v>45148</v>
      </c>
      <c r="B683" s="57" t="n">
        <v>0.0181</v>
      </c>
      <c r="C683" s="57" t="n">
        <v>0.01863</v>
      </c>
      <c r="D683" s="57" t="n">
        <v>0.01842</v>
      </c>
      <c r="E683" s="57" t="n">
        <v>0.01931</v>
      </c>
      <c r="F683" s="57" t="n">
        <v>0.02251</v>
      </c>
      <c r="G683" s="57" t="n">
        <v>0.0249</v>
      </c>
    </row>
    <row r="684" customFormat="false" ht="15" hidden="false" customHeight="false" outlineLevel="0" collapsed="false">
      <c r="A684" s="52" t="n">
        <v>45149</v>
      </c>
      <c r="B684" s="57" t="n">
        <v>0.01809</v>
      </c>
      <c r="C684" s="57" t="n">
        <v>0.01863</v>
      </c>
      <c r="D684" s="57" t="n">
        <v>0.01839</v>
      </c>
      <c r="E684" s="57" t="n">
        <v>0.01882</v>
      </c>
      <c r="F684" s="57" t="n">
        <v>0.02236</v>
      </c>
      <c r="G684" s="57" t="n">
        <v>0.02505</v>
      </c>
    </row>
    <row r="685" customFormat="false" ht="15" hidden="false" customHeight="false" outlineLevel="0" collapsed="false">
      <c r="A685" s="52" t="n">
        <v>45152</v>
      </c>
      <c r="B685" s="57" t="n">
        <v>0.01819</v>
      </c>
      <c r="C685" s="57" t="n">
        <v>0.01868</v>
      </c>
      <c r="D685" s="57" t="n">
        <v>0.01854</v>
      </c>
      <c r="E685" s="57" t="n">
        <v>0.01981</v>
      </c>
      <c r="F685" s="57" t="n">
        <v>0.02251</v>
      </c>
      <c r="G685" s="57" t="n">
        <v>0.0254</v>
      </c>
    </row>
    <row r="686" customFormat="false" ht="15" hidden="false" customHeight="false" outlineLevel="0" collapsed="false">
      <c r="A686" s="52" t="n">
        <v>45153</v>
      </c>
      <c r="B686" s="57" t="n">
        <v>0.01818</v>
      </c>
      <c r="C686" s="57" t="n">
        <v>0.01868</v>
      </c>
      <c r="D686" s="57" t="n">
        <v>0.01854</v>
      </c>
      <c r="E686" s="57" t="n">
        <v>0.01983</v>
      </c>
      <c r="F686" s="57" t="n">
        <v>0.02311</v>
      </c>
      <c r="G686" s="57" t="n">
        <v>0.02566</v>
      </c>
    </row>
    <row r="687" customFormat="false" ht="15" hidden="false" customHeight="false" outlineLevel="0" collapsed="false">
      <c r="A687" s="52" t="n">
        <v>45154</v>
      </c>
      <c r="B687" s="57" t="n">
        <v>0.01827</v>
      </c>
      <c r="C687" s="57" t="n">
        <v>0.01877</v>
      </c>
      <c r="D687" s="57" t="n">
        <v>0.01862</v>
      </c>
      <c r="E687" s="57" t="n">
        <v>0.01984</v>
      </c>
      <c r="F687" s="57" t="n">
        <v>0.02333</v>
      </c>
      <c r="G687" s="57" t="n">
        <v>0.02622</v>
      </c>
    </row>
    <row r="688" customFormat="false" ht="15" hidden="false" customHeight="false" outlineLevel="0" collapsed="false">
      <c r="A688" s="52" t="n">
        <v>45155</v>
      </c>
      <c r="B688" s="57" t="n">
        <v>0.01832</v>
      </c>
      <c r="C688" s="57" t="n">
        <v>0.01882</v>
      </c>
      <c r="D688" s="57" t="n">
        <v>0.01867</v>
      </c>
      <c r="E688" s="57" t="n">
        <v>0.01981</v>
      </c>
      <c r="F688" s="57" t="n">
        <v>0.02276</v>
      </c>
      <c r="G688" s="57" t="n">
        <v>0.02586</v>
      </c>
    </row>
    <row r="689" customFormat="false" ht="15" hidden="false" customHeight="false" outlineLevel="0" collapsed="false">
      <c r="A689" s="52" t="n">
        <v>45156</v>
      </c>
      <c r="B689" s="57" t="n">
        <v>0.01823</v>
      </c>
      <c r="C689" s="57" t="n">
        <v>0.01873</v>
      </c>
      <c r="D689" s="57" t="n">
        <v>0.01854</v>
      </c>
      <c r="E689" s="57" t="n">
        <v>0.01907</v>
      </c>
      <c r="F689" s="57" t="n">
        <v>0.02242</v>
      </c>
      <c r="G689" s="57" t="n">
        <v>0.02529</v>
      </c>
    </row>
    <row r="690" customFormat="false" ht="15" hidden="false" customHeight="false" outlineLevel="0" collapsed="false">
      <c r="A690" s="52" t="n">
        <v>45159</v>
      </c>
      <c r="B690" s="57" t="n">
        <v>0.01823</v>
      </c>
      <c r="C690" s="57" t="n">
        <v>0.01873</v>
      </c>
      <c r="D690" s="57" t="n">
        <v>0.01858</v>
      </c>
      <c r="E690" s="57" t="n">
        <v>0.01979</v>
      </c>
      <c r="F690" s="57" t="n">
        <v>0.02277</v>
      </c>
      <c r="G690" s="57" t="n">
        <v>0.02601</v>
      </c>
    </row>
    <row r="691" customFormat="false" ht="15" hidden="false" customHeight="false" outlineLevel="0" collapsed="false">
      <c r="A691" s="52" t="n">
        <v>45160</v>
      </c>
      <c r="B691" s="57" t="n">
        <v>0.01823</v>
      </c>
      <c r="C691" s="57" t="n">
        <v>0.01876</v>
      </c>
      <c r="D691" s="57" t="n">
        <v>0.01858</v>
      </c>
      <c r="E691" s="57" t="n">
        <v>0.0198</v>
      </c>
      <c r="F691" s="57" t="n">
        <v>0.02314</v>
      </c>
      <c r="G691" s="57" t="n">
        <v>0.02634</v>
      </c>
    </row>
    <row r="692" customFormat="false" ht="15" hidden="false" customHeight="false" outlineLevel="0" collapsed="false">
      <c r="A692" s="52" t="n">
        <v>45161</v>
      </c>
      <c r="B692" s="57" t="n">
        <v>0.01823</v>
      </c>
      <c r="C692" s="57" t="n">
        <v>0.01876</v>
      </c>
      <c r="D692" s="57" t="n">
        <v>0.01858</v>
      </c>
      <c r="E692" s="57" t="n">
        <v>0.0198</v>
      </c>
      <c r="F692" s="57" t="n">
        <v>0.02324</v>
      </c>
      <c r="G692" s="57" t="n">
        <v>0.02644</v>
      </c>
    </row>
    <row r="693" customFormat="false" ht="15" hidden="false" customHeight="false" outlineLevel="0" collapsed="false">
      <c r="A693" s="52" t="n">
        <v>45162</v>
      </c>
      <c r="B693" s="57" t="n">
        <v>0.01814</v>
      </c>
      <c r="C693" s="57" t="n">
        <v>0.01867</v>
      </c>
      <c r="D693" s="57" t="n">
        <v>0.01846</v>
      </c>
      <c r="E693" s="57" t="n">
        <v>0.01927</v>
      </c>
      <c r="F693" s="57" t="n">
        <v>0.02317</v>
      </c>
      <c r="G693" s="57" t="n">
        <v>0.02635</v>
      </c>
    </row>
    <row r="694" customFormat="false" ht="15" hidden="false" customHeight="false" outlineLevel="0" collapsed="false">
      <c r="A694" s="52" t="n">
        <v>45163</v>
      </c>
      <c r="B694" s="57" t="n">
        <v>0.01814</v>
      </c>
      <c r="C694" s="57" t="n">
        <v>0.01867</v>
      </c>
      <c r="D694" s="57" t="n">
        <v>0.01848</v>
      </c>
      <c r="E694" s="57" t="n">
        <v>0.01978</v>
      </c>
      <c r="F694" s="57" t="n">
        <v>0.02309</v>
      </c>
      <c r="G694" s="57" t="n">
        <v>0.02612</v>
      </c>
    </row>
    <row r="695" customFormat="false" ht="15" hidden="false" customHeight="false" outlineLevel="0" collapsed="false">
      <c r="A695" s="52" t="n">
        <v>45166</v>
      </c>
      <c r="B695" s="57" t="n">
        <v>0.01814</v>
      </c>
      <c r="C695" s="57" t="n">
        <v>0.01867</v>
      </c>
      <c r="D695" s="57" t="n">
        <v>0.01848</v>
      </c>
      <c r="E695" s="57" t="n">
        <v>0.01978</v>
      </c>
      <c r="F695" s="57" t="n">
        <v>0.02322</v>
      </c>
      <c r="G695" s="57" t="n">
        <v>0.02658</v>
      </c>
    </row>
    <row r="696" customFormat="false" ht="15" hidden="false" customHeight="false" outlineLevel="0" collapsed="false">
      <c r="A696" s="52" t="n">
        <v>45167</v>
      </c>
      <c r="B696" s="57" t="n">
        <v>0.01814</v>
      </c>
      <c r="C696" s="57" t="n">
        <v>0.01867</v>
      </c>
      <c r="D696" s="57" t="n">
        <v>0.01848</v>
      </c>
      <c r="E696" s="57" t="n">
        <v>0.01988</v>
      </c>
      <c r="F696" s="57" t="n">
        <v>0.02351</v>
      </c>
      <c r="G696" s="57" t="n">
        <v>0.02685</v>
      </c>
    </row>
    <row r="697" customFormat="false" ht="15" hidden="false" customHeight="false" outlineLevel="0" collapsed="false">
      <c r="A697" s="52" t="n">
        <v>45168</v>
      </c>
      <c r="B697" s="57" t="n">
        <v>0.01814</v>
      </c>
      <c r="C697" s="57" t="n">
        <v>0.01867</v>
      </c>
      <c r="D697" s="57" t="n">
        <v>0.01849</v>
      </c>
      <c r="E697" s="57" t="n">
        <v>0.02001</v>
      </c>
      <c r="F697" s="57" t="n">
        <v>0.02344</v>
      </c>
      <c r="G697" s="57" t="n">
        <v>0.02701</v>
      </c>
    </row>
    <row r="698" customFormat="false" ht="15" hidden="false" customHeight="false" outlineLevel="0" collapsed="false">
      <c r="A698" s="52" t="n">
        <v>45169</v>
      </c>
      <c r="B698" s="57" t="n">
        <v>0.01814</v>
      </c>
      <c r="C698" s="57" t="n">
        <v>0.01867</v>
      </c>
      <c r="D698" s="57" t="n">
        <v>0.01844</v>
      </c>
      <c r="E698" s="57" t="n">
        <v>0.01883</v>
      </c>
      <c r="F698" s="57" t="n">
        <v>0.02363</v>
      </c>
      <c r="G698" s="57" t="n">
        <v>0.02667</v>
      </c>
    </row>
    <row r="699" customFormat="false" ht="15" hidden="false" customHeight="false" outlineLevel="0" collapsed="false">
      <c r="A699" s="52" t="n">
        <v>45170</v>
      </c>
      <c r="B699" s="57" t="n">
        <v>0.01814</v>
      </c>
      <c r="C699" s="57" t="n">
        <v>0.01867</v>
      </c>
      <c r="D699" s="57" t="n">
        <v>0.01844</v>
      </c>
      <c r="E699" s="57" t="n">
        <v>0.01883</v>
      </c>
      <c r="F699" s="57" t="n">
        <v>0.02363</v>
      </c>
      <c r="G699" s="57" t="n">
        <v>0.02667</v>
      </c>
    </row>
    <row r="700" customFormat="false" ht="15" hidden="false" customHeight="false" outlineLevel="0" collapsed="false">
      <c r="A700" s="52" t="n">
        <v>45173</v>
      </c>
      <c r="B700" s="57" t="n">
        <v>0.01814</v>
      </c>
      <c r="C700" s="57" t="n">
        <v>0.01867</v>
      </c>
      <c r="D700" s="57" t="n">
        <v>0.01844</v>
      </c>
      <c r="E700" s="57" t="n">
        <v>0.01883</v>
      </c>
      <c r="F700" s="57" t="n">
        <v>0.02363</v>
      </c>
      <c r="G700" s="57" t="n">
        <v>0.02667</v>
      </c>
    </row>
    <row r="701" customFormat="false" ht="15" hidden="false" customHeight="false" outlineLevel="0" collapsed="false">
      <c r="A701" s="52" t="n">
        <v>45174</v>
      </c>
      <c r="B701" s="57" t="n">
        <v>0.01816</v>
      </c>
      <c r="C701" s="57" t="n">
        <v>0.01874</v>
      </c>
      <c r="D701" s="57" t="n">
        <v>0.01849</v>
      </c>
      <c r="E701" s="57" t="n">
        <v>0.01883</v>
      </c>
      <c r="F701" s="57" t="n">
        <v>0.02384</v>
      </c>
      <c r="G701" s="57" t="n">
        <v>0.02667</v>
      </c>
    </row>
    <row r="702" customFormat="false" ht="15" hidden="false" customHeight="false" outlineLevel="0" collapsed="false">
      <c r="A702" s="52" t="n">
        <v>45175</v>
      </c>
      <c r="B702" s="57" t="n">
        <v>0.01816</v>
      </c>
      <c r="C702" s="57" t="n">
        <v>0.01874</v>
      </c>
      <c r="D702" s="57" t="n">
        <v>0.01849</v>
      </c>
      <c r="E702" s="57" t="n">
        <v>0.02037</v>
      </c>
      <c r="F702" s="57" t="n">
        <v>0.02408</v>
      </c>
      <c r="G702" s="57" t="n">
        <v>0.02702</v>
      </c>
    </row>
    <row r="703" customFormat="false" ht="15" hidden="false" customHeight="false" outlineLevel="0" collapsed="false">
      <c r="A703" s="52" t="n">
        <v>45176</v>
      </c>
      <c r="B703" s="57" t="n">
        <v>0.01826</v>
      </c>
      <c r="C703" s="57" t="n">
        <v>0.01883</v>
      </c>
      <c r="D703" s="57" t="n">
        <v>0.01857</v>
      </c>
      <c r="E703" s="57" t="n">
        <v>0.02007</v>
      </c>
      <c r="F703" s="57" t="n">
        <v>0.02411</v>
      </c>
      <c r="G703" s="57" t="n">
        <v>0.02708</v>
      </c>
    </row>
    <row r="704" customFormat="false" ht="15" hidden="false" customHeight="false" outlineLevel="0" collapsed="false">
      <c r="A704" s="52" t="n">
        <v>45177</v>
      </c>
      <c r="B704" s="57" t="n">
        <v>0.01815</v>
      </c>
      <c r="C704" s="57" t="n">
        <v>0.01874</v>
      </c>
      <c r="D704" s="57" t="n">
        <v>0.01847</v>
      </c>
      <c r="E704" s="57" t="n">
        <v>0.01991</v>
      </c>
      <c r="F704" s="57" t="n">
        <v>0.02422</v>
      </c>
      <c r="G704" s="57" t="n">
        <v>0.02703</v>
      </c>
    </row>
    <row r="705" customFormat="false" ht="15" hidden="false" customHeight="false" outlineLevel="0" collapsed="false">
      <c r="A705" s="52" t="n">
        <v>45180</v>
      </c>
      <c r="B705" s="57" t="n">
        <v>0.01814</v>
      </c>
      <c r="C705" s="57" t="n">
        <v>0.01872</v>
      </c>
      <c r="D705" s="57" t="n">
        <v>0.01848</v>
      </c>
      <c r="E705" s="57" t="n">
        <v>0.02027</v>
      </c>
      <c r="F705" s="57" t="n">
        <v>0.02417</v>
      </c>
      <c r="G705" s="57" t="n">
        <v>0.02708</v>
      </c>
    </row>
    <row r="706" customFormat="false" ht="15" hidden="false" customHeight="false" outlineLevel="0" collapsed="false">
      <c r="A706" s="52" t="n">
        <v>45181</v>
      </c>
      <c r="B706" s="57" t="n">
        <v>0.0181</v>
      </c>
      <c r="C706" s="57" t="n">
        <v>0.01868</v>
      </c>
      <c r="D706" s="57" t="n">
        <v>0.01847</v>
      </c>
      <c r="E706" s="57" t="n">
        <v>0.02004</v>
      </c>
      <c r="F706" s="57" t="n">
        <v>0.02415</v>
      </c>
      <c r="G706" s="57" t="n">
        <v>0.02678</v>
      </c>
    </row>
    <row r="707" customFormat="false" ht="15" hidden="false" customHeight="false" outlineLevel="0" collapsed="false">
      <c r="A707" s="52" t="n">
        <v>45182</v>
      </c>
      <c r="B707" s="57" t="n">
        <v>0.01805</v>
      </c>
      <c r="C707" s="57" t="n">
        <v>0.01863</v>
      </c>
      <c r="D707" s="57" t="n">
        <v>0.01841</v>
      </c>
      <c r="E707" s="57" t="n">
        <v>0.01942</v>
      </c>
      <c r="F707" s="57" t="n">
        <v>0.02414</v>
      </c>
      <c r="G707" s="57" t="n">
        <v>0.02669</v>
      </c>
    </row>
    <row r="708" customFormat="false" ht="15" hidden="false" customHeight="false" outlineLevel="0" collapsed="false">
      <c r="A708" s="52" t="n">
        <v>45183</v>
      </c>
      <c r="B708" s="57" t="n">
        <v>0.01805</v>
      </c>
      <c r="C708" s="57" t="n">
        <v>0.01863</v>
      </c>
      <c r="D708" s="57" t="n">
        <v>0.01841</v>
      </c>
      <c r="E708" s="57" t="n">
        <v>0.01931</v>
      </c>
      <c r="F708" s="57" t="n">
        <v>0.02414</v>
      </c>
      <c r="G708" s="57" t="n">
        <v>0.02669</v>
      </c>
    </row>
    <row r="709" customFormat="false" ht="15" hidden="false" customHeight="false" outlineLevel="0" collapsed="false">
      <c r="A709" s="52" t="n">
        <v>45184</v>
      </c>
      <c r="B709" s="57" t="n">
        <v>0.01801</v>
      </c>
      <c r="C709" s="57" t="n">
        <v>0.01859</v>
      </c>
      <c r="D709" s="57" t="n">
        <v>0.01837</v>
      </c>
      <c r="E709" s="57" t="n">
        <v>0.01985</v>
      </c>
      <c r="F709" s="57" t="n">
        <v>0.02407</v>
      </c>
      <c r="G709" s="57" t="n">
        <v>0.02685</v>
      </c>
    </row>
    <row r="710" customFormat="false" ht="15" hidden="false" customHeight="false" outlineLevel="0" collapsed="false">
      <c r="A710" s="52" t="n">
        <v>45187</v>
      </c>
      <c r="B710" s="57" t="n">
        <v>0.01801</v>
      </c>
      <c r="C710" s="57" t="n">
        <v>0.01859</v>
      </c>
      <c r="D710" s="57" t="n">
        <v>0.01838</v>
      </c>
      <c r="E710" s="57" t="n">
        <v>0.01985</v>
      </c>
      <c r="F710" s="57" t="n">
        <v>0.02409</v>
      </c>
      <c r="G710" s="57" t="n">
        <v>0.02645</v>
      </c>
    </row>
    <row r="711" customFormat="false" ht="15" hidden="false" customHeight="false" outlineLevel="0" collapsed="false">
      <c r="A711" s="52" t="n">
        <v>45188</v>
      </c>
      <c r="B711" s="57" t="n">
        <v>0.01801</v>
      </c>
      <c r="C711" s="57" t="n">
        <v>0.01859</v>
      </c>
      <c r="D711" s="57" t="n">
        <v>0.01836</v>
      </c>
      <c r="E711" s="57" t="n">
        <v>0.01907</v>
      </c>
      <c r="F711" s="57" t="n">
        <v>0.02368</v>
      </c>
      <c r="G711" s="57" t="n">
        <v>0.02665</v>
      </c>
    </row>
    <row r="712" customFormat="false" ht="15" hidden="false" customHeight="false" outlineLevel="0" collapsed="false">
      <c r="A712" s="52" t="n">
        <v>45189</v>
      </c>
      <c r="B712" s="57" t="n">
        <v>0.018</v>
      </c>
      <c r="C712" s="57" t="n">
        <v>0.01859</v>
      </c>
      <c r="D712" s="57" t="n">
        <v>0.01837</v>
      </c>
      <c r="E712" s="57" t="n">
        <v>0.0198</v>
      </c>
      <c r="F712" s="57" t="n">
        <v>0.02358</v>
      </c>
      <c r="G712" s="57" t="n">
        <v>0.02644</v>
      </c>
    </row>
    <row r="713" customFormat="false" ht="15" hidden="false" customHeight="false" outlineLevel="0" collapsed="false">
      <c r="A713" s="52" t="n">
        <v>45190</v>
      </c>
      <c r="B713" s="57" t="n">
        <v>0.01801</v>
      </c>
      <c r="C713" s="57" t="n">
        <v>0.01858</v>
      </c>
      <c r="D713" s="57" t="n">
        <v>0.01837</v>
      </c>
      <c r="E713" s="57" t="n">
        <v>0.01967</v>
      </c>
      <c r="F713" s="57" t="n">
        <v>0.02398</v>
      </c>
      <c r="G713" s="57" t="n">
        <v>0.02661</v>
      </c>
    </row>
    <row r="714" customFormat="false" ht="15" hidden="false" customHeight="false" outlineLevel="0" collapsed="false">
      <c r="A714" s="52" t="n">
        <v>45191</v>
      </c>
      <c r="B714" s="57" t="n">
        <v>0.01801</v>
      </c>
      <c r="C714" s="57" t="n">
        <v>0.01858</v>
      </c>
      <c r="D714" s="57" t="n">
        <v>0.01836</v>
      </c>
      <c r="E714" s="57" t="n">
        <v>0.0196</v>
      </c>
      <c r="F714" s="57" t="n">
        <v>0.02437</v>
      </c>
      <c r="G714" s="57" t="n">
        <v>0.0269</v>
      </c>
    </row>
    <row r="715" customFormat="false" ht="15" hidden="false" customHeight="false" outlineLevel="0" collapsed="false">
      <c r="A715" s="52" t="n">
        <v>45194</v>
      </c>
      <c r="B715" s="57" t="n">
        <v>0.018</v>
      </c>
      <c r="C715" s="57" t="n">
        <v>0.01858</v>
      </c>
      <c r="D715" s="57" t="n">
        <v>0.01836</v>
      </c>
      <c r="E715" s="57" t="n">
        <v>0.01923</v>
      </c>
      <c r="F715" s="57" t="n">
        <v>0.02406</v>
      </c>
      <c r="G715" s="57" t="n">
        <v>0.02722</v>
      </c>
    </row>
    <row r="716" customFormat="false" ht="15" hidden="false" customHeight="false" outlineLevel="0" collapsed="false">
      <c r="A716" s="52" t="n">
        <v>45195</v>
      </c>
      <c r="B716" s="57" t="n">
        <v>0.01801</v>
      </c>
      <c r="C716" s="57" t="n">
        <v>0.01858</v>
      </c>
      <c r="D716" s="57" t="n">
        <v>0.01836</v>
      </c>
      <c r="E716" s="57" t="n">
        <v>0.01948</v>
      </c>
      <c r="F716" s="57" t="n">
        <v>0.0239</v>
      </c>
      <c r="G716" s="57" t="n">
        <v>0.02741</v>
      </c>
    </row>
    <row r="717" customFormat="false" ht="15" hidden="false" customHeight="false" outlineLevel="0" collapsed="false">
      <c r="A717" s="52" t="n">
        <v>45196</v>
      </c>
      <c r="B717" s="57" t="n">
        <v>0.018</v>
      </c>
      <c r="C717" s="57" t="n">
        <v>0.01862</v>
      </c>
      <c r="D717" s="57" t="n">
        <v>0.01841</v>
      </c>
      <c r="E717" s="57" t="n">
        <v>0.01922</v>
      </c>
      <c r="F717" s="57" t="n">
        <v>0.02416</v>
      </c>
      <c r="G717" s="57" t="n">
        <v>0.027</v>
      </c>
    </row>
    <row r="718" customFormat="false" ht="15" hidden="false" customHeight="false" outlineLevel="0" collapsed="false">
      <c r="A718" s="52" t="n">
        <v>45197</v>
      </c>
      <c r="B718" s="57" t="n">
        <v>0.018</v>
      </c>
      <c r="C718" s="57" t="n">
        <v>0.01862</v>
      </c>
      <c r="D718" s="57" t="n">
        <v>0.01841</v>
      </c>
      <c r="E718" s="57" t="n">
        <v>0.01904</v>
      </c>
      <c r="F718" s="57" t="n">
        <v>0.02445</v>
      </c>
      <c r="G718" s="57" t="n">
        <v>0.02748</v>
      </c>
    </row>
    <row r="719" customFormat="false" ht="15" hidden="false" customHeight="false" outlineLevel="0" collapsed="false">
      <c r="A719" s="52" t="n">
        <v>45198</v>
      </c>
      <c r="B719" s="57" t="n">
        <v>0.01806</v>
      </c>
      <c r="C719" s="57" t="n">
        <v>0.01867</v>
      </c>
      <c r="D719" s="57" t="n">
        <v>0.01842</v>
      </c>
      <c r="E719" s="57" t="n">
        <v>0.02011</v>
      </c>
      <c r="F719" s="57" t="n">
        <v>0.02455</v>
      </c>
      <c r="G719" s="57" t="n">
        <v>0.02788</v>
      </c>
    </row>
    <row r="720" customFormat="false" ht="15" hidden="false" customHeight="false" outlineLevel="0" collapsed="false">
      <c r="A720" s="52" t="n">
        <v>45201</v>
      </c>
      <c r="B720" s="57" t="n">
        <v>0.01807</v>
      </c>
      <c r="C720" s="57" t="n">
        <v>0.0187</v>
      </c>
      <c r="D720" s="57" t="n">
        <v>0.0189</v>
      </c>
      <c r="E720" s="57" t="n">
        <v>0.01905</v>
      </c>
      <c r="F720" s="57" t="n">
        <v>0.02471</v>
      </c>
      <c r="G720" s="57" t="n">
        <v>0.02808</v>
      </c>
    </row>
    <row r="721" customFormat="false" ht="15" hidden="false" customHeight="false" outlineLevel="0" collapsed="false">
      <c r="A721" s="52" t="n">
        <v>45202</v>
      </c>
      <c r="B721" s="57" t="n">
        <v>0.01829</v>
      </c>
      <c r="C721" s="57" t="n">
        <v>0.01892</v>
      </c>
      <c r="D721" s="57" t="n">
        <v>0.01908</v>
      </c>
      <c r="E721" s="57" t="n">
        <v>0.01907</v>
      </c>
      <c r="F721" s="57" t="n">
        <v>0.02603</v>
      </c>
      <c r="G721" s="57" t="n">
        <v>0.02916</v>
      </c>
    </row>
    <row r="722" customFormat="false" ht="15" hidden="false" customHeight="false" outlineLevel="0" collapsed="false">
      <c r="A722" s="52" t="n">
        <v>45203</v>
      </c>
      <c r="B722" s="57" t="n">
        <v>0.01839</v>
      </c>
      <c r="C722" s="57" t="n">
        <v>0.01906</v>
      </c>
      <c r="D722" s="57" t="n">
        <v>0.01919</v>
      </c>
      <c r="E722" s="57" t="n">
        <v>0.0199</v>
      </c>
      <c r="F722" s="57" t="n">
        <v>0.02669</v>
      </c>
      <c r="G722" s="57" t="n">
        <v>0.02978</v>
      </c>
    </row>
    <row r="723" customFormat="false" ht="15" hidden="false" customHeight="false" outlineLevel="0" collapsed="false">
      <c r="A723" s="52" t="n">
        <v>45204</v>
      </c>
      <c r="B723" s="57" t="n">
        <v>0.0185</v>
      </c>
      <c r="C723" s="57" t="n">
        <v>0.01912</v>
      </c>
      <c r="D723" s="57" t="n">
        <v>0.01919</v>
      </c>
      <c r="E723" s="57" t="n">
        <v>0.01981</v>
      </c>
      <c r="F723" s="57" t="n">
        <v>0.02686</v>
      </c>
      <c r="G723" s="57" t="n">
        <v>0.02999</v>
      </c>
    </row>
    <row r="724" customFormat="false" ht="15" hidden="false" customHeight="false" outlineLevel="0" collapsed="false">
      <c r="A724" s="52" t="n">
        <v>45205</v>
      </c>
      <c r="B724" s="57" t="n">
        <v>0.01869</v>
      </c>
      <c r="C724" s="57" t="n">
        <v>0.01936</v>
      </c>
      <c r="D724" s="57" t="n">
        <v>0.01936</v>
      </c>
      <c r="E724" s="57" t="n">
        <v>0.01955</v>
      </c>
      <c r="F724" s="57" t="n">
        <v>0.02677</v>
      </c>
      <c r="G724" s="57" t="n">
        <v>0.02986</v>
      </c>
    </row>
    <row r="725" customFormat="false" ht="15" hidden="false" customHeight="false" outlineLevel="0" collapsed="false">
      <c r="A725" s="52" t="n">
        <v>45208</v>
      </c>
      <c r="B725" s="57" t="n">
        <v>0.01839</v>
      </c>
      <c r="C725" s="57" t="n">
        <v>0.01941</v>
      </c>
      <c r="D725" s="57" t="n">
        <v>0.01951</v>
      </c>
      <c r="E725" s="57" t="n">
        <v>0.02032</v>
      </c>
      <c r="F725" s="57" t="n">
        <v>0.02668</v>
      </c>
      <c r="G725" s="57" t="n">
        <v>0.02991</v>
      </c>
    </row>
    <row r="726" customFormat="false" ht="15" hidden="false" customHeight="false" outlineLevel="0" collapsed="false">
      <c r="A726" s="52" t="n">
        <v>45209</v>
      </c>
      <c r="B726" s="57" t="n">
        <v>0.01887</v>
      </c>
      <c r="C726" s="57" t="n">
        <v>0.01946</v>
      </c>
      <c r="D726" s="57" t="n">
        <v>0.01955</v>
      </c>
      <c r="E726" s="57" t="n">
        <v>0.01984</v>
      </c>
      <c r="F726" s="57" t="n">
        <v>0.02667</v>
      </c>
      <c r="G726" s="57" t="n">
        <v>0.02983</v>
      </c>
    </row>
    <row r="727" customFormat="false" ht="15" hidden="false" customHeight="false" outlineLevel="0" collapsed="false">
      <c r="A727" s="52" t="n">
        <v>45210</v>
      </c>
      <c r="B727" s="57" t="n">
        <v>0.01878</v>
      </c>
      <c r="C727" s="57" t="n">
        <v>0.01937</v>
      </c>
      <c r="D727" s="57" t="n">
        <v>0.01946</v>
      </c>
      <c r="E727" s="57" t="n">
        <v>0.02014</v>
      </c>
      <c r="F727" s="57" t="n">
        <v>0.02659</v>
      </c>
      <c r="G727" s="57" t="n">
        <v>0.02973</v>
      </c>
    </row>
    <row r="728" customFormat="false" ht="15" hidden="false" customHeight="false" outlineLevel="0" collapsed="false">
      <c r="A728" s="52" t="n">
        <v>45211</v>
      </c>
      <c r="B728" s="57" t="n">
        <v>0.01853</v>
      </c>
      <c r="C728" s="57" t="n">
        <v>0.01936</v>
      </c>
      <c r="D728" s="57" t="n">
        <v>0.01937</v>
      </c>
      <c r="E728" s="57" t="n">
        <v>0.02013</v>
      </c>
      <c r="F728" s="57" t="n">
        <v>0.0265</v>
      </c>
      <c r="G728" s="57" t="n">
        <v>0.02945</v>
      </c>
    </row>
    <row r="729" customFormat="false" ht="15" hidden="false" customHeight="false" outlineLevel="0" collapsed="false">
      <c r="A729" s="52" t="n">
        <v>45212</v>
      </c>
      <c r="B729" s="57" t="n">
        <v>0.01883</v>
      </c>
      <c r="C729" s="57" t="n">
        <v>0.01945</v>
      </c>
      <c r="D729" s="57" t="n">
        <v>0.01946</v>
      </c>
      <c r="E729" s="57" t="n">
        <v>0.02002</v>
      </c>
      <c r="F729" s="57" t="n">
        <v>0.02645</v>
      </c>
      <c r="G729" s="57" t="n">
        <v>0.02977</v>
      </c>
    </row>
    <row r="730" customFormat="false" ht="15" hidden="false" customHeight="false" outlineLevel="0" collapsed="false">
      <c r="A730" s="52" t="n">
        <v>45215</v>
      </c>
      <c r="B730" s="57" t="n">
        <v>0.01883</v>
      </c>
      <c r="C730" s="57" t="n">
        <v>0.01941</v>
      </c>
      <c r="D730" s="57" t="n">
        <v>0.01945</v>
      </c>
      <c r="E730" s="57" t="n">
        <v>0.0199</v>
      </c>
      <c r="F730" s="57" t="n">
        <v>0.02658</v>
      </c>
      <c r="G730" s="57" t="n">
        <v>0.02984</v>
      </c>
    </row>
    <row r="731" customFormat="false" ht="15" hidden="false" customHeight="false" outlineLevel="0" collapsed="false">
      <c r="A731" s="52" t="n">
        <v>45216</v>
      </c>
      <c r="B731" s="57" t="n">
        <v>0.01883</v>
      </c>
      <c r="C731" s="57" t="n">
        <v>0.01941</v>
      </c>
      <c r="D731" s="57" t="n">
        <v>0.01944</v>
      </c>
      <c r="E731" s="57" t="n">
        <v>0.01949</v>
      </c>
      <c r="F731" s="57" t="n">
        <v>0.02674</v>
      </c>
      <c r="G731" s="57" t="n">
        <v>0.02996</v>
      </c>
    </row>
    <row r="732" customFormat="false" ht="15" hidden="false" customHeight="false" outlineLevel="0" collapsed="false">
      <c r="A732" s="52" t="n">
        <v>45217</v>
      </c>
      <c r="B732" s="57" t="n">
        <v>0.01883</v>
      </c>
      <c r="C732" s="57" t="n">
        <v>0.01941</v>
      </c>
      <c r="D732" s="57" t="n">
        <v>0.01945</v>
      </c>
      <c r="E732" s="57" t="n">
        <v>0.02</v>
      </c>
      <c r="F732" s="57" t="n">
        <v>0.02665</v>
      </c>
      <c r="G732" s="57" t="n">
        <v>0.03008</v>
      </c>
    </row>
    <row r="733" customFormat="false" ht="15" hidden="false" customHeight="false" outlineLevel="0" collapsed="false">
      <c r="A733" s="52" t="n">
        <v>45218</v>
      </c>
      <c r="B733" s="57" t="n">
        <v>0.01923</v>
      </c>
      <c r="C733" s="57" t="n">
        <v>0.01982</v>
      </c>
      <c r="D733" s="57" t="n">
        <v>0.01982</v>
      </c>
      <c r="E733" s="57" t="n">
        <v>0.02005</v>
      </c>
      <c r="F733" s="57" t="n">
        <v>0.02817</v>
      </c>
      <c r="G733" s="57" t="n">
        <v>0.03138</v>
      </c>
    </row>
    <row r="734" customFormat="false" ht="15" hidden="false" customHeight="false" outlineLevel="0" collapsed="false">
      <c r="A734" s="52" t="n">
        <v>45219</v>
      </c>
      <c r="B734" s="57" t="n">
        <v>0.01928</v>
      </c>
      <c r="C734" s="57" t="n">
        <v>0.01986</v>
      </c>
      <c r="D734" s="57" t="n">
        <v>0.01991</v>
      </c>
      <c r="E734" s="57" t="n">
        <v>0.01994</v>
      </c>
      <c r="F734" s="57" t="n">
        <v>0.02837</v>
      </c>
      <c r="G734" s="57" t="n">
        <v>0.03203</v>
      </c>
    </row>
    <row r="735" customFormat="false" ht="15" hidden="false" customHeight="false" outlineLevel="0" collapsed="false">
      <c r="A735" s="52" t="n">
        <v>45222</v>
      </c>
      <c r="B735" s="57" t="n">
        <v>0.01933</v>
      </c>
      <c r="C735" s="57" t="n">
        <v>0.01991</v>
      </c>
      <c r="D735" s="57" t="n">
        <v>0.01991</v>
      </c>
      <c r="E735" s="57" t="n">
        <v>0.01993</v>
      </c>
      <c r="F735" s="57" t="n">
        <v>0.02846</v>
      </c>
      <c r="G735" s="57" t="n">
        <v>0.03197</v>
      </c>
    </row>
    <row r="736" customFormat="false" ht="15" hidden="false" customHeight="false" outlineLevel="0" collapsed="false">
      <c r="A736" s="52" t="n">
        <v>45223</v>
      </c>
      <c r="B736" s="57" t="n">
        <v>0.01932</v>
      </c>
      <c r="C736" s="57" t="n">
        <v>0.01991</v>
      </c>
      <c r="D736" s="57" t="n">
        <v>0.01991</v>
      </c>
      <c r="E736" s="57" t="n">
        <v>0.01988</v>
      </c>
      <c r="F736" s="57" t="n">
        <v>0.02826</v>
      </c>
      <c r="G736" s="57" t="n">
        <v>0.03168</v>
      </c>
    </row>
    <row r="737" customFormat="false" ht="15" hidden="false" customHeight="false" outlineLevel="0" collapsed="false">
      <c r="A737" s="52" t="n">
        <v>45224</v>
      </c>
      <c r="B737" s="57" t="n">
        <v>0.01906</v>
      </c>
      <c r="C737" s="57" t="n">
        <v>0.01986</v>
      </c>
      <c r="D737" s="57" t="n">
        <v>0.01982</v>
      </c>
      <c r="E737" s="57" t="n">
        <v>0.01989</v>
      </c>
      <c r="F737" s="57" t="n">
        <v>0.02792</v>
      </c>
      <c r="G737" s="57" t="n">
        <v>0.03067</v>
      </c>
    </row>
    <row r="738" customFormat="false" ht="15" hidden="false" customHeight="false" outlineLevel="0" collapsed="false">
      <c r="A738" s="52" t="n">
        <v>45225</v>
      </c>
      <c r="B738" s="57" t="n">
        <v>0.01906</v>
      </c>
      <c r="C738" s="57" t="n">
        <v>0.01986</v>
      </c>
      <c r="D738" s="57" t="n">
        <v>0.01982</v>
      </c>
      <c r="E738" s="57" t="n">
        <v>0.01971</v>
      </c>
      <c r="F738" s="57" t="n">
        <v>0.02774</v>
      </c>
      <c r="G738" s="57" t="n">
        <v>0.03055</v>
      </c>
    </row>
    <row r="739" customFormat="false" ht="15" hidden="false" customHeight="false" outlineLevel="0" collapsed="false">
      <c r="A739" s="52" t="n">
        <v>45226</v>
      </c>
      <c r="B739" s="57" t="n">
        <v>0.01897</v>
      </c>
      <c r="C739" s="57" t="n">
        <v>0.01977</v>
      </c>
      <c r="D739" s="57" t="n">
        <v>0.01955</v>
      </c>
      <c r="E739" s="57" t="n">
        <v>0.01902</v>
      </c>
      <c r="F739" s="57" t="n">
        <v>0.02773</v>
      </c>
      <c r="G739" s="57" t="n">
        <v>0.03032</v>
      </c>
    </row>
    <row r="740" customFormat="false" ht="15" hidden="false" customHeight="false" outlineLevel="0" collapsed="false">
      <c r="A740" s="52" t="n">
        <v>45229</v>
      </c>
      <c r="B740" s="57" t="n">
        <v>0.01918</v>
      </c>
      <c r="C740" s="57" t="n">
        <v>0.01973</v>
      </c>
      <c r="D740" s="57" t="n">
        <v>0.01955</v>
      </c>
      <c r="E740" s="57" t="n">
        <v>0.01934</v>
      </c>
      <c r="F740" s="57" t="n">
        <v>0.02763</v>
      </c>
      <c r="G740" s="57" t="n">
        <v>0.03017</v>
      </c>
    </row>
    <row r="741" customFormat="false" ht="15" hidden="false" customHeight="false" outlineLevel="0" collapsed="false">
      <c r="A741" s="52" t="n">
        <v>45230</v>
      </c>
      <c r="B741" s="57" t="n">
        <v>0.01918</v>
      </c>
      <c r="C741" s="57" t="n">
        <v>0.01973</v>
      </c>
      <c r="D741" s="57" t="n">
        <v>0.01955</v>
      </c>
      <c r="E741" s="57" t="n">
        <v>0.01936</v>
      </c>
      <c r="F741" s="57" t="n">
        <v>0.02743</v>
      </c>
      <c r="G741" s="57" t="n">
        <v>0.03017</v>
      </c>
    </row>
    <row r="742" customFormat="false" ht="15" hidden="false" customHeight="false" outlineLevel="0" collapsed="false">
      <c r="A742" s="52" t="n">
        <v>45231</v>
      </c>
      <c r="B742" s="57" t="n">
        <v>0.01909</v>
      </c>
      <c r="C742" s="57" t="n">
        <v>0.01973</v>
      </c>
      <c r="D742" s="57" t="n">
        <v>0.01955</v>
      </c>
      <c r="E742" s="57" t="n">
        <v>0.01992</v>
      </c>
      <c r="F742" s="57" t="n">
        <v>0.02711</v>
      </c>
      <c r="G742" s="57" t="n">
        <v>0.02978</v>
      </c>
    </row>
    <row r="743" customFormat="false" ht="15" hidden="false" customHeight="false" outlineLevel="0" collapsed="false">
      <c r="A743" s="52" t="n">
        <v>45232</v>
      </c>
      <c r="B743" s="57" t="n">
        <v>0.0191</v>
      </c>
      <c r="C743" s="57" t="n">
        <v>0.01973</v>
      </c>
      <c r="D743" s="57" t="n">
        <v>0.01973</v>
      </c>
      <c r="E743" s="57" t="n">
        <v>0.0199</v>
      </c>
      <c r="F743" s="57" t="n">
        <v>0.02697</v>
      </c>
      <c r="G743" s="57" t="n">
        <v>0.02965</v>
      </c>
    </row>
    <row r="744" customFormat="false" ht="15" hidden="false" customHeight="false" outlineLevel="0" collapsed="false">
      <c r="A744" s="52" t="n">
        <v>45233</v>
      </c>
      <c r="B744" s="57" t="n">
        <v>0.01909</v>
      </c>
      <c r="C744" s="57" t="n">
        <v>0.01973</v>
      </c>
      <c r="D744" s="57" t="n">
        <v>0.01973</v>
      </c>
      <c r="E744" s="57" t="n">
        <v>0.01986</v>
      </c>
      <c r="F744" s="57" t="n">
        <v>0.02676</v>
      </c>
      <c r="G744" s="57" t="n">
        <v>0.02941</v>
      </c>
    </row>
    <row r="745" customFormat="false" ht="15" hidden="false" customHeight="false" outlineLevel="0" collapsed="false">
      <c r="A745" s="52" t="n">
        <v>45236</v>
      </c>
      <c r="B745" s="57" t="n">
        <v>0.01883</v>
      </c>
      <c r="C745" s="57" t="n">
        <v>0.01967</v>
      </c>
      <c r="D745" s="57" t="n">
        <v>0.01973</v>
      </c>
      <c r="E745" s="57" t="n">
        <v>0.01981</v>
      </c>
      <c r="F745" s="57" t="n">
        <v>0.02592</v>
      </c>
      <c r="G745" s="57" t="n">
        <v>0.02899</v>
      </c>
    </row>
    <row r="746" customFormat="false" ht="15" hidden="false" customHeight="false" outlineLevel="0" collapsed="false">
      <c r="A746" s="52" t="n">
        <v>45237</v>
      </c>
      <c r="B746" s="57" t="n">
        <v>0.01895</v>
      </c>
      <c r="C746" s="57" t="n">
        <v>0.01945</v>
      </c>
      <c r="D746" s="57" t="n">
        <v>0.0195</v>
      </c>
      <c r="E746" s="57" t="n">
        <v>0.01976</v>
      </c>
      <c r="F746" s="57" t="n">
        <v>0.02503</v>
      </c>
      <c r="G746" s="57" t="n">
        <v>0.02856</v>
      </c>
    </row>
    <row r="747" customFormat="false" ht="15" hidden="false" customHeight="false" outlineLevel="0" collapsed="false">
      <c r="A747" s="52" t="n">
        <v>45238</v>
      </c>
      <c r="B747" s="57" t="n">
        <v>0.01868</v>
      </c>
      <c r="C747" s="57" t="n">
        <v>0.01936</v>
      </c>
      <c r="D747" s="57" t="n">
        <v>0.01941</v>
      </c>
      <c r="E747" s="57" t="n">
        <v>0.01975</v>
      </c>
      <c r="F747" s="57" t="n">
        <v>0.025</v>
      </c>
      <c r="G747" s="57" t="n">
        <v>0.02789</v>
      </c>
    </row>
    <row r="748" customFormat="false" ht="15" hidden="false" customHeight="false" outlineLevel="0" collapsed="false">
      <c r="A748" s="52" t="n">
        <v>45239</v>
      </c>
      <c r="B748" s="57" t="n">
        <v>0.01882</v>
      </c>
      <c r="C748" s="57" t="n">
        <v>0.01932</v>
      </c>
      <c r="D748" s="57" t="n">
        <v>0.01941</v>
      </c>
      <c r="E748" s="57" t="n">
        <v>0.02041</v>
      </c>
      <c r="F748" s="57" t="n">
        <v>0.02527</v>
      </c>
      <c r="G748" s="57" t="n">
        <v>0.02795</v>
      </c>
    </row>
    <row r="749" customFormat="false" ht="15" hidden="false" customHeight="false" outlineLevel="0" collapsed="false">
      <c r="A749" s="52" t="n">
        <v>45240</v>
      </c>
      <c r="B749" s="57" t="n">
        <v>0.01882</v>
      </c>
      <c r="C749" s="57" t="n">
        <v>0.01932</v>
      </c>
      <c r="D749" s="57" t="n">
        <v>0.01941</v>
      </c>
      <c r="E749" s="57" t="n">
        <v>0.02038</v>
      </c>
      <c r="F749" s="57" t="n">
        <v>0.02514</v>
      </c>
      <c r="G749" s="57" t="n">
        <v>0.02778</v>
      </c>
    </row>
    <row r="750" customFormat="false" ht="15" hidden="false" customHeight="false" outlineLevel="0" collapsed="false">
      <c r="A750" s="52" t="n">
        <v>45243</v>
      </c>
      <c r="B750" s="57" t="n">
        <v>0.01855</v>
      </c>
      <c r="C750" s="57" t="n">
        <v>0.01914</v>
      </c>
      <c r="D750" s="57" t="n">
        <v>0.01923</v>
      </c>
      <c r="E750" s="57" t="n">
        <v>0.02007</v>
      </c>
      <c r="F750" s="57" t="n">
        <v>0.02527</v>
      </c>
      <c r="G750" s="57" t="n">
        <v>0.02756</v>
      </c>
    </row>
    <row r="751" customFormat="false" ht="15" hidden="false" customHeight="false" outlineLevel="0" collapsed="false">
      <c r="A751" s="52" t="n">
        <v>45244</v>
      </c>
      <c r="B751" s="57" t="n">
        <v>0.01855</v>
      </c>
      <c r="C751" s="57" t="n">
        <v>0.01914</v>
      </c>
      <c r="D751" s="57" t="n">
        <v>0.01923</v>
      </c>
      <c r="E751" s="57" t="n">
        <v>0.01968</v>
      </c>
      <c r="F751" s="57" t="n">
        <v>0.02437</v>
      </c>
      <c r="G751" s="57" t="n">
        <v>0.0275</v>
      </c>
    </row>
    <row r="752" customFormat="false" ht="15" hidden="false" customHeight="false" outlineLevel="0" collapsed="false">
      <c r="A752" s="52" t="n">
        <v>45245</v>
      </c>
      <c r="B752" s="57" t="n">
        <v>0.0186</v>
      </c>
      <c r="C752" s="57" t="n">
        <v>0.01914</v>
      </c>
      <c r="D752" s="57" t="n">
        <v>0.01923</v>
      </c>
      <c r="E752" s="57" t="n">
        <v>0.01993</v>
      </c>
      <c r="F752" s="57" t="n">
        <v>0.02411</v>
      </c>
      <c r="G752" s="57" t="n">
        <v>0.02714</v>
      </c>
    </row>
    <row r="753" customFormat="false" ht="15" hidden="false" customHeight="false" outlineLevel="0" collapsed="false">
      <c r="A753" s="52" t="n">
        <v>45246</v>
      </c>
      <c r="B753" s="57" t="n">
        <v>0.01845</v>
      </c>
      <c r="C753" s="57" t="n">
        <v>0.01903</v>
      </c>
      <c r="D753" s="57" t="n">
        <v>0.01913</v>
      </c>
      <c r="E753" s="57" t="n">
        <v>0.01987</v>
      </c>
      <c r="F753" s="57" t="n">
        <v>0.02388</v>
      </c>
      <c r="G753" s="57" t="n">
        <v>0.02677</v>
      </c>
    </row>
    <row r="754" customFormat="false" ht="15" hidden="false" customHeight="false" outlineLevel="0" collapsed="false">
      <c r="A754" s="52" t="n">
        <v>45247</v>
      </c>
      <c r="B754" s="57" t="n">
        <v>0.01847</v>
      </c>
      <c r="C754" s="57" t="n">
        <v>0.01899</v>
      </c>
      <c r="D754" s="57" t="n">
        <v>0.01913</v>
      </c>
      <c r="E754" s="57" t="n">
        <v>0.0197</v>
      </c>
      <c r="F754" s="57" t="n">
        <v>0.02182</v>
      </c>
      <c r="G754" s="57" t="n">
        <v>0.02657</v>
      </c>
    </row>
    <row r="755" customFormat="false" ht="15" hidden="false" customHeight="false" outlineLevel="0" collapsed="false">
      <c r="A755" s="52" t="n">
        <v>45250</v>
      </c>
      <c r="B755" s="57" t="n">
        <v>0.01832</v>
      </c>
      <c r="C755" s="57" t="n">
        <v>0.01886</v>
      </c>
      <c r="D755" s="57" t="n">
        <v>0.01899</v>
      </c>
      <c r="E755" s="57" t="n">
        <v>0.01781</v>
      </c>
      <c r="F755" s="57" t="n">
        <v>0.02239</v>
      </c>
      <c r="G755" s="57" t="n">
        <v>0.02624</v>
      </c>
    </row>
    <row r="756" customFormat="false" ht="15" hidden="false" customHeight="false" outlineLevel="0" collapsed="false">
      <c r="A756" s="52" t="n">
        <v>45251</v>
      </c>
      <c r="B756" s="57" t="n">
        <v>0.01816</v>
      </c>
      <c r="C756" s="57" t="n">
        <v>0.01867</v>
      </c>
      <c r="D756" s="57" t="n">
        <v>0.01881</v>
      </c>
      <c r="E756" s="57" t="n">
        <v>0.0175</v>
      </c>
      <c r="F756" s="57" t="n">
        <v>0.02172</v>
      </c>
      <c r="G756" s="57" t="n">
        <v>0.02622</v>
      </c>
    </row>
    <row r="757" customFormat="false" ht="15" hidden="false" customHeight="false" outlineLevel="0" collapsed="false">
      <c r="A757" s="52" t="n">
        <v>45252</v>
      </c>
      <c r="B757" s="57" t="n">
        <v>0.01814</v>
      </c>
      <c r="C757" s="57" t="n">
        <v>0.01864</v>
      </c>
      <c r="D757" s="57" t="n">
        <v>0.01876</v>
      </c>
      <c r="E757" s="57" t="n">
        <v>0.01938</v>
      </c>
      <c r="F757" s="57" t="n">
        <v>0.02168</v>
      </c>
      <c r="G757" s="57" t="n">
        <v>0.02623</v>
      </c>
    </row>
    <row r="758" customFormat="false" ht="15" hidden="false" customHeight="false" outlineLevel="0" collapsed="false">
      <c r="A758" s="52" t="n">
        <v>45253</v>
      </c>
      <c r="B758" s="57" t="n">
        <v>0.01814</v>
      </c>
      <c r="C758" s="57" t="n">
        <v>0.01864</v>
      </c>
      <c r="D758" s="57" t="n">
        <v>0.01876</v>
      </c>
      <c r="E758" s="57" t="n">
        <v>0.0193</v>
      </c>
      <c r="F758" s="57" t="n">
        <v>0.02182</v>
      </c>
      <c r="G758" s="57" t="n">
        <v>0.02487</v>
      </c>
    </row>
    <row r="759" customFormat="false" ht="15" hidden="false" customHeight="false" outlineLevel="0" collapsed="false">
      <c r="A759" s="52" t="n">
        <v>45254</v>
      </c>
      <c r="B759" s="57" t="n">
        <v>0.01796</v>
      </c>
      <c r="C759" s="57" t="n">
        <v>0.01845</v>
      </c>
      <c r="D759" s="57" t="n">
        <v>0.01858</v>
      </c>
      <c r="E759" s="57" t="n">
        <v>0.01924</v>
      </c>
      <c r="F759" s="57" t="n">
        <v>0.02214</v>
      </c>
      <c r="G759" s="57" t="n">
        <v>0.02527</v>
      </c>
    </row>
    <row r="760" customFormat="false" ht="15" hidden="false" customHeight="false" outlineLevel="0" collapsed="false">
      <c r="A760" s="52" t="n">
        <v>45257</v>
      </c>
      <c r="B760" s="57" t="n">
        <v>0.01796</v>
      </c>
      <c r="C760" s="57" t="n">
        <v>0.01841</v>
      </c>
      <c r="D760" s="57" t="n">
        <v>0.01849</v>
      </c>
      <c r="E760" s="57" t="n">
        <v>0.01928</v>
      </c>
      <c r="F760" s="57" t="n">
        <v>0.02181</v>
      </c>
      <c r="G760" s="57" t="n">
        <v>0.02532</v>
      </c>
    </row>
    <row r="761" customFormat="false" ht="15" hidden="false" customHeight="false" outlineLevel="0" collapsed="false">
      <c r="A761" s="52" t="n">
        <v>45258</v>
      </c>
      <c r="B761" s="57" t="n">
        <v>0.01788</v>
      </c>
      <c r="C761" s="57" t="n">
        <v>0.01832</v>
      </c>
      <c r="D761" s="57" t="n">
        <v>0.0184</v>
      </c>
      <c r="E761" s="57" t="n">
        <v>0.01928</v>
      </c>
      <c r="F761" s="57" t="n">
        <v>0.02184</v>
      </c>
      <c r="G761" s="57" t="n">
        <v>0.02532</v>
      </c>
    </row>
    <row r="762" customFormat="false" ht="15" hidden="false" customHeight="false" outlineLevel="0" collapsed="false">
      <c r="A762" s="52" t="n">
        <v>45259</v>
      </c>
      <c r="B762" s="57" t="n">
        <v>0.01788</v>
      </c>
      <c r="C762" s="57" t="n">
        <v>0.01832</v>
      </c>
      <c r="D762" s="57" t="n">
        <v>0.0184</v>
      </c>
      <c r="E762" s="57" t="n">
        <v>0.01913</v>
      </c>
      <c r="F762" s="57" t="n">
        <v>0.02167</v>
      </c>
      <c r="G762" s="57" t="n">
        <v>0.02501</v>
      </c>
    </row>
    <row r="763" customFormat="false" ht="15" hidden="false" customHeight="false" outlineLevel="0" collapsed="false">
      <c r="A763" s="52" t="n">
        <v>45260</v>
      </c>
      <c r="B763" s="57" t="n">
        <v>0.01779</v>
      </c>
      <c r="C763" s="57" t="n">
        <v>0.01823</v>
      </c>
      <c r="D763" s="57" t="n">
        <v>0.01827</v>
      </c>
      <c r="E763" s="57" t="n">
        <v>0.0191</v>
      </c>
      <c r="F763" s="57" t="n">
        <v>0.02219</v>
      </c>
      <c r="G763" s="57" t="n">
        <v>0.02436</v>
      </c>
    </row>
    <row r="764" customFormat="false" ht="15" hidden="false" customHeight="false" outlineLevel="0" collapsed="false">
      <c r="A764" s="52" t="n">
        <v>45261</v>
      </c>
      <c r="B764" s="57" t="n">
        <v>0.01773</v>
      </c>
      <c r="C764" s="57" t="n">
        <v>0.01773</v>
      </c>
      <c r="D764" s="57" t="n">
        <v>0.01832</v>
      </c>
      <c r="E764" s="57" t="n">
        <v>0.01913</v>
      </c>
      <c r="F764" s="57" t="n">
        <v>0.02223</v>
      </c>
      <c r="G764" s="57" t="n">
        <v>0.02411</v>
      </c>
    </row>
    <row r="765" customFormat="false" ht="15" hidden="false" customHeight="false" outlineLevel="0" collapsed="false">
      <c r="A765" s="52" t="n">
        <v>45264</v>
      </c>
      <c r="B765" s="57" t="n">
        <v>0.01773</v>
      </c>
      <c r="C765" s="57" t="n">
        <v>0.01773</v>
      </c>
      <c r="D765" s="57" t="n">
        <v>0.0182</v>
      </c>
      <c r="E765" s="57" t="n">
        <v>0.01735</v>
      </c>
      <c r="F765" s="57" t="n">
        <v>0.02172</v>
      </c>
      <c r="G765" s="57" t="n">
        <v>0.02407</v>
      </c>
    </row>
    <row r="766" customFormat="false" ht="15" hidden="false" customHeight="false" outlineLevel="0" collapsed="false">
      <c r="A766" s="52" t="n">
        <v>45265</v>
      </c>
      <c r="B766" s="57" t="n">
        <v>0.01773</v>
      </c>
      <c r="C766" s="57" t="n">
        <v>0.01773</v>
      </c>
      <c r="D766" s="57" t="n">
        <v>0.01821</v>
      </c>
      <c r="E766" s="57" t="n">
        <v>0.01735</v>
      </c>
      <c r="F766" s="57" t="n">
        <v>0.02185</v>
      </c>
      <c r="G766" s="57" t="n">
        <v>0.02418</v>
      </c>
    </row>
    <row r="767" customFormat="false" ht="15" hidden="false" customHeight="false" outlineLevel="0" collapsed="false">
      <c r="A767" s="52" t="n">
        <v>45266</v>
      </c>
      <c r="B767" s="57" t="n">
        <v>0.01773</v>
      </c>
      <c r="C767" s="57" t="n">
        <v>0.01774</v>
      </c>
      <c r="D767" s="57" t="n">
        <v>0.01824</v>
      </c>
      <c r="E767" s="57" t="n">
        <v>0.01783</v>
      </c>
      <c r="F767" s="57" t="n">
        <v>0.022</v>
      </c>
      <c r="G767" s="57" t="n">
        <v>0.02408</v>
      </c>
    </row>
    <row r="768" customFormat="false" ht="15" hidden="false" customHeight="false" outlineLevel="0" collapsed="false">
      <c r="A768" s="52" t="n">
        <v>45267</v>
      </c>
      <c r="B768" s="57" t="n">
        <v>0.01768</v>
      </c>
      <c r="C768" s="57" t="n">
        <v>0.01769</v>
      </c>
      <c r="D768" s="57" t="n">
        <v>0.01821</v>
      </c>
      <c r="E768" s="57" t="n">
        <v>0.01798</v>
      </c>
      <c r="F768" s="57" t="n">
        <v>0.02207</v>
      </c>
      <c r="G768" s="57" t="n">
        <v>0.0242</v>
      </c>
    </row>
    <row r="769" customFormat="false" ht="15" hidden="false" customHeight="false" outlineLevel="0" collapsed="false">
      <c r="A769" s="52" t="n">
        <v>45268</v>
      </c>
      <c r="B769" s="57" t="n">
        <v>0.01759</v>
      </c>
      <c r="C769" s="57" t="n">
        <v>0.01759</v>
      </c>
      <c r="D769" s="57" t="n">
        <v>0.01809</v>
      </c>
      <c r="E769" s="57" t="n">
        <v>0.01732</v>
      </c>
      <c r="F769" s="57" t="n">
        <v>0.02198</v>
      </c>
      <c r="G769" s="57" t="n">
        <v>0.02417</v>
      </c>
    </row>
    <row r="770" customFormat="false" ht="15" hidden="false" customHeight="false" outlineLevel="0" collapsed="false">
      <c r="A770" s="52" t="n">
        <v>45271</v>
      </c>
      <c r="B770" s="57" t="n">
        <v>0.0176</v>
      </c>
      <c r="C770" s="57" t="n">
        <v>0.0176</v>
      </c>
      <c r="D770" s="57" t="n">
        <v>0.01812</v>
      </c>
      <c r="E770" s="57" t="n">
        <v>0.01795</v>
      </c>
      <c r="F770" s="57" t="n">
        <v>0.02198</v>
      </c>
      <c r="G770" s="57" t="n">
        <v>0.02424</v>
      </c>
    </row>
    <row r="771" customFormat="false" ht="15" hidden="false" customHeight="false" outlineLevel="0" collapsed="false">
      <c r="A771" s="52" t="n">
        <v>45272</v>
      </c>
      <c r="B771" s="57" t="n">
        <v>0.01759</v>
      </c>
      <c r="C771" s="57" t="n">
        <v>0.0176</v>
      </c>
      <c r="D771" s="57" t="n">
        <v>0.01806</v>
      </c>
      <c r="E771" s="57" t="n">
        <v>0.01665</v>
      </c>
      <c r="F771" s="57" t="n">
        <v>0.02198</v>
      </c>
      <c r="G771" s="57" t="n">
        <v>0.02416</v>
      </c>
    </row>
    <row r="772" customFormat="false" ht="15" hidden="false" customHeight="false" outlineLevel="0" collapsed="false">
      <c r="A772" s="52" t="n">
        <v>45273</v>
      </c>
      <c r="B772" s="57" t="n">
        <v>0.01759</v>
      </c>
      <c r="C772" s="57" t="n">
        <v>0.01759</v>
      </c>
      <c r="D772" s="57" t="n">
        <v>0.01811</v>
      </c>
      <c r="E772" s="57" t="n">
        <v>0.01761</v>
      </c>
      <c r="F772" s="57" t="n">
        <v>0.0214</v>
      </c>
      <c r="G772" s="57" t="n">
        <v>0.02404</v>
      </c>
    </row>
    <row r="773" customFormat="false" ht="15" hidden="false" customHeight="false" outlineLevel="0" collapsed="false">
      <c r="A773" s="52" t="n">
        <v>45274</v>
      </c>
      <c r="B773" s="57" t="n">
        <v>0.01703</v>
      </c>
      <c r="C773" s="57" t="n">
        <v>0.01716</v>
      </c>
      <c r="D773" s="57" t="n">
        <v>0.01778</v>
      </c>
      <c r="E773" s="57" t="n">
        <v>0.01692</v>
      </c>
      <c r="F773" s="57" t="n">
        <v>0.02023</v>
      </c>
      <c r="G773" s="57" t="n">
        <v>0.02324</v>
      </c>
    </row>
    <row r="774" customFormat="false" ht="15" hidden="false" customHeight="false" outlineLevel="0" collapsed="false">
      <c r="A774" s="52" t="n">
        <v>45275</v>
      </c>
      <c r="B774" s="57" t="n">
        <v>0.01698</v>
      </c>
      <c r="C774" s="57" t="n">
        <v>0.01712</v>
      </c>
      <c r="D774" s="57" t="n">
        <v>0.01773</v>
      </c>
      <c r="E774" s="57" t="n">
        <v>0.01689</v>
      </c>
      <c r="F774" s="57" t="n">
        <v>0.01976</v>
      </c>
      <c r="G774" s="57" t="n">
        <v>0.02286</v>
      </c>
    </row>
    <row r="775" customFormat="false" ht="15" hidden="false" customHeight="false" outlineLevel="0" collapsed="false">
      <c r="A775" s="52" t="n">
        <v>45278</v>
      </c>
      <c r="B775" s="57" t="n">
        <v>0.01694</v>
      </c>
      <c r="C775" s="57" t="n">
        <v>0.01707</v>
      </c>
      <c r="D775" s="57" t="n">
        <v>0.01769</v>
      </c>
      <c r="E775" s="57" t="n">
        <v>0.01689</v>
      </c>
      <c r="F775" s="57" t="n">
        <v>0.01976</v>
      </c>
      <c r="G775" s="57" t="n">
        <v>0.0231</v>
      </c>
    </row>
    <row r="776" customFormat="false" ht="15" hidden="false" customHeight="false" outlineLevel="0" collapsed="false">
      <c r="A776" s="52" t="n">
        <v>45279</v>
      </c>
      <c r="B776" s="57" t="n">
        <v>0.01683</v>
      </c>
      <c r="C776" s="57" t="n">
        <v>0.01696</v>
      </c>
      <c r="D776" s="57" t="n">
        <v>0.01761</v>
      </c>
      <c r="E776" s="57" t="n">
        <v>0.01688</v>
      </c>
      <c r="F776" s="57" t="n">
        <v>0.01966</v>
      </c>
      <c r="G776" s="57" t="n">
        <v>0.02302</v>
      </c>
    </row>
    <row r="777" customFormat="false" ht="15" hidden="false" customHeight="false" outlineLevel="0" collapsed="false">
      <c r="A777" s="52" t="n">
        <v>45280</v>
      </c>
      <c r="B777" s="57" t="n">
        <v>0.01678</v>
      </c>
      <c r="C777" s="57" t="n">
        <v>0.01692</v>
      </c>
      <c r="D777" s="57" t="n">
        <v>0.01752</v>
      </c>
      <c r="E777" s="57" t="n">
        <v>0.01688</v>
      </c>
      <c r="F777" s="57" t="n">
        <v>0.01952</v>
      </c>
      <c r="G777" s="57" t="n">
        <v>0.02281</v>
      </c>
    </row>
    <row r="778" customFormat="false" ht="15" hidden="false" customHeight="false" outlineLevel="0" collapsed="false">
      <c r="A778" s="52" t="n">
        <v>45281</v>
      </c>
      <c r="B778" s="57" t="n">
        <v>0.01682</v>
      </c>
      <c r="C778" s="57" t="n">
        <v>0.01692</v>
      </c>
      <c r="D778" s="57" t="n">
        <v>0.01752</v>
      </c>
      <c r="E778" s="57" t="n">
        <v>0.0168</v>
      </c>
      <c r="F778" s="57" t="n">
        <v>0.01975</v>
      </c>
      <c r="G778" s="57" t="n">
        <v>0.02272</v>
      </c>
    </row>
    <row r="779" customFormat="false" ht="15" hidden="false" customHeight="false" outlineLevel="0" collapsed="false">
      <c r="A779" s="52" t="n">
        <v>45282</v>
      </c>
      <c r="B779" s="57" t="n">
        <v>0.01683</v>
      </c>
      <c r="C779" s="57" t="n">
        <v>0.01692</v>
      </c>
      <c r="D779" s="57" t="n">
        <v>0.01752</v>
      </c>
      <c r="E779" s="57" t="n">
        <v>0.0167</v>
      </c>
      <c r="F779" s="57" t="n">
        <v>0.0196</v>
      </c>
      <c r="G779" s="57" t="n">
        <v>0.02284</v>
      </c>
    </row>
    <row r="780" customFormat="false" ht="15" hidden="false" customHeight="false" outlineLevel="0" collapsed="false">
      <c r="A780" s="52" t="n">
        <v>45285</v>
      </c>
      <c r="B780" s="57" t="n">
        <v>0.01677</v>
      </c>
      <c r="C780" s="57" t="n">
        <v>0.01687</v>
      </c>
      <c r="D780" s="57" t="n">
        <v>0.01746</v>
      </c>
      <c r="E780" s="57" t="n">
        <v>0.01646</v>
      </c>
      <c r="F780" s="57" t="n">
        <v>0.01956</v>
      </c>
      <c r="G780" s="57" t="n">
        <v>0.02283</v>
      </c>
    </row>
    <row r="781" customFormat="false" ht="15" hidden="false" customHeight="false" outlineLevel="0" collapsed="false">
      <c r="A781" s="52" t="n">
        <v>45286</v>
      </c>
      <c r="B781" s="57" t="n">
        <v>0.01678</v>
      </c>
      <c r="C781" s="57" t="n">
        <v>0.01687</v>
      </c>
      <c r="D781" s="57" t="n">
        <v>0.01747</v>
      </c>
      <c r="E781" s="57" t="n">
        <v>0.01666</v>
      </c>
      <c r="F781" s="57" t="n">
        <v>0.01975</v>
      </c>
      <c r="G781" s="57" t="n">
        <v>0.02284</v>
      </c>
    </row>
    <row r="782" customFormat="false" ht="15" hidden="false" customHeight="false" outlineLevel="0" collapsed="false">
      <c r="A782" s="52" t="n">
        <v>45287</v>
      </c>
      <c r="B782" s="57" t="n">
        <v>0.01678</v>
      </c>
      <c r="C782" s="57" t="n">
        <v>0.01686</v>
      </c>
      <c r="D782" s="57" t="n">
        <v>0.01747</v>
      </c>
      <c r="E782" s="57" t="n">
        <v>0.01653</v>
      </c>
      <c r="F782" s="57" t="n">
        <v>0.01993</v>
      </c>
      <c r="G782" s="57" t="n">
        <v>0.02285</v>
      </c>
    </row>
    <row r="783" customFormat="false" ht="15" hidden="false" customHeight="false" outlineLevel="0" collapsed="false">
      <c r="A783" s="52" t="n">
        <v>45288</v>
      </c>
      <c r="B783" s="57" t="n">
        <v>0.01677</v>
      </c>
      <c r="C783" s="57" t="n">
        <v>0.01687</v>
      </c>
      <c r="D783" s="57" t="n">
        <v>0.01748</v>
      </c>
      <c r="E783" s="57" t="n">
        <v>0.01669</v>
      </c>
      <c r="F783" s="57" t="n">
        <v>0.01985</v>
      </c>
      <c r="G783" s="57" t="n">
        <v>0.02294</v>
      </c>
    </row>
    <row r="784" customFormat="false" ht="15" hidden="false" customHeight="false" outlineLevel="0" collapsed="false">
      <c r="A784" s="52" t="n">
        <v>45289</v>
      </c>
      <c r="B784" s="57" t="n">
        <v>0.01678</v>
      </c>
      <c r="C784" s="57" t="n">
        <v>0.01686</v>
      </c>
      <c r="D784" s="57" t="n">
        <v>0.01748</v>
      </c>
      <c r="E784" s="57" t="n">
        <v>0.01667</v>
      </c>
      <c r="F784" s="57" t="n">
        <v>0.02012</v>
      </c>
      <c r="G784" s="57" t="n">
        <v>0.02318</v>
      </c>
    </row>
    <row r="785" customFormat="false" ht="15" hidden="false" customHeight="false" outlineLevel="0" collapsed="false">
      <c r="A785" s="52" t="n">
        <v>45292</v>
      </c>
      <c r="B785" s="57" t="n">
        <v>0.01678</v>
      </c>
      <c r="C785" s="57" t="n">
        <v>0.01686</v>
      </c>
      <c r="D785" s="57" t="n">
        <v>0.01748</v>
      </c>
      <c r="E785" s="57" t="n">
        <v>0.01667</v>
      </c>
      <c r="F785" s="57" t="n">
        <v>0.02012</v>
      </c>
      <c r="G785" s="57" t="n">
        <v>0.02318</v>
      </c>
    </row>
    <row r="786" customFormat="false" ht="15" hidden="false" customHeight="false" outlineLevel="0" collapsed="false">
      <c r="A786" s="52" t="n">
        <v>45293</v>
      </c>
      <c r="B786" s="57" t="n">
        <v>0.01669</v>
      </c>
      <c r="C786" s="57" t="n">
        <v>0.01728</v>
      </c>
      <c r="D786" s="57" t="n">
        <v>0.01735</v>
      </c>
      <c r="E786" s="57" t="n">
        <v>0.01661</v>
      </c>
      <c r="F786" s="57" t="n">
        <v>0.02045</v>
      </c>
      <c r="G786" s="57" t="n">
        <v>0.02321</v>
      </c>
    </row>
    <row r="787" customFormat="false" ht="15" hidden="false" customHeight="false" outlineLevel="0" collapsed="false">
      <c r="A787" s="52" t="n">
        <v>45294</v>
      </c>
      <c r="B787" s="57" t="n">
        <v>0.01664</v>
      </c>
      <c r="C787" s="57" t="n">
        <v>0.01715</v>
      </c>
      <c r="D787" s="57" t="n">
        <v>0.01724</v>
      </c>
      <c r="E787" s="57" t="n">
        <v>0.01688</v>
      </c>
      <c r="F787" s="57" t="n">
        <v>0.02024</v>
      </c>
      <c r="G787" s="57" t="n">
        <v>0.02353</v>
      </c>
    </row>
    <row r="788" customFormat="false" ht="15" hidden="false" customHeight="false" outlineLevel="0" collapsed="false">
      <c r="A788" s="52" t="n">
        <v>45295</v>
      </c>
      <c r="B788" s="57" t="n">
        <v>0.01664</v>
      </c>
      <c r="C788" s="57" t="n">
        <v>0.01715</v>
      </c>
      <c r="D788" s="57" t="n">
        <v>0.01723</v>
      </c>
      <c r="E788" s="57" t="n">
        <v>0.01663</v>
      </c>
      <c r="F788" s="57" t="n">
        <v>0.02011</v>
      </c>
      <c r="G788" s="57" t="n">
        <v>0.0231</v>
      </c>
    </row>
    <row r="789" customFormat="false" ht="15" hidden="false" customHeight="false" outlineLevel="0" collapsed="false">
      <c r="A789" s="52" t="n">
        <v>45296</v>
      </c>
      <c r="B789" s="57" t="n">
        <v>0.01675</v>
      </c>
      <c r="C789" s="57" t="n">
        <v>0.01726</v>
      </c>
      <c r="D789" s="57" t="n">
        <v>0.01732</v>
      </c>
      <c r="E789" s="57" t="n">
        <v>0.01641</v>
      </c>
      <c r="F789" s="57" t="n">
        <v>0.01882</v>
      </c>
      <c r="G789" s="57" t="n">
        <v>0.02294</v>
      </c>
    </row>
    <row r="790" customFormat="false" ht="15" hidden="false" customHeight="false" outlineLevel="0" collapsed="false">
      <c r="A790" s="52" t="n">
        <v>45299</v>
      </c>
      <c r="B790" s="57" t="n">
        <v>0.01654</v>
      </c>
      <c r="C790" s="57" t="n">
        <v>0.01705</v>
      </c>
      <c r="D790" s="57" t="n">
        <v>0.01723</v>
      </c>
      <c r="E790" s="57" t="n">
        <v>0.0162</v>
      </c>
      <c r="F790" s="57" t="n">
        <v>0.01862</v>
      </c>
      <c r="G790" s="57" t="n">
        <v>0.02234</v>
      </c>
    </row>
    <row r="791" customFormat="false" ht="15" hidden="false" customHeight="false" outlineLevel="0" collapsed="false">
      <c r="A791" s="52" t="n">
        <v>45300</v>
      </c>
      <c r="B791" s="57" t="n">
        <v>0.01638</v>
      </c>
      <c r="C791" s="57" t="n">
        <v>0.01689</v>
      </c>
      <c r="D791" s="57" t="n">
        <v>0.01713</v>
      </c>
      <c r="E791" s="57" t="n">
        <v>0.0165</v>
      </c>
      <c r="F791" s="57" t="n">
        <v>0.01881</v>
      </c>
      <c r="G791" s="57" t="n">
        <v>0.02233</v>
      </c>
    </row>
    <row r="792" customFormat="false" ht="15" hidden="false" customHeight="false" outlineLevel="0" collapsed="false">
      <c r="A792" s="52" t="n">
        <v>45301</v>
      </c>
      <c r="B792" s="57" t="n">
        <v>0.01617</v>
      </c>
      <c r="C792" s="57" t="n">
        <v>0.01668</v>
      </c>
      <c r="D792" s="57" t="n">
        <v>0.01692</v>
      </c>
      <c r="E792" s="57" t="n">
        <v>0.01617</v>
      </c>
      <c r="F792" s="57" t="n">
        <v>0.01842</v>
      </c>
      <c r="G792" s="57" t="n">
        <v>0.02244</v>
      </c>
    </row>
    <row r="793" customFormat="false" ht="15" hidden="false" customHeight="false" outlineLevel="0" collapsed="false">
      <c r="A793" s="52" t="n">
        <v>45302</v>
      </c>
      <c r="B793" s="57" t="n">
        <v>0.01608</v>
      </c>
      <c r="C793" s="57" t="n">
        <v>0.01659</v>
      </c>
      <c r="D793" s="57" t="n">
        <v>0.01681</v>
      </c>
      <c r="E793" s="57" t="n">
        <v>0.01561</v>
      </c>
      <c r="F793" s="57" t="n">
        <v>0.0186</v>
      </c>
      <c r="G793" s="57" t="n">
        <v>0.02246</v>
      </c>
    </row>
    <row r="794" customFormat="false" ht="15" hidden="false" customHeight="false" outlineLevel="0" collapsed="false">
      <c r="A794" s="52" t="n">
        <v>45303</v>
      </c>
      <c r="B794" s="57" t="n">
        <v>0.01599</v>
      </c>
      <c r="C794" s="57" t="n">
        <v>0.01651</v>
      </c>
      <c r="D794" s="57" t="n">
        <v>0.01677</v>
      </c>
      <c r="E794" s="57" t="n">
        <v>0.01635</v>
      </c>
      <c r="F794" s="57" t="n">
        <v>0.0189</v>
      </c>
      <c r="G794" s="57" t="n">
        <v>0.02253</v>
      </c>
    </row>
    <row r="795" customFormat="false" ht="15" hidden="false" customHeight="false" outlineLevel="0" collapsed="false">
      <c r="A795" s="52" t="n">
        <v>45306</v>
      </c>
      <c r="B795" s="57" t="n">
        <v>0.0145</v>
      </c>
      <c r="C795" s="57" t="n">
        <v>0.01498</v>
      </c>
      <c r="D795" s="57" t="n">
        <v>0.01441</v>
      </c>
      <c r="E795" s="57" t="n">
        <v>0.01517</v>
      </c>
      <c r="F795" s="57" t="n">
        <v>0.01843</v>
      </c>
      <c r="G795" s="57" t="n">
        <v>0.02248</v>
      </c>
    </row>
    <row r="796" customFormat="false" ht="15" hidden="false" customHeight="false" outlineLevel="0" collapsed="false">
      <c r="A796" s="52" t="n">
        <v>45307</v>
      </c>
      <c r="B796" s="57" t="n">
        <v>0.01318</v>
      </c>
      <c r="C796" s="57" t="n">
        <v>0.01389</v>
      </c>
      <c r="D796" s="57" t="n">
        <v>0.01439</v>
      </c>
      <c r="E796" s="57" t="n">
        <v>0.01468</v>
      </c>
      <c r="F796" s="57" t="n">
        <v>0.01782</v>
      </c>
      <c r="G796" s="57" t="n">
        <v>0.02246</v>
      </c>
    </row>
    <row r="797" customFormat="false" ht="15" hidden="false" customHeight="false" outlineLevel="0" collapsed="false">
      <c r="A797" s="52" t="n">
        <v>45308</v>
      </c>
      <c r="B797" s="57" t="n">
        <v>0.01276</v>
      </c>
      <c r="C797" s="57" t="n">
        <v>0.01347</v>
      </c>
      <c r="D797" s="57" t="n">
        <v>0.01393</v>
      </c>
      <c r="E797" s="57" t="n">
        <v>0.01434</v>
      </c>
      <c r="F797" s="57" t="n">
        <v>0.01794</v>
      </c>
      <c r="G797" s="57" t="n">
        <v>0.02283</v>
      </c>
    </row>
    <row r="798" customFormat="false" ht="15" hidden="false" customHeight="false" outlineLevel="0" collapsed="false">
      <c r="A798" s="52" t="n">
        <v>45309</v>
      </c>
      <c r="B798" s="57" t="n">
        <v>0.01276</v>
      </c>
      <c r="C798" s="57" t="n">
        <v>0.01347</v>
      </c>
      <c r="D798" s="57" t="n">
        <v>0.01396</v>
      </c>
      <c r="E798" s="57" t="n">
        <v>0.01407</v>
      </c>
      <c r="F798" s="57" t="n">
        <v>0.01821</v>
      </c>
      <c r="G798" s="57" t="n">
        <v>0.02276</v>
      </c>
    </row>
    <row r="799" customFormat="false" ht="15" hidden="false" customHeight="false" outlineLevel="0" collapsed="false">
      <c r="A799" s="52" t="n">
        <v>45310</v>
      </c>
      <c r="B799" s="57" t="n">
        <v>0.01276</v>
      </c>
      <c r="C799" s="57" t="n">
        <v>0.01347</v>
      </c>
      <c r="D799" s="57" t="n">
        <v>0.01397</v>
      </c>
      <c r="E799" s="57" t="n">
        <v>0.01431</v>
      </c>
      <c r="F799" s="57" t="n">
        <v>0.0179</v>
      </c>
      <c r="G799" s="57" t="n">
        <v>0.02301</v>
      </c>
    </row>
    <row r="800" customFormat="false" ht="15" hidden="false" customHeight="false" outlineLevel="0" collapsed="false">
      <c r="A800" s="52" t="n">
        <v>45313</v>
      </c>
      <c r="B800" s="57" t="n">
        <v>0.01276</v>
      </c>
      <c r="C800" s="57" t="n">
        <v>0.01347</v>
      </c>
      <c r="D800" s="57" t="n">
        <v>0.01397</v>
      </c>
      <c r="E800" s="57" t="n">
        <v>0.01419</v>
      </c>
      <c r="F800" s="57" t="n">
        <v>0.01788</v>
      </c>
      <c r="G800" s="57" t="n">
        <v>0.02283</v>
      </c>
    </row>
    <row r="801" customFormat="false" ht="15" hidden="false" customHeight="false" outlineLevel="0" collapsed="false">
      <c r="A801" s="52" t="n">
        <v>45314</v>
      </c>
      <c r="B801" s="57" t="n">
        <v>0.01276</v>
      </c>
      <c r="C801" s="57" t="n">
        <v>0.01347</v>
      </c>
      <c r="D801" s="57" t="n">
        <v>0.01392</v>
      </c>
      <c r="E801" s="57" t="n">
        <v>0.01394</v>
      </c>
      <c r="F801" s="57" t="n">
        <v>0.01745</v>
      </c>
      <c r="G801" s="57" t="n">
        <v>0.02238</v>
      </c>
    </row>
    <row r="802" customFormat="false" ht="15" hidden="false" customHeight="false" outlineLevel="0" collapsed="false">
      <c r="A802" s="52" t="n">
        <v>45315</v>
      </c>
      <c r="B802" s="57" t="n">
        <v>0.01268</v>
      </c>
      <c r="C802" s="57" t="n">
        <v>0.01338</v>
      </c>
      <c r="D802" s="57" t="n">
        <v>0.01388</v>
      </c>
      <c r="E802" s="57" t="n">
        <v>0.01391</v>
      </c>
      <c r="F802" s="57" t="n">
        <v>0.01748</v>
      </c>
      <c r="G802" s="57" t="n">
        <v>0.02222</v>
      </c>
    </row>
    <row r="803" customFormat="false" ht="15" hidden="false" customHeight="false" outlineLevel="0" collapsed="false">
      <c r="A803" s="52" t="n">
        <v>45316</v>
      </c>
      <c r="B803" s="57" t="n">
        <v>0.01258</v>
      </c>
      <c r="C803" s="57" t="n">
        <v>0.01329</v>
      </c>
      <c r="D803" s="57" t="n">
        <v>0.01379</v>
      </c>
      <c r="E803" s="57" t="n">
        <v>0.01369</v>
      </c>
      <c r="F803" s="57" t="n">
        <v>0.01764</v>
      </c>
      <c r="G803" s="57" t="n">
        <v>0.02294</v>
      </c>
    </row>
    <row r="804" customFormat="false" ht="15" hidden="false" customHeight="false" outlineLevel="0" collapsed="false">
      <c r="A804" s="52" t="n">
        <v>45317</v>
      </c>
      <c r="B804" s="57" t="n">
        <v>0.01254</v>
      </c>
      <c r="C804" s="57" t="n">
        <v>0.01325</v>
      </c>
      <c r="D804" s="57" t="n">
        <v>0.01376</v>
      </c>
      <c r="E804" s="57" t="n">
        <v>0.014</v>
      </c>
      <c r="F804" s="57" t="n">
        <v>0.01813</v>
      </c>
      <c r="G804" s="57" t="n">
        <v>0.02326</v>
      </c>
    </row>
    <row r="805" customFormat="false" ht="15" hidden="false" customHeight="false" outlineLevel="0" collapsed="false">
      <c r="A805" s="52" t="n">
        <v>45320</v>
      </c>
      <c r="B805" s="57" t="n">
        <v>0.01255</v>
      </c>
      <c r="C805" s="57" t="n">
        <v>0.01325</v>
      </c>
      <c r="D805" s="57" t="n">
        <v>0.01376</v>
      </c>
      <c r="E805" s="57" t="n">
        <v>0.0141</v>
      </c>
      <c r="F805" s="57" t="n">
        <v>0.01799</v>
      </c>
      <c r="G805" s="57" t="n">
        <v>0.02304</v>
      </c>
    </row>
    <row r="806" customFormat="false" ht="15" hidden="false" customHeight="false" outlineLevel="0" collapsed="false">
      <c r="A806" s="52" t="n">
        <v>45321</v>
      </c>
      <c r="B806" s="57" t="n">
        <v>0.01254</v>
      </c>
      <c r="C806" s="57" t="n">
        <v>0.01325</v>
      </c>
      <c r="D806" s="57" t="n">
        <v>0.01376</v>
      </c>
      <c r="E806" s="57" t="n">
        <v>0.01415</v>
      </c>
      <c r="F806" s="57" t="n">
        <v>0.01796</v>
      </c>
      <c r="G806" s="57" t="n">
        <v>0.02322</v>
      </c>
    </row>
    <row r="807" customFormat="false" ht="15" hidden="false" customHeight="false" outlineLevel="0" collapsed="false">
      <c r="A807" s="52" t="n">
        <v>45322</v>
      </c>
      <c r="B807" s="57" t="n">
        <v>0.01258</v>
      </c>
      <c r="C807" s="57" t="n">
        <v>0.01325</v>
      </c>
      <c r="D807" s="57" t="n">
        <v>0.01376</v>
      </c>
      <c r="E807" s="57" t="n">
        <v>0.01407</v>
      </c>
      <c r="F807" s="57" t="n">
        <v>0.01798</v>
      </c>
      <c r="G807" s="57" t="n">
        <v>0.02347</v>
      </c>
    </row>
    <row r="808" customFormat="false" ht="15" hidden="false" customHeight="false" outlineLevel="0" collapsed="false">
      <c r="A808" s="52" t="n">
        <v>45323</v>
      </c>
      <c r="B808" s="57" t="n">
        <v>0.01256</v>
      </c>
      <c r="C808" s="57" t="n">
        <v>0.01279</v>
      </c>
      <c r="D808" s="57" t="n">
        <v>0.01376</v>
      </c>
      <c r="E808" s="57" t="n">
        <v>0.01462</v>
      </c>
      <c r="F808" s="57" t="n">
        <v>0.01851</v>
      </c>
      <c r="G808" s="57" t="n">
        <v>0.02338</v>
      </c>
    </row>
    <row r="809" customFormat="false" ht="15" hidden="false" customHeight="false" outlineLevel="0" collapsed="false">
      <c r="A809" s="52" t="n">
        <v>45324</v>
      </c>
      <c r="B809" s="57" t="n">
        <v>0.01255</v>
      </c>
      <c r="C809" s="57" t="n">
        <v>0.01278</v>
      </c>
      <c r="D809" s="57" t="n">
        <v>0.01376</v>
      </c>
      <c r="E809" s="57" t="n">
        <v>0.01446</v>
      </c>
      <c r="F809" s="57" t="n">
        <v>0.01838</v>
      </c>
      <c r="G809" s="57" t="n">
        <v>0.0233</v>
      </c>
    </row>
    <row r="810" customFormat="false" ht="15" hidden="false" customHeight="false" outlineLevel="0" collapsed="false">
      <c r="A810" s="52" t="n">
        <v>45327</v>
      </c>
      <c r="B810" s="57" t="n">
        <v>0.01255</v>
      </c>
      <c r="C810" s="57" t="n">
        <v>0.01279</v>
      </c>
      <c r="D810" s="57" t="n">
        <v>0.01376</v>
      </c>
      <c r="E810" s="57" t="n">
        <v>0.01455</v>
      </c>
      <c r="F810" s="57" t="n">
        <v>0.01871</v>
      </c>
      <c r="G810" s="57" t="n">
        <v>0.02363</v>
      </c>
    </row>
    <row r="811" customFormat="false" ht="15" hidden="false" customHeight="false" outlineLevel="0" collapsed="false">
      <c r="A811" s="52" t="n">
        <v>45328</v>
      </c>
      <c r="B811" s="57" t="n">
        <v>0.01255</v>
      </c>
      <c r="C811" s="57" t="n">
        <v>0.01278</v>
      </c>
      <c r="D811" s="57" t="n">
        <v>0.01376</v>
      </c>
      <c r="E811" s="57" t="n">
        <v>0.01463</v>
      </c>
      <c r="F811" s="57" t="n">
        <v>0.0186</v>
      </c>
      <c r="G811" s="57" t="n">
        <v>0.02347</v>
      </c>
    </row>
    <row r="812" customFormat="false" ht="15" hidden="false" customHeight="false" outlineLevel="0" collapsed="false">
      <c r="A812" s="52" t="n">
        <v>45329</v>
      </c>
      <c r="B812" s="57" t="n">
        <v>0.01255</v>
      </c>
      <c r="C812" s="57" t="n">
        <v>0.01278</v>
      </c>
      <c r="D812" s="57" t="n">
        <v>0.01376</v>
      </c>
      <c r="E812" s="57" t="n">
        <v>0.01452</v>
      </c>
      <c r="F812" s="57" t="n">
        <v>0.01838</v>
      </c>
      <c r="G812" s="57" t="n">
        <v>0.0233</v>
      </c>
    </row>
    <row r="813" customFormat="false" ht="15" hidden="false" customHeight="false" outlineLevel="0" collapsed="false">
      <c r="A813" s="52" t="n">
        <v>45330</v>
      </c>
      <c r="B813" s="57" t="n">
        <v>0.01254</v>
      </c>
      <c r="C813" s="57" t="n">
        <v>0.01277</v>
      </c>
      <c r="D813" s="57" t="n">
        <v>0.01375</v>
      </c>
      <c r="E813" s="57" t="n">
        <v>0.01446</v>
      </c>
      <c r="F813" s="57" t="n">
        <v>0.01832</v>
      </c>
      <c r="G813" s="57" t="n">
        <v>0.02328</v>
      </c>
    </row>
    <row r="814" customFormat="false" ht="15" hidden="false" customHeight="false" outlineLevel="0" collapsed="false">
      <c r="A814" s="52" t="n">
        <v>45331</v>
      </c>
      <c r="B814" s="57" t="n">
        <v>0.01254</v>
      </c>
      <c r="C814" s="57" t="n">
        <v>0.01277</v>
      </c>
      <c r="D814" s="57" t="n">
        <v>0.01375</v>
      </c>
      <c r="E814" s="57" t="n">
        <v>0.01446</v>
      </c>
      <c r="F814" s="57" t="n">
        <v>0.01832</v>
      </c>
      <c r="G814" s="57" t="n">
        <v>0.02328</v>
      </c>
    </row>
    <row r="815" customFormat="false" ht="15" hidden="false" customHeight="false" outlineLevel="0" collapsed="false">
      <c r="A815" s="52" t="n">
        <v>45334</v>
      </c>
      <c r="B815" s="57" t="n">
        <v>0.01254</v>
      </c>
      <c r="C815" s="57" t="n">
        <v>0.01277</v>
      </c>
      <c r="D815" s="57" t="n">
        <v>0.01375</v>
      </c>
      <c r="E815" s="57" t="n">
        <v>0.01446</v>
      </c>
      <c r="F815" s="57" t="n">
        <v>0.01832</v>
      </c>
      <c r="G815" s="57" t="n">
        <v>0.02328</v>
      </c>
    </row>
    <row r="816" customFormat="false" ht="15" hidden="false" customHeight="false" outlineLevel="0" collapsed="false">
      <c r="A816" s="52" t="n">
        <v>45335</v>
      </c>
      <c r="B816" s="57" t="n">
        <v>0.01254</v>
      </c>
      <c r="C816" s="57" t="n">
        <v>0.01277</v>
      </c>
      <c r="D816" s="57" t="n">
        <v>0.01375</v>
      </c>
      <c r="E816" s="57" t="n">
        <v>0.01446</v>
      </c>
      <c r="F816" s="57" t="n">
        <v>0.01832</v>
      </c>
      <c r="G816" s="57" t="n">
        <v>0.02328</v>
      </c>
    </row>
    <row r="817" customFormat="false" ht="15" hidden="false" customHeight="false" outlineLevel="0" collapsed="false">
      <c r="A817" s="52" t="n">
        <v>45336</v>
      </c>
      <c r="B817" s="57" t="n">
        <v>0.01254</v>
      </c>
      <c r="C817" s="57" t="n">
        <v>0.01277</v>
      </c>
      <c r="D817" s="57" t="n">
        <v>0.01375</v>
      </c>
      <c r="E817" s="57" t="n">
        <v>0.01446</v>
      </c>
      <c r="F817" s="57" t="n">
        <v>0.01832</v>
      </c>
      <c r="G817" s="57" t="n">
        <v>0.02328</v>
      </c>
    </row>
    <row r="818" customFormat="false" ht="15" hidden="false" customHeight="false" outlineLevel="0" collapsed="false">
      <c r="A818" s="52" t="n">
        <v>45337</v>
      </c>
      <c r="B818" s="57" t="n">
        <v>0.01192</v>
      </c>
      <c r="C818" s="57" t="n">
        <v>0.01222</v>
      </c>
      <c r="D818" s="57" t="n">
        <v>0.01308</v>
      </c>
      <c r="E818" s="57" t="n">
        <v>0.01472</v>
      </c>
      <c r="F818" s="57" t="n">
        <v>0.01852</v>
      </c>
      <c r="G818" s="57" t="n">
        <v>0.02323</v>
      </c>
    </row>
    <row r="819" customFormat="false" ht="15" hidden="false" customHeight="false" outlineLevel="0" collapsed="false">
      <c r="A819" s="52" t="n">
        <v>45338</v>
      </c>
      <c r="B819" s="57" t="n">
        <v>0.01214</v>
      </c>
      <c r="C819" s="57" t="n">
        <v>0.01243</v>
      </c>
      <c r="D819" s="57" t="n">
        <v>0.01325</v>
      </c>
      <c r="E819" s="57" t="n">
        <v>0.01453</v>
      </c>
      <c r="F819" s="57" t="n">
        <v>0.0184</v>
      </c>
      <c r="G819" s="57" t="n">
        <v>0.02307</v>
      </c>
    </row>
    <row r="820" customFormat="false" ht="15" hidden="false" customHeight="false" outlineLevel="0" collapsed="false">
      <c r="A820" s="52" t="n">
        <v>45341</v>
      </c>
      <c r="B820" s="57" t="n">
        <v>0.01214</v>
      </c>
      <c r="C820" s="57" t="n">
        <v>0.01243</v>
      </c>
      <c r="D820" s="57" t="n">
        <v>0.01325</v>
      </c>
      <c r="E820" s="57" t="n">
        <v>0.01463</v>
      </c>
      <c r="F820" s="57" t="n">
        <v>0.01862</v>
      </c>
      <c r="G820" s="57" t="n">
        <v>0.02318</v>
      </c>
    </row>
    <row r="821" customFormat="false" ht="15" hidden="false" customHeight="false" outlineLevel="0" collapsed="false">
      <c r="A821" s="52" t="n">
        <v>45342</v>
      </c>
      <c r="B821" s="57" t="n">
        <v>0.01214</v>
      </c>
      <c r="C821" s="57" t="n">
        <v>0.01243</v>
      </c>
      <c r="D821" s="57" t="n">
        <v>0.01324</v>
      </c>
      <c r="E821" s="57" t="n">
        <v>0.01456</v>
      </c>
      <c r="F821" s="57" t="n">
        <v>0.01879</v>
      </c>
      <c r="G821" s="57" t="n">
        <v>0.02327</v>
      </c>
    </row>
    <row r="822" customFormat="false" ht="15" hidden="false" customHeight="false" outlineLevel="0" collapsed="false">
      <c r="A822" s="52" t="n">
        <v>45343</v>
      </c>
      <c r="B822" s="57" t="n">
        <v>0.01214</v>
      </c>
      <c r="C822" s="57" t="n">
        <v>0.01243</v>
      </c>
      <c r="D822" s="57" t="n">
        <v>0.01324</v>
      </c>
      <c r="E822" s="57" t="n">
        <v>0.01469</v>
      </c>
      <c r="F822" s="57" t="n">
        <v>0.01855</v>
      </c>
      <c r="G822" s="57" t="n">
        <v>0.0231</v>
      </c>
    </row>
    <row r="823" customFormat="false" ht="15" hidden="false" customHeight="false" outlineLevel="0" collapsed="false">
      <c r="A823" s="52" t="n">
        <v>45344</v>
      </c>
      <c r="B823" s="57" t="n">
        <v>0.01242</v>
      </c>
      <c r="C823" s="57" t="n">
        <v>0.01272</v>
      </c>
      <c r="D823" s="57" t="n">
        <v>0.01353</v>
      </c>
      <c r="E823" s="57" t="n">
        <v>0.01487</v>
      </c>
      <c r="F823" s="57" t="n">
        <v>0.01888</v>
      </c>
      <c r="G823" s="57" t="n">
        <v>0.02335</v>
      </c>
    </row>
    <row r="824" customFormat="false" ht="15" hidden="false" customHeight="false" outlineLevel="0" collapsed="false">
      <c r="A824" s="52" t="n">
        <v>45345</v>
      </c>
      <c r="B824" s="57" t="n">
        <v>0.01258</v>
      </c>
      <c r="C824" s="57" t="n">
        <v>0.01288</v>
      </c>
      <c r="D824" s="57" t="n">
        <v>0.0137</v>
      </c>
      <c r="E824" s="57" t="n">
        <v>0.01519</v>
      </c>
      <c r="F824" s="57" t="n">
        <v>0.0194</v>
      </c>
      <c r="G824" s="57" t="n">
        <v>0.02352</v>
      </c>
    </row>
    <row r="825" customFormat="false" ht="15" hidden="false" customHeight="false" outlineLevel="0" collapsed="false">
      <c r="A825" s="52" t="n">
        <v>45348</v>
      </c>
      <c r="B825" s="57" t="n">
        <v>0.01258</v>
      </c>
      <c r="C825" s="57" t="n">
        <v>0.01288</v>
      </c>
      <c r="D825" s="57" t="n">
        <v>0.0137</v>
      </c>
      <c r="E825" s="57" t="n">
        <v>0.01506</v>
      </c>
      <c r="F825" s="57" t="n">
        <v>0.01947</v>
      </c>
      <c r="G825" s="57" t="n">
        <v>0.02387</v>
      </c>
    </row>
    <row r="826" customFormat="false" ht="15" hidden="false" customHeight="false" outlineLevel="0" collapsed="false">
      <c r="A826" s="52" t="n">
        <v>45349</v>
      </c>
      <c r="B826" s="57" t="n">
        <v>0.01258</v>
      </c>
      <c r="C826" s="57" t="n">
        <v>0.01268</v>
      </c>
      <c r="D826" s="57" t="n">
        <v>0.01369</v>
      </c>
      <c r="E826" s="57" t="n">
        <v>0.01505</v>
      </c>
      <c r="F826" s="57" t="n">
        <v>0.0186</v>
      </c>
      <c r="G826" s="57" t="n">
        <v>0.02349</v>
      </c>
    </row>
    <row r="827" customFormat="false" ht="15" hidden="false" customHeight="false" outlineLevel="0" collapsed="false">
      <c r="A827" s="52" t="n">
        <v>45350</v>
      </c>
      <c r="B827" s="57" t="n">
        <v>0.01245</v>
      </c>
      <c r="C827" s="57" t="n">
        <v>0.0125</v>
      </c>
      <c r="D827" s="57" t="n">
        <v>0.01352</v>
      </c>
      <c r="E827" s="57" t="n">
        <v>0.01461</v>
      </c>
      <c r="F827" s="57" t="n">
        <v>0.01852</v>
      </c>
      <c r="G827" s="57" t="n">
        <v>0.02303</v>
      </c>
    </row>
    <row r="828" customFormat="false" ht="15" hidden="false" customHeight="false" outlineLevel="0" collapsed="false">
      <c r="A828" s="52" t="n">
        <v>45351</v>
      </c>
      <c r="B828" s="57" t="n">
        <v>0.01262</v>
      </c>
      <c r="C828" s="57" t="n">
        <v>0.01288</v>
      </c>
      <c r="D828" s="57" t="n">
        <v>0.0137</v>
      </c>
      <c r="E828" s="57" t="n">
        <v>0.01474</v>
      </c>
      <c r="F828" s="57" t="n">
        <v>0.01857</v>
      </c>
      <c r="G828" s="57" t="n">
        <v>0.02387</v>
      </c>
    </row>
    <row r="829" customFormat="false" ht="15" hidden="false" customHeight="false" outlineLevel="0" collapsed="false">
      <c r="A829" s="52" t="n">
        <v>45352</v>
      </c>
      <c r="B829" s="57" t="n">
        <v>0.01259</v>
      </c>
      <c r="C829" s="57" t="n">
        <v>0.01342</v>
      </c>
      <c r="D829" s="57" t="n">
        <v>0.01379</v>
      </c>
      <c r="E829" s="57" t="n">
        <v>0.01479</v>
      </c>
      <c r="F829" s="57" t="n">
        <v>0.01858</v>
      </c>
      <c r="G829" s="57" t="n">
        <v>0.02331</v>
      </c>
    </row>
    <row r="830" customFormat="false" ht="15" hidden="false" customHeight="false" outlineLevel="0" collapsed="false">
      <c r="A830" s="52" t="n">
        <v>45355</v>
      </c>
      <c r="B830" s="57" t="n">
        <v>0.01259</v>
      </c>
      <c r="C830" s="57" t="n">
        <v>0.01343</v>
      </c>
      <c r="D830" s="57" t="n">
        <v>0.01377</v>
      </c>
      <c r="E830" s="57" t="n">
        <v>0.01455</v>
      </c>
      <c r="F830" s="57" t="n">
        <v>0.01852</v>
      </c>
      <c r="G830" s="57" t="n">
        <v>0.02331</v>
      </c>
    </row>
    <row r="831" customFormat="false" ht="15" hidden="false" customHeight="false" outlineLevel="0" collapsed="false">
      <c r="A831" s="52" t="n">
        <v>45356</v>
      </c>
      <c r="B831" s="57" t="n">
        <v>0.01251</v>
      </c>
      <c r="C831" s="57" t="n">
        <v>0.01333</v>
      </c>
      <c r="D831" s="57" t="n">
        <v>0.01371</v>
      </c>
      <c r="E831" s="57" t="n">
        <v>0.01462</v>
      </c>
      <c r="F831" s="57" t="n">
        <v>0.01826</v>
      </c>
      <c r="G831" s="57" t="n">
        <v>0.02328</v>
      </c>
    </row>
    <row r="832" customFormat="false" ht="15" hidden="false" customHeight="false" outlineLevel="0" collapsed="false">
      <c r="A832" s="52" t="n">
        <v>45357</v>
      </c>
      <c r="B832" s="57" t="n">
        <v>0.01251</v>
      </c>
      <c r="C832" s="57" t="n">
        <v>0.01333</v>
      </c>
      <c r="D832" s="57" t="n">
        <v>0.0137</v>
      </c>
      <c r="E832" s="57" t="n">
        <v>0.01452</v>
      </c>
      <c r="F832" s="57" t="n">
        <v>0.01842</v>
      </c>
      <c r="G832" s="57" t="n">
        <v>0.02352</v>
      </c>
    </row>
    <row r="833" customFormat="false" ht="15" hidden="false" customHeight="false" outlineLevel="0" collapsed="false">
      <c r="A833" s="52" t="n">
        <v>45358</v>
      </c>
      <c r="B833" s="57" t="n">
        <v>0.01284</v>
      </c>
      <c r="C833" s="57" t="n">
        <v>0.01367</v>
      </c>
      <c r="D833" s="57" t="n">
        <v>0.01406</v>
      </c>
      <c r="E833" s="57" t="n">
        <v>0.01524</v>
      </c>
      <c r="F833" s="57" t="n">
        <v>0.01926</v>
      </c>
      <c r="G833" s="57" t="n">
        <v>0.0242</v>
      </c>
    </row>
    <row r="834" customFormat="false" ht="15" hidden="false" customHeight="false" outlineLevel="0" collapsed="false">
      <c r="A834" s="52" t="n">
        <v>45359</v>
      </c>
      <c r="B834" s="57" t="n">
        <v>0.01329</v>
      </c>
      <c r="C834" s="57" t="n">
        <v>0.01407</v>
      </c>
      <c r="D834" s="57" t="n">
        <v>0.01442</v>
      </c>
      <c r="E834" s="57" t="n">
        <v>0.01606</v>
      </c>
      <c r="F834" s="57" t="n">
        <v>0.01999</v>
      </c>
      <c r="G834" s="57" t="n">
        <v>0.02541</v>
      </c>
    </row>
    <row r="835" customFormat="false" ht="15" hidden="false" customHeight="false" outlineLevel="0" collapsed="false">
      <c r="A835" s="52" t="n">
        <v>45362</v>
      </c>
      <c r="B835" s="57" t="n">
        <v>0.01338</v>
      </c>
      <c r="C835" s="57" t="n">
        <v>0.01416</v>
      </c>
      <c r="D835" s="57" t="n">
        <v>0.01451</v>
      </c>
      <c r="E835" s="57" t="n">
        <v>0.01621</v>
      </c>
      <c r="F835" s="57" t="n">
        <v>0.0198</v>
      </c>
      <c r="G835" s="57" t="n">
        <v>0.02511</v>
      </c>
    </row>
    <row r="836" customFormat="false" ht="15" hidden="false" customHeight="false" outlineLevel="0" collapsed="false">
      <c r="A836" s="52" t="n">
        <v>45363</v>
      </c>
      <c r="B836" s="57" t="n">
        <v>0.01363</v>
      </c>
      <c r="C836" s="57" t="n">
        <v>0.01454</v>
      </c>
      <c r="D836" s="57" t="n">
        <v>0.01494</v>
      </c>
      <c r="E836" s="57" t="n">
        <v>0.01641</v>
      </c>
      <c r="F836" s="57" t="n">
        <v>0.02039</v>
      </c>
      <c r="G836" s="57" t="n">
        <v>0.02534</v>
      </c>
    </row>
    <row r="837" customFormat="false" ht="15" hidden="false" customHeight="false" outlineLevel="0" collapsed="false">
      <c r="A837" s="52" t="n">
        <v>45364</v>
      </c>
      <c r="B837" s="57" t="n">
        <v>0.01367</v>
      </c>
      <c r="C837" s="57" t="n">
        <v>0.01458</v>
      </c>
      <c r="D837" s="57" t="n">
        <v>0.01502</v>
      </c>
      <c r="E837" s="57" t="n">
        <v>0.01696</v>
      </c>
      <c r="F837" s="57" t="n">
        <v>0.02055</v>
      </c>
      <c r="G837" s="57" t="n">
        <v>0.02544</v>
      </c>
    </row>
    <row r="838" customFormat="false" ht="15" hidden="false" customHeight="false" outlineLevel="0" collapsed="false">
      <c r="A838" s="52" t="n">
        <v>45365</v>
      </c>
      <c r="B838" s="57" t="n">
        <v>0.01367</v>
      </c>
      <c r="C838" s="57" t="n">
        <v>0.01458</v>
      </c>
      <c r="D838" s="57" t="n">
        <v>0.01503</v>
      </c>
      <c r="E838" s="57" t="n">
        <v>0.01705</v>
      </c>
      <c r="F838" s="57" t="n">
        <v>0.02051</v>
      </c>
      <c r="G838" s="57" t="n">
        <v>0.02532</v>
      </c>
    </row>
    <row r="839" customFormat="false" ht="15" hidden="false" customHeight="false" outlineLevel="0" collapsed="false">
      <c r="A839" s="52" t="n">
        <v>45366</v>
      </c>
      <c r="B839" s="57" t="n">
        <v>0.01375</v>
      </c>
      <c r="C839" s="57" t="n">
        <v>0.01466</v>
      </c>
      <c r="D839" s="57" t="n">
        <v>0.01508</v>
      </c>
      <c r="E839" s="57" t="n">
        <v>0.0168</v>
      </c>
      <c r="F839" s="57" t="n">
        <v>0.02044</v>
      </c>
      <c r="G839" s="57" t="n">
        <v>0.02548</v>
      </c>
    </row>
    <row r="840" customFormat="false" ht="15" hidden="false" customHeight="false" outlineLevel="0" collapsed="false">
      <c r="A840" s="52" t="n">
        <v>45369</v>
      </c>
      <c r="B840" s="57" t="n">
        <v>0.01383</v>
      </c>
      <c r="C840" s="57" t="n">
        <v>0.01474</v>
      </c>
      <c r="D840" s="57" t="n">
        <v>0.01517</v>
      </c>
      <c r="E840" s="57" t="n">
        <v>0.01712</v>
      </c>
      <c r="F840" s="57" t="n">
        <v>0.0206</v>
      </c>
      <c r="G840" s="57" t="n">
        <v>0.02555</v>
      </c>
    </row>
    <row r="841" customFormat="false" ht="15" hidden="false" customHeight="false" outlineLevel="0" collapsed="false">
      <c r="A841" s="52" t="n">
        <v>45370</v>
      </c>
      <c r="B841" s="57" t="n">
        <v>0.01417</v>
      </c>
      <c r="C841" s="57" t="n">
        <v>0.01492</v>
      </c>
      <c r="D841" s="57" t="n">
        <v>0.0154</v>
      </c>
      <c r="E841" s="57" t="n">
        <v>0.01711</v>
      </c>
      <c r="F841" s="57" t="n">
        <v>0.02075</v>
      </c>
      <c r="G841" s="57" t="n">
        <v>0.02547</v>
      </c>
    </row>
    <row r="842" customFormat="false" ht="15" hidden="false" customHeight="false" outlineLevel="0" collapsed="false">
      <c r="A842" s="52" t="n">
        <v>45371</v>
      </c>
      <c r="B842" s="57" t="n">
        <v>0.01429</v>
      </c>
      <c r="C842" s="57" t="n">
        <v>0.01517</v>
      </c>
      <c r="D842" s="57" t="n">
        <v>0.01568</v>
      </c>
      <c r="E842" s="57" t="n">
        <v>0.01714</v>
      </c>
      <c r="F842" s="57" t="n">
        <v>0.02128</v>
      </c>
      <c r="G842" s="57" t="n">
        <v>0.02566</v>
      </c>
    </row>
    <row r="843" customFormat="false" ht="15" hidden="false" customHeight="false" outlineLevel="0" collapsed="false">
      <c r="A843" s="52" t="n">
        <v>45372</v>
      </c>
      <c r="B843" s="57" t="n">
        <v>0.01438</v>
      </c>
      <c r="C843" s="57" t="n">
        <v>0.01511</v>
      </c>
      <c r="D843" s="57" t="n">
        <v>0.01566</v>
      </c>
      <c r="E843" s="57" t="n">
        <v>0.01707</v>
      </c>
      <c r="F843" s="57" t="n">
        <v>0.02086</v>
      </c>
      <c r="G843" s="57" t="n">
        <v>0.02544</v>
      </c>
    </row>
    <row r="844" customFormat="false" ht="15" hidden="false" customHeight="false" outlineLevel="0" collapsed="false">
      <c r="A844" s="52" t="n">
        <v>45373</v>
      </c>
      <c r="B844" s="57" t="n">
        <v>0.01429</v>
      </c>
      <c r="C844" s="57" t="n">
        <v>0.01506</v>
      </c>
      <c r="D844" s="57" t="n">
        <v>0.01556</v>
      </c>
      <c r="E844" s="57" t="n">
        <v>0.01703</v>
      </c>
      <c r="F844" s="57" t="n">
        <v>0.02119</v>
      </c>
      <c r="G844" s="57" t="n">
        <v>0.02561</v>
      </c>
    </row>
    <row r="845" customFormat="false" ht="15" hidden="false" customHeight="false" outlineLevel="0" collapsed="false">
      <c r="A845" s="52" t="n">
        <v>45376</v>
      </c>
      <c r="B845" s="57" t="n">
        <v>0.0148</v>
      </c>
      <c r="C845" s="57" t="n">
        <v>0.01561</v>
      </c>
      <c r="D845" s="57" t="n">
        <v>0.01608</v>
      </c>
      <c r="E845" s="57" t="n">
        <v>0.01756</v>
      </c>
      <c r="F845" s="57" t="n">
        <v>0.02156</v>
      </c>
      <c r="G845" s="57" t="n">
        <v>0.02583</v>
      </c>
    </row>
    <row r="846" customFormat="false" ht="15" hidden="false" customHeight="false" outlineLevel="0" collapsed="false">
      <c r="A846" s="52" t="n">
        <v>45377</v>
      </c>
      <c r="B846" s="57" t="n">
        <v>0.01483</v>
      </c>
      <c r="C846" s="57" t="n">
        <v>0.01566</v>
      </c>
      <c r="D846" s="57" t="n">
        <v>0.0161</v>
      </c>
      <c r="E846" s="57" t="n">
        <v>0.01784</v>
      </c>
      <c r="F846" s="57" t="n">
        <v>0.02233</v>
      </c>
      <c r="G846" s="57" t="n">
        <v>0.02588</v>
      </c>
    </row>
    <row r="847" customFormat="false" ht="15" hidden="false" customHeight="false" outlineLevel="0" collapsed="false">
      <c r="A847" s="52" t="n">
        <v>45378</v>
      </c>
      <c r="B847" s="57" t="n">
        <v>0.01546</v>
      </c>
      <c r="C847" s="57" t="n">
        <v>0.01631</v>
      </c>
      <c r="D847" s="57" t="n">
        <v>0.01661</v>
      </c>
      <c r="E847" s="57" t="n">
        <v>0.01791</v>
      </c>
      <c r="F847" s="57" t="n">
        <v>0.02173</v>
      </c>
      <c r="G847" s="57" t="n">
        <v>0.02608</v>
      </c>
    </row>
    <row r="848" customFormat="false" ht="15" hidden="false" customHeight="false" outlineLevel="0" collapsed="false">
      <c r="A848" s="52" t="n">
        <v>45379</v>
      </c>
      <c r="B848" s="57" t="n">
        <v>0.01608</v>
      </c>
      <c r="C848" s="57" t="n">
        <v>0.0169</v>
      </c>
      <c r="D848" s="57" t="n">
        <v>0.01715</v>
      </c>
      <c r="E848" s="57" t="n">
        <v>0.01849</v>
      </c>
      <c r="F848" s="57" t="n">
        <v>0.02201</v>
      </c>
      <c r="G848" s="57" t="n">
        <v>0.02603</v>
      </c>
    </row>
    <row r="849" customFormat="false" ht="15" hidden="false" customHeight="false" outlineLevel="0" collapsed="false">
      <c r="A849" s="52" t="n">
        <v>45380</v>
      </c>
      <c r="B849" s="57" t="n">
        <v>0.01621</v>
      </c>
      <c r="C849" s="57" t="n">
        <v>0.01705</v>
      </c>
      <c r="D849" s="57" t="n">
        <v>0.01733</v>
      </c>
      <c r="E849" s="57" t="n">
        <v>0.0189</v>
      </c>
      <c r="F849" s="57" t="n">
        <v>0.02288</v>
      </c>
      <c r="G849" s="57" t="n">
        <v>0.02672</v>
      </c>
    </row>
    <row r="850" customFormat="false" ht="15" hidden="false" customHeight="false" outlineLevel="0" collapsed="false">
      <c r="A850" s="52" t="n">
        <v>45383</v>
      </c>
      <c r="B850" s="57" t="n">
        <v>0.01659</v>
      </c>
      <c r="C850" s="57" t="n">
        <v>0.01722</v>
      </c>
      <c r="D850" s="57" t="n">
        <v>0.01754</v>
      </c>
      <c r="E850" s="57" t="n">
        <v>0.01943</v>
      </c>
      <c r="F850" s="57" t="n">
        <v>0.02289</v>
      </c>
      <c r="G850" s="57" t="n">
        <v>0.02707</v>
      </c>
    </row>
    <row r="851" customFormat="false" ht="15" hidden="false" customHeight="false" outlineLevel="0" collapsed="false">
      <c r="A851" s="52" t="n">
        <v>45384</v>
      </c>
      <c r="B851" s="57" t="n">
        <v>0.01725</v>
      </c>
      <c r="C851" s="57" t="n">
        <v>0.01789</v>
      </c>
      <c r="D851" s="57" t="n">
        <v>0.01827</v>
      </c>
      <c r="E851" s="57" t="n">
        <v>0.02155</v>
      </c>
      <c r="F851" s="57" t="n">
        <v>0.02426</v>
      </c>
      <c r="G851" s="57" t="n">
        <v>0.02829</v>
      </c>
    </row>
    <row r="852" customFormat="false" ht="15" hidden="false" customHeight="false" outlineLevel="0" collapsed="false">
      <c r="A852" s="52" t="n">
        <v>45385</v>
      </c>
      <c r="B852" s="57" t="n">
        <v>0.01821</v>
      </c>
      <c r="C852" s="57" t="n">
        <v>0.01885</v>
      </c>
      <c r="D852" s="57" t="n">
        <v>0.01925</v>
      </c>
      <c r="E852" s="57" t="n">
        <v>0.02223</v>
      </c>
      <c r="F852" s="57" t="n">
        <v>0.025</v>
      </c>
      <c r="G852" s="57" t="n">
        <v>0.02865</v>
      </c>
    </row>
    <row r="853" customFormat="false" ht="15" hidden="false" customHeight="false" outlineLevel="0" collapsed="false">
      <c r="A853" s="52" t="n">
        <v>45386</v>
      </c>
      <c r="B853" s="57" t="n">
        <v>0.01822</v>
      </c>
      <c r="C853" s="57" t="n">
        <v>0.01884</v>
      </c>
      <c r="D853" s="57" t="n">
        <v>0.01925</v>
      </c>
      <c r="E853" s="57" t="n">
        <v>0.02216</v>
      </c>
      <c r="F853" s="57" t="n">
        <v>0.02489</v>
      </c>
      <c r="G853" s="57" t="n">
        <v>0.02872</v>
      </c>
    </row>
    <row r="854" customFormat="false" ht="15" hidden="false" customHeight="false" outlineLevel="0" collapsed="false">
      <c r="A854" s="52" t="n">
        <v>45387</v>
      </c>
      <c r="B854" s="57" t="n">
        <v>0.01822</v>
      </c>
      <c r="C854" s="57" t="n">
        <v>0.01884</v>
      </c>
      <c r="D854" s="57" t="n">
        <v>0.01921</v>
      </c>
      <c r="E854" s="57" t="n">
        <v>0.02134</v>
      </c>
      <c r="F854" s="57" t="n">
        <v>0.02321</v>
      </c>
      <c r="G854" s="57" t="n">
        <v>0.02833</v>
      </c>
    </row>
    <row r="855" customFormat="false" ht="15" hidden="false" customHeight="false" outlineLevel="0" collapsed="false">
      <c r="A855" s="52" t="n">
        <v>45390</v>
      </c>
      <c r="B855" s="57" t="n">
        <v>0.01864</v>
      </c>
      <c r="C855" s="57" t="n">
        <v>0.01926</v>
      </c>
      <c r="D855" s="57" t="n">
        <v>0.01961</v>
      </c>
      <c r="E855" s="57" t="n">
        <v>0.02177</v>
      </c>
      <c r="F855" s="57" t="n">
        <v>0.02356</v>
      </c>
      <c r="G855" s="57" t="n">
        <v>0.02821</v>
      </c>
    </row>
    <row r="856" customFormat="false" ht="15" hidden="false" customHeight="false" outlineLevel="0" collapsed="false">
      <c r="A856" s="52" t="n">
        <v>45391</v>
      </c>
      <c r="B856" s="57" t="n">
        <v>0.01868</v>
      </c>
      <c r="C856" s="57" t="n">
        <v>0.0193</v>
      </c>
      <c r="D856" s="57" t="n">
        <v>0.01962</v>
      </c>
      <c r="E856" s="57" t="n">
        <v>0.02096</v>
      </c>
      <c r="F856" s="57" t="n">
        <v>0.02322</v>
      </c>
      <c r="G856" s="57" t="n">
        <v>0.02759</v>
      </c>
    </row>
    <row r="857" customFormat="false" ht="15" hidden="false" customHeight="false" outlineLevel="0" collapsed="false">
      <c r="A857" s="52" t="n">
        <v>45392</v>
      </c>
      <c r="B857" s="57" t="n">
        <v>0.01826</v>
      </c>
      <c r="C857" s="57" t="n">
        <v>0.01889</v>
      </c>
      <c r="D857" s="57" t="n">
        <v>0.01921</v>
      </c>
      <c r="E857" s="57" t="n">
        <v>0.02045</v>
      </c>
      <c r="F857" s="57" t="n">
        <v>0.02279</v>
      </c>
      <c r="G857" s="57" t="n">
        <v>0.02759</v>
      </c>
    </row>
    <row r="858" customFormat="false" ht="15" hidden="false" customHeight="false" outlineLevel="0" collapsed="false">
      <c r="A858" s="52" t="n">
        <v>45393</v>
      </c>
      <c r="B858" s="57" t="n">
        <v>0.01839</v>
      </c>
      <c r="C858" s="57" t="n">
        <v>0.01901</v>
      </c>
      <c r="D858" s="57" t="n">
        <v>0.0193</v>
      </c>
      <c r="E858" s="57" t="n">
        <v>0.02091</v>
      </c>
      <c r="F858" s="57" t="n">
        <v>0.02309</v>
      </c>
      <c r="G858" s="57" t="n">
        <v>0.02781</v>
      </c>
    </row>
    <row r="859" customFormat="false" ht="15" hidden="false" customHeight="false" outlineLevel="0" collapsed="false">
      <c r="A859" s="52" t="n">
        <v>45394</v>
      </c>
      <c r="B859" s="57" t="n">
        <v>0.01839</v>
      </c>
      <c r="C859" s="57" t="n">
        <v>0.01901</v>
      </c>
      <c r="D859" s="57" t="n">
        <v>0.01931</v>
      </c>
      <c r="E859" s="57" t="n">
        <v>0.02167</v>
      </c>
      <c r="F859" s="57" t="n">
        <v>0.02353</v>
      </c>
      <c r="G859" s="57" t="n">
        <v>0.02811</v>
      </c>
    </row>
    <row r="860" customFormat="false" ht="15" hidden="false" customHeight="false" outlineLevel="0" collapsed="false">
      <c r="A860" s="52" t="n">
        <v>45397</v>
      </c>
      <c r="B860" s="57" t="n">
        <v>0.01843</v>
      </c>
      <c r="C860" s="57" t="n">
        <v>0.01904</v>
      </c>
      <c r="D860" s="57" t="n">
        <v>0.01935</v>
      </c>
      <c r="E860" s="57" t="n">
        <v>0.02195</v>
      </c>
      <c r="F860" s="57" t="n">
        <v>0.02396</v>
      </c>
      <c r="G860" s="57" t="n">
        <v>0.02844</v>
      </c>
    </row>
    <row r="861" customFormat="false" ht="15" hidden="false" customHeight="false" outlineLevel="0" collapsed="false">
      <c r="A861" s="52" t="n">
        <v>45398</v>
      </c>
      <c r="B861" s="57" t="n">
        <v>0.01877</v>
      </c>
      <c r="C861" s="57" t="n">
        <v>0.01939</v>
      </c>
      <c r="D861" s="57" t="n">
        <v>0.01973</v>
      </c>
      <c r="E861" s="57" t="n">
        <v>0.02216</v>
      </c>
      <c r="F861" s="57" t="n">
        <v>0.02439</v>
      </c>
      <c r="G861" s="57" t="n">
        <v>0.0289</v>
      </c>
    </row>
    <row r="862" customFormat="false" ht="15" hidden="false" customHeight="false" outlineLevel="0" collapsed="false">
      <c r="A862" s="52" t="n">
        <v>45399</v>
      </c>
      <c r="B862" s="57" t="n">
        <v>0.0188</v>
      </c>
      <c r="C862" s="57" t="n">
        <v>0.01942</v>
      </c>
      <c r="D862" s="57" t="n">
        <v>0.02025</v>
      </c>
      <c r="E862" s="57" t="n">
        <v>0.02216</v>
      </c>
      <c r="F862" s="57" t="n">
        <v>0.02415</v>
      </c>
      <c r="G862" s="57" t="n">
        <v>0.02873</v>
      </c>
    </row>
    <row r="863" customFormat="false" ht="15" hidden="false" customHeight="false" outlineLevel="0" collapsed="false">
      <c r="A863" s="52" t="n">
        <v>45400</v>
      </c>
      <c r="B863" s="57" t="n">
        <v>0.0188</v>
      </c>
      <c r="C863" s="57" t="n">
        <v>0.01942</v>
      </c>
      <c r="D863" s="57" t="n">
        <v>0.01975</v>
      </c>
      <c r="E863" s="57" t="n">
        <v>0.02216</v>
      </c>
      <c r="F863" s="57" t="n">
        <v>0.02415</v>
      </c>
      <c r="G863" s="57" t="n">
        <v>0.02873</v>
      </c>
    </row>
    <row r="864" customFormat="false" ht="15" hidden="false" customHeight="false" outlineLevel="0" collapsed="false">
      <c r="A864" s="52" t="n">
        <v>45401</v>
      </c>
      <c r="B864" s="57" t="n">
        <v>0.0189</v>
      </c>
      <c r="C864" s="57" t="n">
        <v>0.0195</v>
      </c>
      <c r="D864" s="57" t="n">
        <v>0.01983</v>
      </c>
      <c r="E864" s="57" t="n">
        <v>0.02226</v>
      </c>
      <c r="F864" s="57" t="n">
        <v>0.02438</v>
      </c>
      <c r="G864" s="57" t="n">
        <v>0.02872</v>
      </c>
    </row>
    <row r="865" customFormat="false" ht="15" hidden="false" customHeight="false" outlineLevel="0" collapsed="false">
      <c r="A865" s="52" t="n">
        <v>45404</v>
      </c>
      <c r="B865" s="57" t="n">
        <v>0.0189</v>
      </c>
      <c r="C865" s="57" t="n">
        <v>0.0195</v>
      </c>
      <c r="D865" s="57" t="n">
        <v>0.01983</v>
      </c>
      <c r="E865" s="57" t="n">
        <v>0.02236</v>
      </c>
      <c r="F865" s="57" t="n">
        <v>0.02426</v>
      </c>
      <c r="G865" s="57" t="n">
        <v>0.02878</v>
      </c>
    </row>
    <row r="866" customFormat="false" ht="15" hidden="false" customHeight="false" outlineLevel="0" collapsed="false">
      <c r="A866" s="52" t="n">
        <v>45405</v>
      </c>
      <c r="B866" s="57" t="n">
        <v>0.0189</v>
      </c>
      <c r="C866" s="57" t="n">
        <v>0.0195</v>
      </c>
      <c r="D866" s="57" t="n">
        <v>0.01982</v>
      </c>
      <c r="E866" s="57" t="n">
        <v>0.02188</v>
      </c>
      <c r="F866" s="57" t="n">
        <v>0.02401</v>
      </c>
      <c r="G866" s="57" t="n">
        <v>0.0286</v>
      </c>
    </row>
    <row r="867" customFormat="false" ht="15" hidden="false" customHeight="false" outlineLevel="0" collapsed="false">
      <c r="A867" s="52" t="n">
        <v>45406</v>
      </c>
      <c r="B867" s="57" t="n">
        <v>0.01906</v>
      </c>
      <c r="C867" s="57" t="n">
        <v>0.01967</v>
      </c>
      <c r="D867" s="57" t="n">
        <v>0.01999</v>
      </c>
      <c r="E867" s="57" t="n">
        <v>0.02216</v>
      </c>
      <c r="F867" s="57" t="n">
        <v>0.02411</v>
      </c>
      <c r="G867" s="57" t="n">
        <v>0.02871</v>
      </c>
    </row>
    <row r="868" customFormat="false" ht="15" hidden="false" customHeight="false" outlineLevel="0" collapsed="false">
      <c r="A868" s="52" t="n">
        <v>45407</v>
      </c>
      <c r="B868" s="57" t="n">
        <v>0.01906</v>
      </c>
      <c r="C868" s="57" t="n">
        <v>0.01967</v>
      </c>
      <c r="D868" s="57" t="n">
        <v>0.01998</v>
      </c>
      <c r="E868" s="57" t="n">
        <v>0.0218</v>
      </c>
      <c r="F868" s="57" t="n">
        <v>0.02398</v>
      </c>
      <c r="G868" s="57" t="n">
        <v>0.02853</v>
      </c>
    </row>
    <row r="869" customFormat="false" ht="15" hidden="false" customHeight="false" outlineLevel="0" collapsed="false">
      <c r="A869" s="52" t="n">
        <v>45408</v>
      </c>
      <c r="B869" s="57" t="n">
        <v>0.01906</v>
      </c>
      <c r="C869" s="57" t="n">
        <v>0.01967</v>
      </c>
      <c r="D869" s="57" t="n">
        <v>0.01996</v>
      </c>
      <c r="E869" s="57" t="n">
        <v>0.0218</v>
      </c>
      <c r="F869" s="57" t="n">
        <v>0.02385</v>
      </c>
      <c r="G869" s="57" t="n">
        <v>0.0285</v>
      </c>
    </row>
    <row r="870" customFormat="false" ht="15" hidden="false" customHeight="false" outlineLevel="0" collapsed="false">
      <c r="A870" s="52" t="n">
        <v>45411</v>
      </c>
      <c r="B870" s="57" t="n">
        <v>0.01906</v>
      </c>
      <c r="C870" s="57" t="n">
        <v>0.01967</v>
      </c>
      <c r="D870" s="57" t="n">
        <v>0.01996</v>
      </c>
      <c r="E870" s="57" t="n">
        <v>0.0218</v>
      </c>
      <c r="F870" s="57" t="n">
        <v>0.02385</v>
      </c>
      <c r="G870" s="57" t="n">
        <v>0.0285</v>
      </c>
    </row>
    <row r="871" customFormat="false" ht="15" hidden="false" customHeight="false" outlineLevel="0" collapsed="false">
      <c r="A871" s="52" t="n">
        <v>45412</v>
      </c>
      <c r="B871" s="57" t="n">
        <v>0.01906</v>
      </c>
      <c r="C871" s="57" t="n">
        <v>0.01967</v>
      </c>
      <c r="D871" s="57" t="n">
        <v>0.01996</v>
      </c>
      <c r="E871" s="57" t="n">
        <v>0.0218</v>
      </c>
      <c r="F871" s="57" t="n">
        <v>0.02385</v>
      </c>
      <c r="G871" s="57" t="n">
        <v>0.0285</v>
      </c>
    </row>
    <row r="872" customFormat="false" ht="15" hidden="false" customHeight="false" outlineLevel="0" collapsed="false">
      <c r="A872" s="52" t="n">
        <v>45413</v>
      </c>
      <c r="B872" s="57" t="n">
        <v>0.01906</v>
      </c>
      <c r="C872" s="57" t="n">
        <v>0.01967</v>
      </c>
      <c r="D872" s="57" t="n">
        <v>0.01996</v>
      </c>
      <c r="E872" s="57" t="n">
        <v>0.0218</v>
      </c>
      <c r="F872" s="57" t="n">
        <v>0.02385</v>
      </c>
      <c r="G872" s="57" t="n">
        <v>0.0285</v>
      </c>
    </row>
    <row r="873" customFormat="false" ht="15" hidden="false" customHeight="false" outlineLevel="0" collapsed="false">
      <c r="A873" s="52" t="n">
        <v>45414</v>
      </c>
      <c r="B873" s="57" t="n">
        <v>0.01954</v>
      </c>
      <c r="C873" s="57" t="n">
        <v>0.01973</v>
      </c>
      <c r="D873" s="57" t="n">
        <v>0.02013</v>
      </c>
      <c r="E873" s="57" t="n">
        <v>0.02192</v>
      </c>
      <c r="F873" s="57" t="n">
        <v>0.02389</v>
      </c>
      <c r="G873" s="57" t="n">
        <v>0.02851</v>
      </c>
    </row>
    <row r="874" customFormat="false" ht="15" hidden="false" customHeight="false" outlineLevel="0" collapsed="false">
      <c r="A874" s="52" t="n">
        <v>45415</v>
      </c>
      <c r="B874" s="57" t="n">
        <v>0.01954</v>
      </c>
      <c r="C874" s="57" t="n">
        <v>0.01973</v>
      </c>
      <c r="D874" s="57" t="n">
        <v>0.02011</v>
      </c>
      <c r="E874" s="57" t="n">
        <v>0.02177</v>
      </c>
      <c r="F874" s="57" t="n">
        <v>0.02388</v>
      </c>
      <c r="G874" s="57" t="n">
        <v>0.02849</v>
      </c>
    </row>
    <row r="875" customFormat="false" ht="15" hidden="false" customHeight="false" outlineLevel="0" collapsed="false">
      <c r="A875" s="52" t="n">
        <v>45418</v>
      </c>
      <c r="B875" s="57" t="n">
        <v>0.01947</v>
      </c>
      <c r="C875" s="57" t="n">
        <v>0.01964</v>
      </c>
      <c r="D875" s="57" t="n">
        <v>0.02001</v>
      </c>
      <c r="E875" s="57" t="n">
        <v>0.02153</v>
      </c>
      <c r="F875" s="57" t="n">
        <v>0.02349</v>
      </c>
      <c r="G875" s="57" t="n">
        <v>0.02806</v>
      </c>
    </row>
    <row r="876" customFormat="false" ht="15" hidden="false" customHeight="false" outlineLevel="0" collapsed="false">
      <c r="A876" s="52" t="n">
        <v>45419</v>
      </c>
      <c r="B876" s="57" t="n">
        <v>0.01947</v>
      </c>
      <c r="C876" s="57" t="n">
        <v>0.01964</v>
      </c>
      <c r="D876" s="57" t="n">
        <v>0.01999</v>
      </c>
      <c r="E876" s="57" t="n">
        <v>0.02132</v>
      </c>
      <c r="F876" s="57" t="n">
        <v>0.02308</v>
      </c>
      <c r="G876" s="57" t="n">
        <v>0.02799</v>
      </c>
    </row>
    <row r="877" customFormat="false" ht="15" hidden="false" customHeight="false" outlineLevel="0" collapsed="false">
      <c r="A877" s="52" t="n">
        <v>45420</v>
      </c>
      <c r="B877" s="57" t="n">
        <v>0.0193</v>
      </c>
      <c r="C877" s="57" t="n">
        <v>0.01948</v>
      </c>
      <c r="D877" s="57" t="n">
        <v>0.01985</v>
      </c>
      <c r="E877" s="57" t="n">
        <v>0.02148</v>
      </c>
      <c r="F877" s="57" t="n">
        <v>0.02329</v>
      </c>
      <c r="G877" s="57" t="n">
        <v>0.02809</v>
      </c>
    </row>
    <row r="878" customFormat="false" ht="15" hidden="false" customHeight="false" outlineLevel="0" collapsed="false">
      <c r="A878" s="52" t="n">
        <v>45421</v>
      </c>
      <c r="B878" s="57" t="n">
        <v>0.0193</v>
      </c>
      <c r="C878" s="57" t="n">
        <v>0.01948</v>
      </c>
      <c r="D878" s="57" t="n">
        <v>0.01984</v>
      </c>
      <c r="E878" s="57" t="n">
        <v>0.02141</v>
      </c>
      <c r="F878" s="57" t="n">
        <v>0.02344</v>
      </c>
      <c r="G878" s="57" t="n">
        <v>0.028</v>
      </c>
    </row>
    <row r="879" customFormat="false" ht="15" hidden="false" customHeight="false" outlineLevel="0" collapsed="false">
      <c r="A879" s="52" t="n">
        <v>45422</v>
      </c>
      <c r="B879" s="57" t="n">
        <v>0.0193</v>
      </c>
      <c r="C879" s="57" t="n">
        <v>0.01948</v>
      </c>
      <c r="D879" s="57" t="n">
        <v>0.01983</v>
      </c>
      <c r="E879" s="57" t="n">
        <v>0.02136</v>
      </c>
      <c r="F879" s="57" t="n">
        <v>0.02341</v>
      </c>
      <c r="G879" s="57" t="n">
        <v>0.02787</v>
      </c>
    </row>
    <row r="880" customFormat="false" ht="15" hidden="false" customHeight="false" outlineLevel="0" collapsed="false">
      <c r="A880" s="52" t="n">
        <v>45425</v>
      </c>
      <c r="B880" s="57" t="n">
        <v>0.0193</v>
      </c>
      <c r="C880" s="57" t="n">
        <v>0.01947</v>
      </c>
      <c r="D880" s="57" t="n">
        <v>0.01983</v>
      </c>
      <c r="E880" s="57" t="n">
        <v>0.02145</v>
      </c>
      <c r="F880" s="57" t="n">
        <v>0.02342</v>
      </c>
      <c r="G880" s="57" t="n">
        <v>0.02803</v>
      </c>
    </row>
    <row r="881" customFormat="false" ht="15" hidden="false" customHeight="false" outlineLevel="0" collapsed="false">
      <c r="A881" s="52" t="n">
        <v>45426</v>
      </c>
      <c r="B881" s="57" t="n">
        <v>0.01922</v>
      </c>
      <c r="C881" s="57" t="n">
        <v>0.01933</v>
      </c>
      <c r="D881" s="57" t="n">
        <v>0.01968</v>
      </c>
      <c r="E881" s="57" t="n">
        <v>0.02142</v>
      </c>
      <c r="F881" s="57" t="n">
        <v>0.02351</v>
      </c>
      <c r="G881" s="57" t="n">
        <v>0.02802</v>
      </c>
    </row>
    <row r="882" customFormat="false" ht="15" hidden="false" customHeight="false" outlineLevel="0" collapsed="false">
      <c r="A882" s="52" t="n">
        <v>45427</v>
      </c>
      <c r="B882" s="57" t="n">
        <v>0.01922</v>
      </c>
      <c r="C882" s="57" t="n">
        <v>0.01934</v>
      </c>
      <c r="D882" s="57" t="n">
        <v>0.01968</v>
      </c>
      <c r="E882" s="57" t="n">
        <v>0.02148</v>
      </c>
      <c r="F882" s="57" t="n">
        <v>0.02344</v>
      </c>
      <c r="G882" s="57" t="n">
        <v>0.02803</v>
      </c>
    </row>
    <row r="883" customFormat="false" ht="15" hidden="false" customHeight="false" outlineLevel="0" collapsed="false">
      <c r="A883" s="52" t="n">
        <v>45428</v>
      </c>
      <c r="B883" s="57" t="n">
        <v>0.01921</v>
      </c>
      <c r="C883" s="57" t="n">
        <v>0.01934</v>
      </c>
      <c r="D883" s="57" t="n">
        <v>0.01966</v>
      </c>
      <c r="E883" s="57" t="n">
        <v>0.02134</v>
      </c>
      <c r="F883" s="57" t="n">
        <v>0.02354</v>
      </c>
      <c r="G883" s="57" t="n">
        <v>0.0279</v>
      </c>
    </row>
    <row r="884" customFormat="false" ht="15" hidden="false" customHeight="false" outlineLevel="0" collapsed="false">
      <c r="A884" s="52" t="n">
        <v>45429</v>
      </c>
      <c r="B884" s="57" t="n">
        <v>0.01922</v>
      </c>
      <c r="C884" s="57" t="n">
        <v>0.01933</v>
      </c>
      <c r="D884" s="57" t="n">
        <v>0.01966</v>
      </c>
      <c r="E884" s="57" t="n">
        <v>0.02127</v>
      </c>
      <c r="F884" s="57" t="n">
        <v>0.02342</v>
      </c>
      <c r="G884" s="57" t="n">
        <v>0.02782</v>
      </c>
    </row>
    <row r="885" customFormat="false" ht="15" hidden="false" customHeight="false" outlineLevel="0" collapsed="false">
      <c r="A885" s="52" t="n">
        <v>45432</v>
      </c>
      <c r="B885" s="57" t="n">
        <v>0.01921</v>
      </c>
      <c r="C885" s="57" t="n">
        <v>0.01933</v>
      </c>
      <c r="D885" s="57" t="n">
        <v>0.01965</v>
      </c>
      <c r="E885" s="57" t="n">
        <v>0.02127</v>
      </c>
      <c r="F885" s="57" t="n">
        <v>0.02342</v>
      </c>
      <c r="G885" s="57" t="n">
        <v>0.02793</v>
      </c>
    </row>
    <row r="886" customFormat="false" ht="15" hidden="false" customHeight="false" outlineLevel="0" collapsed="false">
      <c r="A886" s="52" t="n">
        <v>45433</v>
      </c>
      <c r="B886" s="57" t="n">
        <v>0.01921</v>
      </c>
      <c r="C886" s="57" t="n">
        <v>0.01933</v>
      </c>
      <c r="D886" s="57" t="n">
        <v>0.01965</v>
      </c>
      <c r="E886" s="57" t="n">
        <v>0.02125</v>
      </c>
      <c r="F886" s="57" t="n">
        <v>0.02331</v>
      </c>
      <c r="G886" s="57" t="n">
        <v>0.02777</v>
      </c>
    </row>
    <row r="887" customFormat="false" ht="15" hidden="false" customHeight="false" outlineLevel="0" collapsed="false">
      <c r="A887" s="52" t="n">
        <v>45434</v>
      </c>
      <c r="B887" s="57" t="n">
        <v>0.01922</v>
      </c>
      <c r="C887" s="57" t="n">
        <v>0.01933</v>
      </c>
      <c r="D887" s="57" t="n">
        <v>0.01967</v>
      </c>
      <c r="E887" s="57" t="n">
        <v>0.02167</v>
      </c>
      <c r="F887" s="57" t="n">
        <v>0.02425</v>
      </c>
      <c r="G887" s="57" t="n">
        <v>0.02884</v>
      </c>
    </row>
    <row r="888" customFormat="false" ht="15" hidden="false" customHeight="false" outlineLevel="0" collapsed="false">
      <c r="A888" s="52" t="n">
        <v>45435</v>
      </c>
      <c r="B888" s="57" t="n">
        <v>0.01963</v>
      </c>
      <c r="C888" s="57" t="n">
        <v>0.01975</v>
      </c>
      <c r="D888" s="57" t="n">
        <v>0.02007</v>
      </c>
      <c r="E888" s="57" t="n">
        <v>0.02175</v>
      </c>
      <c r="F888" s="57" t="n">
        <v>0.02458</v>
      </c>
      <c r="G888" s="57" t="n">
        <v>0.02953</v>
      </c>
    </row>
    <row r="889" customFormat="false" ht="15" hidden="false" customHeight="false" outlineLevel="0" collapsed="false">
      <c r="A889" s="52" t="n">
        <v>45436</v>
      </c>
      <c r="B889" s="57" t="n">
        <v>0.01972</v>
      </c>
      <c r="C889" s="57" t="n">
        <v>0.01983</v>
      </c>
      <c r="D889" s="57" t="n">
        <v>0.02013</v>
      </c>
      <c r="E889" s="57" t="n">
        <v>0.02172</v>
      </c>
      <c r="F889" s="57" t="n">
        <v>0.02429</v>
      </c>
      <c r="G889" s="57" t="n">
        <v>0.0296</v>
      </c>
    </row>
    <row r="890" customFormat="false" ht="15" hidden="false" customHeight="false" outlineLevel="0" collapsed="false">
      <c r="A890" s="52" t="n">
        <v>45439</v>
      </c>
      <c r="B890" s="57" t="n">
        <v>0.01971</v>
      </c>
      <c r="C890" s="57" t="n">
        <v>0.01983</v>
      </c>
      <c r="D890" s="57" t="n">
        <v>0.02013</v>
      </c>
      <c r="E890" s="57" t="n">
        <v>0.02173</v>
      </c>
      <c r="F890" s="57" t="n">
        <v>0.02441</v>
      </c>
      <c r="G890" s="57" t="n">
        <v>0.02939</v>
      </c>
    </row>
    <row r="891" customFormat="false" ht="15" hidden="false" customHeight="false" outlineLevel="0" collapsed="false">
      <c r="A891" s="52" t="n">
        <v>45440</v>
      </c>
      <c r="B891" s="57" t="n">
        <v>0.01971</v>
      </c>
      <c r="C891" s="57" t="n">
        <v>0.01983</v>
      </c>
      <c r="D891" s="57" t="n">
        <v>0.02012</v>
      </c>
      <c r="E891" s="57" t="n">
        <v>0.02154</v>
      </c>
      <c r="F891" s="57" t="n">
        <v>0.02408</v>
      </c>
      <c r="G891" s="57" t="n">
        <v>0.02913</v>
      </c>
    </row>
    <row r="892" customFormat="false" ht="15" hidden="false" customHeight="false" outlineLevel="0" collapsed="false">
      <c r="A892" s="52" t="n">
        <v>45441</v>
      </c>
      <c r="B892" s="57" t="n">
        <v>0.01971</v>
      </c>
      <c r="C892" s="57" t="n">
        <v>0.01983</v>
      </c>
      <c r="D892" s="57" t="n">
        <v>0.02012</v>
      </c>
      <c r="E892" s="57" t="n">
        <v>0.0215</v>
      </c>
      <c r="F892" s="57" t="n">
        <v>0.02395</v>
      </c>
      <c r="G892" s="57" t="n">
        <v>0.0288</v>
      </c>
    </row>
    <row r="893" customFormat="false" ht="15" hidden="false" customHeight="false" outlineLevel="0" collapsed="false">
      <c r="A893" s="52" t="n">
        <v>45442</v>
      </c>
      <c r="B893" s="57" t="n">
        <v>0.01971</v>
      </c>
      <c r="C893" s="57" t="n">
        <v>0.01982</v>
      </c>
      <c r="D893" s="57" t="n">
        <v>0.02012</v>
      </c>
      <c r="E893" s="57" t="n">
        <v>0.02158</v>
      </c>
      <c r="F893" s="57" t="n">
        <v>0.02405</v>
      </c>
      <c r="G893" s="57" t="n">
        <v>0.02892</v>
      </c>
    </row>
    <row r="894" customFormat="false" ht="15" hidden="false" customHeight="false" outlineLevel="0" collapsed="false">
      <c r="A894" s="52" t="n">
        <v>45443</v>
      </c>
      <c r="B894" s="57" t="n">
        <v>0.01971</v>
      </c>
      <c r="C894" s="57" t="n">
        <v>0.01982</v>
      </c>
      <c r="D894" s="57" t="n">
        <v>0.02011</v>
      </c>
      <c r="E894" s="57" t="n">
        <v>0.02142</v>
      </c>
      <c r="F894" s="57" t="n">
        <v>0.02385</v>
      </c>
      <c r="G894" s="57" t="n">
        <v>0.02873</v>
      </c>
    </row>
    <row r="895" customFormat="false" ht="15" hidden="false" customHeight="false" outlineLevel="0" collapsed="false">
      <c r="A895" s="52" t="n">
        <v>45446</v>
      </c>
      <c r="B895" s="57" t="n">
        <v>0.01971</v>
      </c>
      <c r="C895" s="57" t="n">
        <v>0.01982</v>
      </c>
      <c r="D895" s="57" t="n">
        <v>0.0201</v>
      </c>
      <c r="E895" s="57" t="n">
        <v>0.0214</v>
      </c>
      <c r="F895" s="57" t="n">
        <v>0.02368</v>
      </c>
      <c r="G895" s="57" t="n">
        <v>0.02854</v>
      </c>
    </row>
    <row r="896" customFormat="false" ht="15" hidden="false" customHeight="false" outlineLevel="0" collapsed="false">
      <c r="A896" s="52" t="n">
        <v>45447</v>
      </c>
      <c r="B896" s="57" t="n">
        <v>0.0197</v>
      </c>
      <c r="C896" s="57" t="n">
        <v>0.01982</v>
      </c>
      <c r="D896" s="57" t="n">
        <v>0.02009</v>
      </c>
      <c r="E896" s="57" t="n">
        <v>0.02124</v>
      </c>
      <c r="F896" s="57" t="n">
        <v>0.02347</v>
      </c>
      <c r="G896" s="57" t="n">
        <v>0.02836</v>
      </c>
    </row>
    <row r="897" customFormat="false" ht="15" hidden="false" customHeight="false" outlineLevel="0" collapsed="false">
      <c r="A897" s="52" t="n">
        <v>45448</v>
      </c>
      <c r="B897" s="57" t="n">
        <v>0.0197</v>
      </c>
      <c r="C897" s="57" t="n">
        <v>0.01982</v>
      </c>
      <c r="D897" s="57" t="n">
        <v>0.02009</v>
      </c>
      <c r="E897" s="57" t="n">
        <v>0.02119</v>
      </c>
      <c r="F897" s="57" t="n">
        <v>0.02363</v>
      </c>
      <c r="G897" s="57" t="n">
        <v>0.02839</v>
      </c>
    </row>
    <row r="898" customFormat="false" ht="15" hidden="false" customHeight="false" outlineLevel="0" collapsed="false">
      <c r="A898" s="52" t="n">
        <v>45449</v>
      </c>
      <c r="B898" s="57" t="n">
        <v>0.01963</v>
      </c>
      <c r="C898" s="57" t="n">
        <v>0.01974</v>
      </c>
      <c r="D898" s="57" t="n">
        <v>0.02001</v>
      </c>
      <c r="E898" s="57" t="n">
        <v>0.02122</v>
      </c>
      <c r="F898" s="57" t="n">
        <v>0.02367</v>
      </c>
      <c r="G898" s="57" t="n">
        <v>0.02841</v>
      </c>
    </row>
    <row r="899" customFormat="false" ht="15" hidden="false" customHeight="false" outlineLevel="0" collapsed="false">
      <c r="A899" s="52" t="n">
        <v>45450</v>
      </c>
      <c r="B899" s="57" t="n">
        <v>0.01964</v>
      </c>
      <c r="C899" s="57" t="n">
        <v>0.01974</v>
      </c>
      <c r="D899" s="57" t="n">
        <v>0.02001</v>
      </c>
      <c r="E899" s="57" t="n">
        <v>0.0211</v>
      </c>
      <c r="F899" s="57" t="n">
        <v>0.02366</v>
      </c>
      <c r="G899" s="57" t="n">
        <v>0.02833</v>
      </c>
    </row>
    <row r="900" customFormat="false" ht="15" hidden="false" customHeight="false" outlineLevel="0" collapsed="false">
      <c r="A900" s="52" t="n">
        <v>45453</v>
      </c>
      <c r="B900" s="57" t="n">
        <v>0.01963</v>
      </c>
      <c r="C900" s="57" t="n">
        <v>0.01974</v>
      </c>
      <c r="D900" s="57" t="n">
        <v>0.02</v>
      </c>
      <c r="E900" s="57" t="n">
        <v>0.0211</v>
      </c>
      <c r="F900" s="57" t="n">
        <v>0.02362</v>
      </c>
      <c r="G900" s="57" t="n">
        <v>0.02854</v>
      </c>
    </row>
    <row r="901" customFormat="false" ht="15" hidden="false" customHeight="false" outlineLevel="0" collapsed="false">
      <c r="A901" s="52" t="n">
        <v>45454</v>
      </c>
      <c r="B901" s="57" t="n">
        <v>0.01963</v>
      </c>
      <c r="C901" s="57" t="n">
        <v>0.01974</v>
      </c>
      <c r="D901" s="57" t="n">
        <v>0.02001</v>
      </c>
      <c r="E901" s="57" t="n">
        <v>0.02126</v>
      </c>
      <c r="F901" s="57" t="n">
        <v>0.02383</v>
      </c>
      <c r="G901" s="57" t="n">
        <v>0.02864</v>
      </c>
    </row>
    <row r="902" customFormat="false" ht="15" hidden="false" customHeight="false" outlineLevel="0" collapsed="false">
      <c r="A902" s="52" t="n">
        <v>45455</v>
      </c>
      <c r="B902" s="57" t="n">
        <v>0.01963</v>
      </c>
      <c r="C902" s="57" t="n">
        <v>0.01974</v>
      </c>
      <c r="D902" s="57" t="n">
        <v>0.02001</v>
      </c>
      <c r="E902" s="57" t="n">
        <v>0.02125</v>
      </c>
      <c r="F902" s="57" t="n">
        <v>0.02372</v>
      </c>
      <c r="G902" s="57" t="n">
        <v>0.02857</v>
      </c>
    </row>
    <row r="903" customFormat="false" ht="15" hidden="false" customHeight="false" outlineLevel="0" collapsed="false">
      <c r="A903" s="52" t="n">
        <v>45456</v>
      </c>
      <c r="B903" s="57" t="n">
        <v>0.01964</v>
      </c>
      <c r="C903" s="57" t="n">
        <v>0.01974</v>
      </c>
      <c r="D903" s="57" t="n">
        <v>0.01999</v>
      </c>
      <c r="E903" s="57" t="n">
        <v>0.02093</v>
      </c>
      <c r="F903" s="57" t="n">
        <v>0.02328</v>
      </c>
      <c r="G903" s="57" t="n">
        <v>0.02832</v>
      </c>
    </row>
    <row r="904" customFormat="false" ht="15" hidden="false" customHeight="false" outlineLevel="0" collapsed="false">
      <c r="A904" s="52" t="n">
        <v>45457</v>
      </c>
      <c r="B904" s="57" t="n">
        <v>0.01958</v>
      </c>
      <c r="C904" s="57" t="n">
        <v>0.01969</v>
      </c>
      <c r="D904" s="57" t="n">
        <v>0.01994</v>
      </c>
      <c r="E904" s="57" t="n">
        <v>0.02064</v>
      </c>
      <c r="F904" s="57" t="n">
        <v>0.02329</v>
      </c>
      <c r="G904" s="57" t="n">
        <v>0.02826</v>
      </c>
    </row>
    <row r="905" customFormat="false" ht="15" hidden="false" customHeight="false" outlineLevel="0" collapsed="false">
      <c r="A905" s="52" t="n">
        <v>45460</v>
      </c>
      <c r="B905" s="57" t="n">
        <v>0.01959</v>
      </c>
      <c r="C905" s="57" t="n">
        <v>0.01969</v>
      </c>
      <c r="D905" s="57" t="n">
        <v>0.01994</v>
      </c>
      <c r="E905" s="57" t="n">
        <v>0.02064</v>
      </c>
      <c r="F905" s="57" t="n">
        <v>0.02336</v>
      </c>
      <c r="G905" s="57" t="n">
        <v>0.02828</v>
      </c>
    </row>
    <row r="906" customFormat="false" ht="15" hidden="false" customHeight="false" outlineLevel="0" collapsed="false">
      <c r="A906" s="52" t="n">
        <v>45461</v>
      </c>
      <c r="B906" s="57" t="n">
        <v>0.01959</v>
      </c>
      <c r="C906" s="57" t="n">
        <v>0.01969</v>
      </c>
      <c r="D906" s="57" t="n">
        <v>0.01994</v>
      </c>
      <c r="E906" s="57" t="n">
        <v>0.02074</v>
      </c>
      <c r="F906" s="57" t="n">
        <v>0.02344</v>
      </c>
      <c r="G906" s="57" t="n">
        <v>0.02832</v>
      </c>
    </row>
    <row r="907" customFormat="false" ht="15" hidden="false" customHeight="false" outlineLevel="0" collapsed="false">
      <c r="A907" s="52" t="n">
        <v>45462</v>
      </c>
      <c r="B907" s="57" t="n">
        <v>0.01959</v>
      </c>
      <c r="C907" s="57" t="n">
        <v>0.01969</v>
      </c>
      <c r="D907" s="57" t="n">
        <v>0.01994</v>
      </c>
      <c r="E907" s="57" t="n">
        <v>0.02063</v>
      </c>
      <c r="F907" s="57" t="n">
        <v>0.02331</v>
      </c>
      <c r="G907" s="57" t="n">
        <v>0.02815</v>
      </c>
    </row>
    <row r="908" customFormat="false" ht="15" hidden="false" customHeight="false" outlineLevel="0" collapsed="false">
      <c r="A908" s="52" t="n">
        <v>45463</v>
      </c>
      <c r="B908" s="57" t="n">
        <v>0.01959</v>
      </c>
      <c r="C908" s="57" t="n">
        <v>0.01969</v>
      </c>
      <c r="D908" s="57" t="n">
        <v>0.01994</v>
      </c>
      <c r="E908" s="57" t="n">
        <v>0.0207</v>
      </c>
      <c r="F908" s="57" t="n">
        <v>0.0227</v>
      </c>
      <c r="G908" s="57" t="n">
        <v>0.02775</v>
      </c>
    </row>
    <row r="909" customFormat="false" ht="15" hidden="false" customHeight="false" outlineLevel="0" collapsed="false">
      <c r="A909" s="52" t="n">
        <v>45464</v>
      </c>
      <c r="B909" s="57" t="n">
        <v>0.01959</v>
      </c>
      <c r="C909" s="57" t="n">
        <v>0.01969</v>
      </c>
      <c r="D909" s="57" t="n">
        <v>0.01994</v>
      </c>
      <c r="E909" s="57" t="n">
        <v>0.02065</v>
      </c>
      <c r="F909" s="57" t="n">
        <v>0.02305</v>
      </c>
      <c r="G909" s="57" t="n">
        <v>0.02788</v>
      </c>
    </row>
    <row r="910" customFormat="false" ht="15" hidden="false" customHeight="false" outlineLevel="0" collapsed="false">
      <c r="A910" s="52" t="n">
        <v>45467</v>
      </c>
      <c r="B910" s="57" t="n">
        <v>0.01959</v>
      </c>
      <c r="C910" s="57" t="n">
        <v>0.01969</v>
      </c>
      <c r="D910" s="57" t="n">
        <v>0.01994</v>
      </c>
      <c r="E910" s="57" t="n">
        <v>0.02074</v>
      </c>
      <c r="F910" s="57" t="n">
        <v>0.02309</v>
      </c>
      <c r="G910" s="57" t="n">
        <v>0.02805</v>
      </c>
    </row>
    <row r="911" customFormat="false" ht="15" hidden="false" customHeight="false" outlineLevel="0" collapsed="false">
      <c r="A911" s="52" t="n">
        <v>45468</v>
      </c>
      <c r="B911" s="57" t="n">
        <v>0.0196</v>
      </c>
      <c r="C911" s="57" t="n">
        <v>0.01969</v>
      </c>
      <c r="D911" s="57" t="n">
        <v>0.01993</v>
      </c>
      <c r="E911" s="57" t="n">
        <v>0.02054</v>
      </c>
      <c r="F911" s="57" t="n">
        <v>0.02308</v>
      </c>
      <c r="G911" s="57" t="n">
        <v>0.02803</v>
      </c>
    </row>
    <row r="912" customFormat="false" ht="15" hidden="false" customHeight="false" outlineLevel="0" collapsed="false">
      <c r="A912" s="52" t="n">
        <v>45469</v>
      </c>
      <c r="B912" s="57" t="n">
        <v>0.01969</v>
      </c>
      <c r="C912" s="57" t="n">
        <v>0.01977</v>
      </c>
      <c r="D912" s="57" t="n">
        <v>0.02002</v>
      </c>
      <c r="E912" s="57" t="n">
        <v>0.02074</v>
      </c>
      <c r="F912" s="57" t="n">
        <v>0.02325</v>
      </c>
      <c r="G912" s="57" t="n">
        <v>0.02825</v>
      </c>
    </row>
    <row r="913" customFormat="false" ht="15" hidden="false" customHeight="false" outlineLevel="0" collapsed="false">
      <c r="A913" s="52" t="n">
        <v>45470</v>
      </c>
      <c r="B913" s="57" t="n">
        <v>0.01969</v>
      </c>
      <c r="C913" s="57" t="n">
        <v>0.01977</v>
      </c>
      <c r="D913" s="57" t="n">
        <v>0.02001</v>
      </c>
      <c r="E913" s="57" t="n">
        <v>0.02079</v>
      </c>
      <c r="F913" s="57" t="n">
        <v>0.02327</v>
      </c>
      <c r="G913" s="57" t="n">
        <v>0.02814</v>
      </c>
    </row>
    <row r="914" customFormat="false" ht="15" hidden="false" customHeight="false" outlineLevel="0" collapsed="false">
      <c r="A914" s="52" t="n">
        <v>45471</v>
      </c>
      <c r="B914" s="57" t="n">
        <v>0.01969</v>
      </c>
      <c r="C914" s="57" t="n">
        <v>0.01977</v>
      </c>
      <c r="D914" s="57" t="n">
        <v>0.02001</v>
      </c>
      <c r="E914" s="57" t="n">
        <v>0.02076</v>
      </c>
      <c r="F914" s="57" t="n">
        <v>0.02324</v>
      </c>
      <c r="G914" s="57" t="n">
        <v>0.0281</v>
      </c>
    </row>
    <row r="915" customFormat="false" ht="15" hidden="false" customHeight="false" outlineLevel="0" collapsed="false">
      <c r="A915" s="52" t="n">
        <v>45474</v>
      </c>
      <c r="B915" s="57" t="n">
        <v>0.01969</v>
      </c>
      <c r="C915" s="57" t="n">
        <v>0.01977</v>
      </c>
      <c r="D915" s="57" t="n">
        <v>0.02002</v>
      </c>
      <c r="E915" s="57" t="n">
        <v>0.02119</v>
      </c>
      <c r="F915" s="57" t="n">
        <v>0.02352</v>
      </c>
      <c r="G915" s="57" t="n">
        <v>0.02807</v>
      </c>
    </row>
    <row r="916" customFormat="false" ht="15" hidden="false" customHeight="false" outlineLevel="0" collapsed="false">
      <c r="A916" s="52" t="n">
        <v>45475</v>
      </c>
      <c r="B916" s="57" t="n">
        <v>0.01968</v>
      </c>
      <c r="C916" s="57" t="n">
        <v>0.01976</v>
      </c>
      <c r="D916" s="57" t="n">
        <v>0.02001</v>
      </c>
      <c r="E916" s="57" t="n">
        <v>0.02077</v>
      </c>
      <c r="F916" s="57" t="n">
        <v>0.0232</v>
      </c>
      <c r="G916" s="57" t="n">
        <v>0.028</v>
      </c>
    </row>
    <row r="917" customFormat="false" ht="15" hidden="false" customHeight="false" outlineLevel="0" collapsed="false">
      <c r="A917" s="52" t="n">
        <v>45476</v>
      </c>
      <c r="B917" s="57" t="n">
        <v>0.01968</v>
      </c>
      <c r="C917" s="57" t="n">
        <v>0.01976</v>
      </c>
      <c r="D917" s="57" t="n">
        <v>0.02001</v>
      </c>
      <c r="E917" s="57" t="n">
        <v>0.02071</v>
      </c>
      <c r="F917" s="57" t="n">
        <v>0.02314</v>
      </c>
      <c r="G917" s="57" t="n">
        <v>0.02782</v>
      </c>
    </row>
    <row r="918" customFormat="false" ht="15" hidden="false" customHeight="false" outlineLevel="0" collapsed="false">
      <c r="A918" s="52" t="n">
        <v>45477</v>
      </c>
      <c r="B918" s="57" t="n">
        <v>0.01969</v>
      </c>
      <c r="C918" s="57" t="n">
        <v>0.01976</v>
      </c>
      <c r="D918" s="57" t="n">
        <v>0.02001</v>
      </c>
      <c r="E918" s="57" t="n">
        <v>0.02075</v>
      </c>
      <c r="F918" s="57" t="n">
        <v>0.02324</v>
      </c>
      <c r="G918" s="57" t="n">
        <v>0.02797</v>
      </c>
    </row>
    <row r="919" customFormat="false" ht="15" hidden="false" customHeight="false" outlineLevel="0" collapsed="false">
      <c r="A919" s="52" t="n">
        <v>45478</v>
      </c>
      <c r="B919" s="57" t="n">
        <v>0.01969</v>
      </c>
      <c r="C919" s="57" t="n">
        <v>0.01976</v>
      </c>
      <c r="D919" s="57" t="n">
        <v>0.02</v>
      </c>
      <c r="E919" s="57" t="n">
        <v>0.02074</v>
      </c>
      <c r="F919" s="57" t="n">
        <v>0.02341</v>
      </c>
      <c r="G919" s="57" t="n">
        <v>0.02799</v>
      </c>
    </row>
    <row r="920" customFormat="false" ht="15" hidden="false" customHeight="false" outlineLevel="0" collapsed="false">
      <c r="A920" s="52" t="n">
        <v>45481</v>
      </c>
      <c r="B920" s="57" t="n">
        <v>0.01969</v>
      </c>
      <c r="C920" s="57" t="n">
        <v>0.01976</v>
      </c>
      <c r="D920" s="57" t="n">
        <v>0.02</v>
      </c>
      <c r="E920" s="57" t="n">
        <v>0.02073</v>
      </c>
      <c r="F920" s="57" t="n">
        <v>0.02328</v>
      </c>
      <c r="G920" s="57" t="n">
        <v>0.02808</v>
      </c>
    </row>
    <row r="921" customFormat="false" ht="15" hidden="false" customHeight="false" outlineLevel="0" collapsed="false">
      <c r="A921" s="52" t="n">
        <v>45482</v>
      </c>
      <c r="B921" s="57" t="n">
        <v>0.01969</v>
      </c>
      <c r="C921" s="57" t="n">
        <v>0.01976</v>
      </c>
      <c r="D921" s="57" t="n">
        <v>0.02</v>
      </c>
      <c r="E921" s="57" t="n">
        <v>0.02073</v>
      </c>
      <c r="F921" s="57" t="n">
        <v>0.02338</v>
      </c>
      <c r="G921" s="57" t="n">
        <v>0.02819</v>
      </c>
    </row>
    <row r="922" customFormat="false" ht="15" hidden="false" customHeight="false" outlineLevel="0" collapsed="false">
      <c r="A922" s="52" t="n">
        <v>45483</v>
      </c>
      <c r="B922" s="57" t="n">
        <v>0.01969</v>
      </c>
      <c r="C922" s="57" t="n">
        <v>0.01976</v>
      </c>
      <c r="D922" s="57" t="n">
        <v>0.02</v>
      </c>
      <c r="E922" s="57" t="n">
        <v>0.02075</v>
      </c>
      <c r="F922" s="57" t="n">
        <v>0.02333</v>
      </c>
      <c r="G922" s="57" t="n">
        <v>0.02813</v>
      </c>
    </row>
    <row r="923" customFormat="false" ht="15" hidden="false" customHeight="false" outlineLevel="0" collapsed="false">
      <c r="A923" s="52" t="n">
        <v>45484</v>
      </c>
      <c r="B923" s="57" t="n">
        <v>0.01969</v>
      </c>
      <c r="C923" s="57" t="n">
        <v>0.01976</v>
      </c>
      <c r="D923" s="57" t="n">
        <v>0.02</v>
      </c>
      <c r="E923" s="57" t="n">
        <v>0.02075</v>
      </c>
      <c r="F923" s="57" t="n">
        <v>0.02339</v>
      </c>
      <c r="G923" s="57" t="n">
        <v>0.02815</v>
      </c>
    </row>
    <row r="924" customFormat="false" ht="15" hidden="false" customHeight="false" outlineLevel="0" collapsed="false">
      <c r="A924" s="52" t="n">
        <v>45485</v>
      </c>
      <c r="B924" s="57" t="n">
        <v>0.0197</v>
      </c>
      <c r="C924" s="57" t="n">
        <v>0.01975</v>
      </c>
      <c r="D924" s="57" t="n">
        <v>0.02</v>
      </c>
      <c r="E924" s="57" t="n">
        <v>0.02068</v>
      </c>
      <c r="F924" s="57" t="n">
        <v>0.02341</v>
      </c>
      <c r="G924" s="57" t="n">
        <v>0.02819</v>
      </c>
    </row>
    <row r="925" customFormat="false" ht="15" hidden="false" customHeight="false" outlineLevel="0" collapsed="false">
      <c r="A925" s="52" t="n">
        <v>45488</v>
      </c>
      <c r="B925" s="57" t="n">
        <v>0.0197</v>
      </c>
      <c r="C925" s="57" t="n">
        <v>0.01975</v>
      </c>
      <c r="D925" s="57" t="n">
        <v>0.02</v>
      </c>
      <c r="E925" s="57" t="n">
        <v>0.02065</v>
      </c>
      <c r="F925" s="57" t="n">
        <v>0.02344</v>
      </c>
      <c r="G925" s="57" t="n">
        <v>0.02826</v>
      </c>
    </row>
    <row r="926" customFormat="false" ht="15" hidden="false" customHeight="false" outlineLevel="0" collapsed="false">
      <c r="A926" s="52" t="n">
        <v>45489</v>
      </c>
      <c r="B926" s="57" t="n">
        <v>0.01969</v>
      </c>
      <c r="C926" s="57" t="n">
        <v>0.01975</v>
      </c>
      <c r="D926" s="57" t="n">
        <v>0.02</v>
      </c>
      <c r="E926" s="57" t="n">
        <v>0.02069</v>
      </c>
      <c r="F926" s="57" t="n">
        <v>0.02336</v>
      </c>
      <c r="G926" s="57" t="n">
        <v>0.02824</v>
      </c>
    </row>
    <row r="927" customFormat="false" ht="15" hidden="false" customHeight="false" outlineLevel="0" collapsed="false">
      <c r="A927" s="52" t="n">
        <v>45490</v>
      </c>
      <c r="B927" s="57" t="n">
        <v>0.01969</v>
      </c>
      <c r="C927" s="57" t="n">
        <v>0.01975</v>
      </c>
      <c r="D927" s="57" t="n">
        <v>0.02</v>
      </c>
      <c r="E927" s="57" t="n">
        <v>0.02069</v>
      </c>
      <c r="F927" s="57" t="n">
        <v>0.02345</v>
      </c>
      <c r="G927" s="57" t="n">
        <v>0.02827</v>
      </c>
    </row>
    <row r="928" customFormat="false" ht="15" hidden="false" customHeight="false" outlineLevel="0" collapsed="false">
      <c r="A928" s="52" t="n">
        <v>45491</v>
      </c>
      <c r="B928" s="57" t="n">
        <v>0.0197</v>
      </c>
      <c r="C928" s="57" t="n">
        <v>0.01975</v>
      </c>
      <c r="D928" s="57" t="n">
        <v>0.02</v>
      </c>
      <c r="E928" s="57" t="n">
        <v>0.02058</v>
      </c>
      <c r="F928" s="57" t="n">
        <v>0.0234</v>
      </c>
      <c r="G928" s="57" t="n">
        <v>0.02829</v>
      </c>
    </row>
    <row r="929" customFormat="false" ht="15" hidden="false" customHeight="false" outlineLevel="0" collapsed="false">
      <c r="A929" s="52" t="n">
        <v>45492</v>
      </c>
      <c r="B929" s="57" t="n">
        <v>0.01969</v>
      </c>
      <c r="C929" s="57" t="n">
        <v>0.01975</v>
      </c>
      <c r="D929" s="57" t="n">
        <v>0.01999</v>
      </c>
      <c r="E929" s="57" t="n">
        <v>0.02059</v>
      </c>
      <c r="F929" s="57" t="n">
        <v>0.02338</v>
      </c>
      <c r="G929" s="57" t="n">
        <v>0.0282</v>
      </c>
    </row>
    <row r="930" customFormat="false" ht="15" hidden="false" customHeight="false" outlineLevel="0" collapsed="false">
      <c r="A930" s="52" t="n">
        <v>45495</v>
      </c>
      <c r="B930" s="57" t="n">
        <v>0.0197</v>
      </c>
      <c r="C930" s="57" t="n">
        <v>0.01975</v>
      </c>
      <c r="D930" s="57" t="n">
        <v>0.01999</v>
      </c>
      <c r="E930" s="57" t="n">
        <v>0.02061</v>
      </c>
      <c r="F930" s="57" t="n">
        <v>0.02339</v>
      </c>
      <c r="G930" s="57" t="n">
        <v>0.02828</v>
      </c>
    </row>
    <row r="931" customFormat="false" ht="15" hidden="false" customHeight="false" outlineLevel="0" collapsed="false">
      <c r="A931" s="52" t="n">
        <v>45496</v>
      </c>
      <c r="B931" s="57" t="n">
        <v>0.0197</v>
      </c>
      <c r="C931" s="57" t="n">
        <v>0.01975</v>
      </c>
      <c r="D931" s="57" t="n">
        <v>0.01999</v>
      </c>
      <c r="E931" s="57" t="n">
        <v>0.02058</v>
      </c>
      <c r="F931" s="57" t="n">
        <v>0.02339</v>
      </c>
      <c r="G931" s="57" t="n">
        <v>0.02824</v>
      </c>
    </row>
    <row r="932" customFormat="false" ht="15" hidden="false" customHeight="false" outlineLevel="0" collapsed="false">
      <c r="A932" s="52" t="n">
        <v>45497</v>
      </c>
      <c r="B932" s="57" t="n">
        <v>0.01974</v>
      </c>
      <c r="C932" s="57" t="n">
        <v>0.01979</v>
      </c>
      <c r="D932" s="57" t="n">
        <v>0.02003</v>
      </c>
      <c r="E932" s="57" t="n">
        <v>0.02056</v>
      </c>
      <c r="F932" s="57" t="n">
        <v>0.02351</v>
      </c>
      <c r="G932" s="57" t="n">
        <v>0.02833</v>
      </c>
    </row>
    <row r="933" customFormat="false" ht="15" hidden="false" customHeight="false" outlineLevel="0" collapsed="false">
      <c r="A933" s="52" t="n">
        <v>45498</v>
      </c>
      <c r="B933" s="57" t="n">
        <v>0.01974</v>
      </c>
      <c r="C933" s="57" t="n">
        <v>0.01979</v>
      </c>
      <c r="D933" s="57" t="n">
        <v>0.02003</v>
      </c>
      <c r="E933" s="57" t="n">
        <v>0.02055</v>
      </c>
      <c r="F933" s="57" t="n">
        <v>0.02332</v>
      </c>
      <c r="G933" s="57" t="n">
        <v>0.02806</v>
      </c>
    </row>
    <row r="934" customFormat="false" ht="15" hidden="false" customHeight="false" outlineLevel="0" collapsed="false">
      <c r="A934" s="52" t="n">
        <v>45499</v>
      </c>
      <c r="B934" s="57" t="n">
        <v>0.01977</v>
      </c>
      <c r="C934" s="57" t="n">
        <v>0.01983</v>
      </c>
      <c r="D934" s="57" t="n">
        <v>0.02007</v>
      </c>
      <c r="E934" s="57" t="n">
        <v>0.02066</v>
      </c>
      <c r="F934" s="57" t="n">
        <v>0.02331</v>
      </c>
      <c r="G934" s="57" t="n">
        <v>0.02822</v>
      </c>
    </row>
    <row r="935" customFormat="false" ht="15" hidden="false" customHeight="false" outlineLevel="0" collapsed="false">
      <c r="A935" s="52" t="n">
        <v>45502</v>
      </c>
      <c r="B935" s="57" t="n">
        <v>0.01978</v>
      </c>
      <c r="C935" s="57" t="n">
        <v>0.01983</v>
      </c>
      <c r="D935" s="57" t="n">
        <v>0.02007</v>
      </c>
      <c r="E935" s="57" t="n">
        <v>0.02063</v>
      </c>
      <c r="F935" s="57" t="n">
        <v>0.0234</v>
      </c>
      <c r="G935" s="57" t="n">
        <v>0.02828</v>
      </c>
    </row>
    <row r="936" customFormat="false" ht="15" hidden="false" customHeight="false" outlineLevel="0" collapsed="false">
      <c r="A936" s="52" t="n">
        <v>45503</v>
      </c>
      <c r="B936" s="57" t="n">
        <v>0.01979</v>
      </c>
      <c r="C936" s="57" t="n">
        <v>0.01983</v>
      </c>
      <c r="D936" s="57" t="n">
        <v>0.02007</v>
      </c>
      <c r="E936" s="57" t="n">
        <v>0.02055</v>
      </c>
      <c r="F936" s="57" t="n">
        <v>0.02332</v>
      </c>
      <c r="G936" s="57" t="n">
        <v>0.0282</v>
      </c>
    </row>
    <row r="937" customFormat="false" ht="15" hidden="false" customHeight="false" outlineLevel="0" collapsed="false">
      <c r="A937" s="52" t="n">
        <v>45504</v>
      </c>
      <c r="B937" s="57" t="n">
        <v>0.01977</v>
      </c>
      <c r="C937" s="57" t="n">
        <v>0.01983</v>
      </c>
      <c r="D937" s="57" t="n">
        <v>0.02007</v>
      </c>
      <c r="E937" s="57" t="n">
        <v>0.02062</v>
      </c>
      <c r="F937" s="57" t="n">
        <v>0.0233</v>
      </c>
      <c r="G937" s="57" t="n">
        <v>0.02818</v>
      </c>
    </row>
    <row r="938" customFormat="false" ht="15" hidden="false" customHeight="false" outlineLevel="0" collapsed="false">
      <c r="A938" s="52" t="n">
        <v>45505</v>
      </c>
      <c r="B938" s="57" t="n">
        <v>0.01977</v>
      </c>
      <c r="C938" s="57" t="n">
        <v>0.01937</v>
      </c>
      <c r="D938" s="57" t="n">
        <v>0.02014</v>
      </c>
      <c r="E938" s="57" t="n">
        <v>0.02079</v>
      </c>
      <c r="F938" s="57" t="n">
        <v>0.0234</v>
      </c>
      <c r="G938" s="57" t="n">
        <v>0.02805</v>
      </c>
    </row>
    <row r="939" customFormat="false" ht="15" hidden="false" customHeight="false" outlineLevel="0" collapsed="false">
      <c r="A939" s="52" t="n">
        <v>45506</v>
      </c>
      <c r="B939" s="57" t="n">
        <v>0.01977</v>
      </c>
      <c r="C939" s="57" t="n">
        <v>0.01936</v>
      </c>
      <c r="D939" s="57" t="n">
        <v>0.02014</v>
      </c>
      <c r="E939" s="57" t="n">
        <v>0.02079</v>
      </c>
      <c r="F939" s="57" t="n">
        <v>0.02339</v>
      </c>
      <c r="G939" s="57" t="n">
        <v>0.02824</v>
      </c>
    </row>
    <row r="940" customFormat="false" ht="15" hidden="false" customHeight="false" outlineLevel="0" collapsed="false">
      <c r="A940" s="52" t="n">
        <v>45509</v>
      </c>
      <c r="B940" s="57" t="n">
        <v>0.01977</v>
      </c>
      <c r="C940" s="57" t="n">
        <v>0.01936</v>
      </c>
      <c r="D940" s="57" t="n">
        <v>0.02014</v>
      </c>
      <c r="E940" s="57" t="n">
        <v>0.02085</v>
      </c>
      <c r="F940" s="57" t="n">
        <v>0.02336</v>
      </c>
      <c r="G940" s="57" t="n">
        <v>0.02817</v>
      </c>
    </row>
    <row r="941" customFormat="false" ht="15" hidden="false" customHeight="false" outlineLevel="0" collapsed="false">
      <c r="A941" s="52" t="n">
        <v>45510</v>
      </c>
      <c r="B941" s="57" t="n">
        <v>0.01977</v>
      </c>
      <c r="C941" s="57" t="n">
        <v>0.01936</v>
      </c>
      <c r="D941" s="57" t="n">
        <v>0.02012</v>
      </c>
      <c r="E941" s="57" t="n">
        <v>0.02063</v>
      </c>
      <c r="F941" s="57" t="n">
        <v>0.02311</v>
      </c>
      <c r="G941" s="57" t="n">
        <v>0.02793</v>
      </c>
    </row>
    <row r="942" customFormat="false" ht="15" hidden="false" customHeight="false" outlineLevel="0" collapsed="false">
      <c r="A942" s="52" t="n">
        <v>45511</v>
      </c>
      <c r="B942" s="57" t="n">
        <v>0.01977</v>
      </c>
      <c r="C942" s="57" t="n">
        <v>0.01936</v>
      </c>
      <c r="D942" s="57" t="n">
        <v>0.02013</v>
      </c>
      <c r="E942" s="57" t="n">
        <v>0.02069</v>
      </c>
      <c r="F942" s="57" t="n">
        <v>0.02303</v>
      </c>
      <c r="G942" s="57" t="n">
        <v>0.02787</v>
      </c>
    </row>
    <row r="943" customFormat="false" ht="15" hidden="false" customHeight="false" outlineLevel="0" collapsed="false">
      <c r="A943" s="52" t="n">
        <v>45512</v>
      </c>
      <c r="B943" s="57" t="n">
        <v>0.01977</v>
      </c>
      <c r="C943" s="57" t="n">
        <v>0.01937</v>
      </c>
      <c r="D943" s="57" t="n">
        <v>0.02013</v>
      </c>
      <c r="E943" s="57" t="n">
        <v>0.02069</v>
      </c>
      <c r="F943" s="57" t="n">
        <v>0.02304</v>
      </c>
      <c r="G943" s="57" t="n">
        <v>0.02778</v>
      </c>
    </row>
    <row r="944" customFormat="false" ht="15" hidden="false" customHeight="false" outlineLevel="0" collapsed="false">
      <c r="A944" s="52" t="n">
        <v>45513</v>
      </c>
      <c r="B944" s="57" t="n">
        <v>0.01977</v>
      </c>
      <c r="C944" s="57" t="n">
        <v>0.01936</v>
      </c>
      <c r="D944" s="57" t="n">
        <v>0.02013</v>
      </c>
      <c r="E944" s="57" t="n">
        <v>0.02078</v>
      </c>
      <c r="F944" s="57" t="n">
        <v>0.0231</v>
      </c>
      <c r="G944" s="57" t="n">
        <v>0.02793</v>
      </c>
    </row>
    <row r="945" customFormat="false" ht="15" hidden="false" customHeight="false" outlineLevel="0" collapsed="false">
      <c r="A945" s="52" t="n">
        <v>45516</v>
      </c>
      <c r="B945" s="57" t="n">
        <v>0.01977</v>
      </c>
      <c r="C945" s="57" t="n">
        <v>0.01936</v>
      </c>
      <c r="D945" s="57" t="n">
        <v>0.02012</v>
      </c>
      <c r="E945" s="57" t="n">
        <v>0.0206</v>
      </c>
      <c r="F945" s="57" t="n">
        <v>0.02298</v>
      </c>
      <c r="G945" s="57" t="n">
        <v>0.02778</v>
      </c>
    </row>
    <row r="946" customFormat="false" ht="15" hidden="false" customHeight="false" outlineLevel="0" collapsed="false">
      <c r="A946" s="52" t="n">
        <v>45517</v>
      </c>
      <c r="B946" s="57" t="n">
        <v>0.01977</v>
      </c>
      <c r="C946" s="57" t="n">
        <v>0.01936</v>
      </c>
      <c r="D946" s="57" t="n">
        <v>0.02012</v>
      </c>
      <c r="E946" s="57" t="n">
        <v>0.02066</v>
      </c>
      <c r="F946" s="57" t="n">
        <v>0.02282</v>
      </c>
      <c r="G946" s="57" t="n">
        <v>0.02774</v>
      </c>
    </row>
    <row r="947" customFormat="false" ht="15" hidden="false" customHeight="false" outlineLevel="0" collapsed="false">
      <c r="A947" s="52" t="n">
        <v>45518</v>
      </c>
      <c r="B947" s="57" t="n">
        <v>0.01976</v>
      </c>
      <c r="C947" s="57" t="n">
        <v>0.01936</v>
      </c>
      <c r="D947" s="57" t="n">
        <v>0.02011</v>
      </c>
      <c r="E947" s="57" t="n">
        <v>0.0205</v>
      </c>
      <c r="F947" s="57" t="n">
        <v>0.02278</v>
      </c>
      <c r="G947" s="57" t="n">
        <v>0.02768</v>
      </c>
    </row>
    <row r="948" customFormat="false" ht="15" hidden="false" customHeight="false" outlineLevel="0" collapsed="false">
      <c r="A948" s="52" t="n">
        <v>45519</v>
      </c>
      <c r="B948" s="57" t="n">
        <v>0.01977</v>
      </c>
      <c r="C948" s="57" t="n">
        <v>0.01936</v>
      </c>
      <c r="D948" s="57" t="n">
        <v>0.02011</v>
      </c>
      <c r="E948" s="57" t="n">
        <v>0.02056</v>
      </c>
      <c r="F948" s="57" t="n">
        <v>0.02282</v>
      </c>
      <c r="G948" s="57" t="n">
        <v>0.0277</v>
      </c>
    </row>
    <row r="949" customFormat="false" ht="15" hidden="false" customHeight="false" outlineLevel="0" collapsed="false">
      <c r="A949" s="52" t="n">
        <v>45520</v>
      </c>
      <c r="B949" s="57" t="n">
        <v>0.01977</v>
      </c>
      <c r="C949" s="57" t="n">
        <v>0.01936</v>
      </c>
      <c r="D949" s="57" t="n">
        <v>0.02011</v>
      </c>
      <c r="E949" s="57" t="n">
        <v>0.02055</v>
      </c>
      <c r="F949" s="57" t="n">
        <v>0.02285</v>
      </c>
      <c r="G949" s="57" t="n">
        <v>0.02763</v>
      </c>
    </row>
    <row r="950" customFormat="false" ht="15" hidden="false" customHeight="false" outlineLevel="0" collapsed="false">
      <c r="A950" s="52" t="n">
        <v>45523</v>
      </c>
      <c r="B950" s="57" t="n">
        <v>0.01976</v>
      </c>
      <c r="C950" s="57" t="n">
        <v>0.01936</v>
      </c>
      <c r="D950" s="57" t="n">
        <v>0.02011</v>
      </c>
      <c r="E950" s="57" t="n">
        <v>0.0205</v>
      </c>
      <c r="F950" s="57" t="n">
        <v>0.02272</v>
      </c>
      <c r="G950" s="57" t="n">
        <v>0.02768</v>
      </c>
    </row>
    <row r="951" customFormat="false" ht="15" hidden="false" customHeight="false" outlineLevel="0" collapsed="false">
      <c r="A951" s="52" t="n">
        <v>45524</v>
      </c>
      <c r="B951" s="57" t="n">
        <v>0.01977</v>
      </c>
      <c r="C951" s="57" t="n">
        <v>0.01936</v>
      </c>
      <c r="D951" s="57" t="n">
        <v>0.0201</v>
      </c>
      <c r="E951" s="57" t="n">
        <v>0.0205</v>
      </c>
      <c r="F951" s="57" t="n">
        <v>0.02269</v>
      </c>
      <c r="G951" s="57" t="n">
        <v>0.02757</v>
      </c>
    </row>
    <row r="952" customFormat="false" ht="15" hidden="false" customHeight="false" outlineLevel="0" collapsed="false">
      <c r="A952" s="52" t="n">
        <v>45525</v>
      </c>
      <c r="B952" s="57" t="n">
        <v>0.01977</v>
      </c>
      <c r="C952" s="57" t="n">
        <v>0.01936</v>
      </c>
      <c r="D952" s="57" t="n">
        <v>0.02011</v>
      </c>
      <c r="E952" s="57" t="n">
        <v>0.02049</v>
      </c>
      <c r="F952" s="57" t="n">
        <v>0.02266</v>
      </c>
      <c r="G952" s="57" t="n">
        <v>0.02753</v>
      </c>
    </row>
    <row r="953" customFormat="false" ht="15" hidden="false" customHeight="false" outlineLevel="0" collapsed="false">
      <c r="A953" s="52" t="n">
        <v>45526</v>
      </c>
      <c r="B953" s="57" t="n">
        <v>0.0196</v>
      </c>
      <c r="C953" s="57" t="n">
        <v>0.01924</v>
      </c>
      <c r="D953" s="57" t="n">
        <v>0.02004</v>
      </c>
      <c r="E953" s="57" t="n">
        <v>0.02053</v>
      </c>
      <c r="F953" s="57" t="n">
        <v>0.02269</v>
      </c>
      <c r="G953" s="57" t="n">
        <v>0.02737</v>
      </c>
    </row>
    <row r="954" customFormat="false" ht="15" hidden="false" customHeight="false" outlineLevel="0" collapsed="false">
      <c r="A954" s="52" t="n">
        <v>45527</v>
      </c>
      <c r="B954" s="57" t="n">
        <v>0.01961</v>
      </c>
      <c r="C954" s="57" t="n">
        <v>0.01923</v>
      </c>
      <c r="D954" s="57" t="n">
        <v>0.02004</v>
      </c>
      <c r="E954" s="57" t="n">
        <v>0.02052</v>
      </c>
      <c r="F954" s="57" t="n">
        <v>0.02269</v>
      </c>
      <c r="G954" s="57" t="n">
        <v>0.02749</v>
      </c>
    </row>
    <row r="955" customFormat="false" ht="15" hidden="false" customHeight="false" outlineLevel="0" collapsed="false">
      <c r="A955" s="52" t="n">
        <v>45530</v>
      </c>
      <c r="B955" s="57" t="n">
        <v>0.01961</v>
      </c>
      <c r="C955" s="57" t="n">
        <v>0.01923</v>
      </c>
      <c r="D955" s="57" t="n">
        <v>0.02003</v>
      </c>
      <c r="E955" s="57" t="n">
        <v>0.02048</v>
      </c>
      <c r="F955" s="57" t="n">
        <v>0.02267</v>
      </c>
      <c r="G955" s="57" t="n">
        <v>0.0274</v>
      </c>
    </row>
    <row r="956" customFormat="false" ht="15" hidden="false" customHeight="false" outlineLevel="0" collapsed="false">
      <c r="A956" s="52" t="n">
        <v>45531</v>
      </c>
      <c r="B956" s="57" t="n">
        <v>0.0196</v>
      </c>
      <c r="C956" s="57" t="n">
        <v>0.01924</v>
      </c>
      <c r="D956" s="57" t="n">
        <v>0.02002</v>
      </c>
      <c r="E956" s="57" t="n">
        <v>0.02038</v>
      </c>
      <c r="F956" s="57" t="n">
        <v>0.02262</v>
      </c>
      <c r="G956" s="57" t="n">
        <v>0.02746</v>
      </c>
    </row>
    <row r="957" customFormat="false" ht="15" hidden="false" customHeight="false" outlineLevel="0" collapsed="false">
      <c r="A957" s="52" t="n">
        <v>45532</v>
      </c>
      <c r="B957" s="57" t="n">
        <v>0.0196</v>
      </c>
      <c r="C957" s="57" t="n">
        <v>0.01923</v>
      </c>
      <c r="D957" s="57" t="n">
        <v>0.02003</v>
      </c>
      <c r="E957" s="57" t="n">
        <v>0.02051</v>
      </c>
      <c r="F957" s="57" t="n">
        <v>0.02267</v>
      </c>
      <c r="G957" s="57" t="n">
        <v>0.02754</v>
      </c>
    </row>
    <row r="958" customFormat="false" ht="15" hidden="false" customHeight="false" outlineLevel="0" collapsed="false">
      <c r="A958" s="52" t="n">
        <v>45533</v>
      </c>
      <c r="B958" s="57" t="n">
        <v>0.0196</v>
      </c>
      <c r="C958" s="57" t="n">
        <v>0.01923</v>
      </c>
      <c r="D958" s="57" t="n">
        <v>0.02003</v>
      </c>
      <c r="E958" s="57" t="n">
        <v>0.02051</v>
      </c>
      <c r="F958" s="57" t="n">
        <v>0.02266</v>
      </c>
      <c r="G958" s="57" t="n">
        <v>0.02748</v>
      </c>
    </row>
    <row r="959" customFormat="false" ht="15" hidden="false" customHeight="false" outlineLevel="0" collapsed="false">
      <c r="A959" s="52" t="n">
        <v>45534</v>
      </c>
      <c r="B959" s="57" t="n">
        <v>0.0196</v>
      </c>
      <c r="C959" s="57" t="n">
        <v>0.01923</v>
      </c>
      <c r="D959" s="57" t="n">
        <v>0.02003</v>
      </c>
      <c r="E959" s="57" t="n">
        <v>0.02049</v>
      </c>
      <c r="F959" s="57" t="n">
        <v>0.02267</v>
      </c>
      <c r="G959" s="57" t="n">
        <v>0.02755</v>
      </c>
    </row>
    <row r="960" customFormat="false" ht="15" hidden="false" customHeight="false" outlineLevel="0" collapsed="false">
      <c r="A960" s="52" t="n">
        <v>45537</v>
      </c>
      <c r="B960" s="57" t="n">
        <v>0.0196</v>
      </c>
      <c r="C960" s="57" t="n">
        <v>0.01923</v>
      </c>
      <c r="D960" s="57" t="n">
        <v>0.02003</v>
      </c>
      <c r="E960" s="57" t="n">
        <v>0.02049</v>
      </c>
      <c r="F960" s="57" t="n">
        <v>0.02267</v>
      </c>
      <c r="G960" s="57" t="n">
        <v>0.02755</v>
      </c>
    </row>
    <row r="961" customFormat="false" ht="15" hidden="false" customHeight="false" outlineLevel="0" collapsed="false">
      <c r="A961" s="52" t="n">
        <v>45538</v>
      </c>
      <c r="B961" s="57" t="n">
        <v>0.0196</v>
      </c>
      <c r="C961" s="57" t="n">
        <v>0.01923</v>
      </c>
      <c r="D961" s="57" t="n">
        <v>0.02003</v>
      </c>
      <c r="E961" s="57" t="n">
        <v>0.02049</v>
      </c>
      <c r="F961" s="57" t="n">
        <v>0.02267</v>
      </c>
      <c r="G961" s="57" t="n">
        <v>0.02755</v>
      </c>
    </row>
    <row r="962" customFormat="false" ht="15" hidden="false" customHeight="false" outlineLevel="0" collapsed="false">
      <c r="A962" s="52" t="n">
        <v>45539</v>
      </c>
      <c r="B962" s="57" t="n">
        <v>0.0196</v>
      </c>
      <c r="C962" s="57" t="n">
        <v>0.01923</v>
      </c>
      <c r="D962" s="57" t="n">
        <v>0.02004</v>
      </c>
      <c r="E962" s="57" t="n">
        <v>0.02056</v>
      </c>
      <c r="F962" s="57" t="n">
        <v>0.02283</v>
      </c>
      <c r="G962" s="57" t="n">
        <v>0.02751</v>
      </c>
    </row>
    <row r="963" customFormat="false" ht="15" hidden="false" customHeight="false" outlineLevel="0" collapsed="false">
      <c r="A963" s="52" t="n">
        <v>45540</v>
      </c>
      <c r="B963" s="57" t="n">
        <v>0.0196</v>
      </c>
      <c r="C963" s="57" t="n">
        <v>0.01923</v>
      </c>
      <c r="D963" s="57" t="n">
        <v>0.02002</v>
      </c>
      <c r="E963" s="57" t="n">
        <v>0.02042</v>
      </c>
      <c r="F963" s="57" t="n">
        <v>0.02294</v>
      </c>
      <c r="G963" s="57" t="n">
        <v>0.02761</v>
      </c>
    </row>
    <row r="964" customFormat="false" ht="15" hidden="false" customHeight="false" outlineLevel="0" collapsed="false">
      <c r="A964" s="52" t="n">
        <v>45541</v>
      </c>
      <c r="B964" s="57" t="n">
        <v>0.01961</v>
      </c>
      <c r="C964" s="57" t="n">
        <v>0.01923</v>
      </c>
      <c r="D964" s="57" t="n">
        <v>0.02002</v>
      </c>
      <c r="E964" s="57" t="n">
        <v>0.02034</v>
      </c>
      <c r="F964" s="57" t="n">
        <v>0.02283</v>
      </c>
      <c r="G964" s="57" t="n">
        <v>0.02752</v>
      </c>
    </row>
    <row r="965" customFormat="false" ht="15" hidden="false" customHeight="false" outlineLevel="0" collapsed="false">
      <c r="A965" s="52" t="n">
        <v>45544</v>
      </c>
      <c r="B965" s="57" t="n">
        <v>0.0196</v>
      </c>
      <c r="C965" s="57" t="n">
        <v>0.01922</v>
      </c>
      <c r="D965" s="57" t="n">
        <v>0.02001</v>
      </c>
      <c r="E965" s="57" t="n">
        <v>0.02021</v>
      </c>
      <c r="F965" s="57" t="n">
        <v>0.02264</v>
      </c>
      <c r="G965" s="57" t="n">
        <v>0.02733</v>
      </c>
    </row>
    <row r="966" customFormat="false" ht="15" hidden="false" customHeight="false" outlineLevel="0" collapsed="false">
      <c r="A966" s="52" t="n">
        <v>45545</v>
      </c>
      <c r="B966" s="57" t="n">
        <v>0.01959</v>
      </c>
      <c r="C966" s="57" t="n">
        <v>0.01923</v>
      </c>
      <c r="D966" s="57" t="n">
        <v>0.02002</v>
      </c>
      <c r="E966" s="57" t="n">
        <v>0.02028</v>
      </c>
      <c r="F966" s="57" t="n">
        <v>0.02261</v>
      </c>
      <c r="G966" s="57" t="n">
        <v>0.02733</v>
      </c>
    </row>
    <row r="967" customFormat="false" ht="15" hidden="false" customHeight="false" outlineLevel="0" collapsed="false">
      <c r="A967" s="52" t="n">
        <v>45546</v>
      </c>
      <c r="B967" s="57" t="n">
        <v>0.01959</v>
      </c>
      <c r="C967" s="57" t="n">
        <v>0.01922</v>
      </c>
      <c r="D967" s="57" t="n">
        <v>0.02002</v>
      </c>
      <c r="E967" s="57" t="n">
        <v>0.02033</v>
      </c>
      <c r="F967" s="57" t="n">
        <v>0.02269</v>
      </c>
      <c r="G967" s="57" t="n">
        <v>0.02734</v>
      </c>
    </row>
    <row r="968" customFormat="false" ht="15" hidden="false" customHeight="false" outlineLevel="0" collapsed="false">
      <c r="A968" s="52" t="n">
        <v>45547</v>
      </c>
      <c r="B968" s="57" t="n">
        <v>0.0196</v>
      </c>
      <c r="C968" s="57" t="n">
        <v>0.01922</v>
      </c>
      <c r="D968" s="57" t="n">
        <v>0.02002</v>
      </c>
      <c r="E968" s="57" t="n">
        <v>0.02032</v>
      </c>
      <c r="F968" s="57" t="n">
        <v>0.02264</v>
      </c>
      <c r="G968" s="57" t="n">
        <v>0.02726</v>
      </c>
    </row>
    <row r="969" customFormat="false" ht="15" hidden="false" customHeight="false" outlineLevel="0" collapsed="false">
      <c r="A969" s="52" t="n">
        <v>45548</v>
      </c>
      <c r="B969" s="57" t="n">
        <v>0.0196</v>
      </c>
      <c r="C969" s="57" t="n">
        <v>0.01922</v>
      </c>
      <c r="D969" s="57" t="n">
        <v>0.02002</v>
      </c>
      <c r="E969" s="57" t="n">
        <v>0.02038</v>
      </c>
      <c r="F969" s="57" t="n">
        <v>0.0226</v>
      </c>
      <c r="G969" s="57" t="n">
        <v>0.02727</v>
      </c>
    </row>
    <row r="970" customFormat="false" ht="15" hidden="false" customHeight="false" outlineLevel="0" collapsed="false">
      <c r="A970" s="52" t="n">
        <v>45551</v>
      </c>
      <c r="B970" s="57" t="n">
        <v>0.01959</v>
      </c>
      <c r="C970" s="57" t="n">
        <v>0.01922</v>
      </c>
      <c r="D970" s="57" t="n">
        <v>0.02001</v>
      </c>
      <c r="E970" s="57" t="n">
        <v>0.02029</v>
      </c>
      <c r="F970" s="57" t="n">
        <v>0.0225</v>
      </c>
      <c r="G970" s="57" t="n">
        <v>0.02724</v>
      </c>
    </row>
    <row r="971" customFormat="false" ht="15" hidden="false" customHeight="false" outlineLevel="0" collapsed="false">
      <c r="A971" s="52" t="n">
        <v>45552</v>
      </c>
      <c r="B971" s="57" t="n">
        <v>0.01956</v>
      </c>
      <c r="C971" s="57" t="n">
        <v>0.01918</v>
      </c>
      <c r="D971" s="57" t="n">
        <v>0.01997</v>
      </c>
      <c r="E971" s="57" t="n">
        <v>0.02027</v>
      </c>
      <c r="F971" s="57" t="n">
        <v>0.02226</v>
      </c>
      <c r="G971" s="57" t="n">
        <v>0.02708</v>
      </c>
    </row>
    <row r="972" customFormat="false" ht="15" hidden="false" customHeight="false" outlineLevel="0" collapsed="false">
      <c r="A972" s="52" t="n">
        <v>45553</v>
      </c>
      <c r="B972" s="57" t="n">
        <v>0.01956</v>
      </c>
      <c r="C972" s="57" t="n">
        <v>0.01917</v>
      </c>
      <c r="D972" s="57" t="n">
        <v>0.01998</v>
      </c>
      <c r="E972" s="57" t="n">
        <v>0.02028</v>
      </c>
      <c r="F972" s="57" t="n">
        <v>0.02254</v>
      </c>
      <c r="G972" s="57" t="n">
        <v>0.02726</v>
      </c>
    </row>
    <row r="973" customFormat="false" ht="15" hidden="false" customHeight="false" outlineLevel="0" collapsed="false">
      <c r="A973" s="52" t="n">
        <v>45554</v>
      </c>
      <c r="B973" s="57" t="n">
        <v>0.01951</v>
      </c>
      <c r="C973" s="57" t="n">
        <v>0.01914</v>
      </c>
      <c r="D973" s="57" t="n">
        <v>0.01989</v>
      </c>
      <c r="E973" s="57" t="n">
        <v>0.02013</v>
      </c>
      <c r="F973" s="57" t="n">
        <v>0.02226</v>
      </c>
      <c r="G973" s="57" t="n">
        <v>0.02711</v>
      </c>
    </row>
    <row r="974" customFormat="false" ht="15" hidden="false" customHeight="false" outlineLevel="0" collapsed="false">
      <c r="A974" s="52" t="n">
        <v>45555</v>
      </c>
      <c r="B974" s="57" t="n">
        <v>0.01951</v>
      </c>
      <c r="C974" s="57" t="n">
        <v>0.01913</v>
      </c>
      <c r="D974" s="57" t="n">
        <v>0.01989</v>
      </c>
      <c r="E974" s="57" t="n">
        <v>0.0201</v>
      </c>
      <c r="F974" s="57" t="n">
        <v>0.0221</v>
      </c>
      <c r="G974" s="57" t="n">
        <v>0.02696</v>
      </c>
    </row>
    <row r="975" customFormat="false" ht="15" hidden="false" customHeight="false" outlineLevel="0" collapsed="false">
      <c r="A975" s="52" t="n">
        <v>45558</v>
      </c>
      <c r="B975" s="57" t="n">
        <v>0.01952</v>
      </c>
      <c r="C975" s="57" t="n">
        <v>0.01913</v>
      </c>
      <c r="D975" s="57" t="n">
        <v>0.01989</v>
      </c>
      <c r="E975" s="57" t="n">
        <v>0.02008</v>
      </c>
      <c r="F975" s="57" t="n">
        <v>0.02198</v>
      </c>
      <c r="G975" s="57" t="n">
        <v>0.02692</v>
      </c>
    </row>
    <row r="976" customFormat="false" ht="15" hidden="false" customHeight="false" outlineLevel="0" collapsed="false">
      <c r="A976" s="52" t="n">
        <v>45559</v>
      </c>
      <c r="B976" s="57" t="n">
        <v>0.01947</v>
      </c>
      <c r="C976" s="57" t="n">
        <v>0.01904</v>
      </c>
      <c r="D976" s="57" t="n">
        <v>0.01975</v>
      </c>
      <c r="E976" s="57" t="n">
        <v>0.01975</v>
      </c>
      <c r="F976" s="57" t="n">
        <v>0.02205</v>
      </c>
      <c r="G976" s="57" t="n">
        <v>0.02685</v>
      </c>
    </row>
    <row r="977" customFormat="false" ht="15" hidden="false" customHeight="false" outlineLevel="0" collapsed="false">
      <c r="A977" s="52" t="n">
        <v>45560</v>
      </c>
      <c r="B977" s="57" t="n">
        <v>0.01946</v>
      </c>
      <c r="C977" s="57" t="n">
        <v>0.01904</v>
      </c>
      <c r="D977" s="57" t="n">
        <v>0.01975</v>
      </c>
      <c r="E977" s="57" t="n">
        <v>0.01972</v>
      </c>
      <c r="F977" s="57" t="n">
        <v>0.022</v>
      </c>
      <c r="G977" s="57" t="n">
        <v>0.02692</v>
      </c>
    </row>
    <row r="978" customFormat="false" ht="15" hidden="false" customHeight="false" outlineLevel="0" collapsed="false">
      <c r="A978" s="52" t="n">
        <v>45561</v>
      </c>
      <c r="B978" s="57" t="n">
        <v>0.01947</v>
      </c>
      <c r="C978" s="57" t="n">
        <v>0.01904</v>
      </c>
      <c r="D978" s="57" t="n">
        <v>0.01974</v>
      </c>
      <c r="E978" s="57" t="n">
        <v>0.01963</v>
      </c>
      <c r="F978" s="57" t="n">
        <v>0.02195</v>
      </c>
      <c r="G978" s="57" t="n">
        <v>0.02684</v>
      </c>
    </row>
    <row r="979" customFormat="false" ht="15" hidden="false" customHeight="false" outlineLevel="0" collapsed="false">
      <c r="A979" s="52" t="n">
        <v>45562</v>
      </c>
      <c r="B979" s="57" t="n">
        <v>0.01947</v>
      </c>
      <c r="C979" s="57" t="n">
        <v>0.01904</v>
      </c>
      <c r="D979" s="57" t="n">
        <v>0.01975</v>
      </c>
      <c r="E979" s="57" t="n">
        <v>0.0197</v>
      </c>
      <c r="F979" s="57" t="n">
        <v>0.02201</v>
      </c>
      <c r="G979" s="57" t="n">
        <v>0.02675</v>
      </c>
    </row>
    <row r="980" customFormat="false" ht="15" hidden="false" customHeight="false" outlineLevel="0" collapsed="false">
      <c r="A980" s="52" t="n">
        <v>45565</v>
      </c>
      <c r="B980" s="57" t="n">
        <v>0.01947</v>
      </c>
      <c r="C980" s="57" t="n">
        <v>0.01904</v>
      </c>
      <c r="D980" s="57" t="n">
        <v>0.01975</v>
      </c>
      <c r="E980" s="57" t="n">
        <v>0.01977</v>
      </c>
      <c r="F980" s="57" t="n">
        <v>0.02213</v>
      </c>
      <c r="G980" s="57" t="n">
        <v>0.02693</v>
      </c>
    </row>
    <row r="981" customFormat="false" ht="15" hidden="false" customHeight="false" outlineLevel="0" collapsed="false">
      <c r="A981" s="52" t="n">
        <v>45566</v>
      </c>
      <c r="B981" s="57" t="n">
        <v>0.01947</v>
      </c>
      <c r="C981" s="57" t="n">
        <v>0.01955</v>
      </c>
      <c r="D981" s="57" t="n">
        <v>0.01974</v>
      </c>
      <c r="E981" s="57" t="n">
        <v>0.01986</v>
      </c>
      <c r="F981" s="57" t="n">
        <v>0.02214</v>
      </c>
      <c r="G981" s="57" t="n">
        <v>0.02689</v>
      </c>
    </row>
    <row r="982" customFormat="false" ht="15" hidden="false" customHeight="false" outlineLevel="0" collapsed="false">
      <c r="A982" s="52" t="n">
        <v>45567</v>
      </c>
      <c r="B982" s="57" t="n">
        <v>0.01947</v>
      </c>
      <c r="C982" s="57" t="n">
        <v>0.01955</v>
      </c>
      <c r="D982" s="57" t="n">
        <v>0.01975</v>
      </c>
      <c r="E982" s="57" t="n">
        <v>0.01988</v>
      </c>
      <c r="F982" s="57" t="n">
        <v>0.02212</v>
      </c>
      <c r="G982" s="57" t="n">
        <v>0.0269</v>
      </c>
    </row>
    <row r="983" customFormat="false" ht="15" hidden="false" customHeight="false" outlineLevel="0" collapsed="false">
      <c r="A983" s="52" t="n">
        <v>45568</v>
      </c>
      <c r="B983" s="57" t="n">
        <v>0.01947</v>
      </c>
      <c r="C983" s="57" t="n">
        <v>0.01956</v>
      </c>
      <c r="D983" s="57" t="n">
        <v>0.01974</v>
      </c>
      <c r="E983" s="57" t="n">
        <v>0.01967</v>
      </c>
      <c r="F983" s="57" t="n">
        <v>0.02215</v>
      </c>
      <c r="G983" s="57" t="n">
        <v>0.02689</v>
      </c>
    </row>
    <row r="984" customFormat="false" ht="15" hidden="false" customHeight="false" outlineLevel="0" collapsed="false">
      <c r="A984" s="52" t="n">
        <v>45569</v>
      </c>
      <c r="B984" s="57" t="n">
        <v>0.01942</v>
      </c>
      <c r="C984" s="57" t="n">
        <v>0.01951</v>
      </c>
      <c r="D984" s="57" t="n">
        <v>0.01971</v>
      </c>
      <c r="E984" s="57" t="n">
        <v>0.01983</v>
      </c>
      <c r="F984" s="57" t="n">
        <v>0.02213</v>
      </c>
      <c r="G984" s="57" t="n">
        <v>0.02693</v>
      </c>
    </row>
    <row r="985" customFormat="false" ht="15" hidden="false" customHeight="false" outlineLevel="0" collapsed="false">
      <c r="A985" s="52" t="n">
        <v>45572</v>
      </c>
      <c r="B985" s="57" t="n">
        <v>0.01943</v>
      </c>
      <c r="C985" s="57" t="n">
        <v>0.01951</v>
      </c>
      <c r="D985" s="57" t="n">
        <v>0.01971</v>
      </c>
      <c r="E985" s="57" t="n">
        <v>0.01978</v>
      </c>
      <c r="F985" s="57" t="n">
        <v>0.02211</v>
      </c>
      <c r="G985" s="57" t="n">
        <v>0.02687</v>
      </c>
    </row>
    <row r="986" customFormat="false" ht="15" hidden="false" customHeight="false" outlineLevel="0" collapsed="false">
      <c r="A986" s="52" t="n">
        <v>45573</v>
      </c>
      <c r="B986" s="57" t="n">
        <v>0.01943</v>
      </c>
      <c r="C986" s="57" t="n">
        <v>0.01951</v>
      </c>
      <c r="D986" s="57" t="n">
        <v>0.0197</v>
      </c>
      <c r="E986" s="57" t="n">
        <v>0.01963</v>
      </c>
      <c r="F986" s="57" t="n">
        <v>0.02207</v>
      </c>
      <c r="G986" s="57" t="n">
        <v>0.02684</v>
      </c>
    </row>
    <row r="987" customFormat="false" ht="15" hidden="false" customHeight="false" outlineLevel="0" collapsed="false">
      <c r="A987" s="52" t="n">
        <v>45574</v>
      </c>
      <c r="B987" s="57" t="n">
        <v>0.01943</v>
      </c>
      <c r="C987" s="57" t="n">
        <v>0.01951</v>
      </c>
      <c r="D987" s="57" t="n">
        <v>0.0197</v>
      </c>
      <c r="E987" s="57" t="n">
        <v>0.01951</v>
      </c>
      <c r="F987" s="57" t="n">
        <v>0.02207</v>
      </c>
      <c r="G987" s="57" t="n">
        <v>0.02684</v>
      </c>
    </row>
    <row r="988" customFormat="false" ht="15" hidden="false" customHeight="false" outlineLevel="0" collapsed="false">
      <c r="A988" s="52" t="n">
        <v>45575</v>
      </c>
      <c r="B988" s="57" t="n">
        <v>0.01943</v>
      </c>
      <c r="C988" s="57" t="n">
        <v>0.01951</v>
      </c>
      <c r="D988" s="57" t="n">
        <v>0.01969</v>
      </c>
      <c r="E988" s="57" t="n">
        <v>0.01941</v>
      </c>
      <c r="F988" s="57" t="n">
        <v>0.02207</v>
      </c>
      <c r="G988" s="57" t="n">
        <v>0.02669</v>
      </c>
    </row>
    <row r="989" customFormat="false" ht="15" hidden="false" customHeight="false" outlineLevel="0" collapsed="false">
      <c r="A989" s="52" t="n">
        <v>45576</v>
      </c>
      <c r="B989" s="57" t="n">
        <v>0.01942</v>
      </c>
      <c r="C989" s="57" t="n">
        <v>0.01951</v>
      </c>
      <c r="D989" s="57" t="n">
        <v>0.0197</v>
      </c>
      <c r="E989" s="57" t="n">
        <v>0.01946</v>
      </c>
      <c r="F989" s="57" t="n">
        <v>0.02206</v>
      </c>
      <c r="G989" s="57" t="n">
        <v>0.02682</v>
      </c>
    </row>
    <row r="990" customFormat="false" ht="15" hidden="false" customHeight="false" outlineLevel="0" collapsed="false">
      <c r="A990" s="52" t="n">
        <v>45579</v>
      </c>
      <c r="B990" s="57" t="n">
        <v>0.01942</v>
      </c>
      <c r="C990" s="57" t="n">
        <v>0.01951</v>
      </c>
      <c r="D990" s="57" t="n">
        <v>0.0197</v>
      </c>
      <c r="E990" s="57" t="n">
        <v>0.01967</v>
      </c>
      <c r="F990" s="57" t="n">
        <v>0.02211</v>
      </c>
      <c r="G990" s="57" t="n">
        <v>0.02685</v>
      </c>
    </row>
    <row r="991" customFormat="false" ht="15" hidden="false" customHeight="false" outlineLevel="0" collapsed="false">
      <c r="A991" s="52" t="n">
        <v>45580</v>
      </c>
      <c r="B991" s="57" t="n">
        <v>0.01942</v>
      </c>
      <c r="C991" s="57" t="n">
        <v>0.01951</v>
      </c>
      <c r="D991" s="57" t="n">
        <v>0.0197</v>
      </c>
      <c r="E991" s="57" t="n">
        <v>0.01956</v>
      </c>
      <c r="F991" s="57" t="n">
        <v>0.02207</v>
      </c>
      <c r="G991" s="57" t="n">
        <v>0.02684</v>
      </c>
    </row>
    <row r="992" customFormat="false" ht="15" hidden="false" customHeight="false" outlineLevel="0" collapsed="false">
      <c r="A992" s="52" t="n">
        <v>45581</v>
      </c>
      <c r="B992" s="57" t="n">
        <v>0.01943</v>
      </c>
      <c r="C992" s="57" t="n">
        <v>0.01951</v>
      </c>
      <c r="D992" s="57" t="n">
        <v>0.0197</v>
      </c>
      <c r="E992" s="57" t="n">
        <v>0.01939</v>
      </c>
      <c r="F992" s="57" t="n">
        <v>0.02206</v>
      </c>
      <c r="G992" s="57" t="n">
        <v>0.02678</v>
      </c>
    </row>
    <row r="993" customFormat="false" ht="15" hidden="false" customHeight="false" outlineLevel="0" collapsed="false">
      <c r="A993" s="52" t="n">
        <v>45582</v>
      </c>
      <c r="B993" s="57" t="n">
        <v>0.01942</v>
      </c>
      <c r="C993" s="57" t="n">
        <v>0.0195</v>
      </c>
      <c r="D993" s="57" t="n">
        <v>0.0197</v>
      </c>
      <c r="E993" s="57" t="n">
        <v>0.01954</v>
      </c>
      <c r="F993" s="57" t="n">
        <v>0.02207</v>
      </c>
      <c r="G993" s="57" t="n">
        <v>0.02681</v>
      </c>
    </row>
    <row r="994" customFormat="false" ht="15" hidden="false" customHeight="false" outlineLevel="0" collapsed="false">
      <c r="A994" s="52" t="n">
        <v>45583</v>
      </c>
      <c r="B994" s="57" t="n">
        <v>0.01943</v>
      </c>
      <c r="C994" s="57" t="n">
        <v>0.01951</v>
      </c>
      <c r="D994" s="57" t="n">
        <v>0.01971</v>
      </c>
      <c r="E994" s="57" t="n">
        <v>0.01957</v>
      </c>
      <c r="F994" s="57" t="n">
        <v>0.02211</v>
      </c>
      <c r="G994" s="57" t="n">
        <v>0.02683</v>
      </c>
    </row>
    <row r="995" customFormat="false" ht="15" hidden="false" customHeight="false" outlineLevel="0" collapsed="false">
      <c r="A995" s="52" t="n">
        <v>45586</v>
      </c>
      <c r="B995" s="57" t="n">
        <v>0.01943</v>
      </c>
      <c r="C995" s="57" t="n">
        <v>0.0195</v>
      </c>
      <c r="D995" s="57" t="n">
        <v>0.01971</v>
      </c>
      <c r="E995" s="57" t="n">
        <v>0.01957</v>
      </c>
      <c r="F995" s="57" t="n">
        <v>0.02212</v>
      </c>
      <c r="G995" s="57" t="n">
        <v>0.02691</v>
      </c>
    </row>
    <row r="996" customFormat="false" ht="15" hidden="false" customHeight="false" outlineLevel="0" collapsed="false">
      <c r="A996" s="52" t="n">
        <v>45587</v>
      </c>
      <c r="B996" s="57" t="n">
        <v>0.01942</v>
      </c>
      <c r="C996" s="57" t="n">
        <v>0.01951</v>
      </c>
      <c r="D996" s="57" t="n">
        <v>0.01971</v>
      </c>
      <c r="E996" s="57" t="n">
        <v>0.01967</v>
      </c>
      <c r="F996" s="57" t="n">
        <v>0.02236</v>
      </c>
      <c r="G996" s="57" t="n">
        <v>0.02711</v>
      </c>
    </row>
    <row r="997" customFormat="false" ht="15" hidden="false" customHeight="false" outlineLevel="0" collapsed="false">
      <c r="A997" s="52" t="n">
        <v>45588</v>
      </c>
      <c r="B997" s="57" t="n">
        <v>0.01942</v>
      </c>
      <c r="C997" s="57" t="n">
        <v>0.0195</v>
      </c>
      <c r="D997" s="57" t="n">
        <v>0.01971</v>
      </c>
      <c r="E997" s="57" t="n">
        <v>0.01966</v>
      </c>
      <c r="F997" s="57" t="n">
        <v>0.02248</v>
      </c>
      <c r="G997" s="57" t="n">
        <v>0.02724</v>
      </c>
    </row>
    <row r="998" customFormat="false" ht="15" hidden="false" customHeight="false" outlineLevel="0" collapsed="false">
      <c r="A998" s="52" t="n">
        <v>45589</v>
      </c>
      <c r="B998" s="57" t="n">
        <v>0.01942</v>
      </c>
      <c r="C998" s="57" t="n">
        <v>0.0195</v>
      </c>
      <c r="D998" s="57" t="n">
        <v>0.01971</v>
      </c>
      <c r="E998" s="57" t="n">
        <v>0.01972</v>
      </c>
      <c r="F998" s="57" t="n">
        <v>0.02253</v>
      </c>
      <c r="G998" s="57" t="n">
        <v>0.02723</v>
      </c>
    </row>
    <row r="999" customFormat="false" ht="15" hidden="false" customHeight="false" outlineLevel="0" collapsed="false">
      <c r="A999" s="52" t="n">
        <v>45590</v>
      </c>
      <c r="B999" s="57" t="n">
        <v>0.01943</v>
      </c>
      <c r="C999" s="57" t="n">
        <v>0.0195</v>
      </c>
      <c r="D999" s="57" t="n">
        <v>0.01971</v>
      </c>
      <c r="E999" s="57" t="n">
        <v>0.01978</v>
      </c>
      <c r="F999" s="57" t="n">
        <v>0.02257</v>
      </c>
      <c r="G999" s="57" t="n">
        <v>0.02721</v>
      </c>
    </row>
    <row r="1000" customFormat="false" ht="15" hidden="false" customHeight="false" outlineLevel="0" collapsed="false">
      <c r="A1000" s="52" t="n">
        <v>45593</v>
      </c>
      <c r="B1000" s="57" t="n">
        <v>0.01942</v>
      </c>
      <c r="C1000" s="57" t="n">
        <v>0.0195</v>
      </c>
      <c r="D1000" s="57" t="n">
        <v>0.01971</v>
      </c>
      <c r="E1000" s="57" t="n">
        <v>0.01971</v>
      </c>
      <c r="F1000" s="57" t="n">
        <v>0.02242</v>
      </c>
      <c r="G1000" s="57" t="n">
        <v>0.02714</v>
      </c>
    </row>
    <row r="1001" customFormat="false" ht="15" hidden="false" customHeight="false" outlineLevel="0" collapsed="false">
      <c r="A1001" s="52" t="n">
        <v>45594</v>
      </c>
      <c r="B1001" s="57" t="n">
        <v>0.01942</v>
      </c>
      <c r="C1001" s="57" t="n">
        <v>0.0195</v>
      </c>
      <c r="D1001" s="57" t="n">
        <v>0.01971</v>
      </c>
      <c r="E1001" s="57" t="n">
        <v>0.01973</v>
      </c>
      <c r="F1001" s="57" t="n">
        <v>0.02246</v>
      </c>
      <c r="G1001" s="57" t="n">
        <v>0.02717</v>
      </c>
    </row>
    <row r="1002" customFormat="false" ht="15" hidden="false" customHeight="false" outlineLevel="0" collapsed="false">
      <c r="A1002" s="52" t="n">
        <v>45595</v>
      </c>
      <c r="B1002" s="57" t="n">
        <v>0.01942</v>
      </c>
      <c r="C1002" s="57" t="n">
        <v>0.0195</v>
      </c>
      <c r="D1002" s="57" t="n">
        <v>0.01971</v>
      </c>
      <c r="E1002" s="57" t="n">
        <v>0.01973</v>
      </c>
      <c r="F1002" s="57" t="n">
        <v>0.0225</v>
      </c>
      <c r="G1002" s="57" t="n">
        <v>0.02717</v>
      </c>
    </row>
    <row r="1003" customFormat="false" ht="15" hidden="false" customHeight="false" outlineLevel="0" collapsed="false">
      <c r="A1003" s="52" t="n">
        <v>45596</v>
      </c>
      <c r="B1003" s="57" t="n">
        <v>0.01942</v>
      </c>
      <c r="C1003" s="57" t="n">
        <v>0.0195</v>
      </c>
      <c r="D1003" s="57" t="n">
        <v>0.01971</v>
      </c>
      <c r="E1003" s="57" t="n">
        <v>0.0198</v>
      </c>
      <c r="F1003" s="57" t="n">
        <v>0.02251</v>
      </c>
      <c r="G1003" s="57" t="n">
        <v>0.02723</v>
      </c>
    </row>
    <row r="1004" customFormat="false" ht="15" hidden="false" customHeight="false" outlineLevel="0" collapsed="false">
      <c r="A1004" s="52" t="n">
        <v>45597</v>
      </c>
      <c r="B1004" s="57" t="n">
        <v>0.01894</v>
      </c>
      <c r="C1004" s="57" t="n">
        <v>0.01954</v>
      </c>
      <c r="D1004" s="57" t="n">
        <v>0.0197</v>
      </c>
      <c r="E1004" s="57" t="n">
        <v>0.01968</v>
      </c>
      <c r="F1004" s="57" t="n">
        <v>0.0225</v>
      </c>
      <c r="G1004" s="57" t="n">
        <v>0.02766</v>
      </c>
    </row>
    <row r="1005" customFormat="false" ht="15" hidden="false" customHeight="false" outlineLevel="0" collapsed="false">
      <c r="A1005" s="52" t="n">
        <v>45600</v>
      </c>
      <c r="B1005" s="57" t="n">
        <v>0.01894</v>
      </c>
      <c r="C1005" s="57" t="n">
        <v>0.01954</v>
      </c>
      <c r="D1005" s="57" t="n">
        <v>0.01971</v>
      </c>
      <c r="E1005" s="57" t="n">
        <v>0.01983</v>
      </c>
      <c r="F1005" s="57" t="n">
        <v>0.0226</v>
      </c>
      <c r="G1005" s="57" t="n">
        <v>0.0277</v>
      </c>
    </row>
    <row r="1006" customFormat="false" ht="15" hidden="false" customHeight="false" outlineLevel="0" collapsed="false">
      <c r="A1006" s="52" t="n">
        <v>45601</v>
      </c>
      <c r="B1006" s="57" t="n">
        <v>0.0189</v>
      </c>
      <c r="C1006" s="57" t="n">
        <v>0.01937</v>
      </c>
      <c r="D1006" s="57" t="n">
        <v>0.01971</v>
      </c>
      <c r="E1006" s="57" t="n">
        <v>0.0198</v>
      </c>
      <c r="F1006" s="57" t="n">
        <v>0.02258</v>
      </c>
      <c r="G1006" s="57" t="n">
        <v>0.02777</v>
      </c>
    </row>
    <row r="1007" customFormat="false" ht="15" hidden="false" customHeight="false" outlineLevel="0" collapsed="false">
      <c r="A1007" s="52" t="n">
        <v>45602</v>
      </c>
      <c r="B1007" s="57" t="n">
        <v>0.01889</v>
      </c>
      <c r="C1007" s="57" t="n">
        <v>0.01938</v>
      </c>
      <c r="D1007" s="57" t="n">
        <v>0.0197</v>
      </c>
      <c r="E1007" s="57" t="n">
        <v>0.01975</v>
      </c>
      <c r="F1007" s="57" t="n">
        <v>0.02258</v>
      </c>
      <c r="G1007" s="57" t="n">
        <v>0.02775</v>
      </c>
    </row>
    <row r="1008" customFormat="false" ht="15" hidden="false" customHeight="false" outlineLevel="0" collapsed="false">
      <c r="A1008" s="52" t="n">
        <v>45603</v>
      </c>
      <c r="B1008" s="57" t="n">
        <v>0.01895</v>
      </c>
      <c r="C1008" s="57" t="n">
        <v>0.01947</v>
      </c>
      <c r="D1008" s="57" t="n">
        <v>0.01982</v>
      </c>
      <c r="E1008" s="57" t="n">
        <v>0.01995</v>
      </c>
      <c r="F1008" s="57" t="n">
        <v>0.02273</v>
      </c>
      <c r="G1008" s="57" t="n">
        <v>0.02802</v>
      </c>
    </row>
    <row r="1009" customFormat="false" ht="15" hidden="false" customHeight="false" outlineLevel="0" collapsed="false">
      <c r="A1009" s="52" t="n">
        <v>45604</v>
      </c>
      <c r="B1009" s="57" t="n">
        <v>0.01894</v>
      </c>
      <c r="C1009" s="57" t="n">
        <v>0.01947</v>
      </c>
      <c r="D1009" s="57" t="n">
        <v>0.01986</v>
      </c>
      <c r="E1009" s="57" t="n">
        <v>0.01995</v>
      </c>
      <c r="F1009" s="57" t="n">
        <v>0.02269</v>
      </c>
      <c r="G1009" s="57" t="n">
        <v>0.02793</v>
      </c>
    </row>
    <row r="1010" customFormat="false" ht="15" hidden="false" customHeight="false" outlineLevel="0" collapsed="false">
      <c r="A1010" s="52" t="n">
        <v>45607</v>
      </c>
      <c r="B1010" s="57" t="n">
        <v>0.01894</v>
      </c>
      <c r="C1010" s="57" t="n">
        <v>0.01945</v>
      </c>
      <c r="D1010" s="57" t="n">
        <v>0.01976</v>
      </c>
      <c r="E1010" s="57" t="n">
        <v>0.01998</v>
      </c>
      <c r="F1010" s="57" t="n">
        <v>0.02274</v>
      </c>
      <c r="G1010" s="57" t="n">
        <v>0.02801</v>
      </c>
    </row>
    <row r="1011" customFormat="false" ht="15" hidden="false" customHeight="false" outlineLevel="0" collapsed="false">
      <c r="A1011" s="52" t="n">
        <v>45608</v>
      </c>
      <c r="B1011" s="57" t="n">
        <v>0.01894</v>
      </c>
      <c r="C1011" s="57" t="n">
        <v>0.01945</v>
      </c>
      <c r="D1011" s="57" t="n">
        <v>0.01976</v>
      </c>
      <c r="E1011" s="57" t="n">
        <v>0.01993</v>
      </c>
      <c r="F1011" s="57" t="n">
        <v>0.02272</v>
      </c>
      <c r="G1011" s="57" t="n">
        <v>0.02798</v>
      </c>
    </row>
    <row r="1012" customFormat="false" ht="15" hidden="false" customHeight="false" outlineLevel="0" collapsed="false">
      <c r="A1012" s="52" t="n">
        <v>45609</v>
      </c>
      <c r="B1012" s="57" t="n">
        <v>0.01894</v>
      </c>
      <c r="C1012" s="57" t="n">
        <v>0.01945</v>
      </c>
      <c r="D1012" s="57" t="n">
        <v>0.01976</v>
      </c>
      <c r="E1012" s="57" t="n">
        <v>0.02002</v>
      </c>
      <c r="F1012" s="57" t="n">
        <v>0.02282</v>
      </c>
      <c r="G1012" s="57" t="n">
        <v>0.02801</v>
      </c>
    </row>
    <row r="1013" customFormat="false" ht="15" hidden="false" customHeight="false" outlineLevel="0" collapsed="false">
      <c r="A1013" s="52" t="n">
        <v>45610</v>
      </c>
      <c r="B1013" s="57" t="n">
        <v>0.01894</v>
      </c>
      <c r="C1013" s="57" t="n">
        <v>0.01945</v>
      </c>
      <c r="D1013" s="57" t="n">
        <v>0.01977</v>
      </c>
      <c r="E1013" s="57" t="n">
        <v>0.02011</v>
      </c>
      <c r="F1013" s="57" t="n">
        <v>0.02313</v>
      </c>
      <c r="G1013" s="57" t="n">
        <v>0.0281</v>
      </c>
    </row>
    <row r="1014" customFormat="false" ht="15" hidden="false" customHeight="false" outlineLevel="0" collapsed="false">
      <c r="A1014" s="52" t="n">
        <v>45611</v>
      </c>
      <c r="B1014" s="57" t="n">
        <v>0.01895</v>
      </c>
      <c r="C1014" s="57" t="n">
        <v>0.01944</v>
      </c>
      <c r="D1014" s="57" t="n">
        <v>0.01977</v>
      </c>
      <c r="E1014" s="57" t="n">
        <v>0.0201</v>
      </c>
      <c r="F1014" s="57" t="n">
        <v>0.02318</v>
      </c>
      <c r="G1014" s="57" t="n">
        <v>0.02809</v>
      </c>
    </row>
    <row r="1015" customFormat="false" ht="15" hidden="false" customHeight="false" outlineLevel="0" collapsed="false">
      <c r="A1015" s="52" t="n">
        <v>45614</v>
      </c>
      <c r="B1015" s="57" t="n">
        <v>0.01895</v>
      </c>
      <c r="C1015" s="57" t="n">
        <v>0.01944</v>
      </c>
      <c r="D1015" s="57" t="n">
        <v>0.01977</v>
      </c>
      <c r="E1015" s="57" t="n">
        <v>0.0201</v>
      </c>
      <c r="F1015" s="57" t="n">
        <v>0.0232</v>
      </c>
      <c r="G1015" s="57" t="n">
        <v>0.02809</v>
      </c>
    </row>
    <row r="1016" customFormat="false" ht="15" hidden="false" customHeight="false" outlineLevel="0" collapsed="false">
      <c r="A1016" s="52" t="n">
        <v>45615</v>
      </c>
      <c r="B1016" s="57" t="n">
        <v>0.01896</v>
      </c>
      <c r="C1016" s="57" t="n">
        <v>0.01944</v>
      </c>
      <c r="D1016" s="57" t="n">
        <v>0.01977</v>
      </c>
      <c r="E1016" s="57" t="n">
        <v>0.02007</v>
      </c>
      <c r="F1016" s="57" t="n">
        <v>0.02317</v>
      </c>
      <c r="G1016" s="57" t="n">
        <v>0.02809</v>
      </c>
    </row>
    <row r="1017" customFormat="false" ht="15" hidden="false" customHeight="false" outlineLevel="0" collapsed="false">
      <c r="A1017" s="52" t="n">
        <v>45616</v>
      </c>
      <c r="B1017" s="57" t="n">
        <v>0.01895</v>
      </c>
      <c r="C1017" s="57" t="n">
        <v>0.01944</v>
      </c>
      <c r="D1017" s="57" t="n">
        <v>0.01977</v>
      </c>
      <c r="E1017" s="57" t="n">
        <v>0.02006</v>
      </c>
      <c r="F1017" s="57" t="n">
        <v>0.02318</v>
      </c>
      <c r="G1017" s="57" t="n">
        <v>0.02817</v>
      </c>
    </row>
    <row r="1018" customFormat="false" ht="15" hidden="false" customHeight="false" outlineLevel="0" collapsed="false">
      <c r="A1018" s="52" t="n">
        <v>45617</v>
      </c>
      <c r="B1018" s="57" t="n">
        <v>0.01896</v>
      </c>
      <c r="C1018" s="57" t="n">
        <v>0.01944</v>
      </c>
      <c r="D1018" s="57" t="n">
        <v>0.01977</v>
      </c>
      <c r="E1018" s="57" t="n">
        <v>0.0201</v>
      </c>
      <c r="F1018" s="57" t="n">
        <v>0.02318</v>
      </c>
      <c r="G1018" s="57" t="n">
        <v>0.02821</v>
      </c>
    </row>
    <row r="1019" customFormat="false" ht="15" hidden="false" customHeight="false" outlineLevel="0" collapsed="false">
      <c r="A1019" s="52" t="n">
        <v>45618</v>
      </c>
      <c r="B1019" s="57" t="n">
        <v>0.01895</v>
      </c>
      <c r="C1019" s="57" t="n">
        <v>0.01944</v>
      </c>
      <c r="D1019" s="57" t="n">
        <v>0.01977</v>
      </c>
      <c r="E1019" s="57" t="n">
        <v>0.02021</v>
      </c>
      <c r="F1019" s="57" t="n">
        <v>0.02322</v>
      </c>
      <c r="G1019" s="57" t="n">
        <v>0.0282</v>
      </c>
    </row>
    <row r="1020" customFormat="false" ht="15" hidden="false" customHeight="false" outlineLevel="0" collapsed="false">
      <c r="A1020" s="52" t="n">
        <v>45621</v>
      </c>
      <c r="B1020" s="57" t="n">
        <v>0.01895</v>
      </c>
      <c r="C1020" s="57" t="n">
        <v>0.01944</v>
      </c>
      <c r="D1020" s="57" t="n">
        <v>0.01977</v>
      </c>
      <c r="E1020" s="57" t="n">
        <v>0.02021</v>
      </c>
      <c r="F1020" s="57" t="n">
        <v>0.02324</v>
      </c>
      <c r="G1020" s="57" t="n">
        <v>0.0282</v>
      </c>
    </row>
    <row r="1021" customFormat="false" ht="15" hidden="false" customHeight="false" outlineLevel="0" collapsed="false">
      <c r="A1021" s="52" t="n">
        <v>45622</v>
      </c>
      <c r="B1021" s="57" t="n">
        <v>0.01899</v>
      </c>
      <c r="C1021" s="57" t="n">
        <v>0.01948</v>
      </c>
      <c r="D1021" s="57" t="n">
        <v>0.01981</v>
      </c>
      <c r="E1021" s="57" t="n">
        <v>0.02024</v>
      </c>
      <c r="F1021" s="57" t="n">
        <v>0.02322</v>
      </c>
      <c r="G1021" s="57" t="n">
        <v>0.02812</v>
      </c>
    </row>
    <row r="1022" customFormat="false" ht="15" hidden="false" customHeight="false" outlineLevel="0" collapsed="false">
      <c r="A1022" s="52" t="n">
        <v>45623</v>
      </c>
      <c r="B1022" s="57" t="n">
        <v>0.01899</v>
      </c>
      <c r="C1022" s="57" t="n">
        <v>0.01947</v>
      </c>
      <c r="D1022" s="57" t="n">
        <v>0.01981</v>
      </c>
      <c r="E1022" s="57" t="n">
        <v>0.02024</v>
      </c>
      <c r="F1022" s="57" t="n">
        <v>0.02321</v>
      </c>
      <c r="G1022" s="57" t="n">
        <v>0.0282</v>
      </c>
    </row>
    <row r="1023" customFormat="false" ht="15" hidden="false" customHeight="false" outlineLevel="0" collapsed="false">
      <c r="A1023" s="52" t="n">
        <v>45624</v>
      </c>
      <c r="B1023" s="57" t="n">
        <v>0.01899</v>
      </c>
      <c r="C1023" s="57" t="n">
        <v>0.01947</v>
      </c>
      <c r="D1023" s="57" t="n">
        <v>0.01981</v>
      </c>
      <c r="E1023" s="57" t="n">
        <v>0.02023</v>
      </c>
      <c r="F1023" s="57" t="n">
        <v>0.0232</v>
      </c>
      <c r="G1023" s="57" t="n">
        <v>0.02821</v>
      </c>
    </row>
    <row r="1024" customFormat="false" ht="15" hidden="false" customHeight="false" outlineLevel="0" collapsed="false">
      <c r="A1024" s="52" t="n">
        <v>45625</v>
      </c>
      <c r="B1024" s="57" t="n">
        <v>0.019</v>
      </c>
      <c r="C1024" s="57" t="n">
        <v>0.01947</v>
      </c>
      <c r="D1024" s="57" t="n">
        <v>0.01981</v>
      </c>
      <c r="E1024" s="57" t="n">
        <v>0.02022</v>
      </c>
      <c r="F1024" s="57" t="n">
        <v>0.02318</v>
      </c>
      <c r="G1024" s="57" t="n">
        <v>0.0282</v>
      </c>
    </row>
    <row r="1025" customFormat="false" ht="15" hidden="false" customHeight="false" outlineLevel="0" collapsed="false">
      <c r="A1025" s="52" t="n">
        <v>45628</v>
      </c>
      <c r="B1025" s="57" t="n">
        <v>0.019</v>
      </c>
      <c r="C1025" s="57" t="n">
        <v>0.01947</v>
      </c>
      <c r="D1025" s="57" t="n">
        <v>0.01981</v>
      </c>
      <c r="E1025" s="57" t="n">
        <v>0.02036</v>
      </c>
      <c r="F1025" s="57" t="n">
        <v>0.02334</v>
      </c>
      <c r="G1025" s="57" t="n">
        <v>0.02804</v>
      </c>
    </row>
    <row r="1026" customFormat="false" ht="15" hidden="false" customHeight="false" outlineLevel="0" collapsed="false">
      <c r="A1026" s="52" t="n">
        <v>45629</v>
      </c>
      <c r="B1026" s="57" t="n">
        <v>0.019</v>
      </c>
      <c r="C1026" s="57" t="n">
        <v>0.01947</v>
      </c>
      <c r="D1026" s="57" t="n">
        <v>0.01982</v>
      </c>
      <c r="E1026" s="57" t="n">
        <v>0.02063</v>
      </c>
      <c r="F1026" s="57" t="n">
        <v>0.02386</v>
      </c>
      <c r="G1026" s="57" t="n">
        <v>0.02838</v>
      </c>
    </row>
    <row r="1027" customFormat="false" ht="15" hidden="false" customHeight="false" outlineLevel="0" collapsed="false">
      <c r="A1027" s="52" t="n">
        <v>45630</v>
      </c>
      <c r="B1027" s="57" t="n">
        <v>0.01879</v>
      </c>
      <c r="C1027" s="57" t="n">
        <v>0.01929</v>
      </c>
      <c r="D1027" s="57" t="n">
        <v>0.01962</v>
      </c>
      <c r="E1027" s="57" t="n">
        <v>0.02084</v>
      </c>
      <c r="F1027" s="57" t="n">
        <v>0.02389</v>
      </c>
      <c r="G1027" s="57" t="n">
        <v>0.02858</v>
      </c>
    </row>
    <row r="1028" customFormat="false" ht="15" hidden="false" customHeight="false" outlineLevel="0" collapsed="false">
      <c r="A1028" s="52" t="n">
        <v>45631</v>
      </c>
      <c r="B1028" s="57" t="n">
        <v>0.01882</v>
      </c>
      <c r="C1028" s="57" t="n">
        <v>0.01932</v>
      </c>
      <c r="D1028" s="57" t="n">
        <v>0.01962</v>
      </c>
      <c r="E1028" s="57" t="n">
        <v>0.02076</v>
      </c>
      <c r="F1028" s="57" t="n">
        <v>0.02388</v>
      </c>
      <c r="G1028" s="57" t="n">
        <v>0.02857</v>
      </c>
    </row>
    <row r="1029" customFormat="false" ht="15" hidden="false" customHeight="false" outlineLevel="0" collapsed="false">
      <c r="A1029" s="52" t="n">
        <v>45632</v>
      </c>
      <c r="B1029" s="57" t="n">
        <v>0.01888</v>
      </c>
      <c r="C1029" s="57" t="n">
        <v>0.01936</v>
      </c>
      <c r="D1029" s="57" t="n">
        <v>0.01967</v>
      </c>
      <c r="E1029" s="57" t="n">
        <v>0.02086</v>
      </c>
      <c r="F1029" s="57" t="n">
        <v>0.02386</v>
      </c>
      <c r="G1029" s="57" t="n">
        <v>0.02856</v>
      </c>
    </row>
    <row r="1030" customFormat="false" ht="15" hidden="false" customHeight="false" outlineLevel="0" collapsed="false">
      <c r="A1030" s="52" t="n">
        <v>45635</v>
      </c>
      <c r="B1030" s="57" t="n">
        <v>0.01888</v>
      </c>
      <c r="C1030" s="57" t="n">
        <v>0.01936</v>
      </c>
      <c r="D1030" s="57" t="n">
        <v>0.01967</v>
      </c>
      <c r="E1030" s="57" t="n">
        <v>0.02102</v>
      </c>
      <c r="F1030" s="57" t="n">
        <v>0.02388</v>
      </c>
      <c r="G1030" s="57" t="n">
        <v>0.02861</v>
      </c>
    </row>
    <row r="1031" customFormat="false" ht="15" hidden="false" customHeight="false" outlineLevel="0" collapsed="false">
      <c r="A1031" s="52" t="n">
        <v>45636</v>
      </c>
      <c r="B1031" s="57" t="n">
        <v>0.01891</v>
      </c>
      <c r="C1031" s="57" t="n">
        <v>0.01941</v>
      </c>
      <c r="D1031" s="57" t="n">
        <v>0.01971</v>
      </c>
      <c r="E1031" s="57" t="n">
        <v>0.02101</v>
      </c>
      <c r="F1031" s="57" t="n">
        <v>0.02389</v>
      </c>
      <c r="G1031" s="57" t="n">
        <v>0.02856</v>
      </c>
    </row>
    <row r="1032" customFormat="false" ht="15" hidden="false" customHeight="false" outlineLevel="0" collapsed="false">
      <c r="A1032" s="52" t="n">
        <v>45637</v>
      </c>
      <c r="B1032" s="57" t="n">
        <v>0.01893</v>
      </c>
      <c r="C1032" s="57" t="n">
        <v>0.01952</v>
      </c>
      <c r="D1032" s="57" t="n">
        <v>0.01972</v>
      </c>
      <c r="E1032" s="57" t="n">
        <v>0.02139</v>
      </c>
      <c r="F1032" s="57" t="n">
        <v>0.02432</v>
      </c>
      <c r="G1032" s="57" t="n">
        <v>0.02866</v>
      </c>
    </row>
    <row r="1033" customFormat="false" ht="15" hidden="false" customHeight="false" outlineLevel="0" collapsed="false">
      <c r="A1033" s="52" t="n">
        <v>45638</v>
      </c>
      <c r="B1033" s="57" t="n">
        <v>0.01897</v>
      </c>
      <c r="C1033" s="57" t="n">
        <v>0.01956</v>
      </c>
      <c r="D1033" s="57" t="n">
        <v>0.01981</v>
      </c>
      <c r="E1033" s="57" t="n">
        <v>0.022</v>
      </c>
      <c r="F1033" s="57" t="n">
        <v>0.02449</v>
      </c>
      <c r="G1033" s="57" t="n">
        <v>0.02903</v>
      </c>
    </row>
    <row r="1034" customFormat="false" ht="15" hidden="false" customHeight="false" outlineLevel="0" collapsed="false">
      <c r="A1034" s="52" t="n">
        <v>45639</v>
      </c>
      <c r="B1034" s="57" t="n">
        <v>0.01905</v>
      </c>
      <c r="C1034" s="57" t="n">
        <v>0.01969</v>
      </c>
      <c r="D1034" s="57" t="n">
        <v>0.01997</v>
      </c>
      <c r="E1034" s="57" t="n">
        <v>0.02195</v>
      </c>
      <c r="F1034" s="57" t="n">
        <v>0.02442</v>
      </c>
      <c r="G1034" s="57" t="n">
        <v>0.02907</v>
      </c>
    </row>
    <row r="1035" customFormat="false" ht="15" hidden="false" customHeight="false" outlineLevel="0" collapsed="false">
      <c r="A1035" s="52" t="n">
        <v>45642</v>
      </c>
      <c r="B1035" s="57" t="n">
        <v>0.01918</v>
      </c>
      <c r="C1035" s="57" t="n">
        <v>0.01978</v>
      </c>
      <c r="D1035" s="57" t="n">
        <v>0.02009</v>
      </c>
      <c r="E1035" s="57" t="n">
        <v>0.02196</v>
      </c>
      <c r="F1035" s="57" t="n">
        <v>0.02455</v>
      </c>
      <c r="G1035" s="57" t="n">
        <v>0.02923</v>
      </c>
    </row>
    <row r="1036" customFormat="false" ht="15" hidden="false" customHeight="false" outlineLevel="0" collapsed="false">
      <c r="A1036" s="52" t="n">
        <v>45643</v>
      </c>
      <c r="B1036" s="57" t="n">
        <v>0.01917</v>
      </c>
      <c r="C1036" s="57" t="n">
        <v>0.01978</v>
      </c>
      <c r="D1036" s="57" t="n">
        <v>0.02009</v>
      </c>
      <c r="E1036" s="57" t="n">
        <v>0.02211</v>
      </c>
      <c r="F1036" s="57" t="n">
        <v>0.02458</v>
      </c>
      <c r="G1036" s="57" t="n">
        <v>0.02935</v>
      </c>
    </row>
    <row r="1037" customFormat="false" ht="15" hidden="false" customHeight="false" outlineLevel="0" collapsed="false">
      <c r="A1037" s="52" t="n">
        <v>45644</v>
      </c>
      <c r="B1037" s="57" t="n">
        <v>0.01921</v>
      </c>
      <c r="C1037" s="57" t="n">
        <v>0.01981</v>
      </c>
      <c r="D1037" s="57" t="n">
        <v>0.02012</v>
      </c>
      <c r="E1037" s="57" t="n">
        <v>0.02206</v>
      </c>
      <c r="F1037" s="57" t="n">
        <v>0.02459</v>
      </c>
      <c r="G1037" s="57" t="n">
        <v>0.0294</v>
      </c>
    </row>
    <row r="1038" customFormat="false" ht="15" hidden="false" customHeight="false" outlineLevel="0" collapsed="false">
      <c r="A1038" s="52" t="n">
        <v>45645</v>
      </c>
      <c r="B1038" s="57" t="n">
        <v>0.01964</v>
      </c>
      <c r="C1038" s="57" t="n">
        <v>0.02031</v>
      </c>
      <c r="D1038" s="57" t="n">
        <v>0.02056</v>
      </c>
      <c r="E1038" s="57" t="n">
        <v>0.02328</v>
      </c>
      <c r="F1038" s="57" t="n">
        <v>0.0258</v>
      </c>
      <c r="G1038" s="57" t="n">
        <v>0.0306</v>
      </c>
    </row>
    <row r="1039" customFormat="false" ht="15" hidden="false" customHeight="false" outlineLevel="0" collapsed="false">
      <c r="A1039" s="52" t="n">
        <v>45646</v>
      </c>
      <c r="B1039" s="57" t="n">
        <v>0.01984</v>
      </c>
      <c r="C1039" s="57" t="n">
        <v>0.02051</v>
      </c>
      <c r="D1039" s="57" t="n">
        <v>0.02076</v>
      </c>
      <c r="E1039" s="57" t="n">
        <v>0.02388</v>
      </c>
      <c r="F1039" s="57" t="n">
        <v>0.02603</v>
      </c>
      <c r="G1039" s="57" t="n">
        <v>0.03047</v>
      </c>
    </row>
    <row r="1040" customFormat="false" ht="15" hidden="false" customHeight="false" outlineLevel="0" collapsed="false">
      <c r="A1040" s="52" t="n">
        <v>45649</v>
      </c>
      <c r="B1040" s="57" t="n">
        <v>0.02014</v>
      </c>
      <c r="C1040" s="57" t="n">
        <v>0.02081</v>
      </c>
      <c r="D1040" s="57" t="n">
        <v>0.02112</v>
      </c>
      <c r="E1040" s="57" t="n">
        <v>0.02408</v>
      </c>
      <c r="F1040" s="57" t="n">
        <v>0.02622</v>
      </c>
      <c r="G1040" s="57" t="n">
        <v>0.03038</v>
      </c>
    </row>
    <row r="1041" customFormat="false" ht="15" hidden="false" customHeight="false" outlineLevel="0" collapsed="false">
      <c r="A1041" s="52" t="n">
        <v>45650</v>
      </c>
      <c r="B1041" s="57" t="n">
        <v>0.02014</v>
      </c>
      <c r="C1041" s="57" t="n">
        <v>0.02081</v>
      </c>
      <c r="D1041" s="57" t="n">
        <v>0.02112</v>
      </c>
      <c r="E1041" s="57" t="n">
        <v>0.02405</v>
      </c>
      <c r="F1041" s="57" t="n">
        <v>0.02627</v>
      </c>
      <c r="G1041" s="57" t="n">
        <v>0.03069</v>
      </c>
    </row>
    <row r="1042" customFormat="false" ht="15" hidden="false" customHeight="false" outlineLevel="0" collapsed="false">
      <c r="A1042" s="52" t="n">
        <v>45651</v>
      </c>
      <c r="B1042" s="57" t="n">
        <v>0.02014</v>
      </c>
      <c r="C1042" s="57" t="n">
        <v>0.02081</v>
      </c>
      <c r="D1042" s="57" t="n">
        <v>0.02112</v>
      </c>
      <c r="E1042" s="57" t="n">
        <v>0.02404</v>
      </c>
      <c r="F1042" s="57" t="n">
        <v>0.02627</v>
      </c>
      <c r="G1042" s="57" t="n">
        <v>0.03072</v>
      </c>
    </row>
    <row r="1043" customFormat="false" ht="15" hidden="false" customHeight="false" outlineLevel="0" collapsed="false">
      <c r="A1043" s="52" t="n">
        <v>45652</v>
      </c>
      <c r="B1043" s="57" t="n">
        <v>0.02014</v>
      </c>
      <c r="C1043" s="57" t="n">
        <v>0.02081</v>
      </c>
      <c r="D1043" s="57" t="n">
        <v>0.02111</v>
      </c>
      <c r="E1043" s="57" t="n">
        <v>0.02392</v>
      </c>
      <c r="F1043" s="57" t="n">
        <v>0.02626</v>
      </c>
      <c r="G1043" s="57" t="n">
        <v>0.03072</v>
      </c>
    </row>
    <row r="1044" customFormat="false" ht="15" hidden="false" customHeight="false" outlineLevel="0" collapsed="false">
      <c r="A1044" s="52" t="n">
        <v>45653</v>
      </c>
      <c r="B1044" s="57" t="n">
        <v>0.02013</v>
      </c>
      <c r="C1044" s="57" t="n">
        <v>0.0208</v>
      </c>
      <c r="D1044" s="57" t="n">
        <v>0.0211</v>
      </c>
      <c r="E1044" s="57" t="n">
        <v>0.02391</v>
      </c>
      <c r="F1044" s="57" t="n">
        <v>0.02625</v>
      </c>
      <c r="G1044" s="57" t="n">
        <v>0.03059</v>
      </c>
    </row>
    <row r="1045" customFormat="false" ht="15" hidden="false" customHeight="false" outlineLevel="0" collapsed="false">
      <c r="A1045" s="52" t="n">
        <v>45656</v>
      </c>
      <c r="B1045" s="57" t="n">
        <v>0.02017</v>
      </c>
      <c r="C1045" s="57" t="n">
        <v>0.02085</v>
      </c>
      <c r="D1045" s="57" t="n">
        <v>0.02122</v>
      </c>
      <c r="E1045" s="57" t="n">
        <v>0.02391</v>
      </c>
      <c r="F1045" s="57" t="n">
        <v>0.02624</v>
      </c>
      <c r="G1045" s="57" t="n">
        <v>0.03064</v>
      </c>
    </row>
    <row r="1046" customFormat="false" ht="15" hidden="false" customHeight="false" outlineLevel="0" collapsed="false">
      <c r="A1046" s="52" t="n">
        <v>45657</v>
      </c>
      <c r="B1046" s="57" t="n">
        <v>0.02017</v>
      </c>
      <c r="C1046" s="57" t="n">
        <v>0.02085</v>
      </c>
      <c r="D1046" s="57" t="n">
        <v>0.02122</v>
      </c>
      <c r="E1046" s="57" t="n">
        <v>0.02391</v>
      </c>
      <c r="F1046" s="57" t="n">
        <v>0.0263</v>
      </c>
      <c r="G1046" s="57" t="n">
        <v>0.03068</v>
      </c>
    </row>
    <row r="1047" customFormat="false" ht="15" hidden="false" customHeight="false" outlineLevel="0" collapsed="false">
      <c r="A1047" s="52" t="n">
        <v>45658</v>
      </c>
      <c r="B1047" s="57" t="n">
        <v>0.02017</v>
      </c>
      <c r="C1047" s="57" t="n">
        <v>0.02085</v>
      </c>
      <c r="D1047" s="57" t="n">
        <v>0.02122</v>
      </c>
      <c r="E1047" s="57" t="n">
        <v>0.02391</v>
      </c>
      <c r="F1047" s="57" t="n">
        <v>0.0263</v>
      </c>
      <c r="G1047" s="57" t="n">
        <v>0.03068</v>
      </c>
    </row>
    <row r="1048" customFormat="false" ht="15" hidden="false" customHeight="false" outlineLevel="0" collapsed="false">
      <c r="A1048" s="52" t="n">
        <v>45659</v>
      </c>
      <c r="B1048" s="57" t="n">
        <v>0.02077</v>
      </c>
      <c r="C1048" s="57" t="n">
        <v>0.02096</v>
      </c>
      <c r="D1048" s="57" t="n">
        <v>0.02145</v>
      </c>
      <c r="E1048" s="57" t="n">
        <v>0.02398</v>
      </c>
      <c r="F1048" s="57" t="n">
        <v>0.02624</v>
      </c>
      <c r="G1048" s="57" t="n">
        <v>0.03058</v>
      </c>
    </row>
    <row r="1049" customFormat="false" ht="15" hidden="false" customHeight="false" outlineLevel="0" collapsed="false">
      <c r="A1049" s="52" t="n">
        <v>45660</v>
      </c>
      <c r="B1049" s="57" t="n">
        <v>0.02076</v>
      </c>
      <c r="C1049" s="57" t="n">
        <v>0.02103</v>
      </c>
      <c r="D1049" s="57" t="n">
        <v>0.02144</v>
      </c>
      <c r="E1049" s="57" t="n">
        <v>0.02402</v>
      </c>
      <c r="F1049" s="57" t="n">
        <v>0.02628</v>
      </c>
      <c r="G1049" s="57" t="n">
        <v>0.03063</v>
      </c>
    </row>
    <row r="1050" customFormat="false" ht="15" hidden="false" customHeight="false" outlineLevel="0" collapsed="false">
      <c r="A1050" s="52" t="n">
        <v>45663</v>
      </c>
      <c r="B1050" s="57" t="n">
        <v>0.02077</v>
      </c>
      <c r="C1050" s="57" t="n">
        <v>0.02107</v>
      </c>
      <c r="D1050" s="57" t="n">
        <v>0.02143</v>
      </c>
      <c r="E1050" s="57" t="n">
        <v>0.024</v>
      </c>
      <c r="F1050" s="57" t="n">
        <v>0.02629</v>
      </c>
      <c r="G1050" s="57" t="n">
        <v>0.03042</v>
      </c>
    </row>
    <row r="1051" customFormat="false" ht="15" hidden="false" customHeight="false" outlineLevel="0" collapsed="false">
      <c r="A1051" s="52" t="n">
        <v>45664</v>
      </c>
      <c r="B1051" s="57" t="n">
        <v>0.02077</v>
      </c>
      <c r="C1051" s="57" t="n">
        <v>0.0211</v>
      </c>
      <c r="D1051" s="57" t="n">
        <v>0.02143</v>
      </c>
      <c r="E1051" s="57" t="n">
        <v>0.02405</v>
      </c>
      <c r="F1051" s="57" t="n">
        <v>0.02627</v>
      </c>
      <c r="G1051" s="57" t="n">
        <v>0.03043</v>
      </c>
    </row>
    <row r="1052" customFormat="false" ht="15" hidden="false" customHeight="false" outlineLevel="0" collapsed="false">
      <c r="A1052" s="52" t="n">
        <v>45665</v>
      </c>
      <c r="B1052" s="57" t="n">
        <v>0.02081</v>
      </c>
      <c r="C1052" s="57" t="n">
        <v>0.02115</v>
      </c>
      <c r="D1052" s="57" t="n">
        <v>0.02147</v>
      </c>
      <c r="E1052" s="57" t="n">
        <v>0.02405</v>
      </c>
      <c r="F1052" s="57" t="n">
        <v>0.02632</v>
      </c>
      <c r="G1052" s="57" t="n">
        <v>0.03062</v>
      </c>
    </row>
    <row r="1053" customFormat="false" ht="15" hidden="false" customHeight="false" outlineLevel="0" collapsed="false">
      <c r="A1053" s="52" t="n">
        <v>45666</v>
      </c>
      <c r="B1053" s="57" t="n">
        <v>0.0208</v>
      </c>
      <c r="C1053" s="57" t="n">
        <v>0.02115</v>
      </c>
      <c r="D1053" s="57" t="n">
        <v>0.02147</v>
      </c>
      <c r="E1053" s="57" t="n">
        <v>0.02405</v>
      </c>
      <c r="F1053" s="57" t="n">
        <v>0.02627</v>
      </c>
      <c r="G1053" s="57" t="n">
        <v>0.03045</v>
      </c>
    </row>
    <row r="1054" customFormat="false" ht="15" hidden="false" customHeight="false" outlineLevel="0" collapsed="false">
      <c r="A1054" s="52" t="n">
        <v>45667</v>
      </c>
      <c r="B1054" s="57" t="n">
        <v>0.02076</v>
      </c>
      <c r="C1054" s="57" t="n">
        <v>0.02112</v>
      </c>
      <c r="D1054" s="57" t="n">
        <v>0.0216</v>
      </c>
      <c r="E1054" s="57" t="n">
        <v>0.02459</v>
      </c>
      <c r="F1054" s="57" t="n">
        <v>0.02714</v>
      </c>
      <c r="G1054" s="57" t="n">
        <v>0.03103</v>
      </c>
    </row>
    <row r="1055" customFormat="false" ht="15" hidden="false" customHeight="false" outlineLevel="0" collapsed="false">
      <c r="A1055" s="52" t="n">
        <v>45670</v>
      </c>
      <c r="B1055" s="57" t="n">
        <v>0.0211</v>
      </c>
      <c r="C1055" s="57" t="n">
        <v>0.02162</v>
      </c>
      <c r="D1055" s="57" t="n">
        <v>0.0221</v>
      </c>
      <c r="E1055" s="57" t="n">
        <v>0.02522</v>
      </c>
      <c r="F1055" s="57" t="n">
        <v>0.02726</v>
      </c>
      <c r="G1055" s="57" t="n">
        <v>0.03153</v>
      </c>
    </row>
    <row r="1056" customFormat="false" ht="15" hidden="false" customHeight="false" outlineLevel="0" collapsed="false">
      <c r="A1056" s="52" t="n">
        <v>45671</v>
      </c>
      <c r="B1056" s="57" t="n">
        <v>0.02101</v>
      </c>
      <c r="C1056" s="57" t="n">
        <v>0.02154</v>
      </c>
      <c r="D1056" s="57" t="n">
        <v>0.02206</v>
      </c>
      <c r="E1056" s="57" t="n">
        <v>0.02518</v>
      </c>
      <c r="F1056" s="57" t="n">
        <v>0.02719</v>
      </c>
      <c r="G1056" s="57" t="n">
        <v>0.03141</v>
      </c>
    </row>
    <row r="1057" customFormat="false" ht="15" hidden="false" customHeight="false" outlineLevel="0" collapsed="false">
      <c r="A1057" s="52" t="n">
        <v>45672</v>
      </c>
      <c r="B1057" s="57" t="n">
        <v>0.02114</v>
      </c>
      <c r="C1057" s="57" t="n">
        <v>0.02166</v>
      </c>
      <c r="D1057" s="57" t="n">
        <v>0.02216</v>
      </c>
      <c r="E1057" s="57" t="n">
        <v>0.02496</v>
      </c>
      <c r="F1057" s="57" t="n">
        <v>0.02725</v>
      </c>
      <c r="G1057" s="57" t="n">
        <v>0.03156</v>
      </c>
    </row>
    <row r="1058" customFormat="false" ht="15" hidden="false" customHeight="false" outlineLevel="0" collapsed="false">
      <c r="A1058" s="52" t="n">
        <v>45673</v>
      </c>
      <c r="B1058" s="57" t="n">
        <v>0.02131</v>
      </c>
      <c r="C1058" s="57" t="n">
        <v>0.02179</v>
      </c>
      <c r="D1058" s="57" t="n">
        <v>0.02232</v>
      </c>
      <c r="E1058" s="57" t="n">
        <v>0.02488</v>
      </c>
      <c r="F1058" s="57" t="n">
        <v>0.02718</v>
      </c>
      <c r="G1058" s="57" t="n">
        <v>0.03142</v>
      </c>
    </row>
    <row r="1059" customFormat="false" ht="15" hidden="false" customHeight="false" outlineLevel="0" collapsed="false">
      <c r="A1059" s="52" t="n">
        <v>45674</v>
      </c>
      <c r="B1059" s="57" t="n">
        <v>0.0213</v>
      </c>
      <c r="C1059" s="57" t="n">
        <v>0.02178</v>
      </c>
      <c r="D1059" s="57" t="n">
        <v>0.02231</v>
      </c>
      <c r="E1059" s="57" t="n">
        <v>0.02493</v>
      </c>
      <c r="F1059" s="57" t="n">
        <v>0.02704</v>
      </c>
      <c r="G1059" s="57" t="n">
        <v>0.03126</v>
      </c>
    </row>
    <row r="1060" customFormat="false" ht="15" hidden="false" customHeight="false" outlineLevel="0" collapsed="false">
      <c r="A1060" s="52" t="n">
        <v>45677</v>
      </c>
      <c r="B1060" s="57" t="n">
        <v>0.0213</v>
      </c>
      <c r="C1060" s="57" t="n">
        <v>0.02178</v>
      </c>
      <c r="D1060" s="57" t="n">
        <v>0.0223</v>
      </c>
      <c r="E1060" s="57" t="n">
        <v>0.02474</v>
      </c>
      <c r="F1060" s="57" t="n">
        <v>0.02698</v>
      </c>
      <c r="G1060" s="57" t="n">
        <v>0.03107</v>
      </c>
    </row>
    <row r="1061" customFormat="false" ht="15" hidden="false" customHeight="false" outlineLevel="0" collapsed="false">
      <c r="A1061" s="52" t="n">
        <v>45678</v>
      </c>
      <c r="B1061" s="57" t="n">
        <v>0.0213</v>
      </c>
      <c r="C1061" s="57" t="n">
        <v>0.02167</v>
      </c>
      <c r="D1061" s="57" t="n">
        <v>0.02221</v>
      </c>
      <c r="E1061" s="57" t="n">
        <v>0.0246</v>
      </c>
      <c r="F1061" s="57" t="n">
        <v>0.02643</v>
      </c>
      <c r="G1061" s="57" t="n">
        <v>0.03117</v>
      </c>
    </row>
    <row r="1062" customFormat="false" ht="15" hidden="false" customHeight="false" outlineLevel="0" collapsed="false">
      <c r="A1062" s="52" t="n">
        <v>45679</v>
      </c>
      <c r="B1062" s="57" t="n">
        <v>0.0213</v>
      </c>
      <c r="C1062" s="57" t="n">
        <v>0.02167</v>
      </c>
      <c r="D1062" s="57" t="n">
        <v>0.02229</v>
      </c>
      <c r="E1062" s="57" t="n">
        <v>0.02456</v>
      </c>
      <c r="F1062" s="57" t="n">
        <v>0.02651</v>
      </c>
      <c r="G1062" s="57" t="n">
        <v>0.03096</v>
      </c>
    </row>
    <row r="1063" customFormat="false" ht="15" hidden="false" customHeight="false" outlineLevel="0" collapsed="false">
      <c r="A1063" s="52" t="n">
        <v>45680</v>
      </c>
      <c r="B1063" s="57" t="n">
        <v>0.02121</v>
      </c>
      <c r="C1063" s="57" t="n">
        <v>0.02145</v>
      </c>
      <c r="D1063" s="57" t="n">
        <v>0.02195</v>
      </c>
      <c r="E1063" s="57" t="n">
        <v>0.02421</v>
      </c>
      <c r="F1063" s="57" t="n">
        <v>0.02612</v>
      </c>
      <c r="G1063" s="57" t="n">
        <v>0.03045</v>
      </c>
    </row>
    <row r="1064" customFormat="false" ht="15" hidden="false" customHeight="false" outlineLevel="0" collapsed="false">
      <c r="A1064" s="52" t="n">
        <v>45681</v>
      </c>
      <c r="B1064" s="57" t="n">
        <v>0.02122</v>
      </c>
      <c r="C1064" s="57" t="n">
        <v>0.02144</v>
      </c>
      <c r="D1064" s="57" t="n">
        <v>0.02196</v>
      </c>
      <c r="E1064" s="57" t="n">
        <v>0.02418</v>
      </c>
      <c r="F1064" s="57" t="n">
        <v>0.02625</v>
      </c>
      <c r="G1064" s="57" t="n">
        <v>0.03057</v>
      </c>
    </row>
    <row r="1065" customFormat="false" ht="15" hidden="false" customHeight="false" outlineLevel="0" collapsed="false">
      <c r="A1065" s="52" t="n">
        <v>45684</v>
      </c>
      <c r="B1065" s="57" t="n">
        <v>0.02122</v>
      </c>
      <c r="C1065" s="57" t="n">
        <v>0.02144</v>
      </c>
      <c r="D1065" s="57" t="n">
        <v>0.02196</v>
      </c>
      <c r="E1065" s="57" t="n">
        <v>0.02418</v>
      </c>
      <c r="F1065" s="57" t="n">
        <v>0.02625</v>
      </c>
      <c r="G1065" s="57" t="n">
        <v>0.03057</v>
      </c>
    </row>
    <row r="1066" customFormat="false" ht="15" hidden="false" customHeight="false" outlineLevel="0" collapsed="false">
      <c r="A1066" s="52" t="n">
        <v>45685</v>
      </c>
      <c r="B1066" s="57" t="n">
        <v>0.02122</v>
      </c>
      <c r="C1066" s="57" t="n">
        <v>0.02144</v>
      </c>
      <c r="D1066" s="57" t="n">
        <v>0.02196</v>
      </c>
      <c r="E1066" s="57" t="n">
        <v>0.02418</v>
      </c>
      <c r="F1066" s="57" t="n">
        <v>0.02625</v>
      </c>
      <c r="G1066" s="57" t="n">
        <v>0.03057</v>
      </c>
    </row>
    <row r="1067" customFormat="false" ht="15" hidden="false" customHeight="false" outlineLevel="0" collapsed="false">
      <c r="A1067" s="52" t="n">
        <v>45686</v>
      </c>
      <c r="B1067" s="57" t="n">
        <v>0.02122</v>
      </c>
      <c r="C1067" s="57" t="n">
        <v>0.02144</v>
      </c>
      <c r="D1067" s="57" t="n">
        <v>0.02196</v>
      </c>
      <c r="E1067" s="57" t="n">
        <v>0.02418</v>
      </c>
      <c r="F1067" s="57" t="n">
        <v>0.02625</v>
      </c>
      <c r="G1067" s="57" t="n">
        <v>0.03057</v>
      </c>
    </row>
    <row r="1068" customFormat="false" ht="15" hidden="false" customHeight="false" outlineLevel="0" collapsed="false">
      <c r="A1068" s="52" t="n">
        <v>45687</v>
      </c>
      <c r="B1068" s="57" t="n">
        <v>0.02122</v>
      </c>
      <c r="C1068" s="57" t="n">
        <v>0.02144</v>
      </c>
      <c r="D1068" s="57" t="n">
        <v>0.02196</v>
      </c>
      <c r="E1068" s="57" t="n">
        <v>0.02418</v>
      </c>
      <c r="F1068" s="57" t="n">
        <v>0.02625</v>
      </c>
      <c r="G1068" s="57" t="n">
        <v>0.03057</v>
      </c>
    </row>
    <row r="1069" customFormat="false" ht="15" hidden="false" customHeight="false" outlineLevel="0" collapsed="false">
      <c r="A1069" s="52" t="n">
        <v>45688</v>
      </c>
      <c r="B1069" s="57" t="n">
        <v>0.02122</v>
      </c>
      <c r="C1069" s="57" t="n">
        <v>0.02144</v>
      </c>
      <c r="D1069" s="57" t="n">
        <v>0.02196</v>
      </c>
      <c r="E1069" s="57" t="n">
        <v>0.02418</v>
      </c>
      <c r="F1069" s="57" t="n">
        <v>0.02625</v>
      </c>
      <c r="G1069" s="57" t="n">
        <v>0.03057</v>
      </c>
    </row>
    <row r="1070" customFormat="false" ht="15" hidden="false" customHeight="false" outlineLevel="0" collapsed="false">
      <c r="A1070" s="52" t="n">
        <v>45691</v>
      </c>
      <c r="B1070" s="57" t="n">
        <v>0.02073</v>
      </c>
      <c r="C1070" s="57" t="n">
        <v>0.02144</v>
      </c>
      <c r="D1070" s="57" t="n">
        <v>0.02201</v>
      </c>
      <c r="E1070" s="57" t="n">
        <v>0.02421</v>
      </c>
      <c r="F1070" s="57" t="n">
        <v>0.0266</v>
      </c>
      <c r="G1070" s="57" t="n">
        <v>0.0307</v>
      </c>
    </row>
    <row r="1071" customFormat="false" ht="15" hidden="false" customHeight="false" outlineLevel="0" collapsed="false">
      <c r="A1071" s="52" t="n">
        <v>45692</v>
      </c>
      <c r="B1071" s="57" t="n">
        <v>0.02081</v>
      </c>
      <c r="C1071" s="57" t="n">
        <v>0.02151</v>
      </c>
      <c r="D1071" s="57" t="n">
        <v>0.02201</v>
      </c>
      <c r="E1071" s="57" t="n">
        <v>0.02414</v>
      </c>
      <c r="F1071" s="57" t="n">
        <v>0.02676</v>
      </c>
      <c r="G1071" s="57" t="n">
        <v>0.03065</v>
      </c>
    </row>
    <row r="1072" customFormat="false" ht="15" hidden="false" customHeight="false" outlineLevel="0" collapsed="false">
      <c r="A1072" s="52" t="n">
        <v>45693</v>
      </c>
      <c r="B1072" s="57" t="n">
        <v>0.0208</v>
      </c>
      <c r="C1072" s="57" t="n">
        <v>0.02151</v>
      </c>
      <c r="D1072" s="57" t="n">
        <v>0.02208</v>
      </c>
      <c r="E1072" s="57" t="n">
        <v>0.02409</v>
      </c>
      <c r="F1072" s="57" t="n">
        <v>0.02661</v>
      </c>
      <c r="G1072" s="57" t="n">
        <v>0.03054</v>
      </c>
    </row>
    <row r="1073" customFormat="false" ht="15" hidden="false" customHeight="false" outlineLevel="0" collapsed="false">
      <c r="A1073" s="52" t="n">
        <v>45694</v>
      </c>
      <c r="B1073" s="57" t="n">
        <v>0.0208</v>
      </c>
      <c r="C1073" s="57" t="n">
        <v>0.02151</v>
      </c>
      <c r="D1073" s="57" t="n">
        <v>0.02213</v>
      </c>
      <c r="E1073" s="57" t="n">
        <v>0.02459</v>
      </c>
      <c r="F1073" s="57" t="n">
        <v>0.02741</v>
      </c>
      <c r="G1073" s="57" t="n">
        <v>0.03089</v>
      </c>
    </row>
    <row r="1074" customFormat="false" ht="15" hidden="false" customHeight="false" outlineLevel="0" collapsed="false">
      <c r="A1074" s="52" t="n">
        <v>45695</v>
      </c>
      <c r="B1074" s="57" t="n">
        <v>0.0208</v>
      </c>
      <c r="C1074" s="57" t="n">
        <v>0.02155</v>
      </c>
      <c r="D1074" s="57" t="n">
        <v>0.02216</v>
      </c>
      <c r="E1074" s="57" t="n">
        <v>0.02457</v>
      </c>
      <c r="F1074" s="57" t="n">
        <v>0.02743</v>
      </c>
      <c r="G1074" s="57" t="n">
        <v>0.03078</v>
      </c>
    </row>
    <row r="1075" customFormat="false" ht="15" hidden="false" customHeight="false" outlineLevel="0" collapsed="false">
      <c r="A1075" s="52" t="n">
        <v>45698</v>
      </c>
      <c r="B1075" s="57" t="n">
        <v>0.02081</v>
      </c>
      <c r="C1075" s="57" t="n">
        <v>0.02159</v>
      </c>
      <c r="D1075" s="57" t="n">
        <v>0.02216</v>
      </c>
      <c r="E1075" s="57" t="n">
        <v>0.02478</v>
      </c>
      <c r="F1075" s="57" t="n">
        <v>0.02772</v>
      </c>
      <c r="G1075" s="57" t="n">
        <v>0.03124</v>
      </c>
    </row>
    <row r="1076" customFormat="false" ht="15" hidden="false" customHeight="false" outlineLevel="0" collapsed="false">
      <c r="A1076" s="52" t="n">
        <v>45699</v>
      </c>
      <c r="B1076" s="57" t="n">
        <v>0.02094</v>
      </c>
      <c r="C1076" s="57" t="n">
        <v>0.02168</v>
      </c>
      <c r="D1076" s="57" t="n">
        <v>0.0223</v>
      </c>
      <c r="E1076" s="57" t="n">
        <v>0.02505</v>
      </c>
      <c r="F1076" s="57" t="n">
        <v>0.02799</v>
      </c>
      <c r="G1076" s="57" t="n">
        <v>0.03136</v>
      </c>
    </row>
    <row r="1077" customFormat="false" ht="15" hidden="false" customHeight="false" outlineLevel="0" collapsed="false">
      <c r="A1077" s="52" t="n">
        <v>45700</v>
      </c>
      <c r="B1077" s="57" t="n">
        <v>0.02098</v>
      </c>
      <c r="C1077" s="57" t="n">
        <v>0.02172</v>
      </c>
      <c r="D1077" s="57" t="n">
        <v>0.02234</v>
      </c>
      <c r="E1077" s="57" t="n">
        <v>0.02523</v>
      </c>
      <c r="F1077" s="57" t="n">
        <v>0.0284</v>
      </c>
      <c r="G1077" s="57" t="n">
        <v>0.03162</v>
      </c>
    </row>
    <row r="1078" customFormat="false" ht="15" hidden="false" customHeight="false" outlineLevel="0" collapsed="false">
      <c r="A1078" s="52" t="n">
        <v>45701</v>
      </c>
      <c r="B1078" s="57" t="n">
        <v>0.0213</v>
      </c>
      <c r="C1078" s="57" t="n">
        <v>0.02204</v>
      </c>
      <c r="D1078" s="57" t="n">
        <v>0.02274</v>
      </c>
      <c r="E1078" s="57" t="n">
        <v>0.02543</v>
      </c>
      <c r="F1078" s="57" t="n">
        <v>0.02891</v>
      </c>
      <c r="G1078" s="57" t="n">
        <v>0.03181</v>
      </c>
    </row>
    <row r="1079" customFormat="false" ht="15" hidden="false" customHeight="false" outlineLevel="0" collapsed="false">
      <c r="A1079" s="52" t="n">
        <v>45702</v>
      </c>
      <c r="B1079" s="57" t="n">
        <v>0.02134</v>
      </c>
      <c r="C1079" s="57" t="n">
        <v>0.02208</v>
      </c>
      <c r="D1079" s="57" t="n">
        <v>0.02281</v>
      </c>
      <c r="E1079" s="57" t="n">
        <v>0.02531</v>
      </c>
      <c r="F1079" s="57" t="n">
        <v>0.02869</v>
      </c>
      <c r="G1079" s="57" t="n">
        <v>0.03166</v>
      </c>
    </row>
    <row r="1080" customFormat="false" ht="15" hidden="false" customHeight="false" outlineLevel="0" collapsed="false">
      <c r="A1080" s="52" t="n">
        <v>45705</v>
      </c>
      <c r="B1080" s="57" t="n">
        <v>0.02138</v>
      </c>
      <c r="C1080" s="57" t="n">
        <v>0.02213</v>
      </c>
      <c r="D1080" s="57" t="n">
        <v>0.02281</v>
      </c>
      <c r="E1080" s="57" t="n">
        <v>0.02531</v>
      </c>
      <c r="F1080" s="57" t="n">
        <v>0.02924</v>
      </c>
      <c r="G1080" s="57" t="n">
        <v>0.03174</v>
      </c>
    </row>
    <row r="1081" customFormat="false" ht="15" hidden="false" customHeight="false" outlineLevel="0" collapsed="false">
      <c r="A1081" s="52" t="n">
        <v>45706</v>
      </c>
      <c r="B1081" s="57" t="n">
        <v>0.02139</v>
      </c>
      <c r="C1081" s="57" t="n">
        <v>0.02213</v>
      </c>
      <c r="D1081" s="57" t="n">
        <v>0.0228</v>
      </c>
      <c r="E1081" s="57" t="n">
        <v>0.02548</v>
      </c>
      <c r="F1081" s="57" t="n">
        <v>0.02922</v>
      </c>
      <c r="G1081" s="57" t="n">
        <v>0.03174</v>
      </c>
    </row>
    <row r="1082" customFormat="false" ht="15" hidden="false" customHeight="false" outlineLevel="0" collapsed="false">
      <c r="A1082" s="52" t="n">
        <v>45707</v>
      </c>
      <c r="B1082" s="57" t="n">
        <v>0.02139</v>
      </c>
      <c r="C1082" s="57" t="n">
        <v>0.02213</v>
      </c>
      <c r="D1082" s="57" t="n">
        <v>0.0228</v>
      </c>
      <c r="E1082" s="57" t="n">
        <v>0.02547</v>
      </c>
      <c r="F1082" s="57" t="n">
        <v>0.02924</v>
      </c>
      <c r="G1082" s="57" t="n">
        <v>0.03175</v>
      </c>
    </row>
    <row r="1083" customFormat="false" ht="15" hidden="false" customHeight="false" outlineLevel="0" collapsed="false">
      <c r="A1083" s="52" t="n">
        <v>45708</v>
      </c>
      <c r="B1083" s="57" t="n">
        <v>0.02138</v>
      </c>
      <c r="C1083" s="57" t="n">
        <v>0.02213</v>
      </c>
      <c r="D1083" s="57" t="n">
        <v>0.0228</v>
      </c>
      <c r="E1083" s="57" t="n">
        <v>0.02536</v>
      </c>
      <c r="F1083" s="57" t="n">
        <v>0.02928</v>
      </c>
      <c r="G1083" s="57" t="n">
        <v>0.03166</v>
      </c>
    </row>
    <row r="1084" customFormat="false" ht="15" hidden="false" customHeight="false" outlineLevel="0" collapsed="false">
      <c r="A1084" s="52" t="n">
        <v>45709</v>
      </c>
      <c r="B1084" s="57" t="n">
        <v>0.02139</v>
      </c>
      <c r="C1084" s="57" t="n">
        <v>0.02212</v>
      </c>
      <c r="D1084" s="57" t="n">
        <v>0.02279</v>
      </c>
      <c r="E1084" s="57" t="n">
        <v>0.02534</v>
      </c>
      <c r="F1084" s="57" t="n">
        <v>0.02922</v>
      </c>
      <c r="G1084" s="57" t="n">
        <v>0.03162</v>
      </c>
    </row>
    <row r="1085" customFormat="false" ht="15" hidden="false" customHeight="false" outlineLevel="0" collapsed="false">
      <c r="A1085" s="52" t="n">
        <v>45712</v>
      </c>
      <c r="B1085" s="57" t="n">
        <v>0.02139</v>
      </c>
      <c r="C1085" s="57" t="n">
        <v>0.02213</v>
      </c>
      <c r="D1085" s="57" t="n">
        <v>0.02278</v>
      </c>
      <c r="E1085" s="57" t="n">
        <v>0.0253</v>
      </c>
      <c r="F1085" s="57" t="n">
        <v>0.02932</v>
      </c>
      <c r="G1085" s="57" t="n">
        <v>0.03181</v>
      </c>
    </row>
    <row r="1086" customFormat="false" ht="15" hidden="false" customHeight="false" outlineLevel="0" collapsed="false">
      <c r="A1086" s="52" t="n">
        <v>45713</v>
      </c>
      <c r="B1086" s="57" t="n">
        <v>0.02138</v>
      </c>
      <c r="C1086" s="57" t="n">
        <v>0.02213</v>
      </c>
      <c r="D1086" s="57" t="n">
        <v>0.02277</v>
      </c>
      <c r="E1086" s="57" t="n">
        <v>0.02514</v>
      </c>
      <c r="F1086" s="57" t="n">
        <v>0.02907</v>
      </c>
      <c r="G1086" s="57" t="n">
        <v>0.03163</v>
      </c>
    </row>
    <row r="1087" customFormat="false" ht="15" hidden="false" customHeight="false" outlineLevel="0" collapsed="false">
      <c r="A1087" s="52" t="n">
        <v>45714</v>
      </c>
      <c r="B1087" s="57" t="n">
        <v>0.02138</v>
      </c>
      <c r="C1087" s="57" t="n">
        <v>0.02212</v>
      </c>
      <c r="D1087" s="57" t="n">
        <v>0.02277</v>
      </c>
      <c r="E1087" s="57" t="n">
        <v>0.02509</v>
      </c>
      <c r="F1087" s="57" t="n">
        <v>0.02914</v>
      </c>
      <c r="G1087" s="57" t="n">
        <v>0.03167</v>
      </c>
    </row>
    <row r="1088" customFormat="false" ht="15" hidden="false" customHeight="false" outlineLevel="0" collapsed="false">
      <c r="A1088" s="52" t="n">
        <v>45715</v>
      </c>
      <c r="B1088" s="57" t="n">
        <v>0.02138</v>
      </c>
      <c r="C1088" s="57" t="n">
        <v>0.02212</v>
      </c>
      <c r="D1088" s="57" t="n">
        <v>0.02277</v>
      </c>
      <c r="E1088" s="57" t="n">
        <v>0.02505</v>
      </c>
      <c r="F1088" s="57" t="n">
        <v>0.0289</v>
      </c>
      <c r="G1088" s="57" t="n">
        <v>0.03117</v>
      </c>
    </row>
    <row r="1089" customFormat="false" ht="15" hidden="false" customHeight="false" outlineLevel="0" collapsed="false">
      <c r="A1089" s="52" t="n">
        <v>45716</v>
      </c>
      <c r="B1089" s="57" t="n">
        <v>0.02133</v>
      </c>
      <c r="C1089" s="57" t="n">
        <v>0.02207</v>
      </c>
      <c r="D1089" s="57" t="n">
        <v>0.02272</v>
      </c>
      <c r="E1089" s="57" t="n">
        <v>0.02499</v>
      </c>
      <c r="F1089" s="57" t="n">
        <v>0.02895</v>
      </c>
      <c r="G1089" s="57" t="n">
        <v>0.03129</v>
      </c>
    </row>
    <row r="1090" customFormat="false" ht="15" hidden="false" customHeight="false" outlineLevel="0" collapsed="false">
      <c r="A1090" s="52" t="n">
        <v>45719</v>
      </c>
      <c r="B1090" s="57" t="n">
        <v>0.02186</v>
      </c>
      <c r="C1090" s="57" t="n">
        <v>0.02218</v>
      </c>
      <c r="D1090" s="57" t="n">
        <v>0.02294</v>
      </c>
      <c r="E1090" s="57" t="n">
        <v>0.02519</v>
      </c>
      <c r="F1090" s="57" t="n">
        <v>0.02895</v>
      </c>
      <c r="G1090" s="57" t="n">
        <v>0.03139</v>
      </c>
    </row>
    <row r="1091" customFormat="false" ht="15" hidden="false" customHeight="false" outlineLevel="0" collapsed="false">
      <c r="A1091" s="52" t="n">
        <v>45720</v>
      </c>
      <c r="B1091" s="57" t="n">
        <v>0.02186</v>
      </c>
      <c r="C1091" s="57" t="n">
        <v>0.02219</v>
      </c>
      <c r="D1091" s="57" t="n">
        <v>0.02293</v>
      </c>
      <c r="E1091" s="57" t="n">
        <v>0.02509</v>
      </c>
      <c r="F1091" s="57" t="n">
        <v>0.02888</v>
      </c>
      <c r="G1091" s="57" t="n">
        <v>0.03129</v>
      </c>
    </row>
    <row r="1092" customFormat="false" ht="15" hidden="false" customHeight="false" outlineLevel="0" collapsed="false">
      <c r="A1092" s="52" t="n">
        <v>45721</v>
      </c>
      <c r="B1092" s="57" t="n">
        <v>0.02183</v>
      </c>
      <c r="C1092" s="57" t="n">
        <v>0.02215</v>
      </c>
      <c r="D1092" s="57" t="n">
        <v>0.02289</v>
      </c>
      <c r="E1092" s="57" t="n">
        <v>0.02473</v>
      </c>
      <c r="F1092" s="57" t="n">
        <v>0.02832</v>
      </c>
      <c r="G1092" s="57" t="n">
        <v>0.0307</v>
      </c>
    </row>
    <row r="1093" customFormat="false" ht="15" hidden="false" customHeight="false" outlineLevel="0" collapsed="false">
      <c r="A1093" s="52" t="n">
        <v>45722</v>
      </c>
      <c r="B1093" s="57" t="n">
        <v>0.02195</v>
      </c>
      <c r="C1093" s="57" t="n">
        <v>0.02207</v>
      </c>
      <c r="D1093" s="57" t="n">
        <v>0.02264</v>
      </c>
      <c r="E1093" s="57" t="n">
        <v>0.02452</v>
      </c>
      <c r="F1093" s="57" t="n">
        <v>0.02756</v>
      </c>
      <c r="G1093" s="57" t="n">
        <v>0.0302</v>
      </c>
    </row>
    <row r="1094" customFormat="false" ht="15" hidden="false" customHeight="false" outlineLevel="0" collapsed="false">
      <c r="A1094" s="52" t="n">
        <v>45723</v>
      </c>
      <c r="B1094" s="57" t="n">
        <v>0.02182</v>
      </c>
      <c r="C1094" s="57" t="n">
        <v>0.02209</v>
      </c>
      <c r="D1094" s="57" t="n">
        <v>0.02274</v>
      </c>
      <c r="E1094" s="57" t="n">
        <v>0.02439</v>
      </c>
      <c r="F1094" s="57" t="n">
        <v>0.02742</v>
      </c>
      <c r="G1094" s="57" t="n">
        <v>0.03017</v>
      </c>
    </row>
    <row r="1095" customFormat="false" ht="15" hidden="false" customHeight="false" outlineLevel="0" collapsed="false">
      <c r="A1095" s="52" t="n">
        <v>45726</v>
      </c>
      <c r="B1095" s="57" t="n">
        <v>0.02182</v>
      </c>
      <c r="C1095" s="57" t="n">
        <v>0.02209</v>
      </c>
      <c r="D1095" s="57" t="n">
        <v>0.02274</v>
      </c>
      <c r="E1095" s="57" t="n">
        <v>0.02439</v>
      </c>
      <c r="F1095" s="57" t="n">
        <v>0.02723</v>
      </c>
      <c r="G1095" s="57" t="n">
        <v>0.03014</v>
      </c>
    </row>
    <row r="1096" customFormat="false" ht="15" hidden="false" customHeight="false" outlineLevel="0" collapsed="false">
      <c r="A1096" s="52" t="n">
        <v>45727</v>
      </c>
      <c r="B1096" s="57" t="n">
        <v>0.02182</v>
      </c>
      <c r="C1096" s="57" t="n">
        <v>0.02208</v>
      </c>
      <c r="D1096" s="57" t="n">
        <v>0.02273</v>
      </c>
      <c r="E1096" s="57" t="n">
        <v>0.02437</v>
      </c>
      <c r="F1096" s="57" t="n">
        <v>0.02734</v>
      </c>
      <c r="G1096" s="57" t="n">
        <v>0.0302</v>
      </c>
    </row>
    <row r="1097" customFormat="false" ht="15" hidden="false" customHeight="false" outlineLevel="0" collapsed="false">
      <c r="A1097" s="52" t="n">
        <v>45728</v>
      </c>
      <c r="B1097" s="57" t="n">
        <v>0.02182</v>
      </c>
      <c r="C1097" s="57" t="n">
        <v>0.02208</v>
      </c>
      <c r="D1097" s="57" t="n">
        <v>0.02273</v>
      </c>
      <c r="E1097" s="57" t="n">
        <v>0.02436</v>
      </c>
      <c r="F1097" s="57" t="n">
        <v>0.02726</v>
      </c>
      <c r="G1097" s="57" t="n">
        <v>0.03018</v>
      </c>
    </row>
    <row r="1098" customFormat="false" ht="15" hidden="false" customHeight="false" outlineLevel="0" collapsed="false">
      <c r="A1098" s="52" t="n">
        <v>45729</v>
      </c>
      <c r="B1098" s="57" t="n">
        <v>0.02182</v>
      </c>
      <c r="C1098" s="57" t="n">
        <v>0.02208</v>
      </c>
      <c r="D1098" s="57" t="n">
        <v>0.02273</v>
      </c>
      <c r="E1098" s="57" t="n">
        <v>0.02436</v>
      </c>
      <c r="F1098" s="57" t="n">
        <v>0.02729</v>
      </c>
      <c r="G1098" s="57" t="n">
        <v>0.02997</v>
      </c>
    </row>
    <row r="1099" customFormat="false" ht="15" hidden="false" customHeight="false" outlineLevel="0" collapsed="false">
      <c r="A1099" s="52" t="n">
        <v>45730</v>
      </c>
      <c r="B1099" s="57" t="n">
        <v>0.02181</v>
      </c>
      <c r="C1099" s="57" t="n">
        <v>0.02208</v>
      </c>
      <c r="D1099" s="57" t="n">
        <v>0.02272</v>
      </c>
      <c r="E1099" s="57" t="n">
        <v>0.02432</v>
      </c>
      <c r="F1099" s="57" t="n">
        <v>0.02727</v>
      </c>
      <c r="G1099" s="57" t="n">
        <v>0.03021</v>
      </c>
    </row>
    <row r="1100" customFormat="false" ht="15" hidden="false" customHeight="false" outlineLevel="0" collapsed="false">
      <c r="A1100" s="52" t="n">
        <v>45733</v>
      </c>
      <c r="B1100" s="57" t="n">
        <v>0.02181</v>
      </c>
      <c r="C1100" s="57" t="n">
        <v>0.02207</v>
      </c>
      <c r="D1100" s="57" t="n">
        <v>0.02272</v>
      </c>
      <c r="E1100" s="57" t="n">
        <v>0.02426</v>
      </c>
      <c r="F1100" s="57" t="n">
        <v>0.02701</v>
      </c>
      <c r="G1100" s="57" t="n">
        <v>0.03005</v>
      </c>
    </row>
    <row r="1101" customFormat="false" ht="15" hidden="false" customHeight="false" outlineLevel="0" collapsed="false">
      <c r="A1101" s="52" t="n">
        <v>45734</v>
      </c>
      <c r="B1101" s="57" t="n">
        <v>0.02181</v>
      </c>
      <c r="C1101" s="57" t="n">
        <v>0.02207</v>
      </c>
      <c r="D1101" s="57" t="n">
        <v>0.02267</v>
      </c>
      <c r="E1101" s="57" t="n">
        <v>0.02383</v>
      </c>
      <c r="F1101" s="57" t="n">
        <v>0.02711</v>
      </c>
      <c r="G1101" s="57" t="n">
        <v>0.0301</v>
      </c>
    </row>
    <row r="1102" customFormat="false" ht="15" hidden="false" customHeight="false" outlineLevel="0" collapsed="false">
      <c r="A1102" s="52" t="n">
        <v>45735</v>
      </c>
      <c r="B1102" s="57" t="n">
        <v>0.02173</v>
      </c>
      <c r="C1102" s="57" t="n">
        <v>0.022</v>
      </c>
      <c r="D1102" s="57" t="n">
        <v>0.02264</v>
      </c>
      <c r="E1102" s="57" t="n">
        <v>0.0239</v>
      </c>
      <c r="F1102" s="57" t="n">
        <v>0.02684</v>
      </c>
      <c r="G1102" s="57" t="n">
        <v>0.03016</v>
      </c>
    </row>
    <row r="1103" customFormat="false" ht="15" hidden="false" customHeight="false" outlineLevel="0" collapsed="false">
      <c r="A1103" s="52" t="n">
        <v>45736</v>
      </c>
      <c r="B1103" s="57" t="n">
        <v>0.02173</v>
      </c>
      <c r="C1103" s="57" t="n">
        <v>0.022</v>
      </c>
      <c r="D1103" s="57" t="n">
        <v>0.02264</v>
      </c>
      <c r="E1103" s="57" t="n">
        <v>0.0239</v>
      </c>
      <c r="F1103" s="57" t="n">
        <v>0.02683</v>
      </c>
      <c r="G1103" s="57" t="n">
        <v>0.03005</v>
      </c>
    </row>
    <row r="1104" customFormat="false" ht="15" hidden="false" customHeight="false" outlineLevel="0" collapsed="false">
      <c r="A1104" s="52" t="n">
        <v>45737</v>
      </c>
      <c r="B1104" s="57" t="n">
        <v>0.02172</v>
      </c>
      <c r="C1104" s="57" t="n">
        <v>0.02199</v>
      </c>
      <c r="D1104" s="57" t="n">
        <v>0.02265</v>
      </c>
      <c r="E1104" s="57" t="n">
        <v>0.02399</v>
      </c>
      <c r="F1104" s="57" t="n">
        <v>0.02692</v>
      </c>
      <c r="G1104" s="57" t="n">
        <v>0.03003</v>
      </c>
    </row>
    <row r="1105" customFormat="false" ht="15" hidden="false" customHeight="false" outlineLevel="0" collapsed="false">
      <c r="A1105" s="52" t="n">
        <v>45740</v>
      </c>
      <c r="B1105" s="57" t="n">
        <v>0.02173</v>
      </c>
      <c r="C1105" s="57" t="n">
        <v>0.02199</v>
      </c>
      <c r="D1105" s="57" t="n">
        <v>0.02265</v>
      </c>
      <c r="E1105" s="57" t="n">
        <v>0.02413</v>
      </c>
      <c r="F1105" s="57" t="n">
        <v>0.02712</v>
      </c>
      <c r="G1105" s="57" t="n">
        <v>0.03019</v>
      </c>
    </row>
    <row r="1106" customFormat="false" ht="15" hidden="false" customHeight="false" outlineLevel="0" collapsed="false">
      <c r="A1106" s="52" t="n">
        <v>45741</v>
      </c>
      <c r="B1106" s="57" t="n">
        <v>0.02172</v>
      </c>
      <c r="C1106" s="57" t="n">
        <v>0.02199</v>
      </c>
      <c r="D1106" s="57" t="n">
        <v>0.02265</v>
      </c>
      <c r="E1106" s="57" t="n">
        <v>0.02413</v>
      </c>
      <c r="F1106" s="57" t="n">
        <v>0.02716</v>
      </c>
      <c r="G1106" s="57" t="n">
        <v>0.03029</v>
      </c>
    </row>
    <row r="1107" customFormat="false" ht="15" hidden="false" customHeight="false" outlineLevel="0" collapsed="false">
      <c r="A1107" s="52" t="n">
        <v>45742</v>
      </c>
      <c r="B1107" s="57" t="n">
        <v>0.02172</v>
      </c>
      <c r="C1107" s="57" t="n">
        <v>0.02199</v>
      </c>
      <c r="D1107" s="57" t="n">
        <v>0.02265</v>
      </c>
      <c r="E1107" s="57" t="n">
        <v>0.02409</v>
      </c>
      <c r="F1107" s="57" t="n">
        <v>0.02727</v>
      </c>
      <c r="G1107" s="57" t="n">
        <v>0.03033</v>
      </c>
    </row>
    <row r="1108" customFormat="false" ht="15" hidden="false" customHeight="false" outlineLevel="0" collapsed="false">
      <c r="A1108" s="52" t="n">
        <v>45743</v>
      </c>
      <c r="B1108" s="57" t="n">
        <v>0.02172</v>
      </c>
      <c r="C1108" s="57" t="n">
        <v>0.02198</v>
      </c>
      <c r="D1108" s="57" t="n">
        <v>0.02264</v>
      </c>
      <c r="E1108" s="57" t="n">
        <v>0.02401</v>
      </c>
      <c r="F1108" s="57" t="n">
        <v>0.02735</v>
      </c>
      <c r="G1108" s="57" t="n">
        <v>0.03033</v>
      </c>
    </row>
    <row r="1109" customFormat="false" ht="15" hidden="false" customHeight="false" outlineLevel="0" collapsed="false">
      <c r="A1109" s="52" t="n">
        <v>45744</v>
      </c>
      <c r="B1109" s="57" t="n">
        <v>0.02172</v>
      </c>
      <c r="C1109" s="57" t="n">
        <v>0.02198</v>
      </c>
      <c r="D1109" s="57" t="n">
        <v>0.02263</v>
      </c>
      <c r="E1109" s="57" t="n">
        <v>0.02398</v>
      </c>
      <c r="F1109" s="57" t="n">
        <v>0.02723</v>
      </c>
      <c r="G1109" s="57" t="n">
        <v>0.03016</v>
      </c>
    </row>
    <row r="1110" customFormat="false" ht="15" hidden="false" customHeight="false" outlineLevel="0" collapsed="false">
      <c r="A1110" s="52" t="n">
        <v>45747</v>
      </c>
      <c r="B1110" s="57" t="n">
        <v>0.02172</v>
      </c>
      <c r="C1110" s="57" t="n">
        <v>0.02198</v>
      </c>
      <c r="D1110" s="57" t="n">
        <v>0.0226</v>
      </c>
      <c r="E1110" s="57" t="n">
        <v>0.02358</v>
      </c>
      <c r="F1110" s="57" t="n">
        <v>0.02705</v>
      </c>
      <c r="G1110" s="57" t="n">
        <v>0.03009</v>
      </c>
    </row>
    <row r="1111" customFormat="false" ht="15" hidden="false" customHeight="false" outlineLevel="0" collapsed="false">
      <c r="A1111" s="52" t="n">
        <v>45748</v>
      </c>
      <c r="B1111" s="57" t="n">
        <v>0.02173</v>
      </c>
      <c r="C1111" s="57" t="n">
        <v>0.02197</v>
      </c>
      <c r="D1111" s="57" t="n">
        <v>0.02261</v>
      </c>
      <c r="E1111" s="57" t="n">
        <v>0.02379</v>
      </c>
      <c r="F1111" s="57" t="n">
        <v>0.0272</v>
      </c>
      <c r="G1111" s="57" t="n">
        <v>0.03015</v>
      </c>
    </row>
    <row r="1112" customFormat="false" ht="15" hidden="false" customHeight="false" outlineLevel="0" collapsed="false">
      <c r="A1112" s="52" t="n">
        <v>45749</v>
      </c>
      <c r="B1112" s="57" t="n">
        <v>0.02172</v>
      </c>
      <c r="C1112" s="57" t="n">
        <v>0.02197</v>
      </c>
      <c r="D1112" s="57" t="n">
        <v>0.0226</v>
      </c>
      <c r="E1112" s="57" t="n">
        <v>0.0237</v>
      </c>
      <c r="F1112" s="57" t="n">
        <v>0.02733</v>
      </c>
      <c r="G1112" s="57" t="n">
        <v>0.03018</v>
      </c>
    </row>
    <row r="1113" customFormat="false" ht="15" hidden="false" customHeight="false" outlineLevel="0" collapsed="false">
      <c r="A1113" s="52" t="n">
        <v>45750</v>
      </c>
      <c r="B1113" s="57" t="n">
        <v>0.0218</v>
      </c>
      <c r="C1113" s="57" t="n">
        <v>0.0221</v>
      </c>
      <c r="D1113" s="57" t="n">
        <v>0.02282</v>
      </c>
      <c r="E1113" s="57" t="n">
        <v>0.02458</v>
      </c>
      <c r="F1113" s="57" t="n">
        <v>0.02821</v>
      </c>
      <c r="G1113" s="57" t="n">
        <v>0.03103</v>
      </c>
    </row>
    <row r="1114" customFormat="false" ht="15" hidden="false" customHeight="false" outlineLevel="0" collapsed="false">
      <c r="A1114" s="52" t="n">
        <v>45751</v>
      </c>
      <c r="B1114" s="57" t="n">
        <v>0.0218</v>
      </c>
      <c r="C1114" s="57" t="n">
        <v>0.02212</v>
      </c>
      <c r="D1114" s="57" t="n">
        <v>0.02278</v>
      </c>
      <c r="E1114" s="57" t="n">
        <v>0.02454</v>
      </c>
      <c r="F1114" s="57" t="n">
        <v>0.02793</v>
      </c>
      <c r="G1114" s="57" t="n">
        <v>0.0307</v>
      </c>
    </row>
    <row r="1115" customFormat="false" ht="15" hidden="false" customHeight="false" outlineLevel="0" collapsed="false">
      <c r="A1115" s="52" t="n">
        <v>45754</v>
      </c>
      <c r="B1115" s="57" t="n">
        <v>0.0218</v>
      </c>
      <c r="C1115" s="57" t="n">
        <v>0.02212</v>
      </c>
      <c r="D1115" s="57" t="n">
        <v>0.02278</v>
      </c>
      <c r="E1115" s="57" t="n">
        <v>0.02454</v>
      </c>
      <c r="F1115" s="57" t="n">
        <v>0.02793</v>
      </c>
      <c r="G1115" s="57" t="n">
        <v>0.0307</v>
      </c>
    </row>
    <row r="1116" customFormat="false" ht="15" hidden="false" customHeight="false" outlineLevel="0" collapsed="false">
      <c r="A1116" s="52" t="n">
        <v>45755</v>
      </c>
      <c r="B1116" s="57" t="n">
        <v>0.02181</v>
      </c>
      <c r="C1116" s="57" t="n">
        <v>0.02212</v>
      </c>
      <c r="D1116" s="57" t="n">
        <v>0.02282</v>
      </c>
      <c r="E1116" s="57" t="n">
        <v>0.02465</v>
      </c>
      <c r="F1116" s="57" t="n">
        <v>0.02823</v>
      </c>
      <c r="G1116" s="57" t="n">
        <v>0.03102</v>
      </c>
    </row>
    <row r="1117" customFormat="false" ht="15" hidden="false" customHeight="false" outlineLevel="0" collapsed="false">
      <c r="A1117" s="52" t="n">
        <v>45756</v>
      </c>
      <c r="B1117" s="57" t="n">
        <v>0.02181</v>
      </c>
      <c r="C1117" s="57" t="n">
        <v>0.02212</v>
      </c>
      <c r="D1117" s="57" t="n">
        <v>0.02281</v>
      </c>
      <c r="E1117" s="57" t="n">
        <v>0.02457</v>
      </c>
      <c r="F1117" s="57" t="n">
        <v>0.02815</v>
      </c>
      <c r="G1117" s="57" t="n">
        <v>0.03099</v>
      </c>
    </row>
    <row r="1118" customFormat="false" ht="15" hidden="false" customHeight="false" outlineLevel="0" collapsed="false">
      <c r="A1118" s="52" t="n">
        <v>45757</v>
      </c>
      <c r="B1118" s="57" t="n">
        <v>0.0218</v>
      </c>
      <c r="C1118" s="57" t="n">
        <v>0.02212</v>
      </c>
      <c r="D1118" s="57" t="n">
        <v>0.0228</v>
      </c>
      <c r="E1118" s="57" t="n">
        <v>0.02446</v>
      </c>
      <c r="F1118" s="57" t="n">
        <v>0.02815</v>
      </c>
      <c r="G1118" s="57" t="n">
        <v>0.03084</v>
      </c>
    </row>
    <row r="1119" customFormat="false" ht="15" hidden="false" customHeight="false" outlineLevel="0" collapsed="false">
      <c r="A1119" s="52" t="n">
        <v>45758</v>
      </c>
      <c r="B1119" s="57" t="n">
        <v>0.0218</v>
      </c>
      <c r="C1119" s="57" t="n">
        <v>0.02211</v>
      </c>
      <c r="D1119" s="57" t="n">
        <v>0.0228</v>
      </c>
      <c r="E1119" s="57" t="n">
        <v>0.02451</v>
      </c>
      <c r="F1119" s="57" t="n">
        <v>0.02813</v>
      </c>
      <c r="G1119" s="57" t="n">
        <v>0.03096</v>
      </c>
    </row>
    <row r="1120" customFormat="false" ht="15" hidden="false" customHeight="false" outlineLevel="0" collapsed="false">
      <c r="A1120" s="52" t="n">
        <v>45761</v>
      </c>
      <c r="B1120" s="57" t="n">
        <v>0.02179</v>
      </c>
      <c r="C1120" s="57" t="n">
        <v>0.02211</v>
      </c>
      <c r="D1120" s="57" t="n">
        <v>0.0228</v>
      </c>
      <c r="E1120" s="57" t="n">
        <v>0.02454</v>
      </c>
      <c r="F1120" s="57" t="n">
        <v>0.02812</v>
      </c>
      <c r="G1120" s="57" t="n">
        <v>0.03096</v>
      </c>
    </row>
    <row r="1121" customFormat="false" ht="15" hidden="false" customHeight="false" outlineLevel="0" collapsed="false">
      <c r="A1121" s="52" t="n">
        <v>45762</v>
      </c>
      <c r="B1121" s="57" t="n">
        <v>0.0218</v>
      </c>
      <c r="C1121" s="57" t="n">
        <v>0.02211</v>
      </c>
      <c r="D1121" s="57" t="n">
        <v>0.0228</v>
      </c>
      <c r="E1121" s="57" t="n">
        <v>0.02464</v>
      </c>
      <c r="F1121" s="57" t="n">
        <v>0.02809</v>
      </c>
      <c r="G1121" s="57" t="n">
        <v>0.03095</v>
      </c>
    </row>
    <row r="1122" customFormat="false" ht="15" hidden="false" customHeight="false" outlineLevel="0" collapsed="false">
      <c r="A1122" s="52" t="n">
        <v>45763</v>
      </c>
      <c r="B1122" s="57" t="n">
        <v>0.0218</v>
      </c>
      <c r="C1122" s="57" t="n">
        <v>0.02211</v>
      </c>
      <c r="D1122" s="57" t="n">
        <v>0.0228</v>
      </c>
      <c r="E1122" s="57" t="n">
        <v>0.02462</v>
      </c>
      <c r="F1122" s="57" t="n">
        <v>0.02809</v>
      </c>
      <c r="G1122" s="57" t="n">
        <v>0.03076</v>
      </c>
    </row>
    <row r="1123" customFormat="false" ht="15" hidden="false" customHeight="false" outlineLevel="0" collapsed="false">
      <c r="A1123" s="52" t="n">
        <v>45764</v>
      </c>
      <c r="B1123" s="57" t="n">
        <v>0.02179</v>
      </c>
      <c r="C1123" s="57" t="n">
        <v>0.02211</v>
      </c>
      <c r="D1123" s="57" t="n">
        <v>0.0228</v>
      </c>
      <c r="E1123" s="57" t="n">
        <v>0.02462</v>
      </c>
      <c r="F1123" s="57" t="n">
        <v>0.02807</v>
      </c>
      <c r="G1123" s="57" t="n">
        <v>0.0309</v>
      </c>
    </row>
    <row r="1124" customFormat="false" ht="15" hidden="false" customHeight="false" outlineLevel="0" collapsed="false">
      <c r="A1124" s="52" t="n">
        <v>45765</v>
      </c>
      <c r="B1124" s="57" t="n">
        <v>0.02179</v>
      </c>
      <c r="C1124" s="57" t="n">
        <v>0.0221</v>
      </c>
      <c r="D1124" s="57" t="n">
        <v>0.02279</v>
      </c>
      <c r="E1124" s="57" t="n">
        <v>0.02459</v>
      </c>
      <c r="F1124" s="57" t="n">
        <v>0.02823</v>
      </c>
      <c r="G1124" s="57" t="n">
        <v>0.03093</v>
      </c>
    </row>
    <row r="1125" customFormat="false" ht="15" hidden="false" customHeight="false" outlineLevel="0" collapsed="false">
      <c r="A1125" s="52" t="n">
        <v>45768</v>
      </c>
      <c r="B1125" s="57" t="n">
        <v>0.02179</v>
      </c>
      <c r="C1125" s="57" t="n">
        <v>0.0221</v>
      </c>
      <c r="D1125" s="57" t="n">
        <v>0.02279</v>
      </c>
      <c r="E1125" s="57" t="n">
        <v>0.02458</v>
      </c>
      <c r="F1125" s="57" t="n">
        <v>0.02824</v>
      </c>
      <c r="G1125" s="57" t="n">
        <v>0.03106</v>
      </c>
    </row>
    <row r="1126" customFormat="false" ht="15" hidden="false" customHeight="false" outlineLevel="0" collapsed="false">
      <c r="A1126" s="52" t="n">
        <v>45769</v>
      </c>
      <c r="B1126" s="57" t="n">
        <v>0.02179</v>
      </c>
      <c r="C1126" s="57" t="n">
        <v>0.0221</v>
      </c>
      <c r="D1126" s="57" t="n">
        <v>0.02267</v>
      </c>
      <c r="E1126" s="57" t="n">
        <v>0.02469</v>
      </c>
      <c r="F1126" s="57" t="n">
        <v>0.02824</v>
      </c>
      <c r="G1126" s="57" t="n">
        <v>0.03096</v>
      </c>
    </row>
    <row r="1127" customFormat="false" ht="15" hidden="false" customHeight="false" outlineLevel="0" collapsed="false">
      <c r="A1127" s="52" t="n">
        <v>45770</v>
      </c>
      <c r="B1127" s="57" t="n">
        <v>0.02179</v>
      </c>
      <c r="C1127" s="57" t="n">
        <v>0.0221</v>
      </c>
      <c r="D1127" s="57" t="n">
        <v>0.02279</v>
      </c>
      <c r="E1127" s="57" t="n">
        <v>0.02477</v>
      </c>
      <c r="F1127" s="57" t="n">
        <v>0.02831</v>
      </c>
      <c r="G1127" s="57" t="n">
        <v>0.03099</v>
      </c>
    </row>
    <row r="1128" customFormat="false" ht="15" hidden="false" customHeight="false" outlineLevel="0" collapsed="false">
      <c r="A1128" s="52" t="n">
        <v>45771</v>
      </c>
      <c r="B1128" s="57" t="n">
        <v>0.0218</v>
      </c>
      <c r="C1128" s="57" t="n">
        <v>0.02209</v>
      </c>
      <c r="D1128" s="57" t="n">
        <v>0.0228</v>
      </c>
      <c r="E1128" s="57" t="n">
        <v>0.02503</v>
      </c>
      <c r="F1128" s="57" t="n">
        <v>0.02845</v>
      </c>
      <c r="G1128" s="57" t="n">
        <v>0.03134</v>
      </c>
    </row>
    <row r="1129" customFormat="false" ht="15" hidden="false" customHeight="false" outlineLevel="0" collapsed="false">
      <c r="A1129" s="52" t="n">
        <v>45772</v>
      </c>
      <c r="B1129" s="57" t="n">
        <v>0.02179</v>
      </c>
      <c r="C1129" s="57" t="n">
        <v>0.02209</v>
      </c>
      <c r="D1129" s="57" t="n">
        <v>0.02279</v>
      </c>
      <c r="E1129" s="57" t="n">
        <v>0.02492</v>
      </c>
      <c r="F1129" s="57" t="n">
        <v>0.0284</v>
      </c>
      <c r="G1129" s="57" t="n">
        <v>0.03127</v>
      </c>
    </row>
    <row r="1130" customFormat="false" ht="15" hidden="false" customHeight="false" outlineLevel="0" collapsed="false">
      <c r="A1130" s="52" t="n">
        <v>45775</v>
      </c>
      <c r="B1130" s="57" t="n">
        <v>0.0218</v>
      </c>
      <c r="C1130" s="57" t="n">
        <v>0.02209</v>
      </c>
      <c r="D1130" s="57" t="n">
        <v>0.02279</v>
      </c>
      <c r="E1130" s="57" t="n">
        <v>0.0251</v>
      </c>
      <c r="F1130" s="57" t="n">
        <v>0.02843</v>
      </c>
      <c r="G1130" s="57" t="n">
        <v>0.03146</v>
      </c>
    </row>
    <row r="1131" customFormat="false" ht="15" hidden="false" customHeight="false" outlineLevel="0" collapsed="false">
      <c r="A1131" s="52" t="n">
        <v>45776</v>
      </c>
      <c r="B1131" s="57" t="n">
        <v>0.0218</v>
      </c>
      <c r="C1131" s="57" t="n">
        <v>0.02208</v>
      </c>
      <c r="D1131" s="57" t="n">
        <v>0.02277</v>
      </c>
      <c r="E1131" s="57" t="n">
        <v>0.02507</v>
      </c>
      <c r="F1131" s="57" t="n">
        <v>0.02847</v>
      </c>
      <c r="G1131" s="57" t="n">
        <v>0.03146</v>
      </c>
    </row>
    <row r="1132" customFormat="false" ht="15" hidden="false" customHeight="false" outlineLevel="0" collapsed="false">
      <c r="A1132" s="52" t="n">
        <v>45777</v>
      </c>
      <c r="B1132" s="57" t="n">
        <v>0.0218</v>
      </c>
      <c r="C1132" s="57" t="n">
        <v>0.02208</v>
      </c>
      <c r="D1132" s="57" t="n">
        <v>0.02277</v>
      </c>
      <c r="E1132" s="57" t="n">
        <v>0.02507</v>
      </c>
      <c r="F1132" s="57" t="n">
        <v>0.02847</v>
      </c>
      <c r="G1132" s="57" t="n">
        <v>0.03146</v>
      </c>
    </row>
    <row r="1133" customFormat="false" ht="15" hidden="false" customHeight="false" outlineLevel="0" collapsed="false">
      <c r="A1133" s="52" t="n">
        <v>45778</v>
      </c>
      <c r="B1133" s="57" t="n">
        <v>0.0218</v>
      </c>
      <c r="C1133" s="57" t="n">
        <v>0.02208</v>
      </c>
      <c r="D1133" s="57" t="n">
        <v>0.02277</v>
      </c>
      <c r="E1133" s="57" t="n">
        <v>0.02507</v>
      </c>
      <c r="F1133" s="57" t="n">
        <v>0.02847</v>
      </c>
      <c r="G1133" s="57" t="n">
        <v>0.03146</v>
      </c>
    </row>
    <row r="1134" customFormat="false" ht="15" hidden="false" customHeight="false" outlineLevel="0" collapsed="false">
      <c r="A1134" s="52" t="n">
        <v>45779</v>
      </c>
      <c r="B1134" s="57" t="n">
        <v>0.0218</v>
      </c>
      <c r="C1134" s="57" t="n">
        <v>0.02208</v>
      </c>
      <c r="D1134" s="57" t="n">
        <v>0.02277</v>
      </c>
      <c r="E1134" s="57" t="n">
        <v>0.02507</v>
      </c>
      <c r="F1134" s="57" t="n">
        <v>0.02847</v>
      </c>
      <c r="G1134" s="57" t="n">
        <v>0.03146</v>
      </c>
    </row>
    <row r="1135" customFormat="false" ht="15" hidden="false" customHeight="false" outlineLevel="0" collapsed="false">
      <c r="A1135" s="52" t="n">
        <v>45782</v>
      </c>
      <c r="B1135" s="57" t="n">
        <v>0.02185</v>
      </c>
      <c r="C1135" s="57" t="n">
        <v>0.02208</v>
      </c>
      <c r="D1135" s="57" t="n">
        <v>0.02277</v>
      </c>
      <c r="E1135" s="57" t="n">
        <v>0.02508</v>
      </c>
      <c r="F1135" s="57" t="n">
        <v>0.02848</v>
      </c>
      <c r="G1135" s="57" t="n">
        <v>0.03161</v>
      </c>
    </row>
    <row r="1136" customFormat="false" ht="15" hidden="false" customHeight="false" outlineLevel="0" collapsed="false">
      <c r="A1136" s="52" t="n">
        <v>45783</v>
      </c>
      <c r="B1136" s="57" t="n">
        <v>0.02185</v>
      </c>
      <c r="C1136" s="57" t="n">
        <v>0.02208</v>
      </c>
      <c r="D1136" s="57" t="n">
        <v>0.02277</v>
      </c>
      <c r="E1136" s="57" t="n">
        <v>0.0251</v>
      </c>
      <c r="F1136" s="57" t="n">
        <v>0.02853</v>
      </c>
      <c r="G1136" s="57" t="n">
        <v>0.03154</v>
      </c>
    </row>
    <row r="1137" customFormat="false" ht="15" hidden="false" customHeight="false" outlineLevel="0" collapsed="false">
      <c r="A1137" s="52" t="n">
        <v>45784</v>
      </c>
      <c r="B1137" s="57" t="n">
        <v>0.02191</v>
      </c>
      <c r="C1137" s="57" t="n">
        <v>0.02217</v>
      </c>
      <c r="D1137" s="57" t="n">
        <v>0.02284</v>
      </c>
      <c r="E1137" s="57" t="n">
        <v>0.0251</v>
      </c>
      <c r="F1137" s="57" t="n">
        <v>0.02849</v>
      </c>
      <c r="G1137" s="57" t="n">
        <v>0.03143</v>
      </c>
    </row>
    <row r="1138" customFormat="false" ht="15" hidden="false" customHeight="false" outlineLevel="0" collapsed="false">
      <c r="A1138" s="52" t="n">
        <v>45785</v>
      </c>
      <c r="B1138" s="57" t="n">
        <v>0.0219</v>
      </c>
      <c r="C1138" s="57" t="n">
        <v>0.02217</v>
      </c>
      <c r="D1138" s="57" t="n">
        <v>0.02284</v>
      </c>
      <c r="E1138" s="57" t="n">
        <v>0.02513</v>
      </c>
      <c r="F1138" s="57" t="n">
        <v>0.02847</v>
      </c>
      <c r="G1138" s="57" t="n">
        <v>0.0316</v>
      </c>
    </row>
    <row r="1139" customFormat="false" ht="15" hidden="false" customHeight="false" outlineLevel="0" collapsed="false">
      <c r="A1139" s="52" t="n">
        <v>45786</v>
      </c>
      <c r="B1139" s="57" t="n">
        <v>0.0219</v>
      </c>
      <c r="C1139" s="57" t="n">
        <v>0.02216</v>
      </c>
      <c r="D1139" s="57" t="n">
        <v>0.02283</v>
      </c>
      <c r="E1139" s="57" t="n">
        <v>0.02512</v>
      </c>
      <c r="F1139" s="57" t="n">
        <v>0.02845</v>
      </c>
      <c r="G1139" s="57" t="n">
        <v>0.03159</v>
      </c>
    </row>
    <row r="1140" customFormat="false" ht="15" hidden="false" customHeight="false" outlineLevel="0" collapsed="false">
      <c r="A1140" s="52" t="n">
        <v>45789</v>
      </c>
      <c r="B1140" s="57" t="n">
        <v>0.0219</v>
      </c>
      <c r="C1140" s="57" t="n">
        <v>0.02216</v>
      </c>
      <c r="D1140" s="57" t="n">
        <v>0.02283</v>
      </c>
      <c r="E1140" s="57" t="n">
        <v>0.02511</v>
      </c>
      <c r="F1140" s="57" t="n">
        <v>0.02845</v>
      </c>
      <c r="G1140" s="57" t="n">
        <v>0.03133</v>
      </c>
    </row>
    <row r="1141" customFormat="false" ht="15" hidden="false" customHeight="false" outlineLevel="0" collapsed="false">
      <c r="A1141" s="52" t="n">
        <v>45790</v>
      </c>
      <c r="B1141" s="57" t="n">
        <v>0.02189</v>
      </c>
      <c r="C1141" s="57" t="n">
        <v>0.02216</v>
      </c>
      <c r="D1141" s="57" t="n">
        <v>0.02282</v>
      </c>
      <c r="E1141" s="57" t="n">
        <v>0.02511</v>
      </c>
      <c r="F1141" s="57" t="n">
        <v>0.02843</v>
      </c>
      <c r="G1141" s="57" t="n">
        <v>0.03123</v>
      </c>
    </row>
    <row r="1142" customFormat="false" ht="15" hidden="false" customHeight="false" outlineLevel="0" collapsed="false">
      <c r="A1142" s="52" t="n">
        <v>45791</v>
      </c>
      <c r="B1142" s="57" t="n">
        <v>0.0219</v>
      </c>
      <c r="C1142" s="57" t="n">
        <v>0.02216</v>
      </c>
      <c r="D1142" s="57" t="n">
        <v>0.02282</v>
      </c>
      <c r="E1142" s="57" t="n">
        <v>0.02511</v>
      </c>
      <c r="F1142" s="57" t="n">
        <v>0.02843</v>
      </c>
      <c r="G1142" s="57" t="n">
        <v>0.03133</v>
      </c>
    </row>
    <row r="1143" customFormat="false" ht="15" hidden="false" customHeight="false" outlineLevel="0" collapsed="false">
      <c r="A1143" s="52" t="n">
        <v>45792</v>
      </c>
      <c r="B1143" s="57" t="n">
        <v>0.02189</v>
      </c>
      <c r="C1143" s="57" t="n">
        <v>0.02216</v>
      </c>
      <c r="D1143" s="57" t="n">
        <v>0.02281</v>
      </c>
      <c r="E1143" s="57" t="n">
        <v>0.0251</v>
      </c>
      <c r="F1143" s="57" t="n">
        <v>0.02843</v>
      </c>
      <c r="G1143" s="57" t="n">
        <v>0.03117</v>
      </c>
    </row>
    <row r="1144" customFormat="false" ht="15" hidden="false" customHeight="false" outlineLevel="0" collapsed="false">
      <c r="A1144" s="52" t="n">
        <v>45793</v>
      </c>
      <c r="B1144" s="57" t="n">
        <v>0.02189</v>
      </c>
      <c r="C1144" s="57" t="n">
        <v>0.02215</v>
      </c>
      <c r="D1144" s="57" t="n">
        <v>0.0228</v>
      </c>
      <c r="E1144" s="57" t="n">
        <v>0.02509</v>
      </c>
      <c r="F1144" s="57" t="n">
        <v>0.02841</v>
      </c>
      <c r="G1144" s="57" t="n">
        <v>0.03122</v>
      </c>
    </row>
    <row r="1145" customFormat="false" ht="15" hidden="false" customHeight="false" outlineLevel="0" collapsed="false">
      <c r="A1145" s="52" t="n">
        <v>45796</v>
      </c>
      <c r="B1145" s="57" t="n">
        <v>0.02189</v>
      </c>
      <c r="C1145" s="57" t="n">
        <v>0.02216</v>
      </c>
      <c r="D1145" s="57" t="n">
        <v>0.0228</v>
      </c>
      <c r="E1145" s="57" t="n">
        <v>0.02527</v>
      </c>
      <c r="F1145" s="57" t="n">
        <v>0.02837</v>
      </c>
      <c r="G1145" s="57" t="n">
        <v>0.03136</v>
      </c>
    </row>
    <row r="1146" customFormat="false" ht="15" hidden="false" customHeight="false" outlineLevel="0" collapsed="false">
      <c r="A1146" s="52" t="n">
        <v>45797</v>
      </c>
      <c r="B1146" s="57" t="n">
        <v>0.02188</v>
      </c>
      <c r="C1146" s="57" t="n">
        <v>0.02216</v>
      </c>
      <c r="D1146" s="57" t="n">
        <v>0.0228</v>
      </c>
      <c r="E1146" s="57" t="n">
        <v>0.02521</v>
      </c>
      <c r="F1146" s="57" t="n">
        <v>0.02838</v>
      </c>
      <c r="G1146" s="57" t="n">
        <v>0.03126</v>
      </c>
    </row>
    <row r="1147" customFormat="false" ht="15" hidden="false" customHeight="false" outlineLevel="0" collapsed="false">
      <c r="A1147" s="52" t="n">
        <v>45798</v>
      </c>
      <c r="B1147" s="57" t="n">
        <v>0.02189</v>
      </c>
      <c r="C1147" s="57" t="n">
        <v>0.02215</v>
      </c>
      <c r="D1147" s="57" t="n">
        <v>0.0228</v>
      </c>
      <c r="E1147" s="57" t="n">
        <v>0.0252</v>
      </c>
      <c r="F1147" s="57" t="n">
        <v>0.02824</v>
      </c>
      <c r="G1147" s="57" t="n">
        <v>0.0313</v>
      </c>
    </row>
    <row r="1148" customFormat="false" ht="15" hidden="false" customHeight="false" outlineLevel="0" collapsed="false">
      <c r="A1148" s="52" t="n">
        <v>45799</v>
      </c>
      <c r="B1148" s="57" t="n">
        <v>0.0219</v>
      </c>
      <c r="C1148" s="57" t="n">
        <v>0.02223</v>
      </c>
      <c r="D1148" s="57" t="n">
        <v>0.02289</v>
      </c>
      <c r="E1148" s="57" t="n">
        <v>0.0253</v>
      </c>
      <c r="F1148" s="57" t="n">
        <v>0.02836</v>
      </c>
      <c r="G1148" s="57" t="n">
        <v>0.03136</v>
      </c>
    </row>
    <row r="1149" customFormat="false" ht="15" hidden="false" customHeight="false" outlineLevel="0" collapsed="false">
      <c r="A1149" s="52" t="n">
        <v>45800</v>
      </c>
      <c r="B1149" s="57" t="n">
        <v>0.02249</v>
      </c>
      <c r="C1149" s="57" t="n">
        <v>0.02281</v>
      </c>
      <c r="D1149" s="57" t="n">
        <v>0.02346</v>
      </c>
      <c r="E1149" s="57" t="n">
        <v>0.02579</v>
      </c>
      <c r="F1149" s="57" t="n">
        <v>0.02884</v>
      </c>
      <c r="G1149" s="57" t="n">
        <v>0.03174</v>
      </c>
    </row>
    <row r="1150" customFormat="false" ht="15" hidden="false" customHeight="false" outlineLevel="0" collapsed="false">
      <c r="A1150" s="52" t="n">
        <v>45803</v>
      </c>
      <c r="B1150" s="57" t="n">
        <v>0.02248</v>
      </c>
      <c r="C1150" s="57" t="n">
        <v>0.0228</v>
      </c>
      <c r="D1150" s="57" t="n">
        <v>0.02345</v>
      </c>
      <c r="E1150" s="57" t="n">
        <v>0.02589</v>
      </c>
      <c r="F1150" s="57" t="n">
        <v>0.0289</v>
      </c>
      <c r="G1150" s="57" t="n">
        <v>0.03197</v>
      </c>
    </row>
    <row r="1151" customFormat="false" ht="15" hidden="false" customHeight="false" outlineLevel="0" collapsed="false">
      <c r="A1151" s="52" t="n">
        <v>45804</v>
      </c>
      <c r="B1151" s="57" t="n">
        <v>0.02248</v>
      </c>
      <c r="C1151" s="57" t="n">
        <v>0.0228</v>
      </c>
      <c r="D1151" s="57" t="n">
        <v>0.02345</v>
      </c>
      <c r="E1151" s="57" t="n">
        <v>0.02595</v>
      </c>
      <c r="F1151" s="57" t="n">
        <v>0.02888</v>
      </c>
      <c r="G1151" s="57" t="n">
        <v>0.03203</v>
      </c>
    </row>
    <row r="1152" customFormat="false" ht="15" hidden="false" customHeight="false" outlineLevel="0" collapsed="false">
      <c r="A1152" s="52" t="n">
        <v>45805</v>
      </c>
      <c r="B1152" s="57" t="n">
        <v>0.02248</v>
      </c>
      <c r="C1152" s="57" t="n">
        <v>0.0228</v>
      </c>
      <c r="D1152" s="57" t="n">
        <v>0.02345</v>
      </c>
      <c r="E1152" s="57" t="n">
        <v>0.02588</v>
      </c>
      <c r="F1152" s="57" t="n">
        <v>0.02894</v>
      </c>
      <c r="G1152" s="57" t="n">
        <v>0.03197</v>
      </c>
    </row>
    <row r="1153" customFormat="false" ht="15" hidden="false" customHeight="false" outlineLevel="0" collapsed="false">
      <c r="A1153" s="52" t="n">
        <v>45806</v>
      </c>
      <c r="B1153" s="57" t="n">
        <v>0.02252</v>
      </c>
      <c r="C1153" s="57" t="n">
        <v>0.02285</v>
      </c>
      <c r="D1153" s="57" t="n">
        <v>0.02349</v>
      </c>
      <c r="E1153" s="57" t="n">
        <v>0.02597</v>
      </c>
      <c r="F1153" s="57" t="n">
        <v>0.02906</v>
      </c>
      <c r="G1153" s="57" t="n">
        <v>0.03208</v>
      </c>
    </row>
    <row r="1154" customFormat="false" ht="15" hidden="false" customHeight="false" outlineLevel="0" collapsed="false">
      <c r="A1154" s="52" t="n">
        <v>45807</v>
      </c>
      <c r="B1154" s="57" t="n">
        <v>0.02264</v>
      </c>
      <c r="C1154" s="57" t="n">
        <v>0.023</v>
      </c>
      <c r="D1154" s="57" t="n">
        <v>0.02369</v>
      </c>
      <c r="E1154" s="57" t="n">
        <v>0.02604</v>
      </c>
      <c r="F1154" s="57" t="n">
        <v>0.02908</v>
      </c>
      <c r="G1154" s="57" t="n">
        <v>0.0322</v>
      </c>
    </row>
    <row r="1155" customFormat="false" ht="15" hidden="false" customHeight="false" outlineLevel="0" collapsed="false">
      <c r="A1155" s="52" t="n">
        <v>45810</v>
      </c>
      <c r="B1155" s="57" t="n">
        <v>0.02264</v>
      </c>
      <c r="C1155" s="57" t="n">
        <v>0.02312</v>
      </c>
      <c r="D1155" s="57" t="n">
        <v>0.02379</v>
      </c>
      <c r="E1155" s="57" t="n">
        <v>0.02629</v>
      </c>
      <c r="F1155" s="57" t="n">
        <v>0.02937</v>
      </c>
      <c r="G1155" s="57" t="n">
        <v>0.03234</v>
      </c>
    </row>
    <row r="1156" customFormat="false" ht="15" hidden="false" customHeight="false" outlineLevel="0" collapsed="false">
      <c r="A1156" s="52" t="n">
        <v>45811</v>
      </c>
      <c r="B1156" s="57" t="n">
        <v>0.02264</v>
      </c>
      <c r="C1156" s="57" t="n">
        <v>0.02311</v>
      </c>
      <c r="D1156" s="57" t="n">
        <v>0.02379</v>
      </c>
      <c r="E1156" s="57" t="n">
        <v>0.02635</v>
      </c>
      <c r="F1156" s="57" t="n">
        <v>0.02947</v>
      </c>
      <c r="G1156" s="57" t="n">
        <v>0.03235</v>
      </c>
    </row>
    <row r="1157" customFormat="false" ht="15" hidden="false" customHeight="false" outlineLevel="0" collapsed="false">
      <c r="A1157" s="52" t="n">
        <v>45812</v>
      </c>
      <c r="B1157" s="57" t="n">
        <v>0.02268</v>
      </c>
      <c r="C1157" s="57" t="n">
        <v>0.02309</v>
      </c>
      <c r="D1157" s="57" t="n">
        <v>0.02367</v>
      </c>
      <c r="E1157" s="57" t="n">
        <v>0.02643</v>
      </c>
      <c r="F1157" s="57" t="n">
        <v>0.02973</v>
      </c>
      <c r="G1157" s="57" t="n">
        <v>0.03245</v>
      </c>
    </row>
    <row r="1158" customFormat="false" ht="15" hidden="false" customHeight="false" outlineLevel="0" collapsed="false">
      <c r="A1158" s="52" t="n">
        <v>45813</v>
      </c>
      <c r="B1158" s="57" t="n">
        <v>0.02269</v>
      </c>
      <c r="C1158" s="57" t="n">
        <v>0.02309</v>
      </c>
      <c r="D1158" s="57" t="n">
        <v>0.02366</v>
      </c>
      <c r="E1158" s="57" t="n">
        <v>0.02652</v>
      </c>
      <c r="F1158" s="57" t="n">
        <v>0.02993</v>
      </c>
      <c r="G1158" s="57" t="n">
        <v>0.03259</v>
      </c>
    </row>
    <row r="1159" customFormat="false" ht="15" hidden="false" customHeight="false" outlineLevel="0" collapsed="false">
      <c r="A1159" s="52" t="n">
        <v>45814</v>
      </c>
      <c r="B1159" s="57" t="n">
        <v>0.02281</v>
      </c>
      <c r="C1159" s="57" t="n">
        <v>0.02326</v>
      </c>
      <c r="D1159" s="57" t="n">
        <v>0.02386</v>
      </c>
      <c r="E1159" s="57" t="n">
        <v>0.02645</v>
      </c>
      <c r="F1159" s="57" t="n">
        <v>0.02994</v>
      </c>
      <c r="G1159" s="57" t="n">
        <v>0.03252</v>
      </c>
    </row>
    <row r="1160" customFormat="false" ht="15" hidden="false" customHeight="false" outlineLevel="0" collapsed="false">
      <c r="A1160" s="52" t="n">
        <v>45817</v>
      </c>
      <c r="B1160" s="57" t="n">
        <v>0.0228</v>
      </c>
      <c r="C1160" s="57" t="n">
        <v>0.02322</v>
      </c>
      <c r="D1160" s="57" t="n">
        <v>0.02382</v>
      </c>
      <c r="E1160" s="57" t="n">
        <v>0.0265</v>
      </c>
      <c r="F1160" s="57" t="n">
        <v>0.03006</v>
      </c>
      <c r="G1160" s="57" t="n">
        <v>0.03263</v>
      </c>
    </row>
    <row r="1161" customFormat="false" ht="15" hidden="false" customHeight="false" outlineLevel="0" collapsed="false">
      <c r="A1161" s="52" t="n">
        <v>45818</v>
      </c>
      <c r="B1161" s="57" t="n">
        <v>0.0228</v>
      </c>
      <c r="C1161" s="57" t="n">
        <v>0.02322</v>
      </c>
      <c r="D1161" s="57" t="n">
        <v>0.02382</v>
      </c>
      <c r="E1161" s="57" t="n">
        <v>0.02657</v>
      </c>
      <c r="F1161" s="57" t="n">
        <v>0.03014</v>
      </c>
      <c r="G1161" s="57" t="n">
        <v>0.03269</v>
      </c>
    </row>
    <row r="1162" customFormat="false" ht="15" hidden="false" customHeight="false" outlineLevel="0" collapsed="false">
      <c r="A1162" s="52" t="n">
        <v>45819</v>
      </c>
      <c r="B1162" s="57" t="n">
        <v>0.0228</v>
      </c>
      <c r="C1162" s="57" t="n">
        <v>0.02322</v>
      </c>
      <c r="D1162" s="57" t="n">
        <v>0.02381</v>
      </c>
      <c r="E1162" s="57" t="n">
        <v>0.0266</v>
      </c>
      <c r="F1162" s="57" t="n">
        <v>0.0301</v>
      </c>
      <c r="G1162" s="57" t="n">
        <v>0.03268</v>
      </c>
    </row>
    <row r="1163" customFormat="false" ht="15" hidden="false" customHeight="false" outlineLevel="0" collapsed="false">
      <c r="A1163" s="52" t="n">
        <v>45820</v>
      </c>
      <c r="B1163" s="57" t="n">
        <v>0.02279</v>
      </c>
      <c r="C1163" s="57" t="n">
        <v>0.02322</v>
      </c>
      <c r="D1163" s="57" t="n">
        <v>0.02381</v>
      </c>
      <c r="E1163" s="57" t="n">
        <v>0.02662</v>
      </c>
      <c r="F1163" s="57" t="n">
        <v>0.03019</v>
      </c>
      <c r="G1163" s="57" t="n">
        <v>0.03271</v>
      </c>
    </row>
    <row r="1164" customFormat="false" ht="15" hidden="false" customHeight="false" outlineLevel="0" collapsed="false">
      <c r="A1164" s="52" t="n">
        <v>45821</v>
      </c>
      <c r="B1164" s="57" t="n">
        <v>0.02279</v>
      </c>
      <c r="C1164" s="57" t="n">
        <v>0.02321</v>
      </c>
      <c r="D1164" s="57" t="n">
        <v>0.0238</v>
      </c>
      <c r="E1164" s="57" t="n">
        <v>0.02658</v>
      </c>
      <c r="F1164" s="57" t="n">
        <v>0.03013</v>
      </c>
      <c r="G1164" s="57" t="n">
        <v>0.0327</v>
      </c>
    </row>
    <row r="1165" customFormat="false" ht="15" hidden="false" customHeight="false" outlineLevel="0" collapsed="false">
      <c r="A1165" s="52" t="n">
        <v>45824</v>
      </c>
      <c r="B1165" s="57" t="n">
        <v>0.02279</v>
      </c>
      <c r="C1165" s="57" t="n">
        <v>0.02322</v>
      </c>
      <c r="D1165" s="57" t="n">
        <v>0.02383</v>
      </c>
      <c r="E1165" s="57" t="n">
        <v>0.02663</v>
      </c>
      <c r="F1165" s="57" t="n">
        <v>0.03045</v>
      </c>
      <c r="G1165" s="57" t="n">
        <v>0.03274</v>
      </c>
    </row>
    <row r="1166" customFormat="false" ht="15" hidden="false" customHeight="false" outlineLevel="0" collapsed="false">
      <c r="A1166" s="52" t="n">
        <v>45825</v>
      </c>
      <c r="B1166" s="57" t="n">
        <v>0.02279</v>
      </c>
      <c r="C1166" s="57" t="n">
        <v>0.02321</v>
      </c>
      <c r="D1166" s="57" t="n">
        <v>0.02384</v>
      </c>
      <c r="E1166" s="57" t="n">
        <v>0.02702</v>
      </c>
      <c r="F1166" s="57" t="n">
        <v>0.03047</v>
      </c>
      <c r="G1166" s="57" t="n">
        <v>0.03277</v>
      </c>
    </row>
    <row r="1167" customFormat="false" ht="15" hidden="false" customHeight="false" outlineLevel="0" collapsed="false">
      <c r="A1167" s="52" t="n">
        <v>45826</v>
      </c>
      <c r="B1167" s="57" t="n">
        <v>0.02307</v>
      </c>
      <c r="C1167" s="57" t="n">
        <v>0.0235</v>
      </c>
      <c r="D1167" s="57" t="n">
        <v>0.02412</v>
      </c>
      <c r="E1167" s="57" t="n">
        <v>0.02732</v>
      </c>
      <c r="F1167" s="57" t="n">
        <v>0.03081</v>
      </c>
      <c r="G1167" s="57" t="n">
        <v>0.03285</v>
      </c>
    </row>
    <row r="1168" customFormat="false" ht="15" hidden="false" customHeight="false" outlineLevel="0" collapsed="false">
      <c r="A1168" s="52" t="n">
        <v>45827</v>
      </c>
      <c r="B1168" s="57" t="n">
        <v>0.02308</v>
      </c>
      <c r="C1168" s="57" t="n">
        <v>0.0235</v>
      </c>
      <c r="D1168" s="57" t="n">
        <v>0.02412</v>
      </c>
      <c r="E1168" s="57" t="n">
        <v>0.02764</v>
      </c>
      <c r="F1168" s="57" t="n">
        <v>0.03084</v>
      </c>
      <c r="G1168" s="57" t="n">
        <v>0.0329</v>
      </c>
    </row>
    <row r="1169" customFormat="false" ht="15" hidden="false" customHeight="false" outlineLevel="0" collapsed="false">
      <c r="A1169" s="52" t="n">
        <v>45828</v>
      </c>
      <c r="B1169" s="57" t="n">
        <v>0.02316</v>
      </c>
      <c r="C1169" s="57" t="n">
        <v>0.02358</v>
      </c>
      <c r="D1169" s="57" t="n">
        <v>0.0242</v>
      </c>
      <c r="E1169" s="57" t="n">
        <v>0.0277</v>
      </c>
      <c r="F1169" s="57" t="n">
        <v>0.03094</v>
      </c>
      <c r="G1169" s="57" t="n">
        <v>0.03307</v>
      </c>
    </row>
    <row r="1170" customFormat="false" ht="15" hidden="false" customHeight="false" outlineLevel="0" collapsed="false">
      <c r="A1170" s="52" t="n">
        <v>45831</v>
      </c>
      <c r="B1170" s="57" t="n">
        <v>0.02316</v>
      </c>
      <c r="C1170" s="57" t="n">
        <v>0.02357</v>
      </c>
      <c r="D1170" s="57" t="n">
        <v>0.02419</v>
      </c>
      <c r="E1170" s="57" t="n">
        <v>0.02774</v>
      </c>
      <c r="F1170" s="57" t="n">
        <v>0.03117</v>
      </c>
      <c r="G1170" s="57" t="n">
        <v>0.03315</v>
      </c>
    </row>
    <row r="1171" customFormat="false" ht="15" hidden="false" customHeight="false" outlineLevel="0" collapsed="false">
      <c r="A1171" s="52" t="n">
        <v>45832</v>
      </c>
      <c r="B1171" s="57" t="n">
        <v>0.02316</v>
      </c>
      <c r="C1171" s="57" t="n">
        <v>0.02357</v>
      </c>
      <c r="D1171" s="57" t="n">
        <v>0.02418</v>
      </c>
      <c r="E1171" s="57" t="n">
        <v>0.02786</v>
      </c>
      <c r="F1171" s="57" t="n">
        <v>0.03127</v>
      </c>
      <c r="G1171" s="57" t="n">
        <v>0.03323</v>
      </c>
    </row>
    <row r="1172" customFormat="false" ht="15" hidden="false" customHeight="false" outlineLevel="0" collapsed="false">
      <c r="A1172" s="52" t="n">
        <v>45833</v>
      </c>
      <c r="B1172" s="57" t="n">
        <v>0.0232</v>
      </c>
      <c r="C1172" s="57" t="n">
        <v>0.02361</v>
      </c>
      <c r="D1172" s="57" t="n">
        <v>0.02422</v>
      </c>
      <c r="E1172" s="57" t="n">
        <v>0.02778</v>
      </c>
      <c r="F1172" s="57" t="n">
        <v>0.03099</v>
      </c>
      <c r="G1172" s="57" t="n">
        <v>0.0331</v>
      </c>
    </row>
    <row r="1173" customFormat="false" ht="15" hidden="false" customHeight="false" outlineLevel="0" collapsed="false">
      <c r="A1173" s="52" t="n">
        <v>45834</v>
      </c>
      <c r="B1173" s="57" t="n">
        <v>0.0232</v>
      </c>
      <c r="C1173" s="57" t="n">
        <v>0.02361</v>
      </c>
      <c r="D1173" s="57" t="n">
        <v>0.0243</v>
      </c>
      <c r="E1173" s="57" t="n">
        <v>0.02785</v>
      </c>
      <c r="F1173" s="57" t="n">
        <v>0.0311</v>
      </c>
      <c r="G1173" s="57" t="n">
        <v>0.03305</v>
      </c>
    </row>
    <row r="1174" customFormat="false" ht="15" hidden="false" customHeight="false" outlineLevel="0" collapsed="false">
      <c r="A1174" s="52" t="n">
        <v>45835</v>
      </c>
      <c r="B1174" s="57" t="n">
        <v>0.02319</v>
      </c>
      <c r="C1174" s="57" t="n">
        <v>0.0236</v>
      </c>
      <c r="D1174" s="57" t="n">
        <v>0.02429</v>
      </c>
      <c r="E1174" s="57" t="n">
        <v>0.02783</v>
      </c>
      <c r="F1174" s="57" t="n">
        <v>0.03108</v>
      </c>
      <c r="G1174" s="57" t="n">
        <v>0.03323</v>
      </c>
    </row>
    <row r="1175" customFormat="false" ht="15" hidden="false" customHeight="false" outlineLevel="0" collapsed="false">
      <c r="A1175" s="52" t="n">
        <v>45838</v>
      </c>
      <c r="B1175" s="57" t="n">
        <v>0.02328</v>
      </c>
      <c r="C1175" s="57" t="n">
        <v>0.02377</v>
      </c>
      <c r="D1175" s="57" t="n">
        <v>0.02445</v>
      </c>
      <c r="E1175" s="57" t="n">
        <v>0.02799</v>
      </c>
      <c r="F1175" s="57" t="n">
        <v>0.03113</v>
      </c>
      <c r="G1175" s="57" t="n">
        <v>0.03335</v>
      </c>
    </row>
    <row r="1176" customFormat="false" ht="15" hidden="false" customHeight="false" outlineLevel="0" collapsed="false">
      <c r="A1176" s="52" t="n">
        <v>45839</v>
      </c>
      <c r="B1176" s="57" t="n">
        <v>0.02327</v>
      </c>
      <c r="C1176" s="57" t="n">
        <v>0.02377</v>
      </c>
      <c r="D1176" s="57" t="n">
        <v>0.02458</v>
      </c>
      <c r="E1176" s="57" t="n">
        <v>0.02797</v>
      </c>
      <c r="F1176" s="57" t="n">
        <v>0.03113</v>
      </c>
      <c r="G1176" s="57" t="n">
        <v>0.03317</v>
      </c>
    </row>
    <row r="1177" customFormat="false" ht="15" hidden="false" customHeight="false" outlineLevel="0" collapsed="false">
      <c r="A1177" s="52" t="n">
        <v>45840</v>
      </c>
      <c r="B1177" s="57" t="n">
        <v>0.02328</v>
      </c>
      <c r="C1177" s="57" t="n">
        <v>0.02377</v>
      </c>
      <c r="D1177" s="57" t="n">
        <v>0.02457</v>
      </c>
      <c r="E1177" s="57" t="n">
        <v>0.02797</v>
      </c>
      <c r="F1177" s="57" t="n">
        <v>0.03123</v>
      </c>
      <c r="G1177" s="57" t="n">
        <v>0.03342</v>
      </c>
    </row>
    <row r="1178" customFormat="false" ht="15" hidden="false" customHeight="false" outlineLevel="0" collapsed="false">
      <c r="A1178" s="52" t="n">
        <v>45841</v>
      </c>
      <c r="B1178" s="57" t="n">
        <v>0.02327</v>
      </c>
      <c r="C1178" s="57" t="n">
        <v>0.02377</v>
      </c>
      <c r="D1178" s="57" t="n">
        <v>0.02456</v>
      </c>
      <c r="E1178" s="57" t="n">
        <v>0.02796</v>
      </c>
      <c r="F1178" s="57" t="n">
        <v>0.03118</v>
      </c>
      <c r="G1178" s="57" t="n">
        <v>0.03343</v>
      </c>
    </row>
    <row r="1179" customFormat="false" ht="15" hidden="false" customHeight="false" outlineLevel="0" collapsed="false">
      <c r="A1179" s="52" t="n">
        <v>45842</v>
      </c>
      <c r="B1179" s="57" t="n">
        <v>0.02327</v>
      </c>
      <c r="C1179" s="57" t="n">
        <v>0.02376</v>
      </c>
      <c r="D1179" s="57" t="n">
        <v>0.02455</v>
      </c>
      <c r="E1179" s="57" t="n">
        <v>0.02795</v>
      </c>
      <c r="F1179" s="57" t="n">
        <v>0.03121</v>
      </c>
      <c r="G1179" s="57" t="n">
        <v>0.03344</v>
      </c>
    </row>
    <row r="1180" customFormat="false" ht="15" hidden="false" customHeight="false" outlineLevel="0" collapsed="false">
      <c r="A1180" s="52" t="n">
        <v>45845</v>
      </c>
      <c r="B1180" s="57" t="n">
        <v>0.02327</v>
      </c>
      <c r="C1180" s="57" t="n">
        <v>0.02376</v>
      </c>
      <c r="D1180" s="57" t="n">
        <v>0.02455</v>
      </c>
      <c r="E1180" s="57" t="n">
        <v>0.02794</v>
      </c>
      <c r="F1180" s="57" t="n">
        <v>0.03118</v>
      </c>
      <c r="G1180" s="57" t="n">
        <v>0.03342</v>
      </c>
    </row>
    <row r="1181" customFormat="false" ht="15" hidden="false" customHeight="false" outlineLevel="0" collapsed="false">
      <c r="A1181" s="52" t="n">
        <v>45846</v>
      </c>
      <c r="B1181" s="57" t="n">
        <v>0.02331</v>
      </c>
      <c r="C1181" s="57" t="n">
        <v>0.0238</v>
      </c>
      <c r="D1181" s="57" t="n">
        <v>0.02466</v>
      </c>
      <c r="E1181" s="57" t="n">
        <v>0.02794</v>
      </c>
      <c r="F1181" s="57" t="n">
        <v>0.0312</v>
      </c>
      <c r="G1181" s="57" t="n">
        <v>0.03343</v>
      </c>
    </row>
    <row r="1182" customFormat="false" ht="15" hidden="false" customHeight="false" outlineLevel="0" collapsed="false">
      <c r="A1182" s="52" t="n">
        <v>45847</v>
      </c>
      <c r="B1182" s="57" t="n">
        <v>0.02327</v>
      </c>
      <c r="C1182" s="57" t="n">
        <v>0.02376</v>
      </c>
      <c r="D1182" s="57" t="n">
        <v>0.02454</v>
      </c>
      <c r="E1182" s="57" t="n">
        <v>0.02793</v>
      </c>
      <c r="F1182" s="57" t="n">
        <v>0.03122</v>
      </c>
      <c r="G1182" s="57" t="n">
        <v>0.03342</v>
      </c>
    </row>
    <row r="1183" customFormat="false" ht="15" hidden="false" customHeight="false" outlineLevel="0" collapsed="false">
      <c r="A1183" s="52" t="n">
        <v>45848</v>
      </c>
      <c r="B1183" s="57" t="n">
        <v>0.02339</v>
      </c>
      <c r="C1183" s="57" t="n">
        <v>0.02389</v>
      </c>
      <c r="D1183" s="57" t="n">
        <v>0.02465</v>
      </c>
      <c r="E1183" s="57" t="n">
        <v>0.0279</v>
      </c>
      <c r="F1183" s="57" t="n">
        <v>0.03123</v>
      </c>
      <c r="G1183" s="57" t="n">
        <v>0.03343</v>
      </c>
    </row>
    <row r="1184" customFormat="false" ht="15" hidden="false" customHeight="false" outlineLevel="0" collapsed="false">
      <c r="A1184" s="52" t="n">
        <v>45849</v>
      </c>
      <c r="B1184" s="57" t="n">
        <v>0.02409</v>
      </c>
      <c r="C1184" s="57" t="n">
        <v>0.02467</v>
      </c>
      <c r="D1184" s="57" t="n">
        <v>0.0255</v>
      </c>
      <c r="E1184" s="57" t="n">
        <v>0.0279</v>
      </c>
      <c r="F1184" s="57" t="n">
        <v>0.03132</v>
      </c>
      <c r="G1184" s="57" t="n">
        <v>0.03352</v>
      </c>
    </row>
    <row r="1185" customFormat="false" ht="15" hidden="false" customHeight="false" outlineLevel="0" collapsed="false">
      <c r="A1185" s="52" t="n">
        <v>45852</v>
      </c>
      <c r="B1185" s="57" t="n">
        <v>0.02347</v>
      </c>
      <c r="C1185" s="57" t="n">
        <v>0.02396</v>
      </c>
      <c r="D1185" s="57" t="n">
        <v>0.02472</v>
      </c>
      <c r="E1185" s="57" t="n">
        <v>0.02788</v>
      </c>
      <c r="F1185" s="57" t="n">
        <v>0.03131</v>
      </c>
      <c r="G1185" s="57" t="n">
        <v>0.0335</v>
      </c>
    </row>
    <row r="1186" customFormat="false" ht="15" hidden="false" customHeight="false" outlineLevel="0" collapsed="false">
      <c r="A1186" s="52" t="n">
        <v>45853</v>
      </c>
      <c r="B1186" s="57" t="n">
        <v>0.02347</v>
      </c>
      <c r="C1186" s="57" t="n">
        <v>0.02395</v>
      </c>
      <c r="D1186" s="57" t="n">
        <v>0.02471</v>
      </c>
      <c r="E1186" s="57" t="n">
        <v>0.02788</v>
      </c>
      <c r="F1186" s="57" t="n">
        <v>0.03127</v>
      </c>
      <c r="G1186" s="57" t="n">
        <v>0.03352</v>
      </c>
    </row>
    <row r="1187" customFormat="false" ht="15" hidden="false" customHeight="false" outlineLevel="0" collapsed="false">
      <c r="A1187" s="52" t="n">
        <v>45854</v>
      </c>
      <c r="B1187" s="57" t="n">
        <v>0.02351</v>
      </c>
      <c r="C1187" s="57" t="n">
        <v>0.02399</v>
      </c>
      <c r="D1187" s="57" t="n">
        <v>0.02475</v>
      </c>
      <c r="E1187" s="57" t="n">
        <v>0.02792</v>
      </c>
      <c r="F1187" s="57" t="n">
        <v>0.03126</v>
      </c>
      <c r="G1187" s="57" t="n">
        <v>0.03359</v>
      </c>
    </row>
    <row r="1188" customFormat="false" ht="15" hidden="false" customHeight="false" outlineLevel="0" collapsed="false">
      <c r="A1188" s="52" t="n">
        <v>45855</v>
      </c>
      <c r="B1188" s="57" t="n">
        <v>0.02414</v>
      </c>
      <c r="C1188" s="57" t="n">
        <v>0.02446</v>
      </c>
      <c r="D1188" s="57" t="n">
        <v>0.02516</v>
      </c>
      <c r="E1188" s="57" t="n">
        <v>0.02793</v>
      </c>
      <c r="F1188" s="57" t="n">
        <v>0.03116</v>
      </c>
      <c r="G1188" s="57" t="n">
        <v>0.03402</v>
      </c>
    </row>
    <row r="1189" customFormat="false" ht="15" hidden="false" customHeight="false" outlineLevel="0" collapsed="false">
      <c r="A1189" s="52" t="n">
        <v>45856</v>
      </c>
      <c r="B1189" s="57" t="n">
        <v>0.02413</v>
      </c>
      <c r="C1189" s="57" t="n">
        <v>0.02445</v>
      </c>
      <c r="D1189" s="57" t="n">
        <v>0.02515</v>
      </c>
      <c r="E1189" s="57" t="n">
        <v>0.02801</v>
      </c>
      <c r="F1189" s="57" t="n">
        <v>0.0314</v>
      </c>
      <c r="G1189" s="57" t="n">
        <v>0.03398</v>
      </c>
    </row>
    <row r="1190" customFormat="false" ht="15" hidden="false" customHeight="false" outlineLevel="0" collapsed="false">
      <c r="A1190" s="52" t="n">
        <v>45859</v>
      </c>
      <c r="B1190" s="57" t="n">
        <v>0.02413</v>
      </c>
      <c r="C1190" s="57" t="n">
        <v>0.02445</v>
      </c>
      <c r="D1190" s="57" t="n">
        <v>0.02515</v>
      </c>
      <c r="E1190" s="57" t="n">
        <v>0.02808</v>
      </c>
      <c r="F1190" s="57" t="n">
        <v>0.03141</v>
      </c>
      <c r="G1190" s="57" t="n">
        <v>0.034</v>
      </c>
    </row>
    <row r="1191" customFormat="false" ht="15" hidden="false" customHeight="false" outlineLevel="0" collapsed="false">
      <c r="A1191" s="52" t="n">
        <v>45860</v>
      </c>
      <c r="B1191" s="57" t="n">
        <v>0.02413</v>
      </c>
      <c r="C1191" s="57" t="n">
        <v>0.02445</v>
      </c>
      <c r="D1191" s="57" t="n">
        <v>0.02514</v>
      </c>
      <c r="E1191" s="57" t="n">
        <v>0.0281</v>
      </c>
      <c r="F1191" s="57" t="n">
        <v>0.03141</v>
      </c>
      <c r="G1191" s="57" t="n">
        <v>0.03402</v>
      </c>
    </row>
    <row r="1192" customFormat="false" ht="15" hidden="false" customHeight="false" outlineLevel="0" collapsed="false">
      <c r="A1192" s="52" t="n">
        <v>45861</v>
      </c>
      <c r="B1192" s="57" t="n">
        <v>0.02412</v>
      </c>
      <c r="C1192" s="57" t="n">
        <v>0.02445</v>
      </c>
      <c r="D1192" s="57" t="n">
        <v>0.02518</v>
      </c>
      <c r="E1192" s="57" t="n">
        <v>0.02844</v>
      </c>
      <c r="F1192" s="57" t="n">
        <v>0.03148</v>
      </c>
      <c r="G1192" s="57" t="n">
        <v>0.03429</v>
      </c>
    </row>
    <row r="1193" customFormat="false" ht="15" hidden="false" customHeight="false" outlineLevel="0" collapsed="false">
      <c r="A1193" s="52" t="n">
        <v>45862</v>
      </c>
      <c r="B1193" s="57" t="n">
        <v>0.02443</v>
      </c>
      <c r="C1193" s="57" t="n">
        <v>0.02482</v>
      </c>
      <c r="D1193" s="57" t="n">
        <v>0.02567</v>
      </c>
      <c r="E1193" s="57" t="n">
        <v>0.02848</v>
      </c>
      <c r="F1193" s="57" t="n">
        <v>0.03166</v>
      </c>
      <c r="G1193" s="57" t="n">
        <v>0.03439</v>
      </c>
    </row>
    <row r="1194" customFormat="false" ht="15" hidden="false" customHeight="false" outlineLevel="0" collapsed="false">
      <c r="A1194" s="52" t="n">
        <v>45863</v>
      </c>
      <c r="B1194" s="57" t="n">
        <v>0.02458</v>
      </c>
      <c r="C1194" s="57" t="n">
        <v>0.02499</v>
      </c>
      <c r="D1194" s="57" t="n">
        <v>0.02575</v>
      </c>
      <c r="E1194" s="57" t="n">
        <v>0.02851</v>
      </c>
      <c r="F1194" s="57" t="n">
        <v>0.03175</v>
      </c>
      <c r="G1194" s="57" t="n">
        <v>0.03434</v>
      </c>
    </row>
    <row r="1195" customFormat="false" ht="15" hidden="false" customHeight="false" outlineLevel="0" collapsed="false">
      <c r="A1195" s="52" t="n">
        <v>45866</v>
      </c>
      <c r="B1195" s="57" t="n">
        <v>0.02458</v>
      </c>
      <c r="C1195" s="57" t="n">
        <v>0.02498</v>
      </c>
      <c r="D1195" s="57" t="n">
        <v>0.02575</v>
      </c>
      <c r="E1195" s="57" t="n">
        <v>0.0285</v>
      </c>
      <c r="F1195" s="57" t="n">
        <v>0.03173</v>
      </c>
      <c r="G1195" s="57" t="n">
        <v>0.03428</v>
      </c>
    </row>
    <row r="1196" customFormat="false" ht="15" hidden="false" customHeight="false" outlineLevel="0" collapsed="false">
      <c r="A1196" s="52" t="n">
        <v>45867</v>
      </c>
      <c r="B1196" s="57" t="n">
        <v>0.02475</v>
      </c>
      <c r="C1196" s="57" t="n">
        <v>0.02519</v>
      </c>
      <c r="D1196" s="57" t="n">
        <v>0.02595</v>
      </c>
      <c r="E1196" s="57" t="n">
        <v>0.02859</v>
      </c>
      <c r="F1196" s="57" t="n">
        <v>0.03179</v>
      </c>
      <c r="G1196" s="57" t="n">
        <v>0.03428</v>
      </c>
    </row>
    <row r="1197" customFormat="false" ht="15" hidden="false" customHeight="false" outlineLevel="0" collapsed="false">
      <c r="A1197" s="52" t="n">
        <v>45868</v>
      </c>
      <c r="B1197" s="57" t="n">
        <v>0.02475</v>
      </c>
      <c r="C1197" s="57" t="n">
        <v>0.02519</v>
      </c>
      <c r="D1197" s="57" t="n">
        <v>0.02595</v>
      </c>
      <c r="E1197" s="57" t="n">
        <v>0.0286</v>
      </c>
      <c r="F1197" s="57" t="n">
        <v>0.03176</v>
      </c>
      <c r="G1197" s="57" t="n">
        <v>0.03441</v>
      </c>
    </row>
    <row r="1198" customFormat="false" ht="15" hidden="false" customHeight="false" outlineLevel="0" collapsed="false">
      <c r="A1198" s="52" t="n">
        <v>45869</v>
      </c>
      <c r="B1198" s="57" t="n">
        <v>0.02479</v>
      </c>
      <c r="C1198" s="57" t="n">
        <v>0.02519</v>
      </c>
      <c r="D1198" s="57" t="n">
        <v>0.02591</v>
      </c>
      <c r="E1198" s="57" t="n">
        <v>0.02864</v>
      </c>
      <c r="F1198" s="57" t="n">
        <v>0.03175</v>
      </c>
      <c r="G1198" s="57" t="n">
        <v>0.03448</v>
      </c>
    </row>
    <row r="1199" customFormat="false" ht="15" hidden="false" customHeight="false" outlineLevel="0" collapsed="false">
      <c r="A1199" s="52" t="n">
        <v>45870</v>
      </c>
      <c r="B1199" s="57" t="n">
        <v>0.02489</v>
      </c>
      <c r="C1199" s="57" t="n">
        <v>0.02543</v>
      </c>
      <c r="D1199" s="57" t="n">
        <v>0.02615</v>
      </c>
      <c r="E1199" s="57" t="n">
        <v>0.02894</v>
      </c>
      <c r="F1199" s="57" t="n">
        <v>0.03206</v>
      </c>
      <c r="G1199" s="57" t="n">
        <v>0.03462</v>
      </c>
    </row>
    <row r="1200" customFormat="false" ht="15" hidden="false" customHeight="false" outlineLevel="0" collapsed="false">
      <c r="A1200" s="52" t="n">
        <v>45873</v>
      </c>
      <c r="B1200" s="57" t="n">
        <v>0.02489</v>
      </c>
      <c r="C1200" s="57" t="n">
        <v>0.02543</v>
      </c>
      <c r="D1200" s="57" t="n">
        <v>0.02614</v>
      </c>
      <c r="E1200" s="57" t="n">
        <v>0.02894</v>
      </c>
      <c r="F1200" s="57" t="n">
        <v>0.03208</v>
      </c>
      <c r="G1200" s="57" t="n">
        <v>0.03462</v>
      </c>
    </row>
    <row r="1201" customFormat="false" ht="15" hidden="false" customHeight="false" outlineLevel="0" collapsed="false">
      <c r="A1201" s="52" t="n">
        <v>45874</v>
      </c>
      <c r="B1201" s="57" t="n">
        <v>0.02489</v>
      </c>
      <c r="C1201" s="57" t="n">
        <v>0.02544</v>
      </c>
      <c r="D1201" s="57" t="n">
        <v>0.02622</v>
      </c>
      <c r="E1201" s="57" t="n">
        <v>0.02897</v>
      </c>
      <c r="F1201" s="57" t="n">
        <v>0.03206</v>
      </c>
      <c r="G1201" s="57" t="n">
        <v>0.03462</v>
      </c>
    </row>
    <row r="1202" customFormat="false" ht="15" hidden="false" customHeight="false" outlineLevel="0" collapsed="false">
      <c r="A1202" s="52" t="n">
        <v>45875</v>
      </c>
      <c r="B1202" s="57" t="n">
        <v>0.02489</v>
      </c>
      <c r="C1202" s="57" t="n">
        <v>0.02544</v>
      </c>
      <c r="D1202" s="57" t="n">
        <v>0.02622</v>
      </c>
      <c r="E1202" s="57" t="n">
        <v>0.02901</v>
      </c>
      <c r="F1202" s="57" t="n">
        <v>0.03211</v>
      </c>
      <c r="G1202" s="57" t="n">
        <v>0.03469</v>
      </c>
    </row>
    <row r="1203" customFormat="false" ht="15" hidden="false" customHeight="false" outlineLevel="0" collapsed="false">
      <c r="A1203" s="52" t="n">
        <v>45876</v>
      </c>
      <c r="B1203" s="57" t="n">
        <v>0.02545</v>
      </c>
      <c r="C1203" s="57" t="n">
        <v>0.02601</v>
      </c>
      <c r="D1203" s="57" t="n">
        <v>0.02674</v>
      </c>
      <c r="E1203" s="57" t="n">
        <v>0.02905</v>
      </c>
      <c r="F1203" s="57" t="n">
        <v>0.03211</v>
      </c>
      <c r="G1203" s="57" t="n">
        <v>0.03503</v>
      </c>
    </row>
    <row r="1204" customFormat="false" ht="15" hidden="false" customHeight="false" outlineLevel="0" collapsed="false">
      <c r="A1204" s="52" t="n">
        <v>45877</v>
      </c>
      <c r="B1204" s="57" t="n">
        <v>0.02547</v>
      </c>
      <c r="C1204" s="57" t="n">
        <v>0.02602</v>
      </c>
      <c r="D1204" s="57" t="n">
        <v>0.02681</v>
      </c>
      <c r="E1204" s="57" t="n">
        <v>0.02907</v>
      </c>
      <c r="F1204" s="57" t="n">
        <v>0.03209</v>
      </c>
      <c r="G1204" s="57" t="n">
        <v>0.03492</v>
      </c>
    </row>
    <row r="1205" customFormat="false" ht="15" hidden="false" customHeight="false" outlineLevel="0" collapsed="false">
      <c r="A1205" s="52" t="n">
        <v>45880</v>
      </c>
      <c r="B1205" s="57" t="n">
        <v>0.02538</v>
      </c>
      <c r="C1205" s="57" t="n">
        <v>0.02594</v>
      </c>
      <c r="D1205" s="57" t="n">
        <v>0.02672</v>
      </c>
      <c r="E1205" s="57" t="n">
        <v>0.02907</v>
      </c>
      <c r="F1205" s="57" t="n">
        <v>0.03221</v>
      </c>
      <c r="G1205" s="57" t="n">
        <v>0.03496</v>
      </c>
    </row>
    <row r="1206" customFormat="false" ht="15" hidden="false" customHeight="false" outlineLevel="0" collapsed="false">
      <c r="A1206" s="52" t="n">
        <v>45881</v>
      </c>
      <c r="B1206" s="57" t="n">
        <v>0.02532</v>
      </c>
      <c r="C1206" s="57" t="n">
        <v>0.02597</v>
      </c>
      <c r="D1206" s="57" t="n">
        <v>0.02688</v>
      </c>
      <c r="E1206" s="57" t="n">
        <v>0.0291</v>
      </c>
      <c r="F1206" s="57" t="n">
        <v>0.03209</v>
      </c>
      <c r="G1206" s="57" t="n">
        <v>0.03497</v>
      </c>
    </row>
    <row r="1207" customFormat="false" ht="15" hidden="false" customHeight="false" outlineLevel="0" collapsed="false">
      <c r="A1207" s="52" t="n">
        <v>45882</v>
      </c>
      <c r="B1207" s="57" t="n">
        <v>0.02552</v>
      </c>
      <c r="C1207" s="57" t="n">
        <v>0.02614</v>
      </c>
      <c r="D1207" s="57" t="n">
        <v>0.02692</v>
      </c>
      <c r="E1207" s="57" t="n">
        <v>0.0292</v>
      </c>
      <c r="F1207" s="57" t="n">
        <v>0.03228</v>
      </c>
      <c r="G1207" s="57" t="n">
        <v>0.03503</v>
      </c>
    </row>
    <row r="1208" customFormat="false" ht="15" hidden="false" customHeight="false" outlineLevel="0" collapsed="false">
      <c r="A1208" s="52" t="n">
        <v>45883</v>
      </c>
      <c r="B1208" s="57" t="n">
        <v>0.02606</v>
      </c>
      <c r="C1208" s="57" t="n">
        <v>0.0266</v>
      </c>
      <c r="D1208" s="57" t="n">
        <v>0.02721</v>
      </c>
      <c r="E1208" s="57" t="n">
        <v>0.02954</v>
      </c>
      <c r="F1208" s="57" t="n">
        <v>0.03247</v>
      </c>
      <c r="G1208" s="57" t="n">
        <v>0.03551</v>
      </c>
    </row>
    <row r="1209" customFormat="false" ht="15" hidden="false" customHeight="false" outlineLevel="0" collapsed="false">
      <c r="A1209" s="52" t="n">
        <v>45884</v>
      </c>
      <c r="B1209" s="57" t="n">
        <v>0.02634</v>
      </c>
      <c r="C1209" s="57" t="n">
        <v>0.02686</v>
      </c>
      <c r="D1209" s="57" t="n">
        <v>0.02741</v>
      </c>
      <c r="E1209" s="57" t="n">
        <v>0.02972</v>
      </c>
      <c r="F1209" s="57" t="n">
        <v>0.03248</v>
      </c>
      <c r="G1209" s="57" t="n">
        <v>0.0356</v>
      </c>
    </row>
    <row r="1210" customFormat="false" ht="15" hidden="false" customHeight="false" outlineLevel="0" collapsed="false">
      <c r="A1210" s="52" t="n">
        <v>45887</v>
      </c>
      <c r="B1210" s="57" t="n">
        <v>0.02643</v>
      </c>
      <c r="C1210" s="57" t="n">
        <v>0.02695</v>
      </c>
      <c r="D1210" s="57" t="n">
        <v>0.02749</v>
      </c>
      <c r="E1210" s="57" t="n">
        <v>0.02965</v>
      </c>
      <c r="F1210" s="57" t="n">
        <v>0.03246</v>
      </c>
      <c r="G1210" s="57" t="n">
        <v>0.03555</v>
      </c>
    </row>
    <row r="1211" customFormat="false" ht="15" hidden="false" customHeight="false" outlineLevel="0" collapsed="false">
      <c r="A1211" s="52" t="n">
        <v>45888</v>
      </c>
      <c r="B1211" s="57" t="n">
        <v>0.02647</v>
      </c>
      <c r="C1211" s="57" t="n">
        <v>0.027</v>
      </c>
      <c r="D1211" s="57" t="n">
        <v>0.02756</v>
      </c>
      <c r="E1211" s="57" t="n">
        <v>0.02957</v>
      </c>
      <c r="F1211" s="57" t="n">
        <v>0.03241</v>
      </c>
      <c r="G1211" s="57" t="n">
        <v>0.03563</v>
      </c>
    </row>
    <row r="1212" customFormat="false" ht="15" hidden="false" customHeight="false" outlineLevel="0" collapsed="false">
      <c r="A1212" s="52" t="n">
        <v>45889</v>
      </c>
      <c r="B1212" s="57" t="n">
        <v>0.02655</v>
      </c>
      <c r="C1212" s="57" t="n">
        <v>0.02707</v>
      </c>
      <c r="D1212" s="57" t="n">
        <v>0.0276</v>
      </c>
      <c r="E1212" s="57" t="n">
        <v>0.02961</v>
      </c>
      <c r="F1212" s="57" t="n">
        <v>0.0325</v>
      </c>
      <c r="G1212" s="57" t="n">
        <v>0.03561</v>
      </c>
    </row>
    <row r="1213" customFormat="false" ht="15" hidden="false" customHeight="false" outlineLevel="0" collapsed="false">
      <c r="A1213" s="52" t="n">
        <v>45890</v>
      </c>
      <c r="B1213" s="57" t="n">
        <v>0.02688</v>
      </c>
      <c r="C1213" s="57" t="n">
        <v>0.02739</v>
      </c>
      <c r="D1213" s="57" t="n">
        <v>0.02789</v>
      </c>
      <c r="E1213" s="57" t="n">
        <v>0.02992</v>
      </c>
      <c r="F1213" s="57" t="n">
        <v>0.03285</v>
      </c>
      <c r="G1213" s="57" t="n">
        <v>0.03619</v>
      </c>
    </row>
    <row r="1214" customFormat="false" ht="15" hidden="false" customHeight="false" outlineLevel="0" collapsed="false">
      <c r="A1214" s="52" t="n">
        <v>45891</v>
      </c>
      <c r="B1214" s="57" t="n">
        <v>0.02687</v>
      </c>
      <c r="C1214" s="57" t="n">
        <v>0.02739</v>
      </c>
      <c r="D1214" s="57" t="n">
        <v>0.0279</v>
      </c>
      <c r="E1214" s="57" t="n">
        <v>0.03075</v>
      </c>
      <c r="F1214" s="57" t="n">
        <v>0.03394</v>
      </c>
      <c r="G1214" s="57" t="n">
        <v>0.03672</v>
      </c>
    </row>
    <row r="1215" customFormat="false" ht="15" hidden="false" customHeight="false" outlineLevel="0" collapsed="false">
      <c r="A1215" s="52" t="n">
        <v>45894</v>
      </c>
      <c r="B1215" s="57" t="n">
        <v>0.02721</v>
      </c>
      <c r="C1215" s="57" t="n">
        <v>0.02777</v>
      </c>
      <c r="D1215" s="57" t="n">
        <v>0.02832</v>
      </c>
      <c r="E1215" s="57" t="n">
        <v>0.03143</v>
      </c>
      <c r="F1215" s="57" t="n">
        <v>0.03474</v>
      </c>
      <c r="G1215" s="57" t="n">
        <v>0.03676</v>
      </c>
    </row>
    <row r="1216" customFormat="false" ht="15" hidden="false" customHeight="false" outlineLevel="0" collapsed="false">
      <c r="A1216" s="52" t="n">
        <v>45895</v>
      </c>
      <c r="B1216" s="57" t="n">
        <v>0.02758</v>
      </c>
      <c r="C1216" s="57" t="n">
        <v>0.02806</v>
      </c>
      <c r="D1216" s="57" t="n">
        <v>0.0286</v>
      </c>
      <c r="E1216" s="57" t="n">
        <v>0.03157</v>
      </c>
      <c r="F1216" s="57" t="n">
        <v>0.03519</v>
      </c>
      <c r="G1216" s="57" t="n">
        <v>0.03689</v>
      </c>
    </row>
    <row r="1217" customFormat="false" ht="15" hidden="false" customHeight="false" outlineLevel="0" collapsed="false">
      <c r="A1217" s="52" t="n">
        <v>45896</v>
      </c>
      <c r="B1217" s="57" t="n">
        <v>0.02762</v>
      </c>
      <c r="C1217" s="57" t="n">
        <v>0.02811</v>
      </c>
      <c r="D1217" s="57" t="n">
        <v>0.02869</v>
      </c>
      <c r="E1217" s="57" t="n">
        <v>0.0316</v>
      </c>
      <c r="F1217" s="57" t="n">
        <v>0.03524</v>
      </c>
      <c r="G1217" s="57" t="n">
        <v>0.0369</v>
      </c>
    </row>
    <row r="1218" customFormat="false" ht="15" hidden="false" customHeight="false" outlineLevel="0" collapsed="false">
      <c r="A1218" s="52" t="n">
        <v>45897</v>
      </c>
      <c r="B1218" s="57" t="n">
        <v>0.02771</v>
      </c>
      <c r="C1218" s="57" t="n">
        <v>0.02819</v>
      </c>
      <c r="D1218" s="57" t="n">
        <v>0.02876</v>
      </c>
      <c r="E1218" s="57" t="n">
        <v>0.03156</v>
      </c>
      <c r="F1218" s="57" t="n">
        <v>0.03504</v>
      </c>
      <c r="G1218" s="57" t="n">
        <v>0.03685</v>
      </c>
    </row>
    <row r="1219" customFormat="false" ht="15" hidden="false" customHeight="false" outlineLevel="0" collapsed="false">
      <c r="A1219" s="52" t="n">
        <v>45898</v>
      </c>
      <c r="B1219" s="57" t="n">
        <v>0.02782</v>
      </c>
      <c r="C1219" s="57" t="n">
        <v>0.02831</v>
      </c>
      <c r="D1219" s="57" t="n">
        <v>0.02886</v>
      </c>
      <c r="E1219" s="57" t="n">
        <v>0.03154</v>
      </c>
      <c r="F1219" s="57" t="n">
        <v>0.03523</v>
      </c>
      <c r="G1219" s="57" t="n">
        <v>0.03689</v>
      </c>
    </row>
    <row r="1220" customFormat="false" ht="15" hidden="false" customHeight="false" outlineLevel="0" collapsed="false">
      <c r="A1220" s="52" t="n">
        <v>45901</v>
      </c>
      <c r="B1220" s="57" t="n">
        <v>0.02782</v>
      </c>
      <c r="C1220" s="57" t="n">
        <v>0.02831</v>
      </c>
      <c r="D1220" s="57" t="n">
        <v>0.02886</v>
      </c>
      <c r="E1220" s="57" t="n">
        <v>0.03154</v>
      </c>
      <c r="F1220" s="57" t="n">
        <v>0.03523</v>
      </c>
      <c r="G1220" s="57" t="n">
        <v>0.03689</v>
      </c>
    </row>
    <row r="1221" customFormat="false" ht="15" hidden="false" customHeight="false" outlineLevel="0" collapsed="false">
      <c r="A1221" s="52" t="n">
        <v>45902</v>
      </c>
      <c r="B1221" s="57" t="n">
        <v>0.02782</v>
      </c>
      <c r="C1221" s="57" t="n">
        <v>0.02831</v>
      </c>
      <c r="D1221" s="57" t="n">
        <v>0.02886</v>
      </c>
      <c r="E1221" s="57" t="n">
        <v>0.03154</v>
      </c>
      <c r="F1221" s="57" t="n">
        <v>0.03523</v>
      </c>
      <c r="G1221" s="57" t="n">
        <v>0.03689</v>
      </c>
    </row>
    <row r="1222" customFormat="false" ht="15" hidden="false" customHeight="false" outlineLevel="0" collapsed="false">
      <c r="A1222" s="52" t="n">
        <v>45903</v>
      </c>
      <c r="B1222" s="57" t="n">
        <v>0.02783</v>
      </c>
      <c r="C1222" s="57" t="n">
        <v>0.02831</v>
      </c>
      <c r="D1222" s="57" t="n">
        <v>0.02909</v>
      </c>
      <c r="E1222" s="57" t="n">
        <v>0.03185</v>
      </c>
      <c r="F1222" s="57" t="n">
        <v>0.03529</v>
      </c>
      <c r="G1222" s="57" t="n">
        <v>0.03693</v>
      </c>
    </row>
    <row r="1223" customFormat="false" ht="15" hidden="false" customHeight="false" outlineLevel="0" collapsed="false">
      <c r="A1223" s="52" t="n">
        <v>45904</v>
      </c>
      <c r="B1223" s="57" t="n">
        <v>0.02799</v>
      </c>
      <c r="C1223" s="57" t="n">
        <v>0.02848</v>
      </c>
      <c r="D1223" s="57" t="n">
        <v>0.02924</v>
      </c>
      <c r="E1223" s="57" t="n">
        <v>0.03183</v>
      </c>
      <c r="F1223" s="57" t="n">
        <v>0.03514</v>
      </c>
      <c r="G1223" s="57" t="n">
        <v>0.03693</v>
      </c>
    </row>
    <row r="1224" customFormat="false" ht="15" hidden="false" customHeight="false" outlineLevel="0" collapsed="false">
      <c r="A1224" s="52" t="n">
        <v>45905</v>
      </c>
      <c r="B1224" s="57" t="n">
        <v>0.02799</v>
      </c>
      <c r="C1224" s="57" t="n">
        <v>0.02848</v>
      </c>
      <c r="D1224" s="57" t="n">
        <v>0.02923</v>
      </c>
      <c r="E1224" s="57" t="n">
        <v>0.03179</v>
      </c>
      <c r="F1224" s="57" t="n">
        <v>0.03481</v>
      </c>
      <c r="G1224" s="57" t="n">
        <v>0.03664</v>
      </c>
    </row>
    <row r="1225" customFormat="false" ht="15" hidden="false" customHeight="false" outlineLevel="0" collapsed="false">
      <c r="A1225" s="52" t="n">
        <v>45908</v>
      </c>
      <c r="B1225" s="57" t="n">
        <v>0.02799</v>
      </c>
      <c r="C1225" s="57" t="n">
        <v>0.02847</v>
      </c>
      <c r="D1225" s="57" t="n">
        <v>0.02923</v>
      </c>
      <c r="E1225" s="57" t="n">
        <v>0.03177</v>
      </c>
      <c r="F1225" s="57" t="n">
        <v>0.0347</v>
      </c>
      <c r="G1225" s="57" t="n">
        <v>0.03664</v>
      </c>
    </row>
    <row r="1226" customFormat="false" ht="15" hidden="false" customHeight="false" outlineLevel="0" collapsed="false">
      <c r="A1226" s="52" t="n">
        <v>45909</v>
      </c>
      <c r="B1226" s="57" t="n">
        <v>0.02807</v>
      </c>
      <c r="C1226" s="57" t="n">
        <v>0.02855</v>
      </c>
      <c r="D1226" s="57" t="n">
        <v>0.0293</v>
      </c>
      <c r="E1226" s="57" t="n">
        <v>0.03178</v>
      </c>
      <c r="F1226" s="57" t="n">
        <v>0.03478</v>
      </c>
      <c r="G1226" s="57" t="n">
        <v>0.0367</v>
      </c>
    </row>
    <row r="1227" customFormat="false" ht="15" hidden="false" customHeight="false" outlineLevel="0" collapsed="false">
      <c r="A1227" s="52" t="n">
        <v>45910</v>
      </c>
      <c r="B1227" s="57" t="n">
        <v>0.02807</v>
      </c>
      <c r="C1227" s="57" t="n">
        <v>0.02855</v>
      </c>
      <c r="D1227" s="57" t="n">
        <v>0.02929</v>
      </c>
      <c r="E1227" s="57" t="n">
        <v>0.03172</v>
      </c>
      <c r="F1227" s="57" t="n">
        <v>0.03493</v>
      </c>
      <c r="G1227" s="57" t="n">
        <v>0.0368</v>
      </c>
    </row>
    <row r="1228" customFormat="false" ht="15" hidden="false" customHeight="false" outlineLevel="0" collapsed="false">
      <c r="A1228" s="52" t="n">
        <v>45911</v>
      </c>
      <c r="B1228" s="57" t="n">
        <v>0.02811</v>
      </c>
      <c r="C1228" s="57" t="n">
        <v>0.02859</v>
      </c>
      <c r="D1228" s="57" t="n">
        <v>0.02934</v>
      </c>
      <c r="E1228" s="57" t="n">
        <v>0.03175</v>
      </c>
      <c r="F1228" s="57" t="n">
        <v>0.03501</v>
      </c>
      <c r="G1228" s="57" t="n">
        <v>0.03689</v>
      </c>
    </row>
    <row r="1229" customFormat="false" ht="15" hidden="false" customHeight="false" outlineLevel="0" collapsed="false">
      <c r="A1229" s="52" t="n">
        <v>45912</v>
      </c>
      <c r="B1229" s="57" t="n">
        <v>0.02811</v>
      </c>
      <c r="C1229" s="57" t="n">
        <v>0.02858</v>
      </c>
      <c r="D1229" s="57" t="n">
        <v>0.02932</v>
      </c>
      <c r="E1229" s="57" t="n">
        <v>0.03173</v>
      </c>
      <c r="F1229" s="57" t="n">
        <v>0.03489</v>
      </c>
      <c r="G1229" s="57" t="n">
        <v>0.03695</v>
      </c>
    </row>
    <row r="1230" customFormat="false" ht="15" hidden="false" customHeight="false" outlineLevel="0" collapsed="false">
      <c r="A1230" s="52" t="n">
        <v>45915</v>
      </c>
      <c r="B1230" s="57" t="n">
        <v>0.02812</v>
      </c>
      <c r="C1230" s="57" t="n">
        <v>0.02863</v>
      </c>
      <c r="D1230" s="57" t="n">
        <v>0.02932</v>
      </c>
      <c r="E1230" s="57" t="n">
        <v>0.03158</v>
      </c>
      <c r="F1230" s="57" t="n">
        <v>0.03488</v>
      </c>
      <c r="G1230" s="57" t="n">
        <v>0.0369</v>
      </c>
    </row>
    <row r="1231" customFormat="false" ht="15" hidden="false" customHeight="false" outlineLevel="0" collapsed="false">
      <c r="A1231" s="52" t="n">
        <v>45916</v>
      </c>
      <c r="B1231" s="57" t="n">
        <v>0.0281</v>
      </c>
      <c r="C1231" s="57" t="n">
        <v>0.02858</v>
      </c>
      <c r="D1231" s="57" t="n">
        <v>0.02931</v>
      </c>
      <c r="E1231" s="57" t="n">
        <v>0.03158</v>
      </c>
      <c r="F1231" s="57" t="n">
        <v>0.03488</v>
      </c>
      <c r="G1231" s="57" t="n">
        <v>0.0369</v>
      </c>
    </row>
    <row r="1232" customFormat="false" ht="15" hidden="false" customHeight="false" outlineLevel="0" collapsed="false">
      <c r="A1232" s="52" t="n">
        <v>45917</v>
      </c>
      <c r="B1232" s="57" t="n">
        <v>0.0281</v>
      </c>
      <c r="C1232" s="57" t="n">
        <v>0.02858</v>
      </c>
      <c r="D1232" s="57" t="n">
        <v>0.02931</v>
      </c>
      <c r="E1232" s="57" t="n">
        <v>0.03165</v>
      </c>
      <c r="F1232" s="57" t="n">
        <v>0.03486</v>
      </c>
      <c r="G1232" s="57" t="n">
        <v>0.03689</v>
      </c>
    </row>
    <row r="1233" customFormat="false" ht="15" hidden="false" customHeight="false" outlineLevel="0" collapsed="false">
      <c r="A1233" s="52" t="n">
        <v>45918</v>
      </c>
      <c r="B1233" s="57" t="n">
        <v>0.02819</v>
      </c>
      <c r="C1233" s="57" t="n">
        <v>0.02866</v>
      </c>
      <c r="D1233" s="57" t="n">
        <v>0.02938</v>
      </c>
      <c r="E1233" s="57" t="n">
        <v>0.03172</v>
      </c>
      <c r="F1233" s="57" t="n">
        <v>0.035</v>
      </c>
      <c r="G1233" s="57" t="n">
        <v>0.03697</v>
      </c>
    </row>
    <row r="1234" customFormat="false" ht="15" hidden="false" customHeight="false" outlineLevel="0" collapsed="false">
      <c r="A1234" s="52" t="n">
        <v>45919</v>
      </c>
      <c r="B1234" s="57" t="n">
        <v>0.02819</v>
      </c>
      <c r="C1234" s="57" t="n">
        <v>0.02865</v>
      </c>
      <c r="D1234" s="57" t="n">
        <v>0.02937</v>
      </c>
      <c r="E1234" s="57" t="n">
        <v>0.03164</v>
      </c>
      <c r="F1234" s="57" t="n">
        <v>0.03494</v>
      </c>
      <c r="G1234" s="57" t="n">
        <v>0.03704</v>
      </c>
    </row>
    <row r="1235" customFormat="false" ht="15" hidden="false" customHeight="false" outlineLevel="0" collapsed="false">
      <c r="A1235" s="52" t="n">
        <v>45922</v>
      </c>
      <c r="B1235" s="57" t="n">
        <v>0.0283</v>
      </c>
      <c r="C1235" s="57" t="n">
        <v>0.02878</v>
      </c>
      <c r="D1235" s="57" t="n">
        <v>0.02949</v>
      </c>
      <c r="E1235" s="57" t="n">
        <v>0.03176</v>
      </c>
      <c r="F1235" s="57" t="n">
        <v>0.03499</v>
      </c>
      <c r="G1235" s="57" t="n">
        <v>0.03707</v>
      </c>
    </row>
    <row r="1236" customFormat="false" ht="15" hidden="false" customHeight="false" outlineLevel="0" collapsed="false">
      <c r="A1236" s="52" t="n">
        <v>45923</v>
      </c>
      <c r="B1236" s="57" t="n">
        <v>0.02831</v>
      </c>
      <c r="C1236" s="57" t="n">
        <v>0.02878</v>
      </c>
      <c r="D1236" s="57" t="n">
        <v>0.02949</v>
      </c>
      <c r="E1236" s="57" t="n">
        <v>0.03182</v>
      </c>
      <c r="F1236" s="57" t="n">
        <v>0.03499</v>
      </c>
      <c r="G1236" s="57" t="n">
        <v>0.03707</v>
      </c>
    </row>
    <row r="1237" customFormat="false" ht="15" hidden="false" customHeight="false" outlineLevel="0" collapsed="false">
      <c r="A1237" s="52" t="n">
        <v>45924</v>
      </c>
      <c r="B1237" s="57" t="n">
        <v>0.0283</v>
      </c>
      <c r="C1237" s="57" t="n">
        <v>0.02877</v>
      </c>
      <c r="D1237" s="57" t="n">
        <v>0.02947</v>
      </c>
      <c r="E1237" s="57" t="n">
        <v>0.03162</v>
      </c>
      <c r="F1237" s="57" t="n">
        <v>0.03499</v>
      </c>
      <c r="G1237" s="57" t="n">
        <v>0.03707</v>
      </c>
    </row>
    <row r="1238" customFormat="false" ht="15" hidden="false" customHeight="false" outlineLevel="0" collapsed="false">
      <c r="A1238" s="52" t="n">
        <v>45925</v>
      </c>
      <c r="B1238" s="57" t="n">
        <v>0.02839</v>
      </c>
      <c r="C1238" s="57" t="n">
        <v>0.02885</v>
      </c>
      <c r="D1238" s="57" t="n">
        <v>0.02953</v>
      </c>
      <c r="E1238" s="57" t="n">
        <v>0.03173</v>
      </c>
      <c r="F1238" s="57" t="n">
        <v>0.03511</v>
      </c>
      <c r="G1238" s="57" t="n">
        <v>0.0375</v>
      </c>
    </row>
    <row r="1239" customFormat="false" ht="15" hidden="false" customHeight="false" outlineLevel="0" collapsed="false">
      <c r="A1239" s="52" t="n">
        <v>45926</v>
      </c>
      <c r="B1239" s="57" t="n">
        <v>0.02838</v>
      </c>
      <c r="C1239" s="57" t="n">
        <v>0.02884</v>
      </c>
      <c r="D1239" s="57" t="n">
        <v>0.02953</v>
      </c>
      <c r="E1239" s="57" t="n">
        <v>0.03191</v>
      </c>
      <c r="F1239" s="57" t="n">
        <v>0.03504</v>
      </c>
      <c r="G1239" s="57" t="n">
        <v>0.03759</v>
      </c>
    </row>
    <row r="1240" customFormat="false" ht="15" hidden="false" customHeight="false" outlineLevel="0" collapsed="false">
      <c r="A1240" s="52" t="n">
        <v>45929</v>
      </c>
      <c r="B1240" s="57" t="n">
        <v>0.02839</v>
      </c>
      <c r="C1240" s="57" t="n">
        <v>0.02884</v>
      </c>
      <c r="D1240" s="57" t="n">
        <v>0.02953</v>
      </c>
      <c r="E1240" s="57" t="n">
        <v>0.03191</v>
      </c>
      <c r="F1240" s="57" t="n">
        <v>0.03511</v>
      </c>
      <c r="G1240" s="57" t="n">
        <v>0.03761</v>
      </c>
    </row>
    <row r="1241" customFormat="false" ht="15" hidden="false" customHeight="false" outlineLevel="0" collapsed="false">
      <c r="A1241" s="52" t="n">
        <v>45930</v>
      </c>
      <c r="B1241" s="57" t="n">
        <v>0.02838</v>
      </c>
      <c r="C1241" s="57" t="n">
        <v>0.02884</v>
      </c>
      <c r="D1241" s="57" t="n">
        <v>0.02953</v>
      </c>
      <c r="E1241" s="57" t="n">
        <v>0.03204</v>
      </c>
      <c r="F1241" s="57" t="n">
        <v>0.0351</v>
      </c>
      <c r="G1241" s="57" t="n">
        <v>0.03761</v>
      </c>
    </row>
    <row r="1242" customFormat="false" ht="15" hidden="false" customHeight="false" outlineLevel="0" collapsed="false">
      <c r="A1242" s="52" t="n">
        <v>45931</v>
      </c>
      <c r="B1242" s="57" t="n">
        <v>0.02839</v>
      </c>
      <c r="C1242" s="57" t="n">
        <v>0.02884</v>
      </c>
      <c r="D1242" s="57" t="n">
        <v>0.02953</v>
      </c>
      <c r="E1242" s="57" t="n">
        <v>0.03211</v>
      </c>
      <c r="F1242" s="57" t="n">
        <v>0.03515</v>
      </c>
      <c r="G1242" s="57" t="n">
        <v>0.03761</v>
      </c>
    </row>
    <row r="1243" customFormat="false" ht="15" hidden="false" customHeight="false" outlineLevel="0" collapsed="false">
      <c r="A1243" s="52" t="n">
        <v>45932</v>
      </c>
      <c r="B1243" s="57" t="n">
        <v>0.02855</v>
      </c>
      <c r="C1243" s="57" t="n">
        <v>0.02909</v>
      </c>
      <c r="D1243" s="57" t="n">
        <v>0.02978</v>
      </c>
      <c r="E1243" s="57" t="n">
        <v>0.03238</v>
      </c>
      <c r="F1243" s="57" t="n">
        <v>0.03535</v>
      </c>
      <c r="G1243" s="57" t="n">
        <v>0.0379</v>
      </c>
    </row>
    <row r="1244" customFormat="false" ht="15" hidden="false" customHeight="false" outlineLevel="0" collapsed="false">
      <c r="A1244" s="52" t="n">
        <v>45933</v>
      </c>
      <c r="B1244" s="57" t="n">
        <v>0.02854</v>
      </c>
      <c r="C1244" s="57" t="n">
        <v>0.02908</v>
      </c>
      <c r="D1244" s="57" t="n">
        <v>0.02977</v>
      </c>
      <c r="E1244" s="57" t="n">
        <v>0.03237</v>
      </c>
      <c r="F1244" s="57" t="n">
        <v>0.0354</v>
      </c>
      <c r="G1244" s="57" t="n">
        <v>0.0379</v>
      </c>
    </row>
    <row r="1245" customFormat="false" ht="15" hidden="false" customHeight="false" outlineLevel="0" collapsed="false">
      <c r="A1245" s="52" t="n">
        <v>45936</v>
      </c>
      <c r="B1245" s="57" t="n">
        <v>0.02854</v>
      </c>
      <c r="C1245" s="57" t="n">
        <v>0.02908</v>
      </c>
      <c r="D1245" s="57" t="n">
        <v>0.02977</v>
      </c>
      <c r="E1245" s="57" t="n">
        <v>0.03236</v>
      </c>
      <c r="F1245" s="57" t="n">
        <v>0.03529</v>
      </c>
      <c r="G1245" s="57" t="n">
        <v>0.038</v>
      </c>
    </row>
    <row r="1246" customFormat="false" ht="15" hidden="false" customHeight="false" outlineLevel="0" collapsed="false">
      <c r="A1246" s="52" t="n">
        <v>45937</v>
      </c>
      <c r="B1246" s="57" t="n">
        <v>0.02854</v>
      </c>
      <c r="C1246" s="57" t="n">
        <v>0.02908</v>
      </c>
      <c r="D1246" s="57" t="n">
        <v>0.02977</v>
      </c>
      <c r="E1246" s="57" t="n">
        <v>0.03235</v>
      </c>
      <c r="F1246" s="57" t="n">
        <v>0.03523</v>
      </c>
      <c r="G1246" s="57" t="n">
        <v>0.03801</v>
      </c>
    </row>
    <row r="1247" customFormat="false" ht="15" hidden="false" customHeight="false" outlineLevel="0" collapsed="false">
      <c r="A1247" s="52" t="n">
        <v>45938</v>
      </c>
      <c r="B1247" s="57" t="n">
        <v>0.02854</v>
      </c>
      <c r="C1247" s="57" t="n">
        <v>0.02908</v>
      </c>
      <c r="D1247" s="57" t="n">
        <v>0.02976</v>
      </c>
      <c r="E1247" s="57" t="n">
        <v>0.03235</v>
      </c>
      <c r="F1247" s="57" t="n">
        <v>0.03523</v>
      </c>
      <c r="G1247" s="57" t="n">
        <v>0.03799</v>
      </c>
    </row>
    <row r="1248" customFormat="false" ht="15" hidden="false" customHeight="false" outlineLevel="0" collapsed="false">
      <c r="A1248" s="52" t="n">
        <v>45939</v>
      </c>
      <c r="B1248" s="57" t="n">
        <v>0.02871</v>
      </c>
      <c r="C1248" s="57" t="n">
        <v>0.02921</v>
      </c>
      <c r="D1248" s="57" t="n">
        <v>0.02992</v>
      </c>
      <c r="E1248" s="57" t="n">
        <v>0.03261</v>
      </c>
      <c r="F1248" s="57" t="n">
        <v>0.03545</v>
      </c>
      <c r="G1248" s="57" t="n">
        <v>0.03841</v>
      </c>
    </row>
    <row r="1249" customFormat="false" ht="15" hidden="false" customHeight="false" outlineLevel="0" collapsed="false">
      <c r="A1249" s="52" t="n">
        <v>45940</v>
      </c>
      <c r="B1249" s="57" t="n">
        <v>0.02872</v>
      </c>
      <c r="C1249" s="57" t="n">
        <v>0.02921</v>
      </c>
      <c r="D1249" s="57" t="n">
        <v>0.02992</v>
      </c>
      <c r="E1249" s="57" t="n">
        <v>0.03276</v>
      </c>
      <c r="F1249" s="57" t="n">
        <v>0.03558</v>
      </c>
      <c r="G1249" s="57" t="n">
        <v>0.03854</v>
      </c>
    </row>
    <row r="1250" customFormat="false" ht="15" hidden="false" customHeight="false" outlineLevel="0" collapsed="false">
      <c r="A1250" s="52" t="n">
        <v>45943</v>
      </c>
      <c r="B1250" s="57" t="n">
        <v>0.02871</v>
      </c>
      <c r="C1250" s="57" t="n">
        <v>0.0292</v>
      </c>
      <c r="D1250" s="57" t="n">
        <v>0.02991</v>
      </c>
      <c r="E1250" s="57" t="n">
        <v>0.03275</v>
      </c>
      <c r="F1250" s="57" t="n">
        <v>0.03539</v>
      </c>
      <c r="G1250" s="57" t="n">
        <v>0.0386</v>
      </c>
    </row>
    <row r="1251" customFormat="false" ht="15" hidden="false" customHeight="false" outlineLevel="0" collapsed="false">
      <c r="A1251" s="52" t="n">
        <v>45944</v>
      </c>
      <c r="B1251" s="57" t="n">
        <v>0.02871</v>
      </c>
      <c r="C1251" s="57" t="n">
        <v>0.0292</v>
      </c>
      <c r="D1251" s="57" t="n">
        <v>0.02991</v>
      </c>
      <c r="E1251" s="57" t="n">
        <v>0.03274</v>
      </c>
      <c r="F1251" s="57" t="n">
        <v>0.03532</v>
      </c>
      <c r="G1251" s="57" t="n">
        <v>0.03847</v>
      </c>
    </row>
    <row r="1252" customFormat="false" ht="15" hidden="false" customHeight="false" outlineLevel="0" collapsed="false">
      <c r="A1252" s="52" t="n">
        <v>45945</v>
      </c>
      <c r="B1252" s="57" t="n">
        <v>0.02871</v>
      </c>
      <c r="C1252" s="57" t="n">
        <v>0.0292</v>
      </c>
      <c r="D1252" s="57" t="n">
        <v>0.02991</v>
      </c>
      <c r="E1252" s="57" t="n">
        <v>0.03274</v>
      </c>
      <c r="F1252" s="57" t="n">
        <v>0.03527</v>
      </c>
      <c r="G1252" s="57" t="n">
        <v>0.03863</v>
      </c>
    </row>
    <row r="1253" customFormat="false" ht="15" hidden="false" customHeight="false" outlineLevel="0" collapsed="false">
      <c r="A1253" s="52" t="n">
        <v>45946</v>
      </c>
      <c r="B1253" s="57" t="n">
        <v>0.02888</v>
      </c>
      <c r="C1253" s="57" t="n">
        <v>0.02936</v>
      </c>
      <c r="D1253" s="57" t="n">
        <v>0.03015</v>
      </c>
      <c r="E1253" s="57" t="n">
        <v>0.033</v>
      </c>
      <c r="F1253" s="57" t="n">
        <v>0.03568</v>
      </c>
      <c r="G1253" s="57" t="n">
        <v>0.03887</v>
      </c>
    </row>
    <row r="1254" customFormat="false" ht="15" hidden="false" customHeight="false" outlineLevel="0" collapsed="false">
      <c r="A1254" s="52" t="n">
        <v>45947</v>
      </c>
      <c r="B1254" s="57" t="n">
        <v>0.02892</v>
      </c>
      <c r="C1254" s="57" t="n">
        <v>0.02941</v>
      </c>
      <c r="D1254" s="57" t="n">
        <v>0.03018</v>
      </c>
      <c r="E1254" s="57" t="n">
        <v>0.03299</v>
      </c>
      <c r="F1254" s="57" t="n">
        <v>0.03561</v>
      </c>
      <c r="G1254" s="57" t="n">
        <v>0.03876</v>
      </c>
    </row>
    <row r="1255" customFormat="false" ht="15" hidden="false" customHeight="false" outlineLevel="0" collapsed="false">
      <c r="A1255" s="52" t="n">
        <v>45950</v>
      </c>
      <c r="B1255" s="57" t="n">
        <v>0.02908</v>
      </c>
      <c r="C1255" s="57" t="n">
        <v>0.02956</v>
      </c>
      <c r="D1255" s="57" t="n">
        <v>0.03034</v>
      </c>
      <c r="E1255" s="57" t="n">
        <v>0.03298</v>
      </c>
      <c r="F1255" s="57" t="n">
        <v>0.03567</v>
      </c>
      <c r="G1255" s="57" t="n">
        <v>0.03898</v>
      </c>
    </row>
    <row r="1256" customFormat="false" ht="15" hidden="false" customHeight="false" outlineLevel="0" collapsed="false">
      <c r="A1256" s="52" t="n">
        <v>45951</v>
      </c>
      <c r="B1256" s="57" t="n">
        <v>0.02908</v>
      </c>
      <c r="C1256" s="57" t="n">
        <v>0.02956</v>
      </c>
      <c r="D1256" s="57" t="n">
        <v>0.03034</v>
      </c>
      <c r="E1256" s="57" t="n">
        <v>0.03298</v>
      </c>
      <c r="F1256" s="57" t="n">
        <v>0.0356</v>
      </c>
      <c r="G1256" s="57" t="n">
        <v>0.03897</v>
      </c>
    </row>
    <row r="1257" customFormat="false" ht="15" hidden="false" customHeight="false" outlineLevel="0" collapsed="false">
      <c r="A1257" s="52" t="n">
        <v>45952</v>
      </c>
      <c r="B1257" s="57" t="n">
        <v>0.02925</v>
      </c>
      <c r="C1257" s="57" t="n">
        <v>0.02973</v>
      </c>
      <c r="D1257" s="57" t="n">
        <v>0.0305</v>
      </c>
      <c r="E1257" s="57" t="n">
        <v>0.0331</v>
      </c>
      <c r="F1257" s="57" t="n">
        <v>0.03558</v>
      </c>
      <c r="G1257" s="57" t="n">
        <v>0.03907</v>
      </c>
    </row>
    <row r="1258" customFormat="false" ht="15" hidden="false" customHeight="false" outlineLevel="0" collapsed="false">
      <c r="A1258" s="52" t="n">
        <v>45953</v>
      </c>
      <c r="B1258" s="57" t="n">
        <v>0.02925</v>
      </c>
      <c r="C1258" s="57" t="n">
        <v>0.02973</v>
      </c>
      <c r="D1258" s="57" t="n">
        <v>0.0305</v>
      </c>
      <c r="E1258" s="57" t="n">
        <v>0.03309</v>
      </c>
      <c r="F1258" s="57" t="n">
        <v>0.03555</v>
      </c>
      <c r="G1258" s="57" t="n">
        <v>0.03913</v>
      </c>
    </row>
    <row r="1259" customFormat="false" ht="15" hidden="false" customHeight="false" outlineLevel="0" collapsed="false">
      <c r="A1259" s="52" t="n">
        <v>45954</v>
      </c>
      <c r="B1259" s="57" t="n">
        <v>0.02933</v>
      </c>
      <c r="C1259" s="57" t="n">
        <v>0.0298</v>
      </c>
      <c r="D1259" s="57" t="n">
        <v>0.03056</v>
      </c>
      <c r="E1259" s="57" t="n">
        <v>0.03309</v>
      </c>
      <c r="F1259" s="57" t="n">
        <v>0.03559</v>
      </c>
      <c r="G1259" s="57" t="n">
        <v>0.03917</v>
      </c>
    </row>
    <row r="1260" customFormat="false" ht="15" hidden="false" customHeight="false" outlineLevel="0" collapsed="false">
      <c r="A1260" s="52" t="n">
        <v>45957</v>
      </c>
      <c r="B1260" s="57" t="n">
        <v>0.02933</v>
      </c>
      <c r="C1260" s="57" t="n">
        <v>0.0298</v>
      </c>
      <c r="D1260" s="57" t="n">
        <v>0.03056</v>
      </c>
      <c r="E1260" s="57" t="n">
        <v>0.03308</v>
      </c>
      <c r="F1260" s="57" t="n">
        <v>0.03558</v>
      </c>
      <c r="G1260" s="57" t="n">
        <v>0.03919</v>
      </c>
    </row>
    <row r="1261" customFormat="false" ht="15" hidden="false" customHeight="false" outlineLevel="0" collapsed="false">
      <c r="A1261" s="52" t="n">
        <v>45958</v>
      </c>
      <c r="B1261" s="57" t="n">
        <v>0.02933</v>
      </c>
      <c r="C1261" s="57" t="n">
        <v>0.0298</v>
      </c>
      <c r="D1261" s="57" t="n">
        <v>0.03056</v>
      </c>
      <c r="E1261" s="57" t="n">
        <v>0.03308</v>
      </c>
      <c r="F1261" s="57" t="n">
        <v>0.03561</v>
      </c>
      <c r="G1261" s="57" t="n">
        <v>0.03922</v>
      </c>
    </row>
    <row r="1262" customFormat="false" ht="15" hidden="false" customHeight="false" outlineLevel="0" collapsed="false">
      <c r="A1262" s="52" t="n">
        <v>45959</v>
      </c>
      <c r="B1262" s="57" t="n">
        <v>0.02933</v>
      </c>
      <c r="C1262" s="57" t="n">
        <v>0.0298</v>
      </c>
      <c r="D1262" s="57" t="n">
        <v>0.03056</v>
      </c>
      <c r="E1262" s="57" t="n">
        <v>0.03308</v>
      </c>
      <c r="F1262" s="57" t="n">
        <v>0.0356</v>
      </c>
      <c r="G1262" s="57" t="n">
        <v>0.03923</v>
      </c>
    </row>
    <row r="1263" customFormat="false" ht="15" hidden="false" customHeight="false" outlineLevel="0" collapsed="false">
      <c r="A1263" s="52" t="n">
        <v>45960</v>
      </c>
      <c r="B1263" s="57" t="n">
        <v>0.02933</v>
      </c>
      <c r="C1263" s="57" t="n">
        <v>0.02979</v>
      </c>
      <c r="D1263" s="57" t="n">
        <v>0.03055</v>
      </c>
      <c r="E1263" s="57" t="n">
        <v>0.033</v>
      </c>
      <c r="F1263" s="57" t="n">
        <v>0.0356</v>
      </c>
      <c r="G1263" s="57" t="n">
        <v>0.03937</v>
      </c>
    </row>
    <row r="1264" customFormat="false" ht="15" hidden="false" customHeight="false" outlineLevel="0" collapsed="false">
      <c r="A1264" s="52" t="n">
        <v>45961</v>
      </c>
      <c r="B1264" s="57" t="n">
        <v>0.02933</v>
      </c>
      <c r="C1264" s="57" t="n">
        <v>0.02979</v>
      </c>
      <c r="D1264" s="57" t="n">
        <v>0.03054</v>
      </c>
      <c r="E1264" s="57" t="n">
        <v>0.03299</v>
      </c>
      <c r="F1264" s="57" t="n">
        <v>0.03559</v>
      </c>
      <c r="G1264" s="57" t="n">
        <v>0.03954</v>
      </c>
    </row>
    <row r="1265" customFormat="false" ht="15" hidden="false" customHeight="false" outlineLevel="0" collapsed="false">
      <c r="A1265" s="52" t="n">
        <v>45964</v>
      </c>
      <c r="B1265" s="57" t="n">
        <v>0.02933</v>
      </c>
      <c r="C1265" s="57" t="n">
        <v>0.02991</v>
      </c>
      <c r="D1265" s="57" t="n">
        <v>0.03073</v>
      </c>
      <c r="E1265" s="57" t="n">
        <v>0.03322</v>
      </c>
      <c r="F1265" s="57" t="n">
        <v>0.03576</v>
      </c>
      <c r="G1265" s="57" t="n">
        <v>0.03964</v>
      </c>
    </row>
    <row r="1266" customFormat="false" ht="15" hidden="false" customHeight="false" outlineLevel="0" collapsed="false">
      <c r="A1266" s="52" t="n">
        <v>45965</v>
      </c>
      <c r="B1266" s="57" t="n">
        <v>0.02934</v>
      </c>
      <c r="C1266" s="57" t="n">
        <v>0.0299</v>
      </c>
      <c r="D1266" s="57" t="n">
        <v>0.03073</v>
      </c>
      <c r="E1266" s="57" t="n">
        <v>0.03328</v>
      </c>
      <c r="F1266" s="57" t="n">
        <v>0.03576</v>
      </c>
      <c r="G1266" s="57" t="n">
        <v>0.03965</v>
      </c>
    </row>
    <row r="1267" customFormat="false" ht="15" hidden="false" customHeight="false" outlineLevel="0" collapsed="false">
      <c r="A1267" s="52" t="n">
        <v>45966</v>
      </c>
      <c r="B1267" s="57" t="n">
        <v>0.02933</v>
      </c>
      <c r="C1267" s="57" t="n">
        <v>0.0299</v>
      </c>
      <c r="D1267" s="57" t="n">
        <v>0.03073</v>
      </c>
      <c r="E1267" s="57" t="n">
        <v>0.03328</v>
      </c>
      <c r="F1267" s="57" t="n">
        <v>0.03576</v>
      </c>
      <c r="G1267" s="57" t="n">
        <v>0.03969</v>
      </c>
    </row>
    <row r="1268" customFormat="false" ht="15" hidden="false" customHeight="false" outlineLevel="0" collapsed="false">
      <c r="A1268" s="52" t="n">
        <v>45967</v>
      </c>
      <c r="B1268" s="57" t="n">
        <v>0.02933</v>
      </c>
      <c r="C1268" s="57" t="n">
        <v>0.0299</v>
      </c>
      <c r="D1268" s="57" t="n">
        <v>0.03073</v>
      </c>
      <c r="E1268" s="57" t="n">
        <v>0.03332</v>
      </c>
      <c r="F1268" s="57" t="n">
        <v>0.03582</v>
      </c>
      <c r="G1268" s="57" t="n">
        <v>0.03976</v>
      </c>
    </row>
    <row r="1269" customFormat="false" ht="15" hidden="false" customHeight="false" outlineLevel="0" collapsed="false">
      <c r="A1269" s="52" t="n">
        <v>45968</v>
      </c>
      <c r="B1269" s="57" t="n">
        <v>0.02938</v>
      </c>
      <c r="C1269" s="57" t="n">
        <v>0.02994</v>
      </c>
      <c r="D1269" s="57" t="n">
        <v>0.03076</v>
      </c>
      <c r="E1269" s="57" t="n">
        <v>0.03331</v>
      </c>
      <c r="F1269" s="57" t="n">
        <v>0.03586</v>
      </c>
      <c r="G1269" s="57" t="n">
        <v>0.03978</v>
      </c>
    </row>
    <row r="1270" customFormat="false" ht="15" hidden="false" customHeight="false" outlineLevel="0" collapsed="false">
      <c r="A1270" s="52" t="n">
        <v>45971</v>
      </c>
      <c r="B1270" s="57" t="n">
        <v>0.02979</v>
      </c>
      <c r="C1270" s="57" t="n">
        <v>0.03026</v>
      </c>
      <c r="D1270" s="57" t="n">
        <v>0.03095</v>
      </c>
      <c r="E1270" s="57" t="n">
        <v>0.03335</v>
      </c>
      <c r="F1270" s="57" t="n">
        <v>0.03591</v>
      </c>
      <c r="G1270" s="57" t="n">
        <v>0.03987</v>
      </c>
    </row>
    <row r="1271" customFormat="false" ht="15" hidden="false" customHeight="false" outlineLevel="0" collapsed="false">
      <c r="A1271" s="52" t="n">
        <v>45972</v>
      </c>
      <c r="B1271" s="57" t="n">
        <v>0.02979</v>
      </c>
      <c r="C1271" s="57" t="n">
        <v>0.03025</v>
      </c>
      <c r="D1271" s="57" t="n">
        <v>0.03095</v>
      </c>
      <c r="E1271" s="57" t="n">
        <v>0.03339</v>
      </c>
      <c r="F1271" s="57" t="n">
        <v>0.0359</v>
      </c>
      <c r="G1271" s="57" t="n">
        <v>0.03976</v>
      </c>
    </row>
    <row r="1272" customFormat="false" ht="15" hidden="false" customHeight="false" outlineLevel="0" collapsed="false">
      <c r="A1272" s="52" t="n">
        <v>45973</v>
      </c>
      <c r="B1272" s="57" t="n">
        <v>0.02979</v>
      </c>
      <c r="C1272" s="57" t="n">
        <v>0.03025</v>
      </c>
      <c r="D1272" s="57" t="n">
        <v>0.03094</v>
      </c>
      <c r="E1272" s="57" t="n">
        <v>0.03339</v>
      </c>
      <c r="F1272" s="57" t="n">
        <v>0.0359</v>
      </c>
      <c r="G1272" s="57" t="n">
        <v>0.03991</v>
      </c>
    </row>
    <row r="1273" customFormat="false" ht="15" hidden="false" customHeight="false" outlineLevel="0" collapsed="false">
      <c r="A1273" s="52" t="n">
        <v>45974</v>
      </c>
      <c r="B1273" s="57" t="n">
        <v>0.02983</v>
      </c>
      <c r="C1273" s="57" t="n">
        <v>0.03029</v>
      </c>
      <c r="D1273" s="57" t="n">
        <v>0.03094</v>
      </c>
      <c r="E1273" s="57" t="n">
        <v>0.03338</v>
      </c>
      <c r="F1273" s="57" t="n">
        <v>0.0359</v>
      </c>
      <c r="G1273" s="57" t="n">
        <v>0.04005</v>
      </c>
    </row>
    <row r="1274" customFormat="false" ht="15" hidden="false" customHeight="false" outlineLevel="0" collapsed="false">
      <c r="A1274" s="52" t="n">
        <v>45975</v>
      </c>
      <c r="B1274" s="57" t="n">
        <v>0.02983</v>
      </c>
      <c r="C1274" s="57" t="n">
        <v>0.03028</v>
      </c>
      <c r="D1274" s="57" t="n">
        <v>0.03093</v>
      </c>
      <c r="E1274" s="57" t="n">
        <v>0.03337</v>
      </c>
      <c r="F1274" s="57" t="n">
        <v>0.03589</v>
      </c>
      <c r="G1274" s="57" t="n">
        <v>0.04004</v>
      </c>
    </row>
    <row r="1275" customFormat="false" ht="15" hidden="false" customHeight="false" outlineLevel="0" collapsed="false">
      <c r="A1275" s="52" t="n">
        <v>45978</v>
      </c>
      <c r="B1275" s="57" t="n">
        <v>0.02983</v>
      </c>
      <c r="C1275" s="57" t="n">
        <v>0.03028</v>
      </c>
      <c r="D1275" s="57" t="n">
        <v>0.03093</v>
      </c>
      <c r="E1275" s="57" t="n">
        <v>0.03339</v>
      </c>
      <c r="F1275" s="57" t="n">
        <v>0.03586</v>
      </c>
      <c r="G1275" s="57" t="n">
        <v>0.04004</v>
      </c>
    </row>
    <row r="1276" customFormat="false" ht="15" hidden="false" customHeight="false" outlineLevel="0" collapsed="false">
      <c r="A1276" s="52" t="n">
        <v>45979</v>
      </c>
      <c r="B1276" s="57" t="n">
        <v>0.02983</v>
      </c>
      <c r="C1276" s="57" t="n">
        <v>0.03028</v>
      </c>
      <c r="D1276" s="57" t="n">
        <v>0.03093</v>
      </c>
      <c r="E1276" s="57" t="n">
        <v>0.03339</v>
      </c>
      <c r="F1276" s="57" t="n">
        <v>0.03585</v>
      </c>
      <c r="G1276" s="57" t="n">
        <v>0.03992</v>
      </c>
    </row>
    <row r="1277" customFormat="false" ht="15" hidden="false" customHeight="false" outlineLevel="0" collapsed="false">
      <c r="A1277" s="52" t="n">
        <v>45980</v>
      </c>
      <c r="B1277" s="57" t="n">
        <v>0.02983</v>
      </c>
      <c r="C1277" s="57" t="n">
        <v>0.03028</v>
      </c>
      <c r="D1277" s="57" t="n">
        <v>0.03093</v>
      </c>
      <c r="E1277" s="57" t="n">
        <v>0.03339</v>
      </c>
      <c r="F1277" s="57" t="n">
        <v>0.03585</v>
      </c>
      <c r="G1277" s="57" t="n">
        <v>0.04</v>
      </c>
    </row>
    <row r="1278" customFormat="false" ht="15" hidden="false" customHeight="false" outlineLevel="0" collapsed="false">
      <c r="A1278" s="52" t="n">
        <v>45981</v>
      </c>
      <c r="B1278" s="57" t="n">
        <v>0.03</v>
      </c>
      <c r="C1278" s="57" t="n">
        <v>0.03046</v>
      </c>
      <c r="D1278" s="57" t="n">
        <v>0.03123</v>
      </c>
      <c r="E1278" s="57" t="n">
        <v>0.0334</v>
      </c>
      <c r="F1278" s="57" t="n">
        <v>0.03579</v>
      </c>
      <c r="G1278" s="57" t="n">
        <v>0.04012</v>
      </c>
    </row>
    <row r="1279" customFormat="false" ht="15" hidden="false" customHeight="false" outlineLevel="0" collapsed="false">
      <c r="A1279" s="52" t="n">
        <v>45982</v>
      </c>
      <c r="B1279" s="57" t="n">
        <v>0.03004</v>
      </c>
      <c r="C1279" s="57" t="n">
        <v>0.0305</v>
      </c>
      <c r="D1279" s="57" t="n">
        <v>0.03126</v>
      </c>
      <c r="E1279" s="57" t="n">
        <v>0.03339</v>
      </c>
      <c r="F1279" s="57" t="n">
        <v>0.03577</v>
      </c>
      <c r="G1279" s="57" t="n">
        <v>0.03985</v>
      </c>
    </row>
    <row r="1280" customFormat="false" ht="15" hidden="false" customHeight="false" outlineLevel="0" collapsed="false">
      <c r="A1280" s="52" t="n">
        <v>45985</v>
      </c>
      <c r="B1280" s="57" t="n">
        <v>0.03004</v>
      </c>
      <c r="C1280" s="57" t="n">
        <v>0.0305</v>
      </c>
      <c r="D1280" s="57" t="n">
        <v>0.03127</v>
      </c>
      <c r="E1280" s="57" t="n">
        <v>0.03338</v>
      </c>
      <c r="F1280" s="57" t="n">
        <v>0.03577</v>
      </c>
      <c r="G1280" s="57" t="n">
        <v>0.04012</v>
      </c>
    </row>
    <row r="1281" customFormat="false" ht="15" hidden="false" customHeight="false" outlineLevel="0" collapsed="false">
      <c r="A1281" s="52" t="n">
        <v>45986</v>
      </c>
      <c r="B1281" s="57" t="n">
        <v>0.03004</v>
      </c>
      <c r="C1281" s="57" t="n">
        <v>0.0305</v>
      </c>
      <c r="D1281" s="57" t="n">
        <v>0.03126</v>
      </c>
      <c r="E1281" s="57" t="n">
        <v>0.03338</v>
      </c>
      <c r="F1281" s="57" t="n">
        <v>0.03577</v>
      </c>
      <c r="G1281" s="57" t="n">
        <v>0.0401</v>
      </c>
    </row>
    <row r="1282" customFormat="false" ht="15" hidden="false" customHeight="false" outlineLevel="0" collapsed="false">
      <c r="A1282" s="52" t="n">
        <v>45987</v>
      </c>
      <c r="B1282" s="57" t="n">
        <v>0.03004</v>
      </c>
      <c r="C1282" s="57" t="n">
        <v>0.03049</v>
      </c>
      <c r="D1282" s="57" t="n">
        <v>0.03126</v>
      </c>
      <c r="E1282" s="57" t="n">
        <v>0.03337</v>
      </c>
      <c r="F1282" s="57" t="n">
        <v>0.03576</v>
      </c>
      <c r="G1282" s="57" t="n">
        <v>0.03999</v>
      </c>
    </row>
    <row r="1283" customFormat="false" ht="15" hidden="false" customHeight="false" outlineLevel="0" collapsed="false">
      <c r="A1283" s="52" t="n">
        <v>45988</v>
      </c>
      <c r="B1283" s="57" t="n">
        <v>0.03004</v>
      </c>
      <c r="C1283" s="57" t="n">
        <v>0.03049</v>
      </c>
      <c r="D1283" s="57" t="n">
        <v>0.03125</v>
      </c>
      <c r="E1283" s="57" t="n">
        <v>0.03337</v>
      </c>
      <c r="F1283" s="57" t="n">
        <v>0.03576</v>
      </c>
      <c r="G1283" s="57" t="n">
        <v>0.04028</v>
      </c>
    </row>
    <row r="1284" customFormat="false" ht="15" hidden="false" customHeight="false" outlineLevel="0" collapsed="false">
      <c r="A1284" s="52" t="n">
        <v>45989</v>
      </c>
      <c r="B1284" s="57" t="n">
        <v>0.03004</v>
      </c>
      <c r="C1284" s="57" t="n">
        <v>0.03049</v>
      </c>
      <c r="D1284" s="57" t="n">
        <v>0.03125</v>
      </c>
      <c r="E1284" s="57" t="n">
        <v>0.03336</v>
      </c>
      <c r="F1284" s="57" t="n">
        <v>0.03575</v>
      </c>
      <c r="G1284" s="57" t="n">
        <v>0.04031</v>
      </c>
    </row>
    <row r="1285" customFormat="false" ht="15" hidden="false" customHeight="false" outlineLevel="0" collapsed="false">
      <c r="A1285" s="52" t="n">
        <v>45992</v>
      </c>
      <c r="B1285" s="57" t="n">
        <v>0.03013</v>
      </c>
      <c r="C1285" s="57" t="n">
        <v>0.03053</v>
      </c>
      <c r="D1285" s="57" t="n">
        <v>0.03128</v>
      </c>
      <c r="E1285" s="57" t="n">
        <v>0.03336</v>
      </c>
      <c r="F1285" s="57" t="n">
        <v>0.03581</v>
      </c>
      <c r="G1285" s="57" t="n">
        <v>0.04049</v>
      </c>
    </row>
    <row r="1286" customFormat="false" ht="15" hidden="false" customHeight="false" outlineLevel="0" collapsed="false">
      <c r="A1286" s="52" t="n">
        <v>45993</v>
      </c>
      <c r="B1286" s="57" t="n">
        <v>0.03022</v>
      </c>
      <c r="C1286" s="57" t="n">
        <v>0.0306</v>
      </c>
      <c r="D1286" s="57" t="n">
        <v>0.03136</v>
      </c>
      <c r="E1286" s="57" t="n">
        <v>0.03343</v>
      </c>
      <c r="F1286" s="57" t="n">
        <v>0.0358</v>
      </c>
      <c r="G1286" s="57" t="n">
        <v>0.04064</v>
      </c>
    </row>
    <row r="1287" customFormat="false" ht="15" hidden="false" customHeight="false" outlineLevel="0" collapsed="false">
      <c r="A1287" s="52" t="n">
        <v>45994</v>
      </c>
      <c r="B1287" s="57" t="n">
        <v>0.03026</v>
      </c>
      <c r="C1287" s="57" t="n">
        <v>0.03064</v>
      </c>
      <c r="D1287" s="57" t="n">
        <v>0.03139</v>
      </c>
      <c r="E1287" s="57" t="n">
        <v>0.03343</v>
      </c>
      <c r="F1287" s="57" t="n">
        <v>0.03583</v>
      </c>
      <c r="G1287" s="57" t="n">
        <v>0.04084</v>
      </c>
    </row>
    <row r="1288" customFormat="false" ht="15" hidden="false" customHeight="false" outlineLevel="0" collapsed="false">
      <c r="A1288" s="52" t="n">
        <v>45995</v>
      </c>
      <c r="B1288" s="57" t="n">
        <v>0.0303</v>
      </c>
      <c r="C1288" s="57" t="n">
        <v>0.03073</v>
      </c>
      <c r="D1288" s="57" t="n">
        <v>0.03148</v>
      </c>
      <c r="E1288" s="57" t="n">
        <v>0.03349</v>
      </c>
      <c r="F1288" s="57" t="n">
        <v>0.03582</v>
      </c>
      <c r="G1288" s="57" t="n">
        <v>0.04078</v>
      </c>
    </row>
    <row r="1289" customFormat="false" ht="15" hidden="false" customHeight="false" outlineLevel="0" collapsed="false">
      <c r="A1289" s="52" t="n">
        <v>45996</v>
      </c>
      <c r="B1289" s="57" t="n">
        <v>0.03047</v>
      </c>
      <c r="C1289" s="57" t="n">
        <v>0.03096</v>
      </c>
      <c r="D1289" s="57" t="n">
        <v>0.03162</v>
      </c>
      <c r="E1289" s="57" t="n">
        <v>0.0335</v>
      </c>
      <c r="F1289" s="57" t="n">
        <v>0.03603</v>
      </c>
      <c r="G1289" s="57" t="n">
        <v>0.04097</v>
      </c>
    </row>
    <row r="1290" customFormat="false" ht="15" hidden="false" customHeight="false" outlineLevel="0" collapsed="false">
      <c r="A1290" s="52" t="n">
        <v>45999</v>
      </c>
      <c r="B1290" s="57" t="n">
        <v>0.03059</v>
      </c>
      <c r="C1290" s="57" t="n">
        <v>0.03108</v>
      </c>
      <c r="D1290" s="57" t="n">
        <v>0.03175</v>
      </c>
      <c r="E1290" s="57" t="n">
        <v>0.03356</v>
      </c>
      <c r="F1290" s="57" t="n">
        <v>0.03606</v>
      </c>
      <c r="G1290" s="57" t="n">
        <v>0.04098</v>
      </c>
    </row>
    <row r="1291" customFormat="false" ht="15" hidden="false" customHeight="false" outlineLevel="0" collapsed="false">
      <c r="A1291" s="52" t="n">
        <v>46000</v>
      </c>
      <c r="B1291" s="57" t="n">
        <v>0.03059</v>
      </c>
      <c r="C1291" s="57" t="n">
        <v>0.03109</v>
      </c>
      <c r="D1291" s="57" t="n">
        <v>0.03175</v>
      </c>
      <c r="E1291" s="57" t="n">
        <v>0.03355</v>
      </c>
      <c r="F1291" s="57" t="n">
        <v>0.03605</v>
      </c>
      <c r="G1291" s="57" t="n">
        <v>0.04098</v>
      </c>
    </row>
    <row r="1292" customFormat="false" ht="15" hidden="false" customHeight="false" outlineLevel="0" collapsed="false">
      <c r="A1292" s="52" t="n">
        <v>46001</v>
      </c>
      <c r="B1292" s="57" t="n">
        <v>0.0306</v>
      </c>
      <c r="C1292" s="57" t="n">
        <v>0.03108</v>
      </c>
      <c r="D1292" s="57" t="n">
        <v>0.03175</v>
      </c>
      <c r="E1292" s="57" t="n">
        <v>0.03355</v>
      </c>
      <c r="F1292" s="57" t="n">
        <v>0.03605</v>
      </c>
      <c r="G1292" s="57" t="n">
        <v>0.04097</v>
      </c>
    </row>
    <row r="1293" customFormat="false" ht="15" hidden="false" customHeight="false" outlineLevel="0" collapsed="false">
      <c r="A1293" s="52" t="n">
        <v>46002</v>
      </c>
      <c r="B1293" s="57" t="n">
        <v>0.03059</v>
      </c>
      <c r="C1293" s="57" t="n">
        <v>0.03108</v>
      </c>
      <c r="D1293" s="57" t="n">
        <v>0.03175</v>
      </c>
      <c r="E1293" s="57" t="n">
        <v>0.03365</v>
      </c>
      <c r="F1293" s="57" t="n">
        <v>0.03611</v>
      </c>
      <c r="G1293" s="57" t="n">
        <v>0.04127</v>
      </c>
    </row>
    <row r="1294" customFormat="false" ht="15" hidden="false" customHeight="false" outlineLevel="0" collapsed="false">
      <c r="A1294" s="52" t="n">
        <v>46003</v>
      </c>
      <c r="B1294" s="57" t="n">
        <v>0.03059</v>
      </c>
      <c r="C1294" s="57" t="n">
        <v>0.03107</v>
      </c>
      <c r="D1294" s="57" t="n">
        <v>0.03174</v>
      </c>
      <c r="E1294" s="57" t="n">
        <v>0.03364</v>
      </c>
      <c r="F1294" s="57" t="n">
        <v>0.03612</v>
      </c>
      <c r="G1294" s="57" t="n">
        <v>0.04124</v>
      </c>
    </row>
    <row r="1295" customFormat="false" ht="15" hidden="false" customHeight="false" outlineLevel="0" collapsed="false">
      <c r="A1295" s="52" t="n">
        <v>46006</v>
      </c>
      <c r="B1295" s="57" t="n">
        <v>0.03058</v>
      </c>
      <c r="C1295" s="57" t="n">
        <v>0.03103</v>
      </c>
      <c r="D1295" s="57" t="n">
        <v>0.0317</v>
      </c>
      <c r="E1295" s="57" t="n">
        <v>0.03364</v>
      </c>
      <c r="F1295" s="57" t="n">
        <v>0.03617</v>
      </c>
      <c r="G1295" s="57" t="n">
        <v>0.04126</v>
      </c>
    </row>
    <row r="1296" customFormat="false" ht="15" hidden="false" customHeight="false" outlineLevel="0" collapsed="false">
      <c r="A1296" s="52" t="n">
        <v>46007</v>
      </c>
      <c r="B1296" s="57" t="n">
        <v>0.03067</v>
      </c>
      <c r="C1296" s="57" t="n">
        <v>0.03111</v>
      </c>
      <c r="D1296" s="57" t="n">
        <v>0.0317</v>
      </c>
      <c r="E1296" s="57" t="n">
        <v>0.03377</v>
      </c>
      <c r="F1296" s="57" t="n">
        <v>0.03623</v>
      </c>
      <c r="G1296" s="57" t="n">
        <v>0.0413</v>
      </c>
    </row>
    <row r="1297" customFormat="false" ht="15" hidden="false" customHeight="false" outlineLevel="0" collapsed="false">
      <c r="A1297" s="52" t="n">
        <v>46008</v>
      </c>
      <c r="B1297" s="57" t="n">
        <v>0.03067</v>
      </c>
      <c r="C1297" s="57" t="n">
        <v>0.03111</v>
      </c>
      <c r="D1297" s="57" t="n">
        <v>0.0317</v>
      </c>
      <c r="E1297" s="57" t="n">
        <v>0.0337</v>
      </c>
      <c r="F1297" s="57" t="n">
        <v>0.03618</v>
      </c>
      <c r="G1297" s="57" t="n">
        <v>0.04128</v>
      </c>
    </row>
    <row r="1298" customFormat="false" ht="15" hidden="false" customHeight="false" outlineLevel="0" collapsed="false">
      <c r="A1298" s="52" t="n">
        <v>46009</v>
      </c>
      <c r="B1298" s="57" t="n">
        <v>0.03068</v>
      </c>
      <c r="C1298" s="57" t="n">
        <v>0.0312</v>
      </c>
      <c r="D1298" s="57" t="n">
        <v>0.03177</v>
      </c>
      <c r="E1298" s="57" t="n">
        <v>0.0337</v>
      </c>
      <c r="F1298" s="57" t="n">
        <v>0.03624</v>
      </c>
      <c r="G1298" s="57" t="n">
        <v>0.04144</v>
      </c>
    </row>
    <row r="1299" customFormat="false" ht="15" hidden="false" customHeight="false" outlineLevel="0" collapsed="false">
      <c r="A1299" s="52" t="n">
        <v>46010</v>
      </c>
      <c r="B1299" s="57" t="n">
        <v>0.03071</v>
      </c>
      <c r="C1299" s="57" t="n">
        <v>0.03123</v>
      </c>
      <c r="D1299" s="57" t="n">
        <v>0.0318</v>
      </c>
      <c r="E1299" s="57" t="n">
        <v>0.03375</v>
      </c>
      <c r="F1299" s="57" t="n">
        <v>0.03628</v>
      </c>
      <c r="G1299" s="57" t="n">
        <v>0.04153</v>
      </c>
    </row>
    <row r="1300" customFormat="false" ht="15" hidden="false" customHeight="false" outlineLevel="0" collapsed="false">
      <c r="A1300" s="52" t="n">
        <v>46013</v>
      </c>
      <c r="B1300" s="57" t="n">
        <v>0.03071</v>
      </c>
      <c r="C1300" s="57" t="n">
        <v>0.03123</v>
      </c>
      <c r="D1300" s="57" t="n">
        <v>0.0318</v>
      </c>
      <c r="E1300" s="57" t="n">
        <v>0.03375</v>
      </c>
      <c r="F1300" s="57" t="n">
        <v>0.03628</v>
      </c>
      <c r="G1300" s="57" t="n">
        <v>0.04157</v>
      </c>
    </row>
    <row r="1301" customFormat="false" ht="15" hidden="false" customHeight="false" outlineLevel="0" collapsed="false">
      <c r="A1301" s="52" t="n">
        <v>46014</v>
      </c>
      <c r="B1301" s="57" t="n">
        <v>0.03071</v>
      </c>
      <c r="C1301" s="57" t="n">
        <v>0.03122</v>
      </c>
      <c r="D1301" s="57" t="n">
        <v>0.0318</v>
      </c>
      <c r="E1301" s="57" t="n">
        <v>0.03382</v>
      </c>
      <c r="F1301" s="57" t="n">
        <v>0.03627</v>
      </c>
      <c r="G1301" s="57" t="n">
        <v>0.04159</v>
      </c>
    </row>
    <row r="1302" customFormat="false" ht="15" hidden="false" customHeight="false" outlineLevel="0" collapsed="false">
      <c r="A1302" s="52" t="n">
        <v>46015</v>
      </c>
      <c r="B1302" s="57" t="n">
        <v>0.03071</v>
      </c>
      <c r="C1302" s="57" t="n">
        <v>0.03123</v>
      </c>
      <c r="D1302" s="57" t="n">
        <v>0.0318</v>
      </c>
      <c r="E1302" s="57" t="n">
        <v>0.03381</v>
      </c>
      <c r="F1302" s="57" t="n">
        <v>0.03627</v>
      </c>
      <c r="G1302" s="57" t="n">
        <v>0.04159</v>
      </c>
    </row>
    <row r="1303" customFormat="false" ht="15" hidden="false" customHeight="false" outlineLevel="0" collapsed="false">
      <c r="A1303" s="52" t="n">
        <v>46016</v>
      </c>
      <c r="B1303" s="57" t="n">
        <v>0.0307</v>
      </c>
      <c r="C1303" s="57" t="n">
        <v>0.03122</v>
      </c>
      <c r="D1303" s="57" t="n">
        <v>0.03179</v>
      </c>
      <c r="E1303" s="57" t="n">
        <v>0.03381</v>
      </c>
      <c r="F1303" s="57" t="n">
        <v>0.03631</v>
      </c>
      <c r="G1303" s="57" t="n">
        <v>0.04179</v>
      </c>
    </row>
    <row r="1304" customFormat="false" ht="15" hidden="false" customHeight="false" outlineLevel="0" collapsed="false">
      <c r="A1304" s="52" t="n">
        <v>46017</v>
      </c>
      <c r="B1304" s="57" t="n">
        <v>0.03066</v>
      </c>
      <c r="C1304" s="57" t="n">
        <v>0.03118</v>
      </c>
      <c r="D1304" s="57" t="n">
        <v>0.03174</v>
      </c>
      <c r="E1304" s="57" t="n">
        <v>0.0338</v>
      </c>
      <c r="F1304" s="57" t="n">
        <v>0.03629</v>
      </c>
      <c r="G1304" s="57" t="n">
        <v>0.04179</v>
      </c>
    </row>
    <row r="1305" customFormat="false" ht="15" hidden="false" customHeight="false" outlineLevel="0" collapsed="false">
      <c r="A1305" s="52" t="n">
        <v>46020</v>
      </c>
      <c r="B1305" s="57" t="n">
        <v>0.0307</v>
      </c>
      <c r="C1305" s="57" t="n">
        <v>0.03122</v>
      </c>
      <c r="D1305" s="57" t="n">
        <v>0.03178</v>
      </c>
      <c r="E1305" s="57" t="n">
        <v>0.03386</v>
      </c>
      <c r="F1305" s="57" t="n">
        <v>0.03629</v>
      </c>
      <c r="G1305" s="57" t="n">
        <v>0.04182</v>
      </c>
    </row>
    <row r="1306" customFormat="false" ht="15" hidden="false" customHeight="false" outlineLevel="0" collapsed="false">
      <c r="A1306" s="52" t="n">
        <v>46021</v>
      </c>
      <c r="B1306" s="57" t="n">
        <v>0.0307</v>
      </c>
      <c r="C1306" s="57" t="n">
        <v>0.03122</v>
      </c>
      <c r="D1306" s="57" t="n">
        <v>0.03178</v>
      </c>
      <c r="E1306" s="57" t="n">
        <v>0.03386</v>
      </c>
      <c r="F1306" s="57" t="n">
        <v>0.03629</v>
      </c>
      <c r="G1306" s="57" t="n">
        <v>0.04183</v>
      </c>
    </row>
    <row r="1307" customFormat="false" ht="15" hidden="false" customHeight="false" outlineLevel="0" collapsed="false">
      <c r="A1307" s="52" t="n">
        <v>46022</v>
      </c>
      <c r="B1307" s="57" t="n">
        <v>0.03069</v>
      </c>
      <c r="C1307" s="57" t="n">
        <v>0.03121</v>
      </c>
      <c r="D1307" s="57" t="n">
        <v>0.03177</v>
      </c>
      <c r="E1307" s="57" t="n">
        <v>0.03393</v>
      </c>
      <c r="F1307" s="57" t="n">
        <v>0.03628</v>
      </c>
      <c r="G1307" s="57" t="n">
        <v>0.04186</v>
      </c>
    </row>
    <row r="1308" customFormat="false" ht="15" hidden="false" customHeight="false" outlineLevel="0" collapsed="false">
      <c r="A1308" s="52" t="n">
        <v>46023</v>
      </c>
      <c r="B1308" s="57" t="n">
        <v>0.03069</v>
      </c>
      <c r="C1308" s="57" t="n">
        <v>0.03121</v>
      </c>
      <c r="D1308" s="57" t="n">
        <v>0.03177</v>
      </c>
      <c r="E1308" s="57" t="n">
        <v>0.03393</v>
      </c>
      <c r="F1308" s="57" t="n">
        <v>0.03628</v>
      </c>
      <c r="G1308" s="57" t="n">
        <v>0.04186</v>
      </c>
    </row>
    <row r="1309" customFormat="false" ht="15" hidden="false" customHeight="false" outlineLevel="0" collapsed="false">
      <c r="A1309" s="52" t="n">
        <v>46024</v>
      </c>
      <c r="B1309" s="57" t="n">
        <v>0.03069</v>
      </c>
      <c r="C1309" s="57" t="n">
        <v>0.03121</v>
      </c>
      <c r="D1309" s="57" t="n">
        <v>0.03177</v>
      </c>
      <c r="E1309" s="57" t="n">
        <v>0.03393</v>
      </c>
      <c r="F1309" s="57" t="n">
        <v>0.03628</v>
      </c>
      <c r="G1309" s="57" t="n">
        <v>0.04186</v>
      </c>
    </row>
    <row r="1310" customFormat="false" ht="15" hidden="false" customHeight="false" outlineLevel="0" collapsed="false">
      <c r="A1310" s="52" t="n">
        <v>46027</v>
      </c>
      <c r="B1310" s="57" t="n">
        <v>0.03089</v>
      </c>
      <c r="C1310" s="57" t="n">
        <v>0.03149</v>
      </c>
      <c r="D1310" s="57" t="n">
        <v>0.03201</v>
      </c>
      <c r="E1310" s="57" t="n">
        <v>0.03386</v>
      </c>
      <c r="F1310" s="57" t="n">
        <v>0.03647</v>
      </c>
      <c r="G1310" s="57" t="n">
        <v>0.04182</v>
      </c>
    </row>
    <row r="1311" customFormat="false" ht="15" hidden="false" customHeight="false" outlineLevel="0" collapsed="false">
      <c r="A1311" s="52" t="n">
        <v>46028</v>
      </c>
      <c r="B1311" s="57" t="n">
        <v>0.03089</v>
      </c>
      <c r="C1311" s="57" t="n">
        <v>0.03148</v>
      </c>
      <c r="D1311" s="57" t="n">
        <v>0.03201</v>
      </c>
      <c r="E1311" s="57" t="n">
        <v>0.03385</v>
      </c>
      <c r="F1311" s="57" t="n">
        <v>0.03647</v>
      </c>
      <c r="G1311" s="57" t="n">
        <v>0.04186</v>
      </c>
    </row>
    <row r="1312" customFormat="false" ht="15" hidden="false" customHeight="false" outlineLevel="0" collapsed="false">
      <c r="A1312" s="52" t="n">
        <v>46029</v>
      </c>
      <c r="B1312" s="57" t="n">
        <v>0.0309</v>
      </c>
      <c r="C1312" s="57" t="n">
        <v>0.03149</v>
      </c>
      <c r="D1312" s="57" t="n">
        <v>0.03209</v>
      </c>
      <c r="E1312" s="57" t="n">
        <v>0.03463</v>
      </c>
      <c r="F1312" s="57" t="n">
        <v>0.03691</v>
      </c>
      <c r="G1312" s="57" t="n">
        <v>0.04223</v>
      </c>
    </row>
    <row r="1313" customFormat="false" ht="15" hidden="false" customHeight="false" outlineLevel="0" collapsed="false">
      <c r="A1313" s="52" t="n">
        <v>46030</v>
      </c>
      <c r="B1313" s="57" t="n">
        <v>0.03145</v>
      </c>
      <c r="C1313" s="57" t="n">
        <v>0.03206</v>
      </c>
      <c r="D1313" s="57" t="n">
        <v>0.03259</v>
      </c>
      <c r="E1313" s="57" t="n">
        <v>0.03608</v>
      </c>
      <c r="F1313" s="57" t="n">
        <v>0.03765</v>
      </c>
      <c r="G1313" s="57" t="n">
        <v>0.043</v>
      </c>
    </row>
    <row r="1314" customFormat="false" ht="15" hidden="false" customHeight="false" outlineLevel="0" collapsed="false">
      <c r="A1314" s="52" t="n">
        <v>46031</v>
      </c>
      <c r="B1314" s="57" t="n">
        <v>0.03198</v>
      </c>
      <c r="C1314" s="57" t="n">
        <v>0.03258</v>
      </c>
      <c r="D1314" s="57" t="n">
        <v>0.03292</v>
      </c>
      <c r="E1314" s="57" t="n">
        <v>0.03679</v>
      </c>
      <c r="F1314" s="57" t="n">
        <v>0.03784</v>
      </c>
      <c r="G1314" s="57" t="n">
        <v>0.04277</v>
      </c>
    </row>
    <row r="1315" customFormat="false" ht="15" hidden="false" customHeight="false" outlineLevel="0" collapsed="false">
      <c r="A1315" s="52" t="n">
        <v>46034</v>
      </c>
      <c r="B1315" s="57" t="n">
        <v>0.0318</v>
      </c>
      <c r="C1315" s="57" t="n">
        <v>0.03233</v>
      </c>
      <c r="D1315" s="57" t="n">
        <v>0.03267</v>
      </c>
      <c r="E1315" s="57" t="n">
        <v>0.03679</v>
      </c>
      <c r="F1315" s="57" t="n">
        <v>0.03783</v>
      </c>
      <c r="G1315" s="57" t="n">
        <v>0.04268</v>
      </c>
    </row>
    <row r="1316" customFormat="false" ht="15" hidden="false" customHeight="false" outlineLevel="0" collapsed="false">
      <c r="A1316" s="52" t="n">
        <v>46035</v>
      </c>
      <c r="B1316" s="57" t="n">
        <v>0.03149</v>
      </c>
      <c r="C1316" s="57" t="n">
        <v>0.03225</v>
      </c>
      <c r="D1316" s="57" t="n">
        <v>0.03266</v>
      </c>
      <c r="E1316" s="57" t="n">
        <v>0.03683</v>
      </c>
      <c r="F1316" s="57" t="n">
        <v>0.03788</v>
      </c>
      <c r="G1316" s="57" t="n">
        <v>0.04258</v>
      </c>
    </row>
    <row r="1317" customFormat="false" ht="15" hidden="false" customHeight="false" outlineLevel="0" collapsed="false">
      <c r="A1317" s="52" t="n">
        <v>46036</v>
      </c>
      <c r="B1317" s="57" t="n">
        <v>0.03173</v>
      </c>
      <c r="C1317" s="57" t="n">
        <v>0.03241</v>
      </c>
      <c r="D1317" s="57" t="n">
        <v>0.03283</v>
      </c>
      <c r="E1317" s="57" t="n">
        <v>0.03728</v>
      </c>
      <c r="F1317" s="57" t="n">
        <v>0.0381</v>
      </c>
      <c r="G1317" s="57" t="n">
        <v>0.0426</v>
      </c>
    </row>
    <row r="1318" customFormat="false" ht="15" hidden="false" customHeight="false" outlineLevel="0" collapsed="false">
      <c r="A1318" s="52" t="n">
        <v>46037</v>
      </c>
      <c r="B1318" s="57" t="n">
        <v>0.03152</v>
      </c>
      <c r="C1318" s="57" t="n">
        <v>0.03274</v>
      </c>
      <c r="D1318" s="57" t="n">
        <v>0.03312</v>
      </c>
      <c r="E1318" s="57" t="n">
        <v>0.03734</v>
      </c>
      <c r="F1318" s="57" t="n">
        <v>0.03826</v>
      </c>
      <c r="G1318" s="57" t="n">
        <v>0.04257</v>
      </c>
    </row>
    <row r="1319" customFormat="false" ht="15" hidden="false" customHeight="false" outlineLevel="0" collapsed="false">
      <c r="A1319" s="52" t="n">
        <v>46038</v>
      </c>
      <c r="B1319" s="57" t="n">
        <v>0.03154</v>
      </c>
      <c r="C1319" s="57" t="n">
        <v>0.0325</v>
      </c>
      <c r="D1319" s="57" t="n">
        <v>0.03291</v>
      </c>
      <c r="E1319" s="57" t="n">
        <v>0.03733</v>
      </c>
      <c r="F1319" s="57" t="n">
        <v>0.0383</v>
      </c>
      <c r="G1319" s="57" t="n">
        <v>0.04266</v>
      </c>
    </row>
    <row r="1320" customFormat="false" ht="15" hidden="false" customHeight="false" outlineLevel="0" collapsed="false">
      <c r="A1320" s="52" t="n">
        <v>46041</v>
      </c>
      <c r="B1320" s="57" t="n">
        <v>0.03234</v>
      </c>
      <c r="C1320" s="57" t="n">
        <v>0.0316</v>
      </c>
      <c r="D1320" s="57" t="n">
        <v>0.03291</v>
      </c>
      <c r="E1320" s="57" t="n">
        <v>0.03782</v>
      </c>
      <c r="F1320" s="57" t="n">
        <v>0.03906</v>
      </c>
      <c r="G1320" s="57" t="n">
        <v>0.04261</v>
      </c>
    </row>
    <row r="1321" customFormat="false" ht="15" hidden="false" customHeight="false" outlineLevel="0" collapsed="false">
      <c r="A1321" s="52" t="n">
        <v>46042</v>
      </c>
      <c r="B1321" s="57" t="n">
        <v>0.03221</v>
      </c>
      <c r="C1321" s="57" t="n">
        <v>0.03167</v>
      </c>
      <c r="D1321" s="57" t="n">
        <v>0.03299</v>
      </c>
      <c r="E1321" s="57" t="n">
        <v>0.0373</v>
      </c>
      <c r="F1321" s="57" t="n">
        <v>0.03817</v>
      </c>
      <c r="G1321" s="57" t="n">
        <v>0.04175</v>
      </c>
    </row>
    <row r="1322" customFormat="false" ht="15" hidden="false" customHeight="false" outlineLevel="0" collapsed="false">
      <c r="A1322" s="52" t="n">
        <v>46043</v>
      </c>
      <c r="B1322" s="57" t="n">
        <v>0.03221</v>
      </c>
      <c r="C1322" s="57" t="n">
        <v>0.03167</v>
      </c>
      <c r="D1322" s="57" t="n">
        <v>0.03299</v>
      </c>
      <c r="E1322" s="57" t="n">
        <v>0.03713</v>
      </c>
      <c r="F1322" s="57" t="n">
        <v>0.03844</v>
      </c>
      <c r="G1322" s="57" t="n">
        <v>0.04161</v>
      </c>
    </row>
    <row r="1323" customFormat="false" ht="15" hidden="false" customHeight="false" outlineLevel="0" collapsed="false">
      <c r="A1323" s="52" t="n">
        <v>46044</v>
      </c>
      <c r="B1323" s="57" t="n">
        <v>0.03241</v>
      </c>
      <c r="C1323" s="57" t="n">
        <v>0.03147</v>
      </c>
      <c r="D1323" s="57" t="n">
        <v>0.03298</v>
      </c>
      <c r="E1323" s="57" t="n">
        <v>0.03724</v>
      </c>
      <c r="F1323" s="57" t="n">
        <v>0.03849</v>
      </c>
      <c r="G1323" s="57" t="n">
        <v>0.04185</v>
      </c>
    </row>
    <row r="1324" customFormat="false" ht="15" hidden="false" customHeight="false" outlineLevel="0" collapsed="false">
      <c r="A1324" s="52" t="n">
        <v>46045</v>
      </c>
      <c r="B1324" s="57" t="n">
        <v>0.0324</v>
      </c>
      <c r="C1324" s="57" t="n">
        <v>0.03147</v>
      </c>
      <c r="D1324" s="57" t="n">
        <v>0.03298</v>
      </c>
      <c r="E1324" s="57" t="n">
        <v>0.03724</v>
      </c>
      <c r="F1324" s="57" t="n">
        <v>0.0386</v>
      </c>
      <c r="G1324" s="57" t="n">
        <v>0.04177</v>
      </c>
    </row>
    <row r="1325" customFormat="false" ht="15" hidden="false" customHeight="false" outlineLevel="0" collapsed="false">
      <c r="A1325" s="52" t="n">
        <v>46048</v>
      </c>
      <c r="B1325" s="57" t="n">
        <v>0.0324</v>
      </c>
      <c r="C1325" s="57" t="n">
        <v>0.03147</v>
      </c>
      <c r="D1325" s="57" t="n">
        <v>0.03298</v>
      </c>
      <c r="E1325" s="57" t="n">
        <v>0.03735</v>
      </c>
      <c r="F1325" s="57" t="n">
        <v>0.03853</v>
      </c>
      <c r="G1325" s="57" t="n">
        <v>0.04181</v>
      </c>
    </row>
    <row r="1326" customFormat="false" ht="15" hidden="false" customHeight="false" outlineLevel="0" collapsed="false">
      <c r="A1326" s="52" t="n">
        <v>46049</v>
      </c>
      <c r="B1326" s="57" t="n">
        <v>0.0324</v>
      </c>
      <c r="C1326" s="57" t="n">
        <v>0.03147</v>
      </c>
      <c r="D1326" s="57" t="n">
        <v>0.03298</v>
      </c>
      <c r="E1326" s="57" t="n">
        <v>0.03728</v>
      </c>
      <c r="F1326" s="57" t="n">
        <v>0.03853</v>
      </c>
      <c r="G1326" s="57" t="n">
        <v>0.04184</v>
      </c>
    </row>
    <row r="1327" customFormat="false" ht="15" hidden="false" customHeight="false" outlineLevel="0" collapsed="false">
      <c r="A1327" s="52" t="n">
        <v>46050</v>
      </c>
      <c r="B1327" s="57" t="n">
        <v>0.03258</v>
      </c>
      <c r="C1327" s="57" t="n">
        <v>0.03155</v>
      </c>
      <c r="D1327" s="57" t="n">
        <v>0.03296</v>
      </c>
      <c r="E1327" s="57" t="n">
        <v>0.03727</v>
      </c>
      <c r="F1327" s="57" t="n">
        <v>0.03853</v>
      </c>
      <c r="G1327" s="57" t="n">
        <v>0.04176</v>
      </c>
    </row>
    <row r="1328" customFormat="false" ht="15" hidden="false" customHeight="false" outlineLevel="0" collapsed="false">
      <c r="A1328" s="52" t="n">
        <v>46051</v>
      </c>
      <c r="B1328" s="57" t="n">
        <v>0.03262</v>
      </c>
      <c r="C1328" s="57" t="n">
        <v>0.03155</v>
      </c>
      <c r="D1328" s="57" t="n">
        <v>0.03296</v>
      </c>
      <c r="E1328" s="57" t="n">
        <v>0.03734</v>
      </c>
      <c r="F1328" s="57" t="n">
        <v>0.03852</v>
      </c>
      <c r="G1328" s="57" t="n">
        <v>0.04188</v>
      </c>
    </row>
    <row r="1329" customFormat="false" ht="15" hidden="false" customHeight="false" outlineLevel="0" collapsed="false">
      <c r="A1329" s="52" t="n">
        <v>46052</v>
      </c>
      <c r="B1329" s="57" t="n">
        <v>0.0326</v>
      </c>
      <c r="C1329" s="57" t="n">
        <v>0.03155</v>
      </c>
      <c r="D1329" s="57" t="n">
        <v>0.03295</v>
      </c>
      <c r="E1329" s="57" t="n">
        <v>0.03739</v>
      </c>
      <c r="F1329" s="57" t="n">
        <v>0.03852</v>
      </c>
      <c r="G1329" s="57" t="n">
        <v>0.04178</v>
      </c>
    </row>
    <row r="1330" customFormat="false" ht="15" hidden="false" customHeight="false" outlineLevel="0" collapsed="false">
      <c r="A1330" s="52" t="n">
        <v>46055</v>
      </c>
      <c r="B1330" s="57" t="n">
        <v>0.0327</v>
      </c>
      <c r="C1330" s="57" t="n">
        <v>0.03168</v>
      </c>
      <c r="D1330" s="57" t="n">
        <v>0.03359</v>
      </c>
      <c r="E1330" s="57" t="n">
        <v>0.03774</v>
      </c>
      <c r="F1330" s="57" t="n">
        <v>0.03913</v>
      </c>
      <c r="G1330" s="57" t="n">
        <v>0.04203</v>
      </c>
    </row>
    <row r="1331" customFormat="false" ht="15" hidden="false" customHeight="false" outlineLevel="0" collapsed="false">
      <c r="A1331" s="52" t="n">
        <v>46056</v>
      </c>
      <c r="B1331" s="57" t="n">
        <v>0.03269</v>
      </c>
      <c r="C1331" s="57" t="n">
        <v>0.03168</v>
      </c>
      <c r="D1331" s="57" t="n">
        <v>0.03359</v>
      </c>
      <c r="E1331" s="57" t="n">
        <v>0.03774</v>
      </c>
      <c r="F1331" s="57" t="n">
        <v>0.03913</v>
      </c>
      <c r="G1331" s="57" t="n">
        <v>0.04203</v>
      </c>
    </row>
    <row r="1332" customFormat="false" ht="15" hidden="false" customHeight="false" outlineLevel="0" collapsed="false">
      <c r="A1332" s="52" t="n">
        <v>46057</v>
      </c>
      <c r="B1332" s="57" t="n">
        <v>0.03278</v>
      </c>
      <c r="C1332" s="57" t="n">
        <v>0.03177</v>
      </c>
      <c r="D1332" s="57" t="n">
        <v>0.03369</v>
      </c>
      <c r="E1332" s="57" t="n">
        <v>0.03809</v>
      </c>
      <c r="F1332" s="57" t="n">
        <v>0.0392</v>
      </c>
      <c r="G1332" s="57" t="n">
        <v>0.04223</v>
      </c>
    </row>
    <row r="1333" customFormat="false" ht="15" hidden="false" customHeight="false" outlineLevel="0" collapsed="false">
      <c r="A1333" s="52" t="n">
        <v>46058</v>
      </c>
      <c r="B1333" s="57" t="n">
        <v>0.03267</v>
      </c>
      <c r="C1333" s="57" t="n">
        <v>0.03162</v>
      </c>
      <c r="D1333" s="57" t="n">
        <v>0.0336</v>
      </c>
      <c r="E1333" s="57" t="n">
        <v>0.03812</v>
      </c>
      <c r="F1333" s="57" t="n">
        <v>0.03919</v>
      </c>
      <c r="G1333" s="57" t="n">
        <v>0.04219</v>
      </c>
    </row>
    <row r="1334" customFormat="false" ht="15" hidden="false" customHeight="false" outlineLevel="0" collapsed="false">
      <c r="A1334" s="52" t="n">
        <v>46059</v>
      </c>
      <c r="B1334" s="57" t="n">
        <v>0.03267</v>
      </c>
      <c r="C1334" s="57" t="n">
        <v>0.03162</v>
      </c>
      <c r="D1334" s="57" t="n">
        <v>0.03358</v>
      </c>
      <c r="E1334" s="57" t="n">
        <v>0.03818</v>
      </c>
      <c r="F1334" s="57" t="n">
        <v>0.03918</v>
      </c>
      <c r="G1334" s="57" t="n">
        <v>0.04222</v>
      </c>
    </row>
    <row r="1335" customFormat="false" ht="15" hidden="false" customHeight="false" outlineLevel="0" collapsed="false">
      <c r="A1335" s="52" t="n">
        <v>46062</v>
      </c>
      <c r="B1335" s="57" t="n">
        <v>0.03266</v>
      </c>
      <c r="C1335" s="57" t="n">
        <v>0.03162</v>
      </c>
      <c r="D1335" s="57" t="n">
        <v>0.0336</v>
      </c>
      <c r="E1335" s="57" t="n">
        <v>0.0385</v>
      </c>
      <c r="F1335" s="57" t="n">
        <v>0.03956</v>
      </c>
      <c r="G1335" s="57" t="n">
        <v>0.04243</v>
      </c>
    </row>
    <row r="1336" customFormat="false" ht="15" hidden="false" customHeight="false" outlineLevel="0" collapsed="false">
      <c r="A1336" s="52" t="n">
        <v>46063</v>
      </c>
      <c r="B1336" s="57" t="n">
        <v>0.03294</v>
      </c>
      <c r="C1336" s="57" t="n">
        <v>0.03183</v>
      </c>
      <c r="D1336" s="57" t="n">
        <v>0.03385</v>
      </c>
      <c r="E1336" s="57" t="n">
        <v>0.03881</v>
      </c>
      <c r="F1336" s="57" t="n">
        <v>0.03961</v>
      </c>
      <c r="G1336" s="57" t="n">
        <v>0.04246</v>
      </c>
    </row>
    <row r="1337" customFormat="false" ht="15" hidden="false" customHeight="false" outlineLevel="0" collapsed="false">
      <c r="A1337" s="52" t="n">
        <v>46064</v>
      </c>
      <c r="B1337" s="57" t="n">
        <v>0.03266</v>
      </c>
      <c r="C1337" s="57" t="n">
        <v>0.03183</v>
      </c>
      <c r="D1337" s="57" t="n">
        <v>0.03388</v>
      </c>
      <c r="E1337" s="57" t="n">
        <v>0.03888</v>
      </c>
      <c r="F1337" s="57" t="n">
        <v>0.03972</v>
      </c>
      <c r="G1337" s="57" t="n">
        <v>0.04246</v>
      </c>
    </row>
    <row r="1338" customFormat="false" ht="15" hidden="false" customHeight="false" outlineLevel="0" collapsed="false">
      <c r="A1338" s="52" t="n">
        <v>46065</v>
      </c>
      <c r="B1338" s="57" t="n">
        <v>0.03265</v>
      </c>
      <c r="C1338" s="57" t="n">
        <v>0.03182</v>
      </c>
      <c r="D1338" s="57" t="n">
        <v>0.03388</v>
      </c>
      <c r="E1338" s="57" t="n">
        <v>0.03888</v>
      </c>
      <c r="F1338" s="57" t="n">
        <v>0.03971</v>
      </c>
      <c r="G1338" s="57" t="n">
        <v>0.04246</v>
      </c>
    </row>
    <row r="1339" customFormat="false" ht="15" hidden="false" customHeight="false" outlineLevel="0" collapsed="false">
      <c r="A1339" s="52" t="n">
        <v>46066</v>
      </c>
      <c r="B1339" s="57" t="n">
        <v>0.03264</v>
      </c>
      <c r="C1339" s="57" t="n">
        <v>0.0318</v>
      </c>
      <c r="D1339" s="57" t="n">
        <v>0.03382</v>
      </c>
      <c r="E1339" s="57" t="n">
        <v>0.03903</v>
      </c>
      <c r="F1339" s="57" t="n">
        <v>0.03969</v>
      </c>
      <c r="G1339" s="57" t="n">
        <v>0.04249</v>
      </c>
    </row>
    <row r="1340" customFormat="false" ht="15" hidden="false" customHeight="false" outlineLevel="0" collapsed="false">
      <c r="A1340" s="52" t="n">
        <v>46069</v>
      </c>
      <c r="B1340" s="57" t="n">
        <v>0.03264</v>
      </c>
      <c r="C1340" s="57" t="n">
        <v>0.0318</v>
      </c>
      <c r="D1340" s="57" t="n">
        <v>0.03382</v>
      </c>
      <c r="E1340" s="57" t="n">
        <v>0.03903</v>
      </c>
      <c r="F1340" s="57" t="n">
        <v>0.03969</v>
      </c>
      <c r="G1340" s="57" t="n">
        <v>0.04249</v>
      </c>
    </row>
    <row r="1341" customFormat="false" ht="15" hidden="false" customHeight="false" outlineLevel="0" collapsed="false">
      <c r="A1341" s="52" t="n">
        <v>46070</v>
      </c>
      <c r="B1341" s="57" t="n">
        <v>0.03264</v>
      </c>
      <c r="C1341" s="57" t="n">
        <v>0.0318</v>
      </c>
      <c r="D1341" s="57" t="n">
        <v>0.03382</v>
      </c>
      <c r="E1341" s="57" t="n">
        <v>0.03903</v>
      </c>
      <c r="F1341" s="57" t="n">
        <v>0.03969</v>
      </c>
      <c r="G1341" s="57" t="n">
        <v>0.04249</v>
      </c>
    </row>
    <row r="1342" customFormat="false" ht="15" hidden="false" customHeight="false" outlineLevel="0" collapsed="false">
      <c r="A1342" s="52" t="n">
        <v>46071</v>
      </c>
      <c r="B1342" s="57" t="n">
        <v>0.03264</v>
      </c>
      <c r="C1342" s="57" t="n">
        <v>0.0318</v>
      </c>
      <c r="D1342" s="57" t="n">
        <v>0.03382</v>
      </c>
      <c r="E1342" s="57" t="n">
        <v>0.03903</v>
      </c>
      <c r="F1342" s="57" t="n">
        <v>0.03969</v>
      </c>
      <c r="G1342" s="57" t="n">
        <v>0.04249</v>
      </c>
    </row>
    <row r="1343" customFormat="false" ht="15" hidden="false" customHeight="false" outlineLevel="0" collapsed="false">
      <c r="A1343" s="52" t="n">
        <v>46072</v>
      </c>
      <c r="B1343" s="57" t="n">
        <v>0.03264</v>
      </c>
      <c r="C1343" s="57" t="n">
        <v>0.0318</v>
      </c>
      <c r="D1343" s="57" t="n">
        <v>0.03382</v>
      </c>
      <c r="E1343" s="57" t="n">
        <v>0.03903</v>
      </c>
      <c r="F1343" s="57" t="n">
        <v>0.03969</v>
      </c>
      <c r="G1343" s="57" t="n">
        <v>0.04249</v>
      </c>
    </row>
    <row r="1344" customFormat="false" ht="15" hidden="false" customHeight="false" outlineLevel="0" collapsed="false">
      <c r="A1344" s="52" t="n">
        <v>46073</v>
      </c>
      <c r="B1344" s="57" t="n">
        <v>0.03264</v>
      </c>
      <c r="C1344" s="57" t="n">
        <v>0.0318</v>
      </c>
      <c r="D1344" s="57" t="n">
        <v>0.03382</v>
      </c>
      <c r="E1344" s="57" t="n">
        <v>0.03903</v>
      </c>
      <c r="F1344" s="57" t="n">
        <v>0.03969</v>
      </c>
      <c r="G1344" s="57" t="n">
        <v>0.04249</v>
      </c>
    </row>
    <row r="1345" customFormat="false" ht="15" hidden="false" customHeight="false" outlineLevel="0" collapsed="false">
      <c r="A1345" s="52" t="n">
        <v>46076</v>
      </c>
      <c r="B1345" s="57" t="n">
        <v>0.03294</v>
      </c>
      <c r="C1345" s="57" t="n">
        <v>0.03159</v>
      </c>
      <c r="D1345" s="57" t="n">
        <v>0.0338</v>
      </c>
      <c r="E1345" s="57" t="n">
        <v>0.0389</v>
      </c>
      <c r="F1345" s="57" t="n">
        <v>0.03969</v>
      </c>
      <c r="G1345" s="57" t="n">
        <v>0.04246</v>
      </c>
    </row>
    <row r="1346" customFormat="false" ht="15" hidden="false" customHeight="false" outlineLevel="0" collapsed="false">
      <c r="A1346" s="52" t="n">
        <v>46077</v>
      </c>
      <c r="B1346" s="57" t="n">
        <v>0.03293</v>
      </c>
      <c r="C1346" s="57" t="n">
        <v>0.03159</v>
      </c>
      <c r="D1346" s="57" t="n">
        <v>0.03379</v>
      </c>
      <c r="E1346" s="57" t="n">
        <v>0.0389</v>
      </c>
      <c r="F1346" s="57" t="n">
        <v>0.03969</v>
      </c>
      <c r="G1346" s="57" t="n">
        <v>0.04251</v>
      </c>
    </row>
    <row r="1347" customFormat="false" ht="15" hidden="false" customHeight="false" outlineLevel="0" collapsed="false">
      <c r="A1347" s="52" t="n">
        <v>46078</v>
      </c>
      <c r="B1347" s="57" t="n">
        <v>0.03294</v>
      </c>
      <c r="C1347" s="57" t="n">
        <v>0.03158</v>
      </c>
      <c r="D1347" s="57" t="n">
        <v>0.03378</v>
      </c>
      <c r="E1347" s="57" t="n">
        <v>0.03876</v>
      </c>
      <c r="F1347" s="57" t="n">
        <v>0.03968</v>
      </c>
      <c r="G1347" s="57" t="n">
        <v>0.04251</v>
      </c>
    </row>
    <row r="1348" customFormat="false" ht="15" hidden="false" customHeight="false" outlineLevel="0" collapsed="false">
      <c r="A1348" s="52" t="n">
        <v>46079</v>
      </c>
      <c r="B1348" s="57" t="n">
        <v>0.03292</v>
      </c>
      <c r="C1348" s="57" t="n">
        <v>0.03199</v>
      </c>
      <c r="D1348" s="57" t="n">
        <v>0.03378</v>
      </c>
      <c r="E1348" s="57" t="n">
        <v>0.0389</v>
      </c>
      <c r="F1348" s="57" t="n">
        <v>0.03971</v>
      </c>
      <c r="G1348" s="57" t="n">
        <v>0.04252</v>
      </c>
    </row>
    <row r="1349" customFormat="false" ht="15" hidden="false" customHeight="false" outlineLevel="0" collapsed="false">
      <c r="A1349" s="52" t="n">
        <v>46080</v>
      </c>
      <c r="B1349" s="57" t="n">
        <v>0.03292</v>
      </c>
      <c r="C1349" s="57" t="n">
        <v>0.03198</v>
      </c>
      <c r="D1349" s="57" t="n">
        <v>0.03375</v>
      </c>
      <c r="E1349" s="57" t="n">
        <v>0.0389</v>
      </c>
      <c r="F1349" s="57" t="n">
        <v>0.03973</v>
      </c>
      <c r="G1349" s="57" t="n">
        <v>0.04252</v>
      </c>
    </row>
    <row r="1350" customFormat="false" ht="15" hidden="false" customHeight="false" outlineLevel="0" collapsed="false">
      <c r="A1350" s="52" t="n">
        <v>46083</v>
      </c>
      <c r="B1350" s="57" t="n">
        <v>0.03306</v>
      </c>
      <c r="C1350" s="57" t="n">
        <v>0.03196</v>
      </c>
      <c r="D1350" s="57" t="n">
        <v>0.03386</v>
      </c>
      <c r="E1350" s="57" t="n">
        <v>0.03959</v>
      </c>
      <c r="F1350" s="57" t="n">
        <v>0.04003</v>
      </c>
      <c r="G1350" s="57" t="n">
        <v>0.0429</v>
      </c>
    </row>
    <row r="1351" customFormat="false" ht="15" hidden="false" customHeight="false" outlineLevel="0" collapsed="false">
      <c r="A1351" s="52" t="n">
        <v>46084</v>
      </c>
      <c r="B1351" s="57" t="n">
        <v>0.03319</v>
      </c>
      <c r="C1351" s="57" t="n">
        <v>0.03208</v>
      </c>
      <c r="D1351" s="57" t="n">
        <v>0.03401</v>
      </c>
      <c r="E1351" s="57" t="n">
        <v>0.03956</v>
      </c>
      <c r="F1351" s="57" t="n">
        <v>0.04003</v>
      </c>
      <c r="G1351" s="57" t="n">
        <v>0.04295</v>
      </c>
    </row>
    <row r="1352" customFormat="false" ht="15" hidden="false" customHeight="false" outlineLevel="0" collapsed="false">
      <c r="A1352" s="52" t="n">
        <v>46085</v>
      </c>
      <c r="B1352" s="57" t="n">
        <v>0.03318</v>
      </c>
      <c r="C1352" s="57" t="n">
        <v>0.03208</v>
      </c>
      <c r="D1352" s="57" t="n">
        <v>0.03401</v>
      </c>
      <c r="E1352" s="57" t="n">
        <v>0.03956</v>
      </c>
      <c r="F1352" s="57" t="n">
        <v>0.04003</v>
      </c>
      <c r="G1352" s="57" t="n">
        <v>0.04308</v>
      </c>
    </row>
    <row r="1353" customFormat="false" ht="15" hidden="false" customHeight="false" outlineLevel="0" collapsed="false">
      <c r="A1353" s="52" t="n">
        <v>46086</v>
      </c>
      <c r="B1353" s="57" t="n">
        <v>0.03318</v>
      </c>
      <c r="C1353" s="57" t="n">
        <v>0.03208</v>
      </c>
      <c r="D1353" s="57" t="n">
        <v>0.034</v>
      </c>
      <c r="E1353" s="57" t="n">
        <v>0.03963</v>
      </c>
      <c r="F1353" s="57" t="n">
        <v>0.04004</v>
      </c>
      <c r="G1353" s="57" t="n">
        <v>0.04297</v>
      </c>
    </row>
    <row r="1354" customFormat="false" ht="15" hidden="false" customHeight="false" outlineLevel="0" collapsed="false">
      <c r="A1354" s="52" t="n">
        <v>46087</v>
      </c>
      <c r="B1354" s="57" t="n">
        <v>0.03318</v>
      </c>
      <c r="C1354" s="57" t="n">
        <v>0.03207</v>
      </c>
      <c r="D1354" s="57" t="n">
        <v>0.03398</v>
      </c>
      <c r="E1354" s="57" t="n">
        <v>0.03962</v>
      </c>
      <c r="F1354" s="57" t="n">
        <v>0.04004</v>
      </c>
      <c r="G1354" s="57" t="n">
        <v>0.04306</v>
      </c>
    </row>
    <row r="1355" customFormat="false" ht="15" hidden="false" customHeight="false" outlineLevel="0" collapsed="false">
      <c r="A1355" s="52" t="n">
        <v>46090</v>
      </c>
      <c r="B1355" s="57" t="n">
        <v>0.03335</v>
      </c>
      <c r="C1355" s="57" t="n">
        <v>0.03233</v>
      </c>
      <c r="D1355" s="57" t="n">
        <v>0.03414</v>
      </c>
      <c r="E1355" s="57" t="n">
        <v>0.03973</v>
      </c>
      <c r="F1355" s="57" t="n">
        <v>0.04026</v>
      </c>
      <c r="G1355" s="57" t="n">
        <v>0.04314</v>
      </c>
    </row>
    <row r="1356" customFormat="false" ht="15" hidden="false" customHeight="false" outlineLevel="0" collapsed="false">
      <c r="A1356" s="52" t="n">
        <v>46091</v>
      </c>
      <c r="B1356" s="57" t="n">
        <v>0.03356</v>
      </c>
      <c r="C1356" s="57" t="n">
        <v>0.0325</v>
      </c>
      <c r="D1356" s="57" t="n">
        <v>0.03438</v>
      </c>
      <c r="E1356" s="57" t="n">
        <v>0.04001</v>
      </c>
      <c r="F1356" s="57" t="n">
        <v>0.04026</v>
      </c>
      <c r="G1356" s="57" t="n">
        <v>0.0433</v>
      </c>
    </row>
    <row r="1357" customFormat="false" ht="15" hidden="false" customHeight="false" outlineLevel="0" collapsed="false">
      <c r="A1357" s="52" t="n">
        <v>46092</v>
      </c>
      <c r="B1357" s="57" t="n">
        <v>0.03356</v>
      </c>
      <c r="C1357" s="57" t="n">
        <v>0.03249</v>
      </c>
      <c r="D1357" s="57" t="n">
        <v>0.03437</v>
      </c>
      <c r="E1357" s="57" t="n">
        <v>0.04003</v>
      </c>
      <c r="F1357" s="57" t="n">
        <v>0.04096</v>
      </c>
      <c r="G1357" s="57" t="n">
        <v>0.04326</v>
      </c>
    </row>
    <row r="1358" customFormat="false" ht="15" hidden="false" customHeight="false" outlineLevel="0" collapsed="false">
      <c r="A1358" s="52" t="n">
        <v>46093</v>
      </c>
      <c r="B1358" s="57" t="n">
        <v>0.03377</v>
      </c>
      <c r="C1358" s="57" t="n">
        <v>0.0327</v>
      </c>
      <c r="D1358" s="57" t="n">
        <v>0.03473</v>
      </c>
      <c r="E1358" s="57" t="n">
        <v>0.04139</v>
      </c>
      <c r="F1358" s="57" t="n">
        <v>0.0421</v>
      </c>
      <c r="G1358" s="57" t="n">
        <v>0.04339</v>
      </c>
    </row>
    <row r="1359" customFormat="false" ht="15" hidden="false" customHeight="false" outlineLevel="0" collapsed="false">
      <c r="A1359" s="52" t="n">
        <v>46094</v>
      </c>
      <c r="B1359" s="57" t="n">
        <v>0.03398</v>
      </c>
      <c r="C1359" s="57" t="n">
        <v>0.0329</v>
      </c>
      <c r="D1359" s="57" t="n">
        <v>0.03492</v>
      </c>
      <c r="E1359" s="57" t="n">
        <v>0.04166</v>
      </c>
      <c r="F1359" s="57" t="n">
        <v>0.04225</v>
      </c>
      <c r="G1359" s="57" t="n">
        <v>0.04329</v>
      </c>
    </row>
    <row r="1360" customFormat="false" ht="15" hidden="false" customHeight="false" outlineLevel="0" collapsed="false">
      <c r="A1360" s="52" t="n">
        <v>46097</v>
      </c>
      <c r="B1360" s="57" t="n">
        <v>0.03398</v>
      </c>
      <c r="C1360" s="57" t="n">
        <v>0.0329</v>
      </c>
      <c r="D1360" s="57" t="n">
        <v>0.03492</v>
      </c>
      <c r="E1360" s="57" t="n">
        <v>0.04187</v>
      </c>
      <c r="F1360" s="57" t="n">
        <v>0.04223</v>
      </c>
      <c r="G1360" s="57" t="n">
        <v>0.04337</v>
      </c>
    </row>
    <row r="1361" customFormat="false" ht="15" hidden="false" customHeight="false" outlineLevel="0" collapsed="false">
      <c r="A1361" s="52" t="n">
        <v>46098</v>
      </c>
      <c r="B1361" s="57" t="n">
        <v>0.03448</v>
      </c>
      <c r="C1361" s="57" t="n">
        <v>0.03332</v>
      </c>
      <c r="D1361" s="57" t="n">
        <v>0.0353</v>
      </c>
      <c r="E1361" s="57" t="n">
        <v>0.04194</v>
      </c>
      <c r="F1361" s="57" t="n">
        <v>0.04223</v>
      </c>
      <c r="G1361" s="57" t="n">
        <v>0.04329</v>
      </c>
    </row>
    <row r="1362" customFormat="false" ht="15" hidden="false" customHeight="false" outlineLevel="0" collapsed="false">
      <c r="A1362" s="52" t="n">
        <v>46099</v>
      </c>
      <c r="B1362" s="57" t="n">
        <v>0.03438</v>
      </c>
      <c r="C1362" s="57" t="n">
        <v>0.03341</v>
      </c>
      <c r="D1362" s="57" t="n">
        <v>0.0353</v>
      </c>
      <c r="E1362" s="57" t="n">
        <v>0.04194</v>
      </c>
      <c r="F1362" s="57" t="n">
        <v>0.04223</v>
      </c>
      <c r="G1362" s="57" t="n">
        <v>0.04337</v>
      </c>
    </row>
    <row r="1363" customFormat="false" ht="15" hidden="false" customHeight="false" outlineLevel="0" collapsed="false">
      <c r="A1363" s="52" t="n">
        <v>46100</v>
      </c>
      <c r="B1363" s="57" t="n">
        <v>0.03438</v>
      </c>
      <c r="C1363" s="57" t="n">
        <v>0.03341</v>
      </c>
      <c r="D1363" s="57" t="n">
        <v>0.03528</v>
      </c>
      <c r="E1363" s="57" t="n">
        <v>0.04187</v>
      </c>
      <c r="F1363" s="57" t="n">
        <v>0.04222</v>
      </c>
      <c r="G1363" s="57" t="n">
        <v>0.04335</v>
      </c>
    </row>
    <row r="1364" customFormat="false" ht="15" hidden="false" customHeight="false" outlineLevel="0" collapsed="false">
      <c r="A1364" s="52" t="n">
        <v>46101</v>
      </c>
      <c r="B1364" s="57" t="n">
        <v>0.03438</v>
      </c>
      <c r="C1364" s="57" t="n">
        <v>0.03341</v>
      </c>
      <c r="D1364" s="57" t="n">
        <v>0.03525</v>
      </c>
      <c r="E1364" s="57" t="n">
        <v>0.04176</v>
      </c>
      <c r="F1364" s="57" t="n">
        <v>0.04228</v>
      </c>
      <c r="G1364" s="57" t="n">
        <v>0.04351</v>
      </c>
    </row>
    <row r="1365" customFormat="false" ht="15" hidden="false" customHeight="false" outlineLevel="0" collapsed="false">
      <c r="A1365" s="52" t="n">
        <v>46104</v>
      </c>
      <c r="B1365" s="57" t="n">
        <v>0.03441</v>
      </c>
      <c r="C1365" s="57" t="n">
        <v>0.03344</v>
      </c>
      <c r="D1365" s="57" t="n">
        <v>0.0353</v>
      </c>
      <c r="E1365" s="57" t="n">
        <v>0.04187</v>
      </c>
      <c r="F1365" s="57" t="n">
        <v>0.04239</v>
      </c>
      <c r="G1365" s="57" t="n">
        <v>0.04337</v>
      </c>
    </row>
    <row r="1366" customFormat="false" ht="15" hidden="false" customHeight="false" outlineLevel="0" collapsed="false">
      <c r="A1366" s="52" t="n">
        <v>46105</v>
      </c>
      <c r="B1366" s="57" t="n">
        <v>0.03454</v>
      </c>
      <c r="C1366" s="57" t="n">
        <v>0.03367</v>
      </c>
      <c r="D1366" s="57" t="n">
        <v>0.03544</v>
      </c>
      <c r="E1366" s="57" t="n">
        <v>0.04194</v>
      </c>
      <c r="F1366" s="57" t="n">
        <v>0.04241</v>
      </c>
      <c r="G1366" s="57" t="n">
        <v>0.04353</v>
      </c>
    </row>
    <row r="1367" customFormat="false" ht="15" hidden="false" customHeight="false" outlineLevel="0" collapsed="false">
      <c r="A1367" s="52" t="n">
        <v>46106</v>
      </c>
      <c r="B1367" s="57" t="n">
        <v>0.03454</v>
      </c>
      <c r="C1367" s="57" t="n">
        <v>0.03366</v>
      </c>
      <c r="D1367" s="57" t="n">
        <v>0.03544</v>
      </c>
      <c r="E1367" s="57" t="n">
        <v>0.04208</v>
      </c>
      <c r="F1367" s="57" t="n">
        <v>0.04241</v>
      </c>
      <c r="G1367" s="57" t="n">
        <v>0.0434</v>
      </c>
    </row>
    <row r="1368" customFormat="false" ht="15" hidden="false" customHeight="false" outlineLevel="0" collapsed="false">
      <c r="A1368" s="52" t="n">
        <v>46107</v>
      </c>
      <c r="B1368" s="57" t="n">
        <v>0.03454</v>
      </c>
      <c r="C1368" s="57" t="n">
        <v>0.03366</v>
      </c>
      <c r="D1368" s="57" t="n">
        <v>0.03543</v>
      </c>
      <c r="E1368" s="57" t="n">
        <v>0.04215</v>
      </c>
      <c r="F1368" s="57" t="n">
        <v>0.04268</v>
      </c>
      <c r="G1368" s="57" t="n">
        <v>0.04342</v>
      </c>
    </row>
    <row r="1369" customFormat="false" ht="15" hidden="false" customHeight="false" outlineLevel="0" collapsed="false">
      <c r="A1369" s="52" t="n">
        <v>46108</v>
      </c>
      <c r="B1369" s="57" t="n">
        <v>0.03454</v>
      </c>
      <c r="C1369" s="57" t="n">
        <v>0.03365</v>
      </c>
      <c r="D1369" s="57" t="n">
        <v>0.0354</v>
      </c>
      <c r="E1369" s="57" t="n">
        <v>0.04208</v>
      </c>
      <c r="F1369" s="57" t="n">
        <v>0.04268</v>
      </c>
      <c r="G1369" s="57" t="n">
        <v>0.04358</v>
      </c>
    </row>
    <row r="1370" customFormat="false" ht="15" hidden="false" customHeight="false" outlineLevel="0" collapsed="false">
      <c r="A1370" s="52" t="n">
        <v>46111</v>
      </c>
      <c r="B1370" s="57" t="n">
        <v>0.03454</v>
      </c>
      <c r="C1370" s="57" t="n">
        <v>0.03365</v>
      </c>
      <c r="D1370" s="57" t="n">
        <v>0.03365</v>
      </c>
      <c r="E1370" s="57" t="n">
        <v>0.03539</v>
      </c>
      <c r="F1370" s="57" t="n">
        <v>0.04268</v>
      </c>
      <c r="G1370" s="57" t="n">
        <v>0.04353</v>
      </c>
    </row>
    <row r="1371" customFormat="false" ht="15" hidden="false" customHeight="false" outlineLevel="0" collapsed="false">
      <c r="A1371" s="52" t="n">
        <v>46112</v>
      </c>
      <c r="B1371" s="57" t="n">
        <v>0.03454</v>
      </c>
      <c r="C1371" s="57" t="n">
        <v>0.03365</v>
      </c>
      <c r="D1371" s="57" t="n">
        <v>0.03538</v>
      </c>
      <c r="E1371" s="57" t="n">
        <v>0.04208</v>
      </c>
      <c r="F1371" s="57" t="n">
        <v>0.04268</v>
      </c>
      <c r="G1371" s="57" t="n">
        <v>0.04362</v>
      </c>
    </row>
    <row r="1372" customFormat="false" ht="15" hidden="false" customHeight="false" outlineLevel="0" collapsed="false">
      <c r="A1372" s="52" t="n">
        <v>46113</v>
      </c>
      <c r="B1372" s="57" t="n">
        <v>0.03443</v>
      </c>
      <c r="C1372" s="57" t="n">
        <v>0.03396</v>
      </c>
      <c r="D1372" s="57" t="n">
        <v>0.03537</v>
      </c>
      <c r="E1372" s="57" t="n">
        <v>0.04206</v>
      </c>
      <c r="F1372" s="57" t="n">
        <v>0.04274</v>
      </c>
      <c r="G1372" s="57" t="n">
        <v>0.04365</v>
      </c>
    </row>
    <row r="1373" customFormat="false" ht="15" hidden="false" customHeight="false" outlineLevel="0" collapsed="false">
      <c r="A1373" s="52" t="n">
        <v>46114</v>
      </c>
      <c r="B1373" s="57" t="n">
        <v>0.03442</v>
      </c>
      <c r="C1373" s="57" t="n">
        <v>0.03396</v>
      </c>
      <c r="D1373" s="57" t="n">
        <v>0.03536</v>
      </c>
      <c r="E1373" s="57" t="n">
        <v>0.04213</v>
      </c>
      <c r="F1373" s="57" t="n">
        <v>0.04273</v>
      </c>
      <c r="G1373" s="57" t="n">
        <v>0.04358</v>
      </c>
    </row>
    <row r="1374" customFormat="false" ht="15" hidden="false" customHeight="false" outlineLevel="0" collapsed="false">
      <c r="A1374" s="52" t="n">
        <v>46115</v>
      </c>
      <c r="B1374" s="57" t="n">
        <v>0.03441</v>
      </c>
      <c r="C1374" s="57" t="n">
        <v>0.03395</v>
      </c>
      <c r="D1374" s="57" t="n">
        <v>0.03534</v>
      </c>
      <c r="E1374" s="57" t="n">
        <v>0.04206</v>
      </c>
      <c r="F1374" s="57" t="n">
        <v>0.04277</v>
      </c>
      <c r="G1374" s="57" t="n">
        <v>0.04345</v>
      </c>
    </row>
    <row r="1375" customFormat="false" ht="15" hidden="false" customHeight="false" outlineLevel="0" collapsed="false">
      <c r="A1375" s="52" t="n">
        <v>46118</v>
      </c>
      <c r="B1375" s="57" t="n">
        <v>0.0345</v>
      </c>
      <c r="C1375" s="57" t="n">
        <v>0.03403</v>
      </c>
      <c r="D1375" s="57" t="n">
        <v>0.03542</v>
      </c>
      <c r="E1375" s="57" t="n">
        <v>0.04206</v>
      </c>
      <c r="F1375" s="57" t="n">
        <v>0.04278</v>
      </c>
      <c r="G1375" s="57" t="n">
        <v>0.04361</v>
      </c>
    </row>
    <row r="1376" customFormat="false" ht="15" hidden="false" customHeight="false" outlineLevel="0" collapsed="false">
      <c r="A1376" s="52" t="n">
        <v>46119</v>
      </c>
      <c r="B1376" s="57" t="n">
        <v>0.0345</v>
      </c>
      <c r="C1376" s="57" t="n">
        <v>0.03403</v>
      </c>
      <c r="D1376" s="57" t="n">
        <v>0.03541</v>
      </c>
      <c r="E1376" s="57" t="n">
        <v>0.04219</v>
      </c>
      <c r="F1376" s="57" t="n">
        <v>0.04278</v>
      </c>
      <c r="G1376" s="57" t="n">
        <v>0.04366</v>
      </c>
    </row>
    <row r="1377" customFormat="false" ht="15" hidden="false" customHeight="false" outlineLevel="0" collapsed="false">
      <c r="A1377" s="52" t="n">
        <v>46120</v>
      </c>
      <c r="B1377" s="57" t="n">
        <v>0.03449</v>
      </c>
      <c r="C1377" s="57" t="n">
        <v>0.03403</v>
      </c>
      <c r="D1377" s="57" t="n">
        <v>0.0354</v>
      </c>
      <c r="E1377" s="57" t="n">
        <v>0.04207</v>
      </c>
      <c r="F1377" s="57" t="n">
        <v>0.04282</v>
      </c>
      <c r="G1377" s="57" t="n">
        <v>0.04363</v>
      </c>
    </row>
    <row r="1378" customFormat="false" ht="15" hidden="false" customHeight="false" outlineLevel="0" collapsed="false">
      <c r="A1378" s="52" t="n">
        <v>46121</v>
      </c>
      <c r="B1378" s="57" t="n">
        <v>0.03449</v>
      </c>
      <c r="C1378" s="57" t="n">
        <v>0.03402</v>
      </c>
      <c r="D1378" s="57" t="n">
        <v>0.03539</v>
      </c>
      <c r="E1378" s="57" t="n">
        <v>0.04213</v>
      </c>
      <c r="F1378" s="57" t="n">
        <v>0.04279</v>
      </c>
      <c r="G1378" s="57" t="n">
        <v>0.04363</v>
      </c>
    </row>
    <row r="1379" customFormat="false" ht="15" hidden="false" customHeight="false" outlineLevel="0" collapsed="false">
      <c r="A1379" s="52" t="n">
        <v>46122</v>
      </c>
      <c r="B1379" s="57" t="n">
        <v>0.03448</v>
      </c>
      <c r="C1379" s="57" t="n">
        <v>0.03401</v>
      </c>
      <c r="D1379" s="57" t="n">
        <v>0.03538</v>
      </c>
      <c r="E1379" s="57" t="n">
        <v>0.04219</v>
      </c>
      <c r="F1379" s="57" t="n">
        <v>0.04282</v>
      </c>
      <c r="G1379" s="57" t="n">
        <v>0.04377</v>
      </c>
    </row>
    <row r="1380" customFormat="false" ht="15" hidden="false" customHeight="false" outlineLevel="0" collapsed="false">
      <c r="A1380" s="52" t="n">
        <v>46125</v>
      </c>
      <c r="B1380" s="57" t="n">
        <v>0.03448</v>
      </c>
      <c r="C1380" s="57" t="n">
        <v>0.03401</v>
      </c>
      <c r="D1380" s="57" t="n">
        <v>0.03537</v>
      </c>
      <c r="E1380" s="57" t="n">
        <v>0.04205</v>
      </c>
      <c r="F1380" s="57" t="n">
        <v>0.04282</v>
      </c>
      <c r="G1380" s="57" t="n">
        <v>0.04368</v>
      </c>
    </row>
    <row r="1381" customFormat="false" ht="15" hidden="false" customHeight="false" outlineLevel="0" collapsed="false">
      <c r="A1381" s="52" t="n">
        <v>46126</v>
      </c>
      <c r="B1381" s="57" t="n">
        <v>0.03448</v>
      </c>
      <c r="C1381" s="57" t="n">
        <v>0.03401</v>
      </c>
      <c r="D1381" s="57" t="n">
        <v>0.03537</v>
      </c>
      <c r="E1381" s="57" t="n">
        <v>0.04208</v>
      </c>
      <c r="F1381" s="57" t="n">
        <v>0.04278</v>
      </c>
      <c r="G1381" s="57" t="n">
        <v>0.04363</v>
      </c>
    </row>
    <row r="1382" customFormat="false" ht="15" hidden="false" customHeight="false" outlineLevel="0" collapsed="false">
      <c r="A1382" s="52" t="n">
        <v>46127</v>
      </c>
      <c r="B1382" s="57" t="n">
        <v>0.03448</v>
      </c>
      <c r="C1382" s="57" t="n">
        <v>0.03401</v>
      </c>
      <c r="D1382" s="57" t="n">
        <v>0.03537</v>
      </c>
      <c r="E1382" s="57" t="n">
        <v>0.04204</v>
      </c>
      <c r="F1382" s="57" t="n">
        <v>0.04272</v>
      </c>
      <c r="G1382" s="57" t="n">
        <v>0.04356</v>
      </c>
    </row>
    <row r="1383" customFormat="false" ht="15" hidden="false" customHeight="false" outlineLevel="0" collapsed="false">
      <c r="A1383" s="52" t="n">
        <v>46128</v>
      </c>
      <c r="B1383" s="57" t="n">
        <v>0.03451</v>
      </c>
      <c r="C1383" s="57" t="n">
        <v>0.03404</v>
      </c>
      <c r="D1383" s="57" t="n">
        <v>0.03537</v>
      </c>
      <c r="E1383" s="57" t="n">
        <v>0.04195</v>
      </c>
      <c r="F1383" s="57" t="n">
        <v>0.04277</v>
      </c>
      <c r="G1383" s="57" t="n">
        <v>0.04355</v>
      </c>
    </row>
    <row r="1384" customFormat="false" ht="15" hidden="false" customHeight="false" outlineLevel="0" collapsed="false">
      <c r="A1384" s="52" t="n">
        <v>46129</v>
      </c>
      <c r="B1384" s="57" t="n">
        <v>0.0345</v>
      </c>
      <c r="C1384" s="57" t="n">
        <v>0.03403</v>
      </c>
      <c r="D1384" s="57" t="n">
        <v>0.03536</v>
      </c>
      <c r="E1384" s="57" t="n">
        <v>0.04201</v>
      </c>
      <c r="F1384" s="57" t="n">
        <v>0.04277</v>
      </c>
      <c r="G1384" s="57" t="n">
        <v>0.04356</v>
      </c>
    </row>
    <row r="1385" customFormat="false" ht="15" hidden="false" customHeight="false" outlineLevel="0" collapsed="false">
      <c r="A1385" s="52" t="n">
        <v>46132</v>
      </c>
      <c r="B1385" s="57" t="n">
        <v>0.03501</v>
      </c>
      <c r="C1385" s="57" t="n">
        <v>0.03445</v>
      </c>
      <c r="D1385" s="57" t="n">
        <v>0.03577</v>
      </c>
      <c r="E1385" s="57" t="n">
        <v>0.04215</v>
      </c>
      <c r="F1385" s="57" t="n">
        <v>0.04283</v>
      </c>
      <c r="G1385" s="57" t="n">
        <v>0.04372</v>
      </c>
    </row>
    <row r="1386" customFormat="false" ht="15" hidden="false" customHeight="false" outlineLevel="0" collapsed="false">
      <c r="A1386" s="52" t="n">
        <v>46133</v>
      </c>
      <c r="B1386" s="57" t="n">
        <v>0.0346</v>
      </c>
      <c r="C1386" s="57" t="n">
        <v>0.03403</v>
      </c>
      <c r="D1386" s="57" t="n">
        <v>0.03536</v>
      </c>
      <c r="E1386" s="57" t="n">
        <v>0.04208</v>
      </c>
      <c r="F1386" s="57" t="n">
        <v>0.04285</v>
      </c>
      <c r="G1386" s="57" t="n">
        <v>0.04372</v>
      </c>
    </row>
    <row r="1387" customFormat="false" ht="15" hidden="false" customHeight="false" outlineLevel="0" collapsed="false">
      <c r="A1387" s="52" t="n">
        <v>46134</v>
      </c>
      <c r="B1387" s="57" t="n">
        <v>0.03501</v>
      </c>
      <c r="C1387" s="57" t="n">
        <v>0.03444</v>
      </c>
      <c r="D1387" s="57" t="n">
        <v>0.03576</v>
      </c>
      <c r="E1387" s="57" t="n">
        <v>0.04208</v>
      </c>
      <c r="F1387" s="57" t="n">
        <v>0.04285</v>
      </c>
      <c r="G1387" s="57" t="n">
        <v>0.04372</v>
      </c>
    </row>
    <row r="1388" customFormat="false" ht="15" hidden="false" customHeight="false" outlineLevel="0" collapsed="false">
      <c r="A1388" s="52" t="n">
        <v>46135</v>
      </c>
      <c r="B1388" s="57" t="n">
        <v>0.03506</v>
      </c>
      <c r="C1388" s="57" t="n">
        <v>0.03449</v>
      </c>
      <c r="D1388" s="57" t="n">
        <v>0.03585</v>
      </c>
      <c r="E1388" s="57" t="n">
        <v>0.04205</v>
      </c>
      <c r="F1388" s="57" t="n">
        <v>0.04279</v>
      </c>
      <c r="G1388" s="57" t="n">
        <v>0.04368</v>
      </c>
    </row>
    <row r="1389" customFormat="false" ht="15" hidden="false" customHeight="false" outlineLevel="0" collapsed="false">
      <c r="A1389" s="52" t="n">
        <v>46136</v>
      </c>
      <c r="B1389" s="57" t="n">
        <v>0.03504</v>
      </c>
      <c r="C1389" s="57" t="n">
        <v>0.03448</v>
      </c>
      <c r="D1389" s="57" t="n">
        <v>0.03584</v>
      </c>
      <c r="E1389" s="57" t="n">
        <v>0.04198</v>
      </c>
      <c r="F1389" s="57" t="n">
        <v>0.04279</v>
      </c>
      <c r="G1389" s="57" t="n">
        <v>0.04366</v>
      </c>
    </row>
    <row r="1390" customFormat="false" ht="15" hidden="false" customHeight="false" outlineLevel="0" collapsed="false">
      <c r="A1390" s="52" t="n">
        <v>46139</v>
      </c>
      <c r="B1390" s="57" t="n">
        <v>0.03504</v>
      </c>
      <c r="C1390" s="57" t="n">
        <v>0.03448</v>
      </c>
      <c r="D1390" s="57" t="n">
        <v>0.03584</v>
      </c>
      <c r="E1390" s="57" t="n">
        <v>0.04198</v>
      </c>
      <c r="F1390" s="57" t="n">
        <v>0.04279</v>
      </c>
      <c r="G1390" s="57" t="n">
        <v>0.04366</v>
      </c>
    </row>
    <row r="1391" customFormat="false" ht="15" hidden="false" customHeight="false" outlineLevel="0" collapsed="false">
      <c r="A1391" s="52" t="n">
        <v>46140</v>
      </c>
      <c r="B1391" s="57" t="n">
        <v>0.03504</v>
      </c>
      <c r="C1391" s="57" t="n">
        <v>0.03438</v>
      </c>
      <c r="D1391" s="57" t="n">
        <v>0.03584</v>
      </c>
      <c r="E1391" s="57" t="n">
        <v>0.04198</v>
      </c>
      <c r="F1391" s="57" t="n">
        <v>0.04279</v>
      </c>
      <c r="G1391" s="57" t="n">
        <v>0.04366</v>
      </c>
    </row>
    <row r="1392" customFormat="false" ht="15" hidden="false" customHeight="false" outlineLevel="0" collapsed="false">
      <c r="A1392" s="52" t="n">
        <v>46141</v>
      </c>
      <c r="B1392" s="57" t="n">
        <v>0.03503</v>
      </c>
      <c r="C1392" s="57" t="n">
        <v>0.0344</v>
      </c>
      <c r="D1392" s="57" t="n">
        <v>0.03602</v>
      </c>
      <c r="E1392" s="57" t="n">
        <v>0.04204</v>
      </c>
      <c r="F1392" s="57" t="n">
        <v>0.04278</v>
      </c>
      <c r="G1392" s="57" t="n">
        <v>0.04371</v>
      </c>
    </row>
    <row r="1393" customFormat="false" ht="15" hidden="false" customHeight="false" outlineLevel="0" collapsed="false">
      <c r="A1393" s="52" t="n">
        <v>46142</v>
      </c>
      <c r="B1393" s="57" t="n">
        <v>0.03503</v>
      </c>
      <c r="C1393" s="57" t="n">
        <v>0.0344</v>
      </c>
      <c r="D1393" s="57" t="n">
        <v>0.03602</v>
      </c>
      <c r="E1393" s="57" t="n">
        <v>0.04204</v>
      </c>
      <c r="F1393" s="57" t="n">
        <v>0.04278</v>
      </c>
      <c r="G1393" s="57" t="n">
        <v>0.04371</v>
      </c>
    </row>
    <row r="1394" customFormat="false" ht="15" hidden="false" customHeight="false" outlineLevel="0" collapsed="false">
      <c r="A1394" s="52" t="n">
        <v>46143</v>
      </c>
      <c r="B1394" s="57" t="n">
        <v>0.03503</v>
      </c>
      <c r="C1394" s="57" t="n">
        <v>0.0344</v>
      </c>
      <c r="D1394" s="57" t="n">
        <v>0.03602</v>
      </c>
      <c r="E1394" s="57" t="n">
        <v>0.04204</v>
      </c>
      <c r="F1394" s="57" t="n">
        <v>0.04278</v>
      </c>
      <c r="G1394" s="57" t="n">
        <v>0.04371</v>
      </c>
    </row>
    <row r="1395" customFormat="false" ht="15" hidden="false" customHeight="false" outlineLevel="0" collapsed="false">
      <c r="A1395" s="52" t="n">
        <v>46146</v>
      </c>
      <c r="B1395" s="57" t="n">
        <v>0.03503</v>
      </c>
      <c r="C1395" s="57" t="n">
        <v>0.03457</v>
      </c>
      <c r="D1395" s="57" t="n">
        <v>0.03673</v>
      </c>
      <c r="E1395" s="57" t="n">
        <v>0.04202</v>
      </c>
      <c r="F1395" s="57" t="n">
        <v>0.04278</v>
      </c>
      <c r="G1395" s="57" t="n">
        <v>0.04349</v>
      </c>
    </row>
    <row r="1396" customFormat="false" ht="15" hidden="false" customHeight="false" outlineLevel="0" collapsed="false">
      <c r="A1396" s="52" t="n">
        <v>46147</v>
      </c>
      <c r="B1396" s="57" t="n">
        <v>0.03511</v>
      </c>
      <c r="C1396" s="57" t="n">
        <v>0.03461</v>
      </c>
      <c r="D1396" s="57" t="n">
        <v>0.03661</v>
      </c>
      <c r="E1396" s="57" t="n">
        <v>0.04195</v>
      </c>
      <c r="F1396" s="57" t="n">
        <v>0.04277</v>
      </c>
      <c r="G1396" s="57" t="n">
        <v>0.04365</v>
      </c>
    </row>
    <row r="1397" customFormat="false" ht="15" hidden="false" customHeight="false" outlineLevel="0" collapsed="false">
      <c r="A1397" s="52" t="n">
        <v>46148</v>
      </c>
      <c r="B1397" s="57" t="n">
        <v>0.03511</v>
      </c>
      <c r="C1397" s="57" t="n">
        <v>0.03461</v>
      </c>
      <c r="D1397" s="57" t="n">
        <v>0.03661</v>
      </c>
      <c r="E1397" s="57" t="n">
        <v>0.04207</v>
      </c>
      <c r="F1397" s="57" t="n">
        <v>0.04277</v>
      </c>
      <c r="G1397" s="57" t="n">
        <v>0.04372</v>
      </c>
    </row>
    <row r="1398" customFormat="false" ht="15" hidden="false" customHeight="false" outlineLevel="0" collapsed="false">
      <c r="A1398" s="52" t="n">
        <v>46149</v>
      </c>
      <c r="B1398" s="57" t="n">
        <v>0.03511</v>
      </c>
      <c r="C1398" s="57" t="n">
        <v>0.03461</v>
      </c>
      <c r="D1398" s="57" t="n">
        <v>0.0366</v>
      </c>
      <c r="E1398" s="57" t="n">
        <v>0.04201</v>
      </c>
      <c r="F1398" s="57" t="n">
        <v>0.04277</v>
      </c>
      <c r="G1398" s="57" t="n">
        <v>0.04373</v>
      </c>
    </row>
    <row r="1399" customFormat="false" ht="15" hidden="false" customHeight="false" outlineLevel="0" collapsed="false">
      <c r="A1399" s="52" t="n">
        <v>46150</v>
      </c>
      <c r="B1399" s="57" t="n">
        <v>0.03511</v>
      </c>
      <c r="C1399" s="57" t="n">
        <v>0.0346</v>
      </c>
      <c r="D1399" s="57" t="n">
        <v>0.03657</v>
      </c>
      <c r="E1399" s="57" t="n">
        <v>0.04201</v>
      </c>
      <c r="F1399" s="57" t="n">
        <v>0.04277</v>
      </c>
      <c r="G1399" s="57" t="n">
        <v>0.04372</v>
      </c>
    </row>
    <row r="1400" customFormat="false" ht="15" hidden="false" customHeight="false" outlineLevel="0" collapsed="false">
      <c r="A1400" s="52" t="n">
        <v>46153</v>
      </c>
      <c r="B1400" s="57" t="n">
        <v>0.03511</v>
      </c>
      <c r="C1400" s="57" t="n">
        <v>0.0346</v>
      </c>
      <c r="D1400" s="57" t="n">
        <v>0.03656</v>
      </c>
      <c r="E1400" s="57" t="n">
        <v>0.04194</v>
      </c>
      <c r="F1400" s="57" t="n">
        <v>0.04277</v>
      </c>
      <c r="G1400" s="57" t="n">
        <v>0.0437</v>
      </c>
    </row>
    <row r="1401" customFormat="false" ht="15" hidden="false" customHeight="false" outlineLevel="0" collapsed="false">
      <c r="A1401" s="52" t="n">
        <v>46154</v>
      </c>
      <c r="B1401" s="57" t="n">
        <v>0.03511</v>
      </c>
      <c r="C1401" s="57" t="n">
        <v>0.0346</v>
      </c>
      <c r="D1401" s="57" t="n">
        <v>0.03656</v>
      </c>
      <c r="E1401" s="57" t="n">
        <v>0.04201</v>
      </c>
      <c r="F1401" s="57" t="n">
        <v>0.04277</v>
      </c>
      <c r="G1401" s="57" t="n">
        <v>0.04371</v>
      </c>
    </row>
    <row r="1402" customFormat="false" ht="15" hidden="false" customHeight="false" outlineLevel="0" collapsed="false">
      <c r="A1402" s="52" t="n">
        <v>46155</v>
      </c>
      <c r="B1402" s="57" t="n">
        <v>0.03511</v>
      </c>
      <c r="C1402" s="57" t="n">
        <v>0.03459</v>
      </c>
      <c r="D1402" s="57" t="n">
        <v>0.03654</v>
      </c>
      <c r="E1402" s="57" t="n">
        <v>0.04188</v>
      </c>
      <c r="F1402" s="57" t="n">
        <v>0.04277</v>
      </c>
      <c r="G1402" s="57" t="n">
        <v>0.04371</v>
      </c>
    </row>
    <row r="1403" customFormat="false" ht="15" hidden="false" customHeight="false" outlineLevel="0" collapsed="false">
      <c r="A1403" s="52" t="n">
        <v>46156</v>
      </c>
      <c r="B1403" s="57" t="n">
        <v>0.0351</v>
      </c>
      <c r="C1403" s="57" t="n">
        <v>0.03459</v>
      </c>
      <c r="D1403" s="57" t="n">
        <v>0.03653</v>
      </c>
      <c r="E1403" s="57" t="n">
        <v>0.0419</v>
      </c>
      <c r="F1403" s="57" t="n">
        <v>0.04281</v>
      </c>
      <c r="G1403" s="57" t="n">
        <v>0.04375</v>
      </c>
    </row>
    <row r="1404" customFormat="false" ht="15" hidden="false" customHeight="false" outlineLevel="0" collapsed="false">
      <c r="A1404" s="52" t="n">
        <v>46157</v>
      </c>
      <c r="B1404" s="57" t="n">
        <v>0.03511</v>
      </c>
      <c r="C1404" s="57" t="n">
        <v>0.03458</v>
      </c>
      <c r="D1404" s="57" t="n">
        <v>0.03652</v>
      </c>
      <c r="E1404" s="57" t="n">
        <v>0.04201</v>
      </c>
      <c r="F1404" s="57" t="n">
        <v>0.0428</v>
      </c>
      <c r="G1404" s="57" t="n">
        <v>0.04375</v>
      </c>
    </row>
    <row r="1405" customFormat="false" ht="15" hidden="false" customHeight="false" outlineLevel="0" collapsed="false">
      <c r="A1405" s="52" t="n">
        <v>46160</v>
      </c>
      <c r="B1405" s="57" t="n">
        <v>0.03522</v>
      </c>
      <c r="C1405" s="57" t="n">
        <v>0.03458</v>
      </c>
      <c r="D1405" s="57" t="n">
        <v>0.0365</v>
      </c>
      <c r="E1405" s="57" t="n">
        <v>0.04194</v>
      </c>
      <c r="F1405" s="57" t="n">
        <v>0.0428</v>
      </c>
      <c r="G1405" s="57" t="n">
        <v>0.04378</v>
      </c>
    </row>
    <row r="1406" customFormat="false" ht="15" hidden="false" customHeight="false" outlineLevel="0" collapsed="false">
      <c r="A1406" s="52" t="n">
        <v>46161</v>
      </c>
      <c r="B1406" s="57" t="n">
        <v>0.0352</v>
      </c>
      <c r="C1406" s="57" t="n">
        <v>0.03458</v>
      </c>
      <c r="D1406" s="57" t="n">
        <v>0.0365</v>
      </c>
      <c r="E1406" s="57" t="n">
        <v>0.042</v>
      </c>
      <c r="F1406" s="57" t="n">
        <v>0.0428</v>
      </c>
      <c r="G1406" s="57" t="n">
        <v>0.04374</v>
      </c>
    </row>
    <row r="1407" customFormat="false" ht="15" hidden="false" customHeight="false" outlineLevel="0" collapsed="false">
      <c r="A1407" s="52" t="n">
        <v>46162</v>
      </c>
      <c r="B1407" s="57" t="n">
        <v>0.03521</v>
      </c>
      <c r="C1407" s="57" t="n">
        <v>0.03448</v>
      </c>
      <c r="D1407" s="57" t="n">
        <v>0.0365</v>
      </c>
      <c r="E1407" s="57" t="n">
        <v>0.04212</v>
      </c>
      <c r="F1407" s="57" t="n">
        <v>0.04282</v>
      </c>
      <c r="G1407" s="57" t="n">
        <v>0.04379</v>
      </c>
    </row>
    <row r="1408" customFormat="false" ht="15" hidden="false" customHeight="false" outlineLevel="0" collapsed="false">
      <c r="A1408" s="52" t="n">
        <v>46163</v>
      </c>
      <c r="B1408" s="57" t="n">
        <v>0.03521</v>
      </c>
      <c r="C1408" s="57" t="n">
        <v>0.03448</v>
      </c>
      <c r="D1408" s="57" t="n">
        <v>0.03648</v>
      </c>
      <c r="E1408" s="57" t="n">
        <v>0.04204</v>
      </c>
      <c r="F1408" s="57" t="n">
        <v>0.04282</v>
      </c>
      <c r="G1408" s="57" t="n">
        <v>0.04384</v>
      </c>
    </row>
    <row r="1409" customFormat="false" ht="15" hidden="false" customHeight="false" outlineLevel="0" collapsed="false">
      <c r="A1409" s="52" t="n">
        <v>46164</v>
      </c>
      <c r="B1409" s="57" t="n">
        <v>0.03521</v>
      </c>
      <c r="C1409" s="57" t="n">
        <v>0.03447</v>
      </c>
      <c r="D1409" s="57" t="n">
        <v>0.03646</v>
      </c>
      <c r="E1409" s="57" t="n">
        <v>0.04203</v>
      </c>
      <c r="F1409" s="57" t="n">
        <v>0.04282</v>
      </c>
      <c r="G1409" s="57" t="n">
        <v>0.04384</v>
      </c>
    </row>
    <row r="1410" customFormat="false" ht="15" hidden="false" customHeight="false" outlineLevel="0" collapsed="false">
      <c r="A1410" s="52" t="n">
        <v>46167</v>
      </c>
      <c r="B1410" s="57" t="n">
        <v>0.03521</v>
      </c>
      <c r="C1410" s="57" t="n">
        <v>0.03447</v>
      </c>
      <c r="D1410" s="57" t="n">
        <v>0.03647</v>
      </c>
      <c r="E1410" s="57" t="n">
        <v>0.04218</v>
      </c>
      <c r="F1410" s="57" t="n">
        <v>0.04282</v>
      </c>
      <c r="G1410" s="57" t="n">
        <v>0.04384</v>
      </c>
    </row>
    <row r="1411" customFormat="false" ht="15" hidden="false" customHeight="false" outlineLevel="0" collapsed="false">
      <c r="A1411" s="52" t="n">
        <v>46168</v>
      </c>
      <c r="B1411" s="57" t="n">
        <v>0.0352</v>
      </c>
      <c r="C1411" s="57" t="n">
        <v>0.03447</v>
      </c>
      <c r="D1411" s="57" t="n">
        <v>0.03646</v>
      </c>
      <c r="E1411" s="57" t="n">
        <v>0.04218</v>
      </c>
      <c r="F1411" s="57" t="n">
        <v>0.04282</v>
      </c>
      <c r="G1411" s="57" t="n">
        <v>0.04384</v>
      </c>
    </row>
    <row r="1412" customFormat="false" ht="15" hidden="false" customHeight="false" outlineLevel="0" collapsed="false">
      <c r="A1412" s="52" t="n">
        <v>46169</v>
      </c>
      <c r="B1412" s="57" t="n">
        <v>0.03521</v>
      </c>
      <c r="C1412" s="57" t="n">
        <v>0.03446</v>
      </c>
      <c r="D1412" s="57" t="n">
        <v>0.03645</v>
      </c>
      <c r="E1412" s="57" t="n">
        <v>0.04218</v>
      </c>
      <c r="F1412" s="57" t="n">
        <v>0.04282</v>
      </c>
      <c r="G1412" s="57" t="n">
        <v>0.04388</v>
      </c>
    </row>
    <row r="1413" customFormat="false" ht="15" hidden="false" customHeight="false" outlineLevel="0" collapsed="false">
      <c r="A1413" s="52" t="n">
        <v>46170</v>
      </c>
      <c r="B1413" s="57" t="n">
        <v>0.0353</v>
      </c>
      <c r="C1413" s="57" t="n">
        <v>0.03461</v>
      </c>
      <c r="D1413" s="57" t="n">
        <v>0.03656</v>
      </c>
      <c r="E1413" s="57" t="n">
        <v>0.0427</v>
      </c>
      <c r="F1413" s="57" t="n">
        <v>0.04311</v>
      </c>
      <c r="G1413" s="57" t="n">
        <v>0.04457</v>
      </c>
    </row>
    <row r="1414" customFormat="false" ht="15" hidden="false" customHeight="false" outlineLevel="0" collapsed="false">
      <c r="A1414" s="52" t="n">
        <v>46171</v>
      </c>
      <c r="B1414" s="57" t="n">
        <v>0.03542</v>
      </c>
      <c r="C1414" s="57" t="n">
        <v>0.03473</v>
      </c>
      <c r="D1414" s="57" t="n">
        <v>0.03661</v>
      </c>
      <c r="E1414" s="57" t="n">
        <v>0.04265</v>
      </c>
      <c r="F1414" s="57" t="n">
        <v>0.04323</v>
      </c>
      <c r="G1414" s="57" t="n">
        <v>0.04458</v>
      </c>
    </row>
    <row r="1415" customFormat="false" ht="15" hidden="false" customHeight="false" outlineLevel="0" collapsed="false">
      <c r="A1415" s="52" t="n">
        <v>46174</v>
      </c>
      <c r="B1415" s="57" t="n">
        <v>0.03533</v>
      </c>
      <c r="C1415" s="57" t="n">
        <v>0.03472</v>
      </c>
      <c r="D1415" s="57" t="n">
        <v>0.0366</v>
      </c>
      <c r="E1415" s="57" t="n">
        <v>0.04267</v>
      </c>
      <c r="F1415" s="57" t="n">
        <v>0.04324</v>
      </c>
      <c r="G1415" s="57" t="n">
        <v>0.04467</v>
      </c>
    </row>
    <row r="1416" customFormat="false" ht="15" hidden="false" customHeight="false" outlineLevel="0" collapsed="false">
      <c r="A1416" s="52" t="n">
        <v>46175</v>
      </c>
      <c r="B1416" s="57" t="n">
        <v>0.03548</v>
      </c>
      <c r="C1416" s="57" t="n">
        <v>0.03482</v>
      </c>
      <c r="D1416" s="57" t="n">
        <v>0.03678</v>
      </c>
      <c r="E1416" s="57" t="n">
        <v>0.04268</v>
      </c>
      <c r="F1416" s="57" t="n">
        <v>0.04324</v>
      </c>
      <c r="G1416" s="57" t="n">
        <v>0.04471</v>
      </c>
    </row>
    <row r="1417" customFormat="false" ht="15" hidden="false" customHeight="false" outlineLevel="0" collapsed="false">
      <c r="A1417" s="52" t="n">
        <v>46176</v>
      </c>
      <c r="B1417" s="57" t="n">
        <v>0.03555</v>
      </c>
      <c r="C1417" s="57" t="n">
        <v>0.03499</v>
      </c>
      <c r="D1417" s="57" t="n">
        <v>0.03693</v>
      </c>
      <c r="E1417" s="57" t="n">
        <v>0.04268</v>
      </c>
      <c r="F1417" s="57" t="n">
        <v>0.04323</v>
      </c>
      <c r="G1417" s="57" t="n">
        <v>0.04468</v>
      </c>
    </row>
    <row r="1418" customFormat="false" ht="15" hidden="false" customHeight="false" outlineLevel="0" collapsed="false">
      <c r="A1418" s="52" t="n">
        <v>46177</v>
      </c>
      <c r="B1418" s="57" t="n">
        <v>0.03563</v>
      </c>
      <c r="C1418" s="57" t="n">
        <v>0.03507</v>
      </c>
      <c r="D1418" s="57" t="n">
        <v>0.037</v>
      </c>
      <c r="E1418" s="57" t="n">
        <v>0.04271</v>
      </c>
      <c r="F1418" s="57" t="n">
        <v>0.04325</v>
      </c>
      <c r="G1418" s="57" t="n">
        <v>0.04473</v>
      </c>
    </row>
    <row r="1419" customFormat="false" ht="15" hidden="false" customHeight="false" outlineLevel="0" collapsed="false">
      <c r="A1419" s="52" t="n">
        <v>46178</v>
      </c>
      <c r="B1419" s="57" t="n">
        <v>0.03567</v>
      </c>
      <c r="C1419" s="57" t="n">
        <v>0.0351</v>
      </c>
      <c r="D1419" s="57" t="n">
        <v>0.03702</v>
      </c>
      <c r="E1419" s="57" t="n">
        <v>0.0427</v>
      </c>
      <c r="F1419" s="57" t="n">
        <v>0.04325</v>
      </c>
      <c r="G1419" s="57" t="n">
        <v>0.04472</v>
      </c>
    </row>
    <row r="1420" customFormat="false" ht="15" hidden="false" customHeight="false" outlineLevel="0" collapsed="false">
      <c r="A1420" s="52" t="n">
        <v>46181</v>
      </c>
      <c r="B1420" s="57" t="n">
        <v>0.0357</v>
      </c>
      <c r="C1420" s="57" t="n">
        <v>0.03514</v>
      </c>
      <c r="D1420" s="57" t="n">
        <v>0.03705</v>
      </c>
      <c r="E1420" s="57" t="n">
        <v>0.04272</v>
      </c>
      <c r="F1420" s="57" t="n">
        <v>0.04325</v>
      </c>
      <c r="G1420" s="57" t="n">
        <v>0.04473</v>
      </c>
    </row>
    <row r="1421" customFormat="false" ht="15" hidden="false" customHeight="false" outlineLevel="0" collapsed="false">
      <c r="A1421" s="52" t="n">
        <v>46182</v>
      </c>
      <c r="B1421" s="57" t="n">
        <v>0.0357</v>
      </c>
      <c r="C1421" s="57" t="n">
        <v>0.03514</v>
      </c>
      <c r="D1421" s="57" t="n">
        <v>0.03704</v>
      </c>
      <c r="E1421" s="57" t="n">
        <v>0.04272</v>
      </c>
      <c r="F1421" s="57" t="n">
        <v>0.04325</v>
      </c>
      <c r="G1421" s="57" t="n">
        <v>0.04473</v>
      </c>
    </row>
    <row r="1422" customFormat="false" ht="15" hidden="false" customHeight="false" outlineLevel="0" collapsed="false">
      <c r="A1422" s="52" t="n">
        <v>46183</v>
      </c>
      <c r="B1422" s="57" t="n">
        <v>0.0357</v>
      </c>
      <c r="C1422" s="57" t="n">
        <v>0.03513</v>
      </c>
      <c r="D1422" s="57" t="n">
        <v>0.03703</v>
      </c>
      <c r="E1422" s="57" t="n">
        <v>0.04272</v>
      </c>
      <c r="F1422" s="57" t="n">
        <v>0.04326</v>
      </c>
      <c r="G1422" s="57" t="n">
        <v>0.04474</v>
      </c>
    </row>
    <row r="1423" customFormat="false" ht="15" hidden="false" customHeight="false" outlineLevel="0" collapsed="false">
      <c r="A1423" s="52" t="n">
        <v>46184</v>
      </c>
      <c r="B1423" s="57" t="n">
        <v>0.03592</v>
      </c>
      <c r="C1423" s="57" t="n">
        <v>0.03526</v>
      </c>
      <c r="D1423" s="57" t="n">
        <v>0.03715</v>
      </c>
      <c r="E1423" s="57" t="n">
        <v>0.04289</v>
      </c>
      <c r="F1423" s="57" t="n">
        <v>0.04341</v>
      </c>
      <c r="G1423" s="57" t="n">
        <v>0.04483</v>
      </c>
    </row>
    <row r="1424" customFormat="false" ht="15" hidden="false" customHeight="false" outlineLevel="0" collapsed="false">
      <c r="A1424" s="52" t="n">
        <v>46185</v>
      </c>
      <c r="B1424" s="57" t="n">
        <v>0.03595</v>
      </c>
      <c r="C1424" s="57" t="n">
        <v>0.03529</v>
      </c>
      <c r="D1424" s="57" t="n">
        <v>0.03716</v>
      </c>
      <c r="E1424" s="57" t="n">
        <v>0.04289</v>
      </c>
      <c r="F1424" s="57" t="n">
        <v>0.04341</v>
      </c>
      <c r="G1424" s="57" t="n">
        <v>0.04482</v>
      </c>
    </row>
    <row r="1425" customFormat="false" ht="15" hidden="false" customHeight="false" outlineLevel="0" collapsed="false">
      <c r="A1425" s="52" t="n">
        <v>46188</v>
      </c>
      <c r="B1425" s="57" t="n">
        <v>0.03595</v>
      </c>
      <c r="C1425" s="57" t="n">
        <v>0.03529</v>
      </c>
      <c r="D1425" s="57" t="n">
        <v>0.03715</v>
      </c>
      <c r="E1425" s="57" t="n">
        <v>0.04289</v>
      </c>
      <c r="F1425" s="57" t="n">
        <v>0.04341</v>
      </c>
      <c r="G1425" s="57" t="n">
        <v>0.04487</v>
      </c>
    </row>
    <row r="1426" customFormat="false" ht="15" hidden="false" customHeight="false" outlineLevel="0" collapsed="false">
      <c r="A1426" s="52" t="n">
        <v>46189</v>
      </c>
      <c r="B1426" s="57" t="n">
        <v>0.03584</v>
      </c>
      <c r="C1426" s="57" t="n">
        <v>0.03532</v>
      </c>
      <c r="D1426" s="57" t="n">
        <v>0.03715</v>
      </c>
      <c r="E1426" s="57" t="n">
        <v>0.04295</v>
      </c>
      <c r="F1426" s="57" t="n">
        <v>0.04345</v>
      </c>
      <c r="G1426" s="57" t="n">
        <v>0.04487</v>
      </c>
    </row>
    <row r="1427" customFormat="false" ht="15" hidden="false" customHeight="false" outlineLevel="0" collapsed="false">
      <c r="A1427" s="52" t="n">
        <v>46190</v>
      </c>
      <c r="B1427" s="57" t="n">
        <v>0.03584</v>
      </c>
      <c r="C1427" s="57" t="n">
        <v>0.03539</v>
      </c>
      <c r="D1427" s="57" t="n">
        <v>0.03714</v>
      </c>
      <c r="E1427" s="57" t="n">
        <v>0.04295</v>
      </c>
      <c r="F1427" s="57" t="n">
        <v>0.04345</v>
      </c>
      <c r="G1427" s="57" t="n">
        <v>0.04487</v>
      </c>
    </row>
    <row r="1428" customFormat="false" ht="15" hidden="false" customHeight="false" outlineLevel="0" collapsed="false">
      <c r="A1428" s="52" t="n">
        <v>46191</v>
      </c>
      <c r="B1428" s="57" t="n">
        <v>0.03603</v>
      </c>
      <c r="C1428" s="57" t="n">
        <v>0.03536</v>
      </c>
      <c r="D1428" s="57" t="n">
        <v>0.03723</v>
      </c>
      <c r="E1428" s="57" t="n">
        <v>0.04324</v>
      </c>
      <c r="F1428" s="57" t="n">
        <v>0.04384</v>
      </c>
      <c r="G1428" s="57" t="n">
        <v>0.04523</v>
      </c>
    </row>
    <row r="1429" customFormat="false" ht="15" hidden="false" customHeight="false" outlineLevel="0" collapsed="false">
      <c r="A1429" s="52" t="n">
        <v>46192</v>
      </c>
      <c r="B1429" s="57" t="n">
        <v>0.03606</v>
      </c>
      <c r="C1429" s="57" t="n">
        <v>0.03541</v>
      </c>
      <c r="D1429" s="57" t="n">
        <v>0.03724</v>
      </c>
      <c r="E1429" s="57" t="n">
        <v>0.04327</v>
      </c>
      <c r="F1429" s="57" t="n">
        <v>0.04395</v>
      </c>
      <c r="G1429" s="57" t="n">
        <v>0.04529</v>
      </c>
    </row>
    <row r="1430" customFormat="false" ht="15" hidden="false" customHeight="false" outlineLevel="0" collapsed="false">
      <c r="A1430" s="52" t="n">
        <v>46195</v>
      </c>
      <c r="B1430" s="57" t="n">
        <v>0.03606</v>
      </c>
      <c r="C1430" s="57" t="n">
        <v>0.0354</v>
      </c>
      <c r="D1430" s="57" t="n">
        <v>0.03723</v>
      </c>
      <c r="E1430" s="57" t="n">
        <v>0.04313</v>
      </c>
      <c r="F1430" s="57" t="n">
        <v>0.04395</v>
      </c>
      <c r="G1430" s="57" t="n">
        <v>0.04528</v>
      </c>
    </row>
    <row r="1431" customFormat="false" ht="15" hidden="false" customHeight="false" outlineLevel="0" collapsed="false">
      <c r="A1431" s="52" t="n">
        <v>46196</v>
      </c>
      <c r="B1431" s="57" t="n">
        <v>0.03606</v>
      </c>
      <c r="C1431" s="57" t="n">
        <v>0.0354</v>
      </c>
      <c r="D1431" s="57" t="n">
        <v>0.03722</v>
      </c>
      <c r="E1431" s="57" t="n">
        <v>0.0432</v>
      </c>
      <c r="F1431" s="57" t="n">
        <v>0.04394</v>
      </c>
      <c r="G1431" s="57" t="n">
        <v>0.04526</v>
      </c>
    </row>
    <row r="1432" customFormat="false" ht="15" hidden="false" customHeight="false" outlineLevel="0" collapsed="false">
      <c r="A1432" s="52" t="n">
        <v>46197</v>
      </c>
      <c r="B1432" s="57" t="n">
        <v>0.03606</v>
      </c>
      <c r="C1432" s="57" t="n">
        <v>0.0354</v>
      </c>
      <c r="D1432" s="57" t="n">
        <v>0.03721</v>
      </c>
      <c r="E1432" s="57" t="n">
        <v>0.0432</v>
      </c>
      <c r="F1432" s="57" t="n">
        <v>0.04394</v>
      </c>
      <c r="G1432" s="57" t="n">
        <v>0.04522</v>
      </c>
    </row>
    <row r="1433" customFormat="false" ht="15" hidden="false" customHeight="false" outlineLevel="0" collapsed="false">
      <c r="A1433" s="52" t="n">
        <v>46198</v>
      </c>
      <c r="B1433" s="57" t="n">
        <v>0.03606</v>
      </c>
      <c r="C1433" s="57" t="n">
        <v>0.0354</v>
      </c>
      <c r="D1433" s="57" t="n">
        <v>0.03721</v>
      </c>
      <c r="E1433" s="57" t="n">
        <v>0.0432</v>
      </c>
      <c r="F1433" s="57" t="n">
        <v>0.04394</v>
      </c>
      <c r="G1433" s="57" t="n">
        <v>0.04528</v>
      </c>
    </row>
    <row r="1434" customFormat="false" ht="15" hidden="false" customHeight="false" outlineLevel="0" collapsed="false">
      <c r="A1434" s="52" t="n">
        <v>46199</v>
      </c>
      <c r="B1434" s="57" t="n">
        <v>0.03622</v>
      </c>
      <c r="C1434" s="57" t="n">
        <v>0.03563</v>
      </c>
      <c r="D1434" s="57" t="n">
        <v>0.0373</v>
      </c>
      <c r="E1434" s="57" t="n">
        <v>0.04322</v>
      </c>
      <c r="F1434" s="57" t="n">
        <v>0.04392</v>
      </c>
      <c r="G1434" s="57" t="n">
        <v>0.04521</v>
      </c>
    </row>
    <row r="1435" customFormat="false" ht="15" hidden="false" customHeight="false" outlineLevel="0" collapsed="false">
      <c r="A1435" s="52" t="n">
        <v>46202</v>
      </c>
      <c r="B1435" s="57" t="n">
        <v>0.03622</v>
      </c>
      <c r="C1435" s="57" t="n">
        <v>0.03563</v>
      </c>
      <c r="D1435" s="57" t="n">
        <v>0.03729</v>
      </c>
      <c r="E1435" s="57" t="n">
        <v>0.04323</v>
      </c>
      <c r="F1435" s="57" t="n">
        <v>0.04395</v>
      </c>
      <c r="G1435" s="57" t="n">
        <v>0.04531</v>
      </c>
    </row>
    <row r="1436" customFormat="false" ht="15" hidden="false" customHeight="false" outlineLevel="0" collapsed="false">
      <c r="A1436" s="52" t="n">
        <v>46203</v>
      </c>
      <c r="B1436" s="57" t="n">
        <v>0.03626</v>
      </c>
      <c r="C1436" s="57" t="n">
        <v>0.03567</v>
      </c>
      <c r="D1436" s="57" t="n">
        <v>0.03733</v>
      </c>
      <c r="E1436" s="57" t="n">
        <v>0.04328</v>
      </c>
      <c r="F1436" s="57" t="n">
        <v>0.04403</v>
      </c>
      <c r="G1436" s="57" t="n">
        <v>0.04523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2" t="s">
        <v>1248</v>
      </c>
    </row>
    <row r="2" customFormat="false" ht="15" hidden="false" customHeight="false" outlineLevel="0" collapsed="false">
      <c r="A2" s="4" t="s">
        <v>1249</v>
      </c>
    </row>
    <row r="3" customFormat="false" ht="25.35" hidden="false" customHeight="false" outlineLevel="0" collapsed="false">
      <c r="A3" s="6" t="s">
        <v>1223</v>
      </c>
      <c r="B3" s="6" t="s">
        <v>1250</v>
      </c>
      <c r="C3" s="6" t="s">
        <v>1251</v>
      </c>
      <c r="D3" s="6" t="s">
        <v>1252</v>
      </c>
      <c r="E3" s="6" t="s">
        <v>1253</v>
      </c>
      <c r="F3" s="6" t="s">
        <v>1254</v>
      </c>
      <c r="G3" s="27" t="s">
        <v>1255</v>
      </c>
      <c r="H3" s="27" t="s">
        <v>1256</v>
      </c>
    </row>
    <row r="4" customFormat="false" ht="15" hidden="false" customHeight="false" outlineLevel="0" collapsed="false">
      <c r="A4" s="52" t="n">
        <v>44201</v>
      </c>
      <c r="F4" s="57" t="n">
        <v>0.1081</v>
      </c>
      <c r="H4" s="57" t="n">
        <v>0.0827</v>
      </c>
    </row>
    <row r="5" customFormat="false" ht="15" hidden="false" customHeight="false" outlineLevel="0" collapsed="false">
      <c r="A5" s="52" t="n">
        <v>44202</v>
      </c>
      <c r="F5" s="57" t="n">
        <v>0.1075</v>
      </c>
      <c r="H5" s="57" t="n">
        <v>0.0814</v>
      </c>
    </row>
    <row r="6" customFormat="false" ht="15" hidden="false" customHeight="false" outlineLevel="0" collapsed="false">
      <c r="A6" s="52" t="n">
        <v>44204</v>
      </c>
      <c r="F6" s="57" t="n">
        <v>0.1081</v>
      </c>
      <c r="H6" s="57" t="n">
        <v>0.0816</v>
      </c>
    </row>
    <row r="7" customFormat="false" ht="15" hidden="false" customHeight="false" outlineLevel="0" collapsed="false">
      <c r="A7" s="52" t="n">
        <v>44207</v>
      </c>
      <c r="F7" s="57" t="n">
        <v>0.1079</v>
      </c>
      <c r="H7" s="57" t="n">
        <v>0.0818</v>
      </c>
    </row>
    <row r="8" customFormat="false" ht="15" hidden="false" customHeight="false" outlineLevel="0" collapsed="false">
      <c r="A8" s="52" t="n">
        <v>44208</v>
      </c>
      <c r="F8" s="57" t="n">
        <v>0.1074</v>
      </c>
      <c r="H8" s="57" t="n">
        <v>0.0814</v>
      </c>
    </row>
    <row r="9" customFormat="false" ht="15" hidden="false" customHeight="false" outlineLevel="0" collapsed="false">
      <c r="A9" s="52" t="n">
        <v>44209</v>
      </c>
      <c r="F9" s="57" t="n">
        <v>0.1078</v>
      </c>
      <c r="H9" s="57" t="n">
        <v>0.0816</v>
      </c>
    </row>
    <row r="10" customFormat="false" ht="15" hidden="false" customHeight="false" outlineLevel="0" collapsed="false">
      <c r="A10" s="52" t="n">
        <v>44210</v>
      </c>
      <c r="F10" s="57" t="n">
        <v>0.104</v>
      </c>
      <c r="H10" s="57" t="n">
        <v>0.0817</v>
      </c>
    </row>
    <row r="11" customFormat="false" ht="15" hidden="false" customHeight="false" outlineLevel="0" collapsed="false">
      <c r="A11" s="52" t="n">
        <v>44211</v>
      </c>
      <c r="F11" s="57" t="n">
        <v>0.1082</v>
      </c>
      <c r="H11" s="57" t="n">
        <v>0.0819</v>
      </c>
    </row>
    <row r="12" customFormat="false" ht="15" hidden="false" customHeight="false" outlineLevel="0" collapsed="false">
      <c r="A12" s="52" t="n">
        <v>44214</v>
      </c>
      <c r="F12" s="57" t="n">
        <v>0.1082</v>
      </c>
      <c r="H12" s="57" t="n">
        <v>0.0819</v>
      </c>
    </row>
    <row r="13" customFormat="false" ht="15" hidden="false" customHeight="false" outlineLevel="0" collapsed="false">
      <c r="A13" s="52" t="n">
        <v>44215</v>
      </c>
      <c r="F13" s="57" t="n">
        <v>0.1083</v>
      </c>
      <c r="H13" s="57" t="n">
        <v>0.0813</v>
      </c>
    </row>
    <row r="14" customFormat="false" ht="15" hidden="false" customHeight="false" outlineLevel="0" collapsed="false">
      <c r="A14" s="52" t="n">
        <v>44216</v>
      </c>
      <c r="F14" s="57" t="n">
        <v>0.1076</v>
      </c>
      <c r="H14" s="57" t="n">
        <v>0.0823</v>
      </c>
    </row>
    <row r="15" customFormat="false" ht="15" hidden="false" customHeight="false" outlineLevel="0" collapsed="false">
      <c r="A15" s="52" t="n">
        <v>44217</v>
      </c>
      <c r="F15" s="57" t="n">
        <v>0.1078</v>
      </c>
      <c r="H15" s="57" t="n">
        <v>0.0834</v>
      </c>
    </row>
    <row r="16" customFormat="false" ht="15" hidden="false" customHeight="false" outlineLevel="0" collapsed="false">
      <c r="A16" s="52" t="n">
        <v>44218</v>
      </c>
      <c r="F16" s="57" t="n">
        <v>0.1085</v>
      </c>
      <c r="H16" s="57" t="n">
        <v>0.0829</v>
      </c>
    </row>
    <row r="17" customFormat="false" ht="15" hidden="false" customHeight="false" outlineLevel="0" collapsed="false">
      <c r="A17" s="52" t="n">
        <v>44221</v>
      </c>
      <c r="F17" s="57" t="n">
        <v>0.1072</v>
      </c>
      <c r="H17" s="57" t="n">
        <v>0.0829</v>
      </c>
    </row>
    <row r="18" customFormat="false" ht="15" hidden="false" customHeight="false" outlineLevel="0" collapsed="false">
      <c r="A18" s="52" t="n">
        <v>44222</v>
      </c>
      <c r="F18" s="57" t="n">
        <v>0.1065</v>
      </c>
      <c r="H18" s="57" t="n">
        <v>0.0825</v>
      </c>
    </row>
    <row r="19" customFormat="false" ht="15" hidden="false" customHeight="false" outlineLevel="0" collapsed="false">
      <c r="A19" s="52" t="n">
        <v>44223</v>
      </c>
      <c r="F19" s="57" t="n">
        <v>0.1078</v>
      </c>
      <c r="H19" s="57" t="n">
        <v>0.083</v>
      </c>
    </row>
    <row r="20" customFormat="false" ht="15" hidden="false" customHeight="false" outlineLevel="0" collapsed="false">
      <c r="A20" s="52" t="n">
        <v>44224</v>
      </c>
      <c r="F20" s="57" t="n">
        <v>0.1088</v>
      </c>
      <c r="H20" s="57" t="n">
        <v>0.0828</v>
      </c>
    </row>
    <row r="21" customFormat="false" ht="15" hidden="false" customHeight="false" outlineLevel="0" collapsed="false">
      <c r="A21" s="52" t="n">
        <v>44225</v>
      </c>
      <c r="F21" s="57" t="n">
        <v>0.1084</v>
      </c>
      <c r="H21" s="57" t="n">
        <v>0.0825</v>
      </c>
    </row>
    <row r="22" customFormat="false" ht="15" hidden="false" customHeight="false" outlineLevel="0" collapsed="false">
      <c r="A22" s="52" t="n">
        <v>44228</v>
      </c>
      <c r="F22" s="57" t="n">
        <v>0.1069</v>
      </c>
      <c r="H22" s="57" t="n">
        <v>0.0815</v>
      </c>
    </row>
    <row r="23" customFormat="false" ht="15" hidden="false" customHeight="false" outlineLevel="0" collapsed="false">
      <c r="A23" s="52" t="n">
        <v>44229</v>
      </c>
      <c r="F23" s="57" t="n">
        <v>0.1068</v>
      </c>
      <c r="H23" s="57" t="n">
        <v>0.0838</v>
      </c>
    </row>
    <row r="24" customFormat="false" ht="15" hidden="false" customHeight="false" outlineLevel="0" collapsed="false">
      <c r="A24" s="52" t="n">
        <v>44230</v>
      </c>
      <c r="F24" s="57" t="n">
        <v>0.1077</v>
      </c>
      <c r="H24" s="57" t="n">
        <v>0.0827</v>
      </c>
    </row>
    <row r="25" customFormat="false" ht="15" hidden="false" customHeight="false" outlineLevel="0" collapsed="false">
      <c r="A25" s="52" t="n">
        <v>44231</v>
      </c>
      <c r="F25" s="57" t="n">
        <v>0.1082</v>
      </c>
      <c r="H25" s="57" t="n">
        <v>0.085</v>
      </c>
    </row>
    <row r="26" customFormat="false" ht="15" hidden="false" customHeight="false" outlineLevel="0" collapsed="false">
      <c r="A26" s="52" t="n">
        <v>44232</v>
      </c>
      <c r="F26" s="57" t="n">
        <v>0.1071</v>
      </c>
      <c r="H26" s="57" t="n">
        <v>0.0847</v>
      </c>
    </row>
    <row r="27" customFormat="false" ht="15" hidden="false" customHeight="false" outlineLevel="0" collapsed="false">
      <c r="A27" s="52" t="n">
        <v>44235</v>
      </c>
      <c r="F27" s="57" t="n">
        <v>0.1071</v>
      </c>
      <c r="H27" s="57" t="n">
        <v>0.0873</v>
      </c>
    </row>
    <row r="28" customFormat="false" ht="15" hidden="false" customHeight="false" outlineLevel="0" collapsed="false">
      <c r="A28" s="52" t="n">
        <v>44236</v>
      </c>
      <c r="F28" s="57" t="n">
        <v>0.1069</v>
      </c>
      <c r="H28" s="57" t="n">
        <v>0.0855</v>
      </c>
    </row>
    <row r="29" customFormat="false" ht="15" hidden="false" customHeight="false" outlineLevel="0" collapsed="false">
      <c r="A29" s="52" t="n">
        <v>44237</v>
      </c>
      <c r="F29" s="57" t="n">
        <v>0.1071</v>
      </c>
      <c r="H29" s="57" t="n">
        <v>0.0853</v>
      </c>
    </row>
    <row r="30" customFormat="false" ht="15" hidden="false" customHeight="false" outlineLevel="0" collapsed="false">
      <c r="A30" s="52" t="n">
        <v>44238</v>
      </c>
      <c r="F30" s="57" t="n">
        <v>0.1082</v>
      </c>
      <c r="H30" s="57" t="n">
        <v>0.0864</v>
      </c>
    </row>
    <row r="31" customFormat="false" ht="15" hidden="false" customHeight="false" outlineLevel="0" collapsed="false">
      <c r="A31" s="52" t="n">
        <v>44239</v>
      </c>
      <c r="F31" s="57" t="n">
        <v>0.1074</v>
      </c>
      <c r="H31" s="57" t="n">
        <v>0.0856</v>
      </c>
    </row>
    <row r="32" customFormat="false" ht="15" hidden="false" customHeight="false" outlineLevel="0" collapsed="false">
      <c r="A32" s="52" t="n">
        <v>44242</v>
      </c>
      <c r="F32" s="57" t="n">
        <v>0.1076</v>
      </c>
      <c r="H32" s="57" t="n">
        <v>0.0849</v>
      </c>
    </row>
    <row r="33" customFormat="false" ht="15" hidden="false" customHeight="false" outlineLevel="0" collapsed="false">
      <c r="A33" s="52" t="n">
        <v>44243</v>
      </c>
      <c r="F33" s="57" t="n">
        <v>0.1075</v>
      </c>
      <c r="H33" s="57" t="n">
        <v>0.0849</v>
      </c>
    </row>
    <row r="34" customFormat="false" ht="15" hidden="false" customHeight="false" outlineLevel="0" collapsed="false">
      <c r="A34" s="52" t="n">
        <v>44244</v>
      </c>
      <c r="F34" s="57" t="n">
        <v>0.1073</v>
      </c>
      <c r="H34" s="57" t="n">
        <v>0.0846</v>
      </c>
    </row>
    <row r="35" customFormat="false" ht="15" hidden="false" customHeight="false" outlineLevel="0" collapsed="false">
      <c r="A35" s="52" t="n">
        <v>44245</v>
      </c>
      <c r="F35" s="57" t="n">
        <v>0.1067</v>
      </c>
      <c r="H35" s="57" t="n">
        <v>0.085</v>
      </c>
    </row>
    <row r="36" customFormat="false" ht="15" hidden="false" customHeight="false" outlineLevel="0" collapsed="false">
      <c r="A36" s="52" t="n">
        <v>44246</v>
      </c>
      <c r="F36" s="57" t="n">
        <v>0.1067</v>
      </c>
      <c r="H36" s="57" t="n">
        <v>0.0844</v>
      </c>
    </row>
    <row r="37" customFormat="false" ht="15" hidden="false" customHeight="false" outlineLevel="0" collapsed="false">
      <c r="A37" s="52" t="n">
        <v>44249</v>
      </c>
      <c r="F37" s="57" t="n">
        <v>0.1063</v>
      </c>
      <c r="H37" s="57" t="n">
        <v>0.0869</v>
      </c>
    </row>
    <row r="38" customFormat="false" ht="15" hidden="false" customHeight="false" outlineLevel="0" collapsed="false">
      <c r="A38" s="52" t="n">
        <v>44250</v>
      </c>
      <c r="F38" s="57" t="n">
        <v>0.1067</v>
      </c>
      <c r="H38" s="57" t="n">
        <v>0.0891</v>
      </c>
    </row>
    <row r="39" customFormat="false" ht="15" hidden="false" customHeight="false" outlineLevel="0" collapsed="false">
      <c r="A39" s="52" t="n">
        <v>44251</v>
      </c>
      <c r="F39" s="57" t="n">
        <v>0.1063</v>
      </c>
      <c r="H39" s="57" t="n">
        <v>0.0956</v>
      </c>
    </row>
    <row r="40" customFormat="false" ht="15" hidden="false" customHeight="false" outlineLevel="0" collapsed="false">
      <c r="A40" s="52" t="n">
        <v>44252</v>
      </c>
      <c r="F40" s="57" t="n">
        <v>0.1069</v>
      </c>
      <c r="H40" s="57" t="n">
        <v>0.0996</v>
      </c>
    </row>
    <row r="41" customFormat="false" ht="15" hidden="false" customHeight="false" outlineLevel="0" collapsed="false">
      <c r="A41" s="52" t="n">
        <v>44253</v>
      </c>
      <c r="F41" s="57" t="n">
        <v>0.1077</v>
      </c>
      <c r="H41" s="57" t="n">
        <v>0.0994</v>
      </c>
    </row>
    <row r="42" customFormat="false" ht="15" hidden="false" customHeight="false" outlineLevel="0" collapsed="false">
      <c r="A42" s="52" t="n">
        <v>44256</v>
      </c>
      <c r="F42" s="57" t="n">
        <v>0.1064</v>
      </c>
      <c r="H42" s="57" t="n">
        <v>0.0983</v>
      </c>
    </row>
    <row r="43" customFormat="false" ht="15" hidden="false" customHeight="false" outlineLevel="0" collapsed="false">
      <c r="A43" s="52" t="n">
        <v>44257</v>
      </c>
      <c r="F43" s="57" t="n">
        <v>0.1065</v>
      </c>
      <c r="H43" s="57" t="n">
        <v>0.0932</v>
      </c>
    </row>
    <row r="44" customFormat="false" ht="15" hidden="false" customHeight="false" outlineLevel="0" collapsed="false">
      <c r="A44" s="52" t="n">
        <v>44258</v>
      </c>
      <c r="F44" s="57" t="n">
        <v>0.1066</v>
      </c>
      <c r="H44" s="57" t="n">
        <v>0.0896</v>
      </c>
    </row>
    <row r="45" customFormat="false" ht="15" hidden="false" customHeight="false" outlineLevel="0" collapsed="false">
      <c r="A45" s="52" t="n">
        <v>44259</v>
      </c>
      <c r="F45" s="57" t="n">
        <v>0.1065</v>
      </c>
      <c r="H45" s="57" t="n">
        <v>0.0911</v>
      </c>
    </row>
    <row r="46" customFormat="false" ht="15" hidden="false" customHeight="false" outlineLevel="0" collapsed="false">
      <c r="A46" s="52" t="n">
        <v>44260</v>
      </c>
      <c r="F46" s="57" t="n">
        <v>0.1064</v>
      </c>
      <c r="H46" s="57" t="n">
        <v>0.0886</v>
      </c>
    </row>
    <row r="47" customFormat="false" ht="15" hidden="false" customHeight="false" outlineLevel="0" collapsed="false">
      <c r="A47" s="52" t="n">
        <v>44264</v>
      </c>
      <c r="F47" s="57" t="n">
        <v>0.1056</v>
      </c>
      <c r="H47" s="57" t="n">
        <v>0.0902</v>
      </c>
    </row>
    <row r="48" customFormat="false" ht="15" hidden="false" customHeight="false" outlineLevel="0" collapsed="false">
      <c r="A48" s="52" t="n">
        <v>44265</v>
      </c>
      <c r="F48" s="57" t="n">
        <v>0.1062</v>
      </c>
      <c r="H48" s="57" t="n">
        <v>0.092</v>
      </c>
    </row>
    <row r="49" customFormat="false" ht="15" hidden="false" customHeight="false" outlineLevel="0" collapsed="false">
      <c r="A49" s="52" t="n">
        <v>44266</v>
      </c>
      <c r="F49" s="57" t="n">
        <v>0.1064</v>
      </c>
      <c r="H49" s="57" t="n">
        <v>0.0945</v>
      </c>
    </row>
    <row r="50" customFormat="false" ht="15" hidden="false" customHeight="false" outlineLevel="0" collapsed="false">
      <c r="A50" s="52" t="n">
        <v>44267</v>
      </c>
      <c r="F50" s="57" t="n">
        <v>0.1062</v>
      </c>
      <c r="H50" s="57" t="n">
        <v>0.0918</v>
      </c>
    </row>
    <row r="51" customFormat="false" ht="15" hidden="false" customHeight="false" outlineLevel="0" collapsed="false">
      <c r="A51" s="52" t="n">
        <v>44270</v>
      </c>
      <c r="F51" s="57" t="n">
        <v>0.1064</v>
      </c>
      <c r="H51" s="57" t="n">
        <v>0.0937</v>
      </c>
    </row>
    <row r="52" customFormat="false" ht="15" hidden="false" customHeight="false" outlineLevel="0" collapsed="false">
      <c r="A52" s="52" t="n">
        <v>44271</v>
      </c>
      <c r="F52" s="57" t="n">
        <v>0.107</v>
      </c>
      <c r="H52" s="57" t="n">
        <v>0.0956</v>
      </c>
    </row>
    <row r="53" customFormat="false" ht="15" hidden="false" customHeight="false" outlineLevel="0" collapsed="false">
      <c r="A53" s="52" t="n">
        <v>44272</v>
      </c>
      <c r="F53" s="57" t="n">
        <v>0.1065</v>
      </c>
      <c r="H53" s="57" t="n">
        <v>0.0947</v>
      </c>
    </row>
    <row r="54" customFormat="false" ht="15" hidden="false" customHeight="false" outlineLevel="0" collapsed="false">
      <c r="A54" s="52" t="n">
        <v>44273</v>
      </c>
      <c r="F54" s="57" t="n">
        <v>0.1069</v>
      </c>
      <c r="H54" s="57" t="n">
        <v>0.097</v>
      </c>
    </row>
    <row r="55" customFormat="false" ht="15" hidden="false" customHeight="false" outlineLevel="0" collapsed="false">
      <c r="A55" s="52" t="n">
        <v>44274</v>
      </c>
      <c r="F55" s="57" t="n">
        <v>0.1064</v>
      </c>
      <c r="H55" s="57" t="n">
        <v>0.0955</v>
      </c>
    </row>
    <row r="56" customFormat="false" ht="15" hidden="false" customHeight="false" outlineLevel="0" collapsed="false">
      <c r="A56" s="52" t="n">
        <v>44280</v>
      </c>
      <c r="F56" s="57" t="n">
        <v>0.1063</v>
      </c>
      <c r="H56" s="57" t="n">
        <v>0.0897</v>
      </c>
    </row>
    <row r="57" customFormat="false" ht="15" hidden="false" customHeight="false" outlineLevel="0" collapsed="false">
      <c r="A57" s="52" t="n">
        <v>44281</v>
      </c>
      <c r="F57" s="57" t="n">
        <v>0.1065</v>
      </c>
      <c r="H57" s="57" t="n">
        <v>0.0858</v>
      </c>
    </row>
    <row r="58" customFormat="false" ht="15" hidden="false" customHeight="false" outlineLevel="0" collapsed="false">
      <c r="A58" s="52" t="n">
        <v>44284</v>
      </c>
      <c r="F58" s="57" t="n">
        <v>0.1065</v>
      </c>
      <c r="H58" s="57" t="n">
        <v>0.0845</v>
      </c>
    </row>
    <row r="59" customFormat="false" ht="15" hidden="false" customHeight="false" outlineLevel="0" collapsed="false">
      <c r="A59" s="52" t="n">
        <v>44285</v>
      </c>
      <c r="F59" s="57" t="n">
        <v>0.1065</v>
      </c>
      <c r="H59" s="57" t="n">
        <v>0.0843</v>
      </c>
    </row>
    <row r="60" customFormat="false" ht="15" hidden="false" customHeight="false" outlineLevel="0" collapsed="false">
      <c r="A60" s="52" t="n">
        <v>44286</v>
      </c>
      <c r="F60" s="57" t="n">
        <v>0.1065</v>
      </c>
      <c r="H60" s="57" t="n">
        <v>0.093</v>
      </c>
    </row>
    <row r="61" customFormat="false" ht="15" hidden="false" customHeight="false" outlineLevel="0" collapsed="false">
      <c r="A61" s="52" t="n">
        <v>44287</v>
      </c>
      <c r="F61" s="57" t="n">
        <v>0.1061</v>
      </c>
      <c r="H61" s="57" t="n">
        <v>0.0881</v>
      </c>
    </row>
    <row r="62" customFormat="false" ht="15" hidden="false" customHeight="false" outlineLevel="0" collapsed="false">
      <c r="A62" s="52" t="n">
        <v>44288</v>
      </c>
      <c r="F62" s="57" t="n">
        <v>0.1067</v>
      </c>
      <c r="H62" s="57" t="n">
        <v>0.0866</v>
      </c>
    </row>
    <row r="63" customFormat="false" ht="15" hidden="false" customHeight="false" outlineLevel="0" collapsed="false">
      <c r="A63" s="52" t="n">
        <v>44291</v>
      </c>
      <c r="F63" s="57" t="n">
        <v>0.1064</v>
      </c>
      <c r="H63" s="57" t="n">
        <v>0.0841</v>
      </c>
    </row>
    <row r="64" customFormat="false" ht="15" hidden="false" customHeight="false" outlineLevel="0" collapsed="false">
      <c r="A64" s="52" t="n">
        <v>44292</v>
      </c>
      <c r="F64" s="57" t="n">
        <v>0.1064</v>
      </c>
      <c r="H64" s="57" t="n">
        <v>0.0838</v>
      </c>
    </row>
    <row r="65" customFormat="false" ht="15" hidden="false" customHeight="false" outlineLevel="0" collapsed="false">
      <c r="A65" s="52" t="n">
        <v>44293</v>
      </c>
      <c r="F65" s="57" t="n">
        <v>0.106</v>
      </c>
      <c r="H65" s="57" t="n">
        <v>0.0841</v>
      </c>
    </row>
    <row r="66" customFormat="false" ht="15" hidden="false" customHeight="false" outlineLevel="0" collapsed="false">
      <c r="A66" s="52" t="n">
        <v>44294</v>
      </c>
      <c r="F66" s="57" t="n">
        <v>0.1065</v>
      </c>
      <c r="H66" s="57" t="n">
        <v>0.0841</v>
      </c>
    </row>
    <row r="67" customFormat="false" ht="15" hidden="false" customHeight="false" outlineLevel="0" collapsed="false">
      <c r="A67" s="52" t="n">
        <v>44295</v>
      </c>
      <c r="F67" s="57" t="n">
        <v>0.1065</v>
      </c>
      <c r="H67" s="57" t="n">
        <v>0.0843</v>
      </c>
    </row>
    <row r="68" customFormat="false" ht="15" hidden="false" customHeight="false" outlineLevel="0" collapsed="false">
      <c r="A68" s="52" t="n">
        <v>44298</v>
      </c>
      <c r="F68" s="57" t="n">
        <v>0.1063</v>
      </c>
      <c r="H68" s="57" t="n">
        <v>0.0888</v>
      </c>
    </row>
    <row r="69" customFormat="false" ht="15" hidden="false" customHeight="false" outlineLevel="0" collapsed="false">
      <c r="A69" s="52" t="n">
        <v>44299</v>
      </c>
      <c r="F69" s="57" t="n">
        <v>0.106</v>
      </c>
      <c r="H69" s="57" t="n">
        <v>0.0912</v>
      </c>
    </row>
    <row r="70" customFormat="false" ht="15" hidden="false" customHeight="false" outlineLevel="0" collapsed="false">
      <c r="A70" s="52" t="n">
        <v>44300</v>
      </c>
      <c r="F70" s="57" t="n">
        <v>0.1061</v>
      </c>
      <c r="H70" s="57" t="n">
        <v>0.0951</v>
      </c>
    </row>
    <row r="71" customFormat="false" ht="15" hidden="false" customHeight="false" outlineLevel="0" collapsed="false">
      <c r="A71" s="52" t="n">
        <v>44301</v>
      </c>
      <c r="F71" s="57" t="n">
        <v>0.1063</v>
      </c>
      <c r="H71" s="57" t="n">
        <v>0.0949</v>
      </c>
    </row>
    <row r="72" customFormat="false" ht="15" hidden="false" customHeight="false" outlineLevel="0" collapsed="false">
      <c r="A72" s="52" t="n">
        <v>44302</v>
      </c>
      <c r="F72" s="57" t="n">
        <v>0.1063</v>
      </c>
      <c r="H72" s="57" t="n">
        <v>0.0914</v>
      </c>
    </row>
    <row r="73" customFormat="false" ht="15" hidden="false" customHeight="false" outlineLevel="0" collapsed="false">
      <c r="A73" s="52" t="n">
        <v>44305</v>
      </c>
      <c r="F73" s="57" t="n">
        <v>0.1062</v>
      </c>
      <c r="H73" s="57" t="n">
        <v>0.0881</v>
      </c>
    </row>
    <row r="74" customFormat="false" ht="15" hidden="false" customHeight="false" outlineLevel="0" collapsed="false">
      <c r="A74" s="52" t="n">
        <v>44306</v>
      </c>
      <c r="F74" s="57" t="n">
        <v>0.1061</v>
      </c>
      <c r="H74" s="57" t="n">
        <v>0.0876</v>
      </c>
    </row>
    <row r="75" customFormat="false" ht="15" hidden="false" customHeight="false" outlineLevel="0" collapsed="false">
      <c r="A75" s="52" t="n">
        <v>44307</v>
      </c>
      <c r="F75" s="57" t="n">
        <v>0.1056</v>
      </c>
      <c r="H75" s="57" t="n">
        <v>0.0867</v>
      </c>
    </row>
    <row r="76" customFormat="false" ht="15" hidden="false" customHeight="false" outlineLevel="0" collapsed="false">
      <c r="A76" s="52" t="n">
        <v>44308</v>
      </c>
      <c r="F76" s="57" t="n">
        <v>0.1063</v>
      </c>
      <c r="H76" s="57" t="n">
        <v>0.0851</v>
      </c>
    </row>
    <row r="77" customFormat="false" ht="15" hidden="false" customHeight="false" outlineLevel="0" collapsed="false">
      <c r="A77" s="52" t="n">
        <v>44309</v>
      </c>
      <c r="F77" s="57" t="n">
        <v>0.1064</v>
      </c>
      <c r="H77" s="57" t="n">
        <v>0.0854</v>
      </c>
    </row>
    <row r="78" customFormat="false" ht="15" hidden="false" customHeight="false" outlineLevel="0" collapsed="false">
      <c r="A78" s="52" t="n">
        <v>44312</v>
      </c>
      <c r="F78" s="57" t="n">
        <v>0.1061</v>
      </c>
      <c r="H78" s="57" t="n">
        <v>0.0851</v>
      </c>
    </row>
    <row r="79" customFormat="false" ht="15" hidden="false" customHeight="false" outlineLevel="0" collapsed="false">
      <c r="A79" s="52" t="n">
        <v>44313</v>
      </c>
      <c r="F79" s="57" t="n">
        <v>0.1059</v>
      </c>
      <c r="H79" s="57" t="n">
        <v>0.0858</v>
      </c>
    </row>
    <row r="80" customFormat="false" ht="15" hidden="false" customHeight="false" outlineLevel="0" collapsed="false">
      <c r="A80" s="52" t="n">
        <v>44314</v>
      </c>
      <c r="F80" s="57" t="n">
        <v>0.106</v>
      </c>
      <c r="H80" s="57" t="n">
        <v>0.0848</v>
      </c>
    </row>
    <row r="81" customFormat="false" ht="15" hidden="false" customHeight="false" outlineLevel="0" collapsed="false">
      <c r="A81" s="52" t="n">
        <v>44315</v>
      </c>
      <c r="F81" s="57" t="n">
        <v>0.106</v>
      </c>
      <c r="H81" s="57" t="n">
        <v>0.0844</v>
      </c>
    </row>
    <row r="82" customFormat="false" ht="15" hidden="false" customHeight="false" outlineLevel="0" collapsed="false">
      <c r="A82" s="52" t="n">
        <v>44316</v>
      </c>
      <c r="F82" s="57" t="n">
        <v>0.1064</v>
      </c>
      <c r="H82" s="57" t="n">
        <v>0.0838</v>
      </c>
    </row>
    <row r="83" customFormat="false" ht="15" hidden="false" customHeight="false" outlineLevel="0" collapsed="false">
      <c r="A83" s="52" t="n">
        <v>44320</v>
      </c>
      <c r="F83" s="57" t="n">
        <v>0.106</v>
      </c>
      <c r="H83" s="57" t="n">
        <v>0.0839</v>
      </c>
    </row>
    <row r="84" customFormat="false" ht="15" hidden="false" customHeight="false" outlineLevel="0" collapsed="false">
      <c r="A84" s="52" t="n">
        <v>44321</v>
      </c>
      <c r="F84" s="57" t="n">
        <v>0.1059</v>
      </c>
      <c r="H84" s="57" t="n">
        <v>0.082</v>
      </c>
    </row>
    <row r="85" customFormat="false" ht="15" hidden="false" customHeight="false" outlineLevel="0" collapsed="false">
      <c r="A85" s="52" t="n">
        <v>44322</v>
      </c>
      <c r="F85" s="57" t="n">
        <v>0.1055</v>
      </c>
      <c r="H85" s="57" t="n">
        <v>0.0811</v>
      </c>
    </row>
    <row r="86" customFormat="false" ht="15" hidden="false" customHeight="false" outlineLevel="0" collapsed="false">
      <c r="A86" s="52" t="n">
        <v>44327</v>
      </c>
      <c r="F86" s="57" t="n">
        <v>0.1056</v>
      </c>
      <c r="H86" s="57" t="n">
        <v>0.0808</v>
      </c>
    </row>
    <row r="87" customFormat="false" ht="15" hidden="false" customHeight="false" outlineLevel="0" collapsed="false">
      <c r="A87" s="52" t="n">
        <v>44328</v>
      </c>
      <c r="F87" s="57" t="n">
        <v>0.1057</v>
      </c>
      <c r="H87" s="57" t="n">
        <v>0.0804</v>
      </c>
    </row>
    <row r="88" customFormat="false" ht="15" hidden="false" customHeight="false" outlineLevel="0" collapsed="false">
      <c r="A88" s="52" t="n">
        <v>44329</v>
      </c>
      <c r="F88" s="57" t="n">
        <v>0.1054</v>
      </c>
      <c r="H88" s="57" t="n">
        <v>0.0806</v>
      </c>
    </row>
    <row r="89" customFormat="false" ht="15" hidden="false" customHeight="false" outlineLevel="0" collapsed="false">
      <c r="A89" s="52" t="n">
        <v>44330</v>
      </c>
      <c r="F89" s="57" t="n">
        <v>0.1058</v>
      </c>
      <c r="H89" s="57" t="n">
        <v>0.0804</v>
      </c>
    </row>
    <row r="90" customFormat="false" ht="15" hidden="false" customHeight="false" outlineLevel="0" collapsed="false">
      <c r="A90" s="52" t="n">
        <v>44333</v>
      </c>
      <c r="F90" s="57" t="n">
        <v>0.1038</v>
      </c>
      <c r="H90" s="57" t="n">
        <v>0.0804</v>
      </c>
    </row>
    <row r="91" customFormat="false" ht="15" hidden="false" customHeight="false" outlineLevel="0" collapsed="false">
      <c r="A91" s="52" t="n">
        <v>44334</v>
      </c>
      <c r="F91" s="57" t="n">
        <v>0.106</v>
      </c>
      <c r="H91" s="57" t="n">
        <v>0.0803</v>
      </c>
    </row>
    <row r="92" customFormat="false" ht="15" hidden="false" customHeight="false" outlineLevel="0" collapsed="false">
      <c r="A92" s="52" t="n">
        <v>44335</v>
      </c>
      <c r="F92" s="57" t="n">
        <v>0.105</v>
      </c>
      <c r="H92" s="57" t="n">
        <v>0.0804</v>
      </c>
    </row>
    <row r="93" customFormat="false" ht="15" hidden="false" customHeight="false" outlineLevel="0" collapsed="false">
      <c r="A93" s="52" t="n">
        <v>44336</v>
      </c>
      <c r="F93" s="57" t="n">
        <v>0.106</v>
      </c>
      <c r="H93" s="57" t="n">
        <v>0.0803</v>
      </c>
    </row>
    <row r="94" customFormat="false" ht="15" hidden="false" customHeight="false" outlineLevel="0" collapsed="false">
      <c r="A94" s="52" t="n">
        <v>44337</v>
      </c>
      <c r="F94" s="57" t="n">
        <v>0.106</v>
      </c>
      <c r="H94" s="57" t="n">
        <v>0.0803</v>
      </c>
    </row>
    <row r="95" customFormat="false" ht="15" hidden="false" customHeight="false" outlineLevel="0" collapsed="false">
      <c r="A95" s="52" t="n">
        <v>44340</v>
      </c>
      <c r="F95" s="57" t="n">
        <v>0.1054</v>
      </c>
      <c r="H95" s="57" t="n">
        <v>0.0823</v>
      </c>
    </row>
    <row r="96" customFormat="false" ht="15" hidden="false" customHeight="false" outlineLevel="0" collapsed="false">
      <c r="A96" s="52" t="n">
        <v>44341</v>
      </c>
      <c r="F96" s="57" t="n">
        <v>0.1053</v>
      </c>
      <c r="H96" s="57" t="n">
        <v>0.0823</v>
      </c>
    </row>
    <row r="97" customFormat="false" ht="15" hidden="false" customHeight="false" outlineLevel="0" collapsed="false">
      <c r="A97" s="52" t="n">
        <v>44342</v>
      </c>
      <c r="F97" s="57" t="n">
        <v>0.1056</v>
      </c>
      <c r="H97" s="57" t="n">
        <v>0.0817</v>
      </c>
    </row>
    <row r="98" customFormat="false" ht="15" hidden="false" customHeight="false" outlineLevel="0" collapsed="false">
      <c r="A98" s="52" t="n">
        <v>44343</v>
      </c>
      <c r="F98" s="57" t="n">
        <v>0.1064</v>
      </c>
      <c r="H98" s="57" t="n">
        <v>0.0814</v>
      </c>
    </row>
    <row r="99" customFormat="false" ht="15" hidden="false" customHeight="false" outlineLevel="0" collapsed="false">
      <c r="A99" s="52" t="n">
        <v>44344</v>
      </c>
      <c r="F99" s="57" t="n">
        <v>0.1056</v>
      </c>
      <c r="H99" s="57" t="n">
        <v>0.0814</v>
      </c>
    </row>
    <row r="100" customFormat="false" ht="15" hidden="false" customHeight="false" outlineLevel="0" collapsed="false">
      <c r="A100" s="52" t="n">
        <v>44347</v>
      </c>
      <c r="F100" s="57" t="n">
        <v>0.1053</v>
      </c>
      <c r="H100" s="57" t="n">
        <v>0.0811</v>
      </c>
    </row>
    <row r="101" customFormat="false" ht="15" hidden="false" customHeight="false" outlineLevel="0" collapsed="false">
      <c r="A101" s="52" t="n">
        <v>44348</v>
      </c>
      <c r="F101" s="57" t="n">
        <v>0.1056</v>
      </c>
      <c r="H101" s="57" t="n">
        <v>0.081</v>
      </c>
    </row>
    <row r="102" customFormat="false" ht="15" hidden="false" customHeight="false" outlineLevel="0" collapsed="false">
      <c r="A102" s="52" t="n">
        <v>44349</v>
      </c>
      <c r="F102" s="57" t="n">
        <v>0.1053</v>
      </c>
      <c r="H102" s="57" t="n">
        <v>0.0813</v>
      </c>
    </row>
    <row r="103" customFormat="false" ht="15" hidden="false" customHeight="false" outlineLevel="0" collapsed="false">
      <c r="A103" s="52" t="n">
        <v>44350</v>
      </c>
      <c r="F103" s="57" t="n">
        <v>0.1051</v>
      </c>
      <c r="H103" s="57" t="n">
        <v>0.0824</v>
      </c>
    </row>
    <row r="104" customFormat="false" ht="15" hidden="false" customHeight="false" outlineLevel="0" collapsed="false">
      <c r="A104" s="52" t="n">
        <v>44351</v>
      </c>
      <c r="F104" s="57" t="n">
        <v>0.1058</v>
      </c>
      <c r="H104" s="57" t="n">
        <v>0.0828</v>
      </c>
    </row>
    <row r="105" customFormat="false" ht="15" hidden="false" customHeight="false" outlineLevel="0" collapsed="false">
      <c r="A105" s="52" t="n">
        <v>44354</v>
      </c>
      <c r="F105" s="57" t="n">
        <v>0.1048</v>
      </c>
      <c r="H105" s="57" t="n">
        <v>0.0832</v>
      </c>
    </row>
    <row r="106" customFormat="false" ht="15" hidden="false" customHeight="false" outlineLevel="0" collapsed="false">
      <c r="A106" s="52" t="n">
        <v>44355</v>
      </c>
      <c r="F106" s="57" t="n">
        <v>0.1049</v>
      </c>
      <c r="H106" s="57" t="n">
        <v>0.083</v>
      </c>
    </row>
    <row r="107" customFormat="false" ht="15" hidden="false" customHeight="false" outlineLevel="0" collapsed="false">
      <c r="A107" s="52" t="n">
        <v>44356</v>
      </c>
      <c r="F107" s="57" t="n">
        <v>0.1055</v>
      </c>
      <c r="H107" s="57" t="n">
        <v>0.0844</v>
      </c>
    </row>
    <row r="108" customFormat="false" ht="15" hidden="false" customHeight="false" outlineLevel="0" collapsed="false">
      <c r="A108" s="52" t="n">
        <v>44357</v>
      </c>
      <c r="F108" s="57" t="n">
        <v>0.1053</v>
      </c>
      <c r="H108" s="57" t="n">
        <v>0.0814</v>
      </c>
    </row>
    <row r="109" customFormat="false" ht="15" hidden="false" customHeight="false" outlineLevel="0" collapsed="false">
      <c r="A109" s="52" t="n">
        <v>44358</v>
      </c>
      <c r="F109" s="57" t="n">
        <v>0.1057</v>
      </c>
      <c r="H109" s="57" t="n">
        <v>0.0812</v>
      </c>
    </row>
    <row r="110" customFormat="false" ht="15" hidden="false" customHeight="false" outlineLevel="0" collapsed="false">
      <c r="A110" s="52" t="n">
        <v>44361</v>
      </c>
      <c r="F110" s="57" t="n">
        <v>0.1053</v>
      </c>
      <c r="H110" s="57" t="n">
        <v>0.0814</v>
      </c>
    </row>
    <row r="111" customFormat="false" ht="15" hidden="false" customHeight="false" outlineLevel="0" collapsed="false">
      <c r="A111" s="52" t="n">
        <v>44362</v>
      </c>
      <c r="F111" s="57" t="n">
        <v>0.1051</v>
      </c>
      <c r="H111" s="57" t="n">
        <v>0.0813</v>
      </c>
    </row>
    <row r="112" customFormat="false" ht="15" hidden="false" customHeight="false" outlineLevel="0" collapsed="false">
      <c r="A112" s="52" t="n">
        <v>44363</v>
      </c>
      <c r="F112" s="57" t="n">
        <v>0.1051</v>
      </c>
      <c r="H112" s="57" t="n">
        <v>0.0819</v>
      </c>
    </row>
    <row r="113" customFormat="false" ht="15" hidden="false" customHeight="false" outlineLevel="0" collapsed="false">
      <c r="A113" s="52" t="n">
        <v>44364</v>
      </c>
      <c r="F113" s="57" t="n">
        <v>0.1049</v>
      </c>
      <c r="H113" s="57" t="n">
        <v>0.0847</v>
      </c>
    </row>
    <row r="114" customFormat="false" ht="15" hidden="false" customHeight="false" outlineLevel="0" collapsed="false">
      <c r="A114" s="52" t="n">
        <v>44365</v>
      </c>
      <c r="F114" s="57" t="n">
        <v>0.1049</v>
      </c>
      <c r="H114" s="57" t="n">
        <v>0.0888</v>
      </c>
    </row>
    <row r="115" customFormat="false" ht="15" hidden="false" customHeight="false" outlineLevel="0" collapsed="false">
      <c r="A115" s="52" t="n">
        <v>44368</v>
      </c>
      <c r="F115" s="57" t="n">
        <v>0.1054</v>
      </c>
      <c r="H115" s="57" t="n">
        <v>0.0856</v>
      </c>
    </row>
    <row r="116" customFormat="false" ht="15" hidden="false" customHeight="false" outlineLevel="0" collapsed="false">
      <c r="A116" s="52" t="n">
        <v>44369</v>
      </c>
      <c r="F116" s="57" t="n">
        <v>0.1053</v>
      </c>
      <c r="H116" s="57" t="n">
        <v>0.0841</v>
      </c>
    </row>
    <row r="117" customFormat="false" ht="15" hidden="false" customHeight="false" outlineLevel="0" collapsed="false">
      <c r="A117" s="52" t="n">
        <v>44370</v>
      </c>
      <c r="F117" s="57" t="n">
        <v>0.1045</v>
      </c>
      <c r="H117" s="57" t="n">
        <v>0.0845</v>
      </c>
    </row>
    <row r="118" customFormat="false" ht="15" hidden="false" customHeight="false" outlineLevel="0" collapsed="false">
      <c r="A118" s="52" t="n">
        <v>44371</v>
      </c>
      <c r="F118" s="57" t="n">
        <v>0.1054</v>
      </c>
      <c r="H118" s="57" t="n">
        <v>0.0841</v>
      </c>
    </row>
    <row r="119" customFormat="false" ht="15" hidden="false" customHeight="false" outlineLevel="0" collapsed="false">
      <c r="A119" s="52" t="n">
        <v>44372</v>
      </c>
      <c r="F119" s="57" t="n">
        <v>0.1055</v>
      </c>
      <c r="H119" s="57" t="n">
        <v>0.0839</v>
      </c>
    </row>
    <row r="120" customFormat="false" ht="15" hidden="false" customHeight="false" outlineLevel="0" collapsed="false">
      <c r="A120" s="52" t="n">
        <v>44375</v>
      </c>
      <c r="F120" s="57" t="n">
        <v>0.1054</v>
      </c>
      <c r="H120" s="57" t="n">
        <v>0.0847</v>
      </c>
    </row>
    <row r="121" customFormat="false" ht="15" hidden="false" customHeight="false" outlineLevel="0" collapsed="false">
      <c r="A121" s="52" t="n">
        <v>44376</v>
      </c>
      <c r="F121" s="57" t="n">
        <v>0.1051</v>
      </c>
      <c r="H121" s="57" t="n">
        <v>0.085</v>
      </c>
    </row>
    <row r="122" customFormat="false" ht="15" hidden="false" customHeight="false" outlineLevel="0" collapsed="false">
      <c r="A122" s="52" t="n">
        <v>44377</v>
      </c>
      <c r="F122" s="57" t="n">
        <v>0.1049</v>
      </c>
      <c r="H122" s="57" t="n">
        <v>0.0844</v>
      </c>
    </row>
    <row r="123" customFormat="false" ht="15" hidden="false" customHeight="false" outlineLevel="0" collapsed="false">
      <c r="A123" s="52" t="n">
        <v>44378</v>
      </c>
      <c r="F123" s="57" t="n">
        <v>0.1036</v>
      </c>
      <c r="H123" s="57" t="n">
        <v>0.0845</v>
      </c>
    </row>
    <row r="124" customFormat="false" ht="15" hidden="false" customHeight="false" outlineLevel="0" collapsed="false">
      <c r="A124" s="52" t="n">
        <v>44379</v>
      </c>
      <c r="F124" s="57" t="n">
        <v>0.105</v>
      </c>
      <c r="H124" s="57" t="n">
        <v>0.0837</v>
      </c>
    </row>
    <row r="125" customFormat="false" ht="15" hidden="false" customHeight="false" outlineLevel="0" collapsed="false">
      <c r="A125" s="52" t="n">
        <v>44380</v>
      </c>
      <c r="F125" s="57" t="n">
        <v>0.1051</v>
      </c>
      <c r="H125" s="57" t="n">
        <v>0.0839</v>
      </c>
    </row>
    <row r="126" customFormat="false" ht="15" hidden="false" customHeight="false" outlineLevel="0" collapsed="false">
      <c r="A126" s="52" t="n">
        <v>44384</v>
      </c>
      <c r="F126" s="57" t="n">
        <v>0.1052</v>
      </c>
      <c r="H126" s="57" t="n">
        <v>0.083</v>
      </c>
    </row>
    <row r="127" customFormat="false" ht="15" hidden="false" customHeight="false" outlineLevel="0" collapsed="false">
      <c r="A127" s="52" t="n">
        <v>44385</v>
      </c>
      <c r="F127" s="57" t="n">
        <v>0.1052</v>
      </c>
      <c r="H127" s="57" t="n">
        <v>0.0827</v>
      </c>
    </row>
    <row r="128" customFormat="false" ht="15" hidden="false" customHeight="false" outlineLevel="0" collapsed="false">
      <c r="A128" s="52" t="n">
        <v>44386</v>
      </c>
      <c r="F128" s="57" t="n">
        <v>0.105</v>
      </c>
      <c r="H128" s="57" t="n">
        <v>0.0824</v>
      </c>
    </row>
    <row r="129" customFormat="false" ht="15" hidden="false" customHeight="false" outlineLevel="0" collapsed="false">
      <c r="A129" s="52" t="n">
        <v>44389</v>
      </c>
      <c r="F129" s="57" t="n">
        <v>0.105</v>
      </c>
      <c r="H129" s="57" t="n">
        <v>0.0828</v>
      </c>
    </row>
    <row r="130" customFormat="false" ht="15" hidden="false" customHeight="false" outlineLevel="0" collapsed="false">
      <c r="A130" s="52" t="n">
        <v>44390</v>
      </c>
      <c r="F130" s="57" t="n">
        <v>0.1056</v>
      </c>
      <c r="H130" s="57" t="n">
        <v>0.083</v>
      </c>
    </row>
    <row r="131" customFormat="false" ht="15" hidden="false" customHeight="false" outlineLevel="0" collapsed="false">
      <c r="A131" s="52" t="n">
        <v>44391</v>
      </c>
      <c r="F131" s="57" t="n">
        <v>0.1047</v>
      </c>
      <c r="H131" s="57" t="n">
        <v>0.084</v>
      </c>
    </row>
    <row r="132" customFormat="false" ht="15" hidden="false" customHeight="false" outlineLevel="0" collapsed="false">
      <c r="A132" s="52" t="n">
        <v>44392</v>
      </c>
      <c r="F132" s="57" t="n">
        <v>0.1046</v>
      </c>
      <c r="H132" s="57" t="n">
        <v>0.0836</v>
      </c>
    </row>
    <row r="133" customFormat="false" ht="15" hidden="false" customHeight="false" outlineLevel="0" collapsed="false">
      <c r="A133" s="52" t="n">
        <v>44393</v>
      </c>
      <c r="F133" s="57" t="n">
        <v>0.1053</v>
      </c>
      <c r="H133" s="57" t="n">
        <v>0.0843</v>
      </c>
    </row>
    <row r="134" customFormat="false" ht="15" hidden="false" customHeight="false" outlineLevel="0" collapsed="false">
      <c r="A134" s="52" t="n">
        <v>44396</v>
      </c>
      <c r="F134" s="57" t="n">
        <v>0.104</v>
      </c>
      <c r="H134" s="57" t="n">
        <v>0.0844</v>
      </c>
    </row>
    <row r="135" customFormat="false" ht="15" hidden="false" customHeight="false" outlineLevel="0" collapsed="false">
      <c r="A135" s="52" t="n">
        <v>44398</v>
      </c>
      <c r="F135" s="57" t="n">
        <v>0.1041</v>
      </c>
      <c r="H135" s="57" t="n">
        <v>0.084</v>
      </c>
    </row>
    <row r="136" customFormat="false" ht="15" hidden="false" customHeight="false" outlineLevel="0" collapsed="false">
      <c r="A136" s="52" t="n">
        <v>44399</v>
      </c>
      <c r="F136" s="57" t="n">
        <v>0.1043</v>
      </c>
      <c r="H136" s="57" t="n">
        <v>0.0836</v>
      </c>
    </row>
    <row r="137" customFormat="false" ht="15" hidden="false" customHeight="false" outlineLevel="0" collapsed="false">
      <c r="A137" s="52" t="n">
        <v>44400</v>
      </c>
      <c r="F137" s="57" t="n">
        <v>0.1037</v>
      </c>
      <c r="H137" s="57" t="n">
        <v>0.0835</v>
      </c>
    </row>
    <row r="138" customFormat="false" ht="15" hidden="false" customHeight="false" outlineLevel="0" collapsed="false">
      <c r="A138" s="52" t="n">
        <v>44403</v>
      </c>
      <c r="F138" s="57" t="n">
        <v>0.1034</v>
      </c>
      <c r="H138" s="57" t="n">
        <v>0.0863</v>
      </c>
    </row>
    <row r="139" customFormat="false" ht="15" hidden="false" customHeight="false" outlineLevel="0" collapsed="false">
      <c r="A139" s="52" t="n">
        <v>44404</v>
      </c>
      <c r="F139" s="57" t="n">
        <v>0.1036</v>
      </c>
      <c r="H139" s="57" t="n">
        <v>0.0881</v>
      </c>
    </row>
    <row r="140" customFormat="false" ht="15" hidden="false" customHeight="false" outlineLevel="0" collapsed="false">
      <c r="A140" s="52" t="n">
        <v>44405</v>
      </c>
      <c r="F140" s="57" t="n">
        <v>0.1031</v>
      </c>
      <c r="H140" s="57" t="n">
        <v>0.0875</v>
      </c>
    </row>
    <row r="141" customFormat="false" ht="15" hidden="false" customHeight="false" outlineLevel="0" collapsed="false">
      <c r="A141" s="52" t="n">
        <v>44406</v>
      </c>
      <c r="F141" s="57" t="n">
        <v>0.1035</v>
      </c>
      <c r="H141" s="57" t="n">
        <v>0.0851</v>
      </c>
    </row>
    <row r="142" customFormat="false" ht="15" hidden="false" customHeight="false" outlineLevel="0" collapsed="false">
      <c r="A142" s="52" t="n">
        <v>44407</v>
      </c>
      <c r="F142" s="57" t="n">
        <v>0.1036</v>
      </c>
      <c r="H142" s="57" t="n">
        <v>0.0874</v>
      </c>
    </row>
    <row r="143" customFormat="false" ht="15" hidden="false" customHeight="false" outlineLevel="0" collapsed="false">
      <c r="A143" s="52" t="n">
        <v>44410</v>
      </c>
      <c r="F143" s="57" t="n">
        <v>0.1035</v>
      </c>
      <c r="H143" s="57" t="n">
        <v>0.0856</v>
      </c>
    </row>
    <row r="144" customFormat="false" ht="15" hidden="false" customHeight="false" outlineLevel="0" collapsed="false">
      <c r="A144" s="52" t="n">
        <v>44411</v>
      </c>
      <c r="F144" s="57" t="n">
        <v>0.1034</v>
      </c>
      <c r="H144" s="57" t="n">
        <v>0.0868</v>
      </c>
    </row>
    <row r="145" customFormat="false" ht="15" hidden="false" customHeight="false" outlineLevel="0" collapsed="false">
      <c r="A145" s="52" t="n">
        <v>44412</v>
      </c>
      <c r="F145" s="57" t="n">
        <v>0.1032</v>
      </c>
      <c r="H145" s="57" t="n">
        <v>0.0858</v>
      </c>
    </row>
    <row r="146" customFormat="false" ht="15" hidden="false" customHeight="false" outlineLevel="0" collapsed="false">
      <c r="A146" s="52" t="n">
        <v>44413</v>
      </c>
      <c r="F146" s="57" t="n">
        <v>0.1035</v>
      </c>
      <c r="H146" s="57" t="n">
        <v>0.0852</v>
      </c>
    </row>
    <row r="147" customFormat="false" ht="15" hidden="false" customHeight="false" outlineLevel="0" collapsed="false">
      <c r="A147" s="52" t="n">
        <v>44414</v>
      </c>
      <c r="F147" s="57" t="n">
        <v>0.1033</v>
      </c>
      <c r="H147" s="57" t="n">
        <v>0.0852</v>
      </c>
    </row>
    <row r="148" customFormat="false" ht="15" hidden="false" customHeight="false" outlineLevel="0" collapsed="false">
      <c r="A148" s="52" t="n">
        <v>44417</v>
      </c>
      <c r="F148" s="57" t="n">
        <v>0.1035</v>
      </c>
      <c r="H148" s="57" t="n">
        <v>0.0855</v>
      </c>
    </row>
    <row r="149" customFormat="false" ht="15" hidden="false" customHeight="false" outlineLevel="0" collapsed="false">
      <c r="A149" s="52" t="n">
        <v>44418</v>
      </c>
      <c r="F149" s="57" t="n">
        <v>0.1035</v>
      </c>
      <c r="H149" s="57" t="n">
        <v>0.086</v>
      </c>
    </row>
    <row r="150" customFormat="false" ht="15" hidden="false" customHeight="false" outlineLevel="0" collapsed="false">
      <c r="A150" s="52" t="n">
        <v>44419</v>
      </c>
      <c r="F150" s="57" t="n">
        <v>0.1031</v>
      </c>
      <c r="H150" s="57" t="n">
        <v>0.0871</v>
      </c>
    </row>
    <row r="151" customFormat="false" ht="15" hidden="false" customHeight="false" outlineLevel="0" collapsed="false">
      <c r="A151" s="52" t="n">
        <v>44420</v>
      </c>
      <c r="F151" s="57" t="n">
        <v>0.1035</v>
      </c>
      <c r="H151" s="57" t="n">
        <v>0.0889</v>
      </c>
    </row>
    <row r="152" customFormat="false" ht="15" hidden="false" customHeight="false" outlineLevel="0" collapsed="false">
      <c r="A152" s="52" t="n">
        <v>44421</v>
      </c>
      <c r="F152" s="57" t="n">
        <v>0.1035</v>
      </c>
      <c r="H152" s="57" t="n">
        <v>0.0911</v>
      </c>
    </row>
    <row r="153" customFormat="false" ht="15" hidden="false" customHeight="false" outlineLevel="0" collapsed="false">
      <c r="A153" s="52" t="n">
        <v>44424</v>
      </c>
      <c r="F153" s="57" t="n">
        <v>0.1026</v>
      </c>
      <c r="H153" s="57" t="n">
        <v>0.0905</v>
      </c>
    </row>
    <row r="154" customFormat="false" ht="15" hidden="false" customHeight="false" outlineLevel="0" collapsed="false">
      <c r="A154" s="52" t="n">
        <v>44425</v>
      </c>
      <c r="F154" s="57" t="n">
        <v>0.1025</v>
      </c>
      <c r="H154" s="57" t="n">
        <v>0.0904</v>
      </c>
    </row>
    <row r="155" customFormat="false" ht="15" hidden="false" customHeight="false" outlineLevel="0" collapsed="false">
      <c r="A155" s="52" t="n">
        <v>44426</v>
      </c>
      <c r="F155" s="57" t="n">
        <v>0.1031</v>
      </c>
      <c r="H155" s="57" t="n">
        <v>0.0906</v>
      </c>
    </row>
    <row r="156" customFormat="false" ht="15" hidden="false" customHeight="false" outlineLevel="0" collapsed="false">
      <c r="A156" s="52" t="n">
        <v>44427</v>
      </c>
      <c r="F156" s="57" t="n">
        <v>0.1025</v>
      </c>
      <c r="H156" s="57" t="n">
        <v>0.0895</v>
      </c>
    </row>
    <row r="157" customFormat="false" ht="15" hidden="false" customHeight="false" outlineLevel="0" collapsed="false">
      <c r="A157" s="52" t="n">
        <v>44428</v>
      </c>
      <c r="F157" s="57" t="n">
        <v>0.103</v>
      </c>
      <c r="H157" s="57" t="n">
        <v>0.0886</v>
      </c>
    </row>
    <row r="158" customFormat="false" ht="15" hidden="false" customHeight="false" outlineLevel="0" collapsed="false">
      <c r="A158" s="52" t="n">
        <v>44431</v>
      </c>
      <c r="F158" s="57" t="n">
        <v>0.1027</v>
      </c>
      <c r="H158" s="57" t="n">
        <v>0.0904</v>
      </c>
    </row>
    <row r="159" customFormat="false" ht="15" hidden="false" customHeight="false" outlineLevel="0" collapsed="false">
      <c r="A159" s="52" t="n">
        <v>44432</v>
      </c>
      <c r="F159" s="57" t="n">
        <v>0.1023</v>
      </c>
      <c r="H159" s="57" t="n">
        <v>0.0998</v>
      </c>
    </row>
    <row r="160" customFormat="false" ht="15" hidden="false" customHeight="false" outlineLevel="0" collapsed="false">
      <c r="A160" s="52" t="n">
        <v>44433</v>
      </c>
      <c r="F160" s="57" t="n">
        <v>0.1023</v>
      </c>
      <c r="H160" s="57" t="n">
        <v>0.0973</v>
      </c>
    </row>
    <row r="161" customFormat="false" ht="15" hidden="false" customHeight="false" outlineLevel="0" collapsed="false">
      <c r="A161" s="52" t="n">
        <v>44434</v>
      </c>
      <c r="F161" s="57" t="n">
        <v>0.1018</v>
      </c>
      <c r="H161" s="57" t="n">
        <v>0.0976</v>
      </c>
    </row>
    <row r="162" customFormat="false" ht="15" hidden="false" customHeight="false" outlineLevel="0" collapsed="false">
      <c r="A162" s="52" t="n">
        <v>44435</v>
      </c>
      <c r="F162" s="57" t="n">
        <v>0.1022</v>
      </c>
      <c r="H162" s="57" t="n">
        <v>0.0976</v>
      </c>
    </row>
    <row r="163" customFormat="false" ht="15" hidden="false" customHeight="false" outlineLevel="0" collapsed="false">
      <c r="A163" s="52" t="n">
        <v>44439</v>
      </c>
      <c r="F163" s="57" t="n">
        <v>0.1021</v>
      </c>
      <c r="H163" s="57" t="n">
        <v>0.0931</v>
      </c>
    </row>
    <row r="164" customFormat="false" ht="15" hidden="false" customHeight="false" outlineLevel="0" collapsed="false">
      <c r="A164" s="52" t="n">
        <v>44440</v>
      </c>
      <c r="F164" s="57" t="n">
        <v>0.1026</v>
      </c>
      <c r="H164" s="57" t="n">
        <v>0.0874</v>
      </c>
    </row>
    <row r="165" customFormat="false" ht="15" hidden="false" customHeight="false" outlineLevel="0" collapsed="false">
      <c r="A165" s="52" t="n">
        <v>44441</v>
      </c>
      <c r="F165" s="57" t="n">
        <v>0.1025</v>
      </c>
      <c r="H165" s="57" t="n">
        <v>0.0857</v>
      </c>
    </row>
    <row r="166" customFormat="false" ht="15" hidden="false" customHeight="false" outlineLevel="0" collapsed="false">
      <c r="A166" s="52" t="n">
        <v>44442</v>
      </c>
      <c r="F166" s="57" t="n">
        <v>0.1025</v>
      </c>
      <c r="H166" s="57" t="n">
        <v>0.0854</v>
      </c>
    </row>
    <row r="167" customFormat="false" ht="15" hidden="false" customHeight="false" outlineLevel="0" collapsed="false">
      <c r="A167" s="52" t="n">
        <v>44445</v>
      </c>
      <c r="F167" s="57" t="n">
        <v>0.1025</v>
      </c>
      <c r="H167" s="57" t="n">
        <v>0.0846</v>
      </c>
    </row>
    <row r="168" customFormat="false" ht="15" hidden="false" customHeight="false" outlineLevel="0" collapsed="false">
      <c r="A168" s="52" t="n">
        <v>44446</v>
      </c>
      <c r="F168" s="57" t="n">
        <v>0.1027</v>
      </c>
      <c r="H168" s="57" t="n">
        <v>0.0848</v>
      </c>
    </row>
    <row r="169" customFormat="false" ht="15" hidden="false" customHeight="false" outlineLevel="0" collapsed="false">
      <c r="A169" s="52" t="n">
        <v>44447</v>
      </c>
      <c r="F169" s="57" t="n">
        <v>0.1027</v>
      </c>
      <c r="H169" s="57" t="n">
        <v>0.0843</v>
      </c>
    </row>
    <row r="170" customFormat="false" ht="15" hidden="false" customHeight="false" outlineLevel="0" collapsed="false">
      <c r="A170" s="52" t="n">
        <v>44448</v>
      </c>
      <c r="F170" s="57" t="n">
        <v>0.1026</v>
      </c>
      <c r="H170" s="57" t="n">
        <v>0.084</v>
      </c>
    </row>
    <row r="171" customFormat="false" ht="15" hidden="false" customHeight="false" outlineLevel="0" collapsed="false">
      <c r="A171" s="52" t="n">
        <v>44449</v>
      </c>
      <c r="F171" s="57" t="n">
        <v>0.1026</v>
      </c>
      <c r="H171" s="57" t="n">
        <v>0.0832</v>
      </c>
    </row>
    <row r="172" customFormat="false" ht="15" hidden="false" customHeight="false" outlineLevel="0" collapsed="false">
      <c r="A172" s="52" t="n">
        <v>44452</v>
      </c>
      <c r="F172" s="57" t="n">
        <v>0.1027</v>
      </c>
      <c r="H172" s="57" t="n">
        <v>0.0835</v>
      </c>
    </row>
    <row r="173" customFormat="false" ht="15" hidden="false" customHeight="false" outlineLevel="0" collapsed="false">
      <c r="A173" s="52" t="n">
        <v>44453</v>
      </c>
      <c r="F173" s="57" t="n">
        <v>0.1032</v>
      </c>
      <c r="H173" s="57" t="n">
        <v>0.0858</v>
      </c>
    </row>
    <row r="174" customFormat="false" ht="15" hidden="false" customHeight="false" outlineLevel="0" collapsed="false">
      <c r="A174" s="52" t="n">
        <v>44454</v>
      </c>
      <c r="F174" s="57" t="n">
        <v>0.1028</v>
      </c>
      <c r="H174" s="57" t="n">
        <v>0.0854</v>
      </c>
    </row>
    <row r="175" customFormat="false" ht="15" hidden="false" customHeight="false" outlineLevel="0" collapsed="false">
      <c r="A175" s="52" t="n">
        <v>44455</v>
      </c>
      <c r="F175" s="57" t="n">
        <v>0.103</v>
      </c>
      <c r="H175" s="57" t="n">
        <v>0.0858</v>
      </c>
    </row>
    <row r="176" customFormat="false" ht="15" hidden="false" customHeight="false" outlineLevel="0" collapsed="false">
      <c r="A176" s="52" t="n">
        <v>44456</v>
      </c>
      <c r="F176" s="57" t="n">
        <v>0.1027</v>
      </c>
      <c r="H176" s="57" t="n">
        <v>0.0863</v>
      </c>
    </row>
    <row r="177" customFormat="false" ht="15" hidden="false" customHeight="false" outlineLevel="0" collapsed="false">
      <c r="A177" s="52" t="n">
        <v>44459</v>
      </c>
      <c r="F177" s="57" t="n">
        <v>0.1028</v>
      </c>
      <c r="H177" s="57" t="n">
        <v>0.087</v>
      </c>
    </row>
    <row r="178" customFormat="false" ht="15" hidden="false" customHeight="false" outlineLevel="0" collapsed="false">
      <c r="A178" s="52" t="n">
        <v>44460</v>
      </c>
      <c r="F178" s="57" t="n">
        <v>0.103</v>
      </c>
      <c r="H178" s="57" t="n">
        <v>0.0887</v>
      </c>
    </row>
    <row r="179" customFormat="false" ht="15" hidden="false" customHeight="false" outlineLevel="0" collapsed="false">
      <c r="A179" s="52" t="n">
        <v>44461</v>
      </c>
      <c r="F179" s="57" t="n">
        <v>0.1029</v>
      </c>
      <c r="H179" s="57" t="n">
        <v>0.0988</v>
      </c>
    </row>
    <row r="180" customFormat="false" ht="15" hidden="false" customHeight="false" outlineLevel="0" collapsed="false">
      <c r="A180" s="52" t="n">
        <v>44462</v>
      </c>
      <c r="F180" s="57" t="n">
        <v>0.1007</v>
      </c>
      <c r="H180" s="57" t="n">
        <v>0.1023</v>
      </c>
    </row>
    <row r="181" customFormat="false" ht="15" hidden="false" customHeight="false" outlineLevel="0" collapsed="false">
      <c r="A181" s="52" t="n">
        <v>44463</v>
      </c>
      <c r="F181" s="57" t="n">
        <v>0.1007</v>
      </c>
      <c r="H181" s="57" t="n">
        <v>0.0989</v>
      </c>
    </row>
    <row r="182" customFormat="false" ht="15" hidden="false" customHeight="false" outlineLevel="0" collapsed="false">
      <c r="A182" s="52" t="n">
        <v>44466</v>
      </c>
      <c r="F182" s="57" t="n">
        <v>0.1034</v>
      </c>
      <c r="H182" s="57" t="n">
        <v>0.0996</v>
      </c>
    </row>
    <row r="183" customFormat="false" ht="15" hidden="false" customHeight="false" outlineLevel="0" collapsed="false">
      <c r="A183" s="52" t="n">
        <v>44467</v>
      </c>
      <c r="F183" s="57" t="n">
        <v>0.1029</v>
      </c>
      <c r="H183" s="57" t="n">
        <v>0.0975</v>
      </c>
    </row>
    <row r="184" customFormat="false" ht="15" hidden="false" customHeight="false" outlineLevel="0" collapsed="false">
      <c r="A184" s="52" t="n">
        <v>44468</v>
      </c>
      <c r="F184" s="57" t="n">
        <v>0.1031</v>
      </c>
      <c r="H184" s="57" t="n">
        <v>0.0935</v>
      </c>
    </row>
    <row r="185" customFormat="false" ht="15" hidden="false" customHeight="false" outlineLevel="0" collapsed="false">
      <c r="A185" s="52" t="n">
        <v>44469</v>
      </c>
      <c r="F185" s="57" t="n">
        <v>0.1029</v>
      </c>
      <c r="H185" s="57" t="n">
        <v>0.0898</v>
      </c>
    </row>
    <row r="186" customFormat="false" ht="15" hidden="false" customHeight="false" outlineLevel="0" collapsed="false">
      <c r="A186" s="52" t="n">
        <v>44470</v>
      </c>
      <c r="F186" s="57" t="n">
        <v>0.1029</v>
      </c>
      <c r="H186" s="57" t="n">
        <v>0.0868</v>
      </c>
    </row>
    <row r="187" customFormat="false" ht="15" hidden="false" customHeight="false" outlineLevel="0" collapsed="false">
      <c r="A187" s="52" t="n">
        <v>44473</v>
      </c>
      <c r="F187" s="57" t="n">
        <v>0.103</v>
      </c>
      <c r="H187" s="57" t="n">
        <v>0.086</v>
      </c>
    </row>
    <row r="188" customFormat="false" ht="15" hidden="false" customHeight="false" outlineLevel="0" collapsed="false">
      <c r="A188" s="52" t="n">
        <v>44474</v>
      </c>
      <c r="F188" s="57" t="n">
        <v>0.1028</v>
      </c>
      <c r="H188" s="57" t="n">
        <v>0.0861</v>
      </c>
    </row>
    <row r="189" customFormat="false" ht="15" hidden="false" customHeight="false" outlineLevel="0" collapsed="false">
      <c r="A189" s="52" t="n">
        <v>44475</v>
      </c>
      <c r="F189" s="57" t="n">
        <v>0.103</v>
      </c>
      <c r="H189" s="57" t="n">
        <v>0.0869</v>
      </c>
    </row>
    <row r="190" customFormat="false" ht="15" hidden="false" customHeight="false" outlineLevel="0" collapsed="false">
      <c r="A190" s="52" t="n">
        <v>44476</v>
      </c>
      <c r="F190" s="57" t="n">
        <v>0.1023</v>
      </c>
      <c r="H190" s="57" t="n">
        <v>0.0871</v>
      </c>
    </row>
    <row r="191" customFormat="false" ht="15" hidden="false" customHeight="false" outlineLevel="0" collapsed="false">
      <c r="A191" s="52" t="n">
        <v>44477</v>
      </c>
      <c r="F191" s="57" t="n">
        <v>0.103</v>
      </c>
      <c r="H191" s="57" t="n">
        <v>0.0871</v>
      </c>
    </row>
    <row r="192" customFormat="false" ht="15" hidden="false" customHeight="false" outlineLevel="0" collapsed="false">
      <c r="A192" s="52" t="n">
        <v>44480</v>
      </c>
      <c r="F192" s="57" t="n">
        <v>0.1031</v>
      </c>
      <c r="H192" s="57" t="n">
        <v>0.0871</v>
      </c>
    </row>
    <row r="193" customFormat="false" ht="15" hidden="false" customHeight="false" outlineLevel="0" collapsed="false">
      <c r="A193" s="52" t="n">
        <v>44481</v>
      </c>
      <c r="F193" s="57" t="n">
        <v>0.1025</v>
      </c>
      <c r="H193" s="57" t="n">
        <v>0.0878</v>
      </c>
    </row>
    <row r="194" customFormat="false" ht="15" hidden="false" customHeight="false" outlineLevel="0" collapsed="false">
      <c r="A194" s="52" t="n">
        <v>44482</v>
      </c>
      <c r="F194" s="57" t="n">
        <v>0.1031</v>
      </c>
      <c r="H194" s="57" t="n">
        <v>0.0887</v>
      </c>
    </row>
    <row r="195" customFormat="false" ht="15" hidden="false" customHeight="false" outlineLevel="0" collapsed="false">
      <c r="A195" s="52" t="n">
        <v>44483</v>
      </c>
      <c r="F195" s="57" t="n">
        <v>0.1031</v>
      </c>
      <c r="H195" s="57" t="n">
        <v>0.0892</v>
      </c>
    </row>
    <row r="196" customFormat="false" ht="15" hidden="false" customHeight="false" outlineLevel="0" collapsed="false">
      <c r="A196" s="52" t="n">
        <v>44484</v>
      </c>
      <c r="F196" s="57" t="n">
        <v>0.1032</v>
      </c>
      <c r="H196" s="57" t="n">
        <v>0.0891</v>
      </c>
    </row>
    <row r="197" customFormat="false" ht="15" hidden="false" customHeight="false" outlineLevel="0" collapsed="false">
      <c r="A197" s="52" t="n">
        <v>44487</v>
      </c>
      <c r="F197" s="57" t="n">
        <v>0.1033</v>
      </c>
      <c r="H197" s="57" t="n">
        <v>0.0888</v>
      </c>
    </row>
    <row r="198" customFormat="false" ht="15" hidden="false" customHeight="false" outlineLevel="0" collapsed="false">
      <c r="A198" s="52" t="n">
        <v>44488</v>
      </c>
      <c r="F198" s="57" t="n">
        <v>0.103</v>
      </c>
      <c r="H198" s="57" t="n">
        <v>0.0886</v>
      </c>
    </row>
    <row r="199" customFormat="false" ht="15" hidden="false" customHeight="false" outlineLevel="0" collapsed="false">
      <c r="A199" s="52" t="n">
        <v>44489</v>
      </c>
      <c r="F199" s="57" t="n">
        <v>0.1022</v>
      </c>
      <c r="H199" s="57" t="n">
        <v>0.0889</v>
      </c>
    </row>
    <row r="200" customFormat="false" ht="15" hidden="false" customHeight="false" outlineLevel="0" collapsed="false">
      <c r="A200" s="52" t="n">
        <v>44490</v>
      </c>
      <c r="F200" s="57" t="n">
        <v>0.1034</v>
      </c>
      <c r="H200" s="57" t="n">
        <v>0.0887</v>
      </c>
    </row>
    <row r="201" customFormat="false" ht="15" hidden="false" customHeight="false" outlineLevel="0" collapsed="false">
      <c r="A201" s="52" t="n">
        <v>44491</v>
      </c>
      <c r="F201" s="57" t="n">
        <v>0.1032</v>
      </c>
      <c r="H201" s="57" t="n">
        <v>0.0891</v>
      </c>
    </row>
    <row r="202" customFormat="false" ht="15" hidden="false" customHeight="false" outlineLevel="0" collapsed="false">
      <c r="A202" s="52" t="n">
        <v>44494</v>
      </c>
      <c r="F202" s="57" t="n">
        <v>0.1025</v>
      </c>
      <c r="H202" s="57" t="n">
        <v>0.0899</v>
      </c>
    </row>
    <row r="203" customFormat="false" ht="15" hidden="false" customHeight="false" outlineLevel="0" collapsed="false">
      <c r="A203" s="52" t="n">
        <v>44495</v>
      </c>
      <c r="F203" s="57" t="n">
        <v>0.1027</v>
      </c>
      <c r="H203" s="57" t="n">
        <v>0.0965</v>
      </c>
    </row>
    <row r="204" customFormat="false" ht="15" hidden="false" customHeight="false" outlineLevel="0" collapsed="false">
      <c r="A204" s="52" t="n">
        <v>44496</v>
      </c>
      <c r="F204" s="57" t="n">
        <v>0.103</v>
      </c>
      <c r="H204" s="57" t="n">
        <v>0.1007</v>
      </c>
    </row>
    <row r="205" customFormat="false" ht="15" hidden="false" customHeight="false" outlineLevel="0" collapsed="false">
      <c r="A205" s="52" t="n">
        <v>44497</v>
      </c>
      <c r="F205" s="57" t="n">
        <v>0.103</v>
      </c>
      <c r="H205" s="57" t="n">
        <v>0.1</v>
      </c>
    </row>
    <row r="206" customFormat="false" ht="15" hidden="false" customHeight="false" outlineLevel="0" collapsed="false">
      <c r="A206" s="52" t="n">
        <v>44498</v>
      </c>
      <c r="F206" s="57" t="n">
        <v>0.103</v>
      </c>
      <c r="H206" s="57" t="n">
        <v>0.104</v>
      </c>
    </row>
    <row r="207" customFormat="false" ht="15" hidden="false" customHeight="false" outlineLevel="0" collapsed="false">
      <c r="A207" s="52" t="n">
        <v>44501</v>
      </c>
      <c r="F207" s="57" t="n">
        <v>0.1027</v>
      </c>
      <c r="H207" s="57" t="n">
        <v>0.097</v>
      </c>
    </row>
    <row r="208" customFormat="false" ht="15" hidden="false" customHeight="false" outlineLevel="0" collapsed="false">
      <c r="A208" s="52" t="n">
        <v>44502</v>
      </c>
      <c r="F208" s="57" t="n">
        <v>0.1029</v>
      </c>
      <c r="H208" s="57" t="n">
        <v>0.0944</v>
      </c>
    </row>
    <row r="209" customFormat="false" ht="15" hidden="false" customHeight="false" outlineLevel="0" collapsed="false">
      <c r="A209" s="52" t="n">
        <v>44503</v>
      </c>
      <c r="F209" s="57" t="n">
        <v>0.1024</v>
      </c>
      <c r="H209" s="57" t="n">
        <v>0.0887</v>
      </c>
    </row>
    <row r="210" customFormat="false" ht="15" hidden="false" customHeight="false" outlineLevel="0" collapsed="false">
      <c r="A210" s="52" t="n">
        <v>44504</v>
      </c>
      <c r="F210" s="57" t="n">
        <v>0.1028</v>
      </c>
      <c r="H210" s="57" t="n">
        <v>0.0878</v>
      </c>
    </row>
    <row r="211" customFormat="false" ht="15" hidden="false" customHeight="false" outlineLevel="0" collapsed="false">
      <c r="A211" s="52" t="n">
        <v>44505</v>
      </c>
      <c r="F211" s="57" t="n">
        <v>0.1027</v>
      </c>
      <c r="H211" s="57" t="n">
        <v>0.0877</v>
      </c>
    </row>
    <row r="212" customFormat="false" ht="15" hidden="false" customHeight="false" outlineLevel="0" collapsed="false">
      <c r="A212" s="52" t="n">
        <v>44508</v>
      </c>
      <c r="F212" s="57" t="n">
        <v>0.1031</v>
      </c>
      <c r="H212" s="57" t="n">
        <v>0.0879</v>
      </c>
    </row>
    <row r="213" customFormat="false" ht="15" hidden="false" customHeight="false" outlineLevel="0" collapsed="false">
      <c r="A213" s="52" t="n">
        <v>44509</v>
      </c>
      <c r="F213" s="57" t="n">
        <v>0.1029</v>
      </c>
      <c r="H213" s="57" t="n">
        <v>0.0879</v>
      </c>
    </row>
    <row r="214" customFormat="false" ht="15" hidden="false" customHeight="false" outlineLevel="0" collapsed="false">
      <c r="A214" s="52" t="n">
        <v>44510</v>
      </c>
      <c r="F214" s="57" t="n">
        <v>0.1029</v>
      </c>
      <c r="H214" s="57" t="n">
        <v>0.0886</v>
      </c>
    </row>
    <row r="215" customFormat="false" ht="15" hidden="false" customHeight="false" outlineLevel="0" collapsed="false">
      <c r="A215" s="52" t="n">
        <v>44511</v>
      </c>
      <c r="F215" s="57" t="n">
        <v>0.0991</v>
      </c>
      <c r="H215" s="57" t="n">
        <v>0.09</v>
      </c>
    </row>
    <row r="216" customFormat="false" ht="15" hidden="false" customHeight="false" outlineLevel="0" collapsed="false">
      <c r="A216" s="52" t="n">
        <v>44512</v>
      </c>
      <c r="F216" s="57" t="n">
        <v>0.099</v>
      </c>
      <c r="H216" s="57" t="n">
        <v>0.0925</v>
      </c>
    </row>
    <row r="217" customFormat="false" ht="15" hidden="false" customHeight="false" outlineLevel="0" collapsed="false">
      <c r="A217" s="52" t="n">
        <v>44515</v>
      </c>
      <c r="F217" s="57" t="n">
        <v>0.102</v>
      </c>
      <c r="H217" s="57" t="n">
        <v>0.0908</v>
      </c>
    </row>
    <row r="218" customFormat="false" ht="15" hidden="false" customHeight="false" outlineLevel="0" collapsed="false">
      <c r="A218" s="52" t="n">
        <v>44516</v>
      </c>
      <c r="F218" s="57" t="n">
        <v>0.1028</v>
      </c>
      <c r="H218" s="57" t="n">
        <v>0.0905</v>
      </c>
    </row>
    <row r="219" customFormat="false" ht="15" hidden="false" customHeight="false" outlineLevel="0" collapsed="false">
      <c r="A219" s="52" t="n">
        <v>44517</v>
      </c>
      <c r="F219" s="57" t="n">
        <v>0.1021</v>
      </c>
      <c r="H219" s="57" t="n">
        <v>0.0906</v>
      </c>
    </row>
    <row r="220" customFormat="false" ht="15" hidden="false" customHeight="false" outlineLevel="0" collapsed="false">
      <c r="A220" s="52" t="n">
        <v>44518</v>
      </c>
      <c r="F220" s="57" t="n">
        <v>0.1033</v>
      </c>
      <c r="H220" s="57" t="n">
        <v>0.0898</v>
      </c>
    </row>
    <row r="221" customFormat="false" ht="15" hidden="false" customHeight="false" outlineLevel="0" collapsed="false">
      <c r="A221" s="52" t="n">
        <v>44519</v>
      </c>
      <c r="F221" s="57" t="n">
        <v>0.103</v>
      </c>
      <c r="H221" s="57" t="n">
        <v>0.0896</v>
      </c>
    </row>
    <row r="222" customFormat="false" ht="15" hidden="false" customHeight="false" outlineLevel="0" collapsed="false">
      <c r="A222" s="52" t="n">
        <v>44522</v>
      </c>
      <c r="F222" s="57" t="n">
        <v>0.103</v>
      </c>
      <c r="H222" s="57" t="n">
        <v>0.0896</v>
      </c>
    </row>
    <row r="223" customFormat="false" ht="15" hidden="false" customHeight="false" outlineLevel="0" collapsed="false">
      <c r="A223" s="52" t="n">
        <v>44523</v>
      </c>
      <c r="F223" s="57" t="n">
        <v>0.1026</v>
      </c>
      <c r="H223" s="57" t="n">
        <v>0.0931</v>
      </c>
    </row>
    <row r="224" customFormat="false" ht="15" hidden="false" customHeight="false" outlineLevel="0" collapsed="false">
      <c r="A224" s="52" t="n">
        <v>44524</v>
      </c>
      <c r="F224" s="57" t="n">
        <v>0.1027</v>
      </c>
      <c r="H224" s="57" t="n">
        <v>0.1039</v>
      </c>
    </row>
    <row r="225" customFormat="false" ht="15" hidden="false" customHeight="false" outlineLevel="0" collapsed="false">
      <c r="A225" s="52" t="n">
        <v>44525</v>
      </c>
      <c r="F225" s="57" t="n">
        <v>0.1026</v>
      </c>
      <c r="H225" s="57" t="n">
        <v>0.1047</v>
      </c>
    </row>
    <row r="226" customFormat="false" ht="15" hidden="false" customHeight="false" outlineLevel="0" collapsed="false">
      <c r="A226" s="52" t="n">
        <v>44526</v>
      </c>
      <c r="F226" s="57" t="n">
        <v>0.103</v>
      </c>
      <c r="H226" s="57" t="n">
        <v>0.1056</v>
      </c>
    </row>
    <row r="227" customFormat="false" ht="15" hidden="false" customHeight="false" outlineLevel="0" collapsed="false">
      <c r="A227" s="52" t="n">
        <v>44529</v>
      </c>
      <c r="F227" s="57" t="n">
        <v>0.103</v>
      </c>
      <c r="H227" s="57" t="n">
        <v>0.1025</v>
      </c>
    </row>
    <row r="228" customFormat="false" ht="15" hidden="false" customHeight="false" outlineLevel="0" collapsed="false">
      <c r="A228" s="52" t="n">
        <v>44530</v>
      </c>
      <c r="F228" s="57" t="n">
        <v>0.1024</v>
      </c>
      <c r="H228" s="57" t="n">
        <v>0.1057</v>
      </c>
    </row>
    <row r="229" customFormat="false" ht="15" hidden="false" customHeight="false" outlineLevel="0" collapsed="false">
      <c r="A229" s="52" t="n">
        <v>44532</v>
      </c>
      <c r="F229" s="57" t="n">
        <v>0.1047</v>
      </c>
      <c r="H229" s="57" t="n">
        <v>0.1055</v>
      </c>
    </row>
    <row r="230" customFormat="false" ht="15" hidden="false" customHeight="false" outlineLevel="0" collapsed="false">
      <c r="A230" s="52" t="n">
        <v>44533</v>
      </c>
      <c r="F230" s="57" t="n">
        <v>0.1044</v>
      </c>
      <c r="H230" s="57" t="n">
        <v>0.1064</v>
      </c>
    </row>
    <row r="231" customFormat="false" ht="15" hidden="false" customHeight="false" outlineLevel="0" collapsed="false">
      <c r="A231" s="52" t="n">
        <v>44536</v>
      </c>
      <c r="F231" s="57" t="n">
        <v>0.1044</v>
      </c>
      <c r="H231" s="57" t="n">
        <v>0.1067</v>
      </c>
    </row>
    <row r="232" customFormat="false" ht="15" hidden="false" customHeight="false" outlineLevel="0" collapsed="false">
      <c r="A232" s="52" t="n">
        <v>44537</v>
      </c>
      <c r="F232" s="57" t="n">
        <v>0.1042</v>
      </c>
      <c r="H232" s="57" t="n">
        <v>0.1062</v>
      </c>
    </row>
    <row r="233" customFormat="false" ht="15" hidden="false" customHeight="false" outlineLevel="0" collapsed="false">
      <c r="A233" s="52" t="n">
        <v>44538</v>
      </c>
      <c r="F233" s="57" t="n">
        <v>0.1045</v>
      </c>
      <c r="H233" s="57" t="n">
        <v>0.1062</v>
      </c>
    </row>
    <row r="234" customFormat="false" ht="15" hidden="false" customHeight="false" outlineLevel="0" collapsed="false">
      <c r="A234" s="52" t="n">
        <v>44539</v>
      </c>
      <c r="F234" s="57" t="n">
        <v>0.104</v>
      </c>
      <c r="H234" s="57" t="n">
        <v>0.1066</v>
      </c>
    </row>
    <row r="235" customFormat="false" ht="15" hidden="false" customHeight="false" outlineLevel="0" collapsed="false">
      <c r="A235" s="52" t="n">
        <v>44540</v>
      </c>
      <c r="F235" s="57" t="n">
        <v>0.1048</v>
      </c>
      <c r="H235" s="57" t="n">
        <v>0.1069</v>
      </c>
    </row>
    <row r="236" customFormat="false" ht="15" hidden="false" customHeight="false" outlineLevel="0" collapsed="false">
      <c r="A236" s="52" t="n">
        <v>44543</v>
      </c>
      <c r="F236" s="57" t="n">
        <v>0.1045</v>
      </c>
      <c r="H236" s="57" t="n">
        <v>0.1066</v>
      </c>
    </row>
    <row r="237" customFormat="false" ht="15" hidden="false" customHeight="false" outlineLevel="0" collapsed="false">
      <c r="A237" s="52" t="n">
        <v>44544</v>
      </c>
      <c r="F237" s="57" t="n">
        <v>0.1049</v>
      </c>
      <c r="H237" s="57" t="n">
        <v>0.1071</v>
      </c>
    </row>
    <row r="238" customFormat="false" ht="15" hidden="false" customHeight="false" outlineLevel="0" collapsed="false">
      <c r="A238" s="52" t="n">
        <v>44545</v>
      </c>
      <c r="F238" s="57" t="n">
        <v>0.1044</v>
      </c>
      <c r="H238" s="57" t="n">
        <v>0.1063</v>
      </c>
    </row>
    <row r="239" customFormat="false" ht="15" hidden="false" customHeight="false" outlineLevel="0" collapsed="false">
      <c r="A239" s="52" t="n">
        <v>44550</v>
      </c>
      <c r="F239" s="57" t="n">
        <v>0.1046</v>
      </c>
      <c r="H239" s="57" t="n">
        <v>0.1059</v>
      </c>
    </row>
    <row r="240" customFormat="false" ht="15" hidden="false" customHeight="false" outlineLevel="0" collapsed="false">
      <c r="A240" s="52" t="n">
        <v>44551</v>
      </c>
      <c r="F240" s="57" t="n">
        <v>0.1051</v>
      </c>
      <c r="H240" s="57" t="n">
        <v>0.1062</v>
      </c>
    </row>
    <row r="241" customFormat="false" ht="15" hidden="false" customHeight="false" outlineLevel="0" collapsed="false">
      <c r="A241" s="52" t="n">
        <v>44552</v>
      </c>
      <c r="F241" s="57" t="n">
        <v>0.1058</v>
      </c>
      <c r="H241" s="57" t="n">
        <v>0.1036</v>
      </c>
    </row>
    <row r="242" customFormat="false" ht="15" hidden="false" customHeight="false" outlineLevel="0" collapsed="false">
      <c r="A242" s="52" t="n">
        <v>44553</v>
      </c>
      <c r="F242" s="57" t="n">
        <v>0.1059</v>
      </c>
      <c r="H242" s="57" t="n">
        <v>0.1011</v>
      </c>
    </row>
    <row r="243" customFormat="false" ht="15" hidden="false" customHeight="false" outlineLevel="0" collapsed="false">
      <c r="A243" s="52" t="n">
        <v>44554</v>
      </c>
      <c r="F243" s="57" t="n">
        <v>0.1062</v>
      </c>
      <c r="H243" s="57" t="n">
        <v>0.0988</v>
      </c>
    </row>
    <row r="244" customFormat="false" ht="15" hidden="false" customHeight="false" outlineLevel="0" collapsed="false">
      <c r="A244" s="52" t="n">
        <v>44557</v>
      </c>
      <c r="F244" s="57" t="n">
        <v>0.1058</v>
      </c>
      <c r="H244" s="57" t="n">
        <v>0.1016</v>
      </c>
    </row>
    <row r="245" customFormat="false" ht="15" hidden="false" customHeight="false" outlineLevel="0" collapsed="false">
      <c r="A245" s="52" t="n">
        <v>44558</v>
      </c>
      <c r="F245" s="57" t="n">
        <v>0.1055</v>
      </c>
      <c r="H245" s="57" t="n">
        <v>0.1015</v>
      </c>
    </row>
    <row r="246" customFormat="false" ht="15" hidden="false" customHeight="false" outlineLevel="0" collapsed="false">
      <c r="A246" s="52" t="n">
        <v>44559</v>
      </c>
      <c r="F246" s="57" t="n">
        <v>0.1064</v>
      </c>
      <c r="H246" s="57" t="n">
        <v>0.1048</v>
      </c>
    </row>
    <row r="247" customFormat="false" ht="15" hidden="false" customHeight="false" outlineLevel="0" collapsed="false">
      <c r="A247" s="52" t="n">
        <v>44560</v>
      </c>
      <c r="F247" s="57" t="n">
        <v>0.106</v>
      </c>
      <c r="H247" s="57" t="n">
        <v>0.1061</v>
      </c>
    </row>
    <row r="248" customFormat="false" ht="15" hidden="false" customHeight="false" outlineLevel="0" collapsed="false">
      <c r="A248" s="52" t="n">
        <v>44561</v>
      </c>
      <c r="F248" s="57" t="n">
        <v>0.1061</v>
      </c>
      <c r="H248" s="57" t="n">
        <v>0.1056</v>
      </c>
    </row>
    <row r="249" customFormat="false" ht="15" hidden="false" customHeight="false" outlineLevel="0" collapsed="false">
      <c r="A249" s="52" t="n">
        <v>44566</v>
      </c>
      <c r="F249" s="57" t="n">
        <v>0.106</v>
      </c>
      <c r="H249" s="57" t="n">
        <v>0.0997</v>
      </c>
    </row>
    <row r="250" customFormat="false" ht="15" hidden="false" customHeight="false" outlineLevel="0" collapsed="false">
      <c r="A250" s="52" t="n">
        <v>44571</v>
      </c>
      <c r="H250" s="57" t="n">
        <v>0.1035</v>
      </c>
    </row>
    <row r="251" customFormat="false" ht="15" hidden="false" customHeight="false" outlineLevel="0" collapsed="false">
      <c r="A251" s="52" t="n">
        <v>44572</v>
      </c>
      <c r="F251" s="57" t="n">
        <v>0.1057</v>
      </c>
      <c r="H251" s="57" t="n">
        <v>0.0999</v>
      </c>
    </row>
    <row r="252" customFormat="false" ht="15" hidden="false" customHeight="false" outlineLevel="0" collapsed="false">
      <c r="A252" s="52" t="n">
        <v>44573</v>
      </c>
      <c r="F252" s="57" t="n">
        <v>0.1055</v>
      </c>
      <c r="H252" s="57" t="n">
        <v>0.0971</v>
      </c>
    </row>
    <row r="253" customFormat="false" ht="15" hidden="false" customHeight="false" outlineLevel="0" collapsed="false">
      <c r="A253" s="52" t="n">
        <v>44574</v>
      </c>
      <c r="F253" s="57" t="n">
        <v>0.1052</v>
      </c>
      <c r="H253" s="57" t="n">
        <v>0.0962</v>
      </c>
    </row>
    <row r="254" customFormat="false" ht="15" hidden="false" customHeight="false" outlineLevel="0" collapsed="false">
      <c r="A254" s="52" t="n">
        <v>44575</v>
      </c>
      <c r="F254" s="57" t="n">
        <v>0.1046</v>
      </c>
      <c r="H254" s="57" t="n">
        <v>0.0947</v>
      </c>
    </row>
    <row r="255" customFormat="false" ht="15" hidden="false" customHeight="false" outlineLevel="0" collapsed="false">
      <c r="A255" s="52" t="n">
        <v>44578</v>
      </c>
      <c r="F255" s="57" t="n">
        <v>0.1046</v>
      </c>
      <c r="H255" s="57" t="n">
        <v>0.0938</v>
      </c>
    </row>
    <row r="256" customFormat="false" ht="15" hidden="false" customHeight="false" outlineLevel="0" collapsed="false">
      <c r="A256" s="52" t="n">
        <v>44579</v>
      </c>
      <c r="F256" s="57" t="n">
        <v>0.105</v>
      </c>
      <c r="H256" s="57" t="n">
        <v>0.096</v>
      </c>
    </row>
    <row r="257" customFormat="false" ht="15" hidden="false" customHeight="false" outlineLevel="0" collapsed="false">
      <c r="A257" s="52" t="n">
        <v>44580</v>
      </c>
      <c r="F257" s="57" t="n">
        <v>0.105</v>
      </c>
      <c r="H257" s="57" t="n">
        <v>0.1015</v>
      </c>
    </row>
    <row r="258" customFormat="false" ht="15" hidden="false" customHeight="false" outlineLevel="0" collapsed="false">
      <c r="A258" s="52" t="n">
        <v>44581</v>
      </c>
      <c r="F258" s="57" t="n">
        <v>0.1055</v>
      </c>
      <c r="H258" s="57" t="n">
        <v>0.1046</v>
      </c>
    </row>
    <row r="259" customFormat="false" ht="15" hidden="false" customHeight="false" outlineLevel="0" collapsed="false">
      <c r="A259" s="52" t="n">
        <v>44582</v>
      </c>
      <c r="F259" s="57" t="n">
        <v>0.1055</v>
      </c>
      <c r="H259" s="57" t="n">
        <v>0.1054</v>
      </c>
    </row>
    <row r="260" customFormat="false" ht="15" hidden="false" customHeight="false" outlineLevel="0" collapsed="false">
      <c r="A260" s="52" t="n">
        <v>44585</v>
      </c>
      <c r="F260" s="57" t="n">
        <v>0.1052</v>
      </c>
      <c r="H260" s="57" t="n">
        <v>0.1051</v>
      </c>
    </row>
    <row r="261" customFormat="false" ht="15" hidden="false" customHeight="false" outlineLevel="0" collapsed="false">
      <c r="A261" s="52" t="n">
        <v>44586</v>
      </c>
      <c r="F261" s="57" t="n">
        <v>0.1057</v>
      </c>
      <c r="H261" s="57" t="n">
        <v>0.1103</v>
      </c>
    </row>
    <row r="262" customFormat="false" ht="15" hidden="false" customHeight="false" outlineLevel="0" collapsed="false">
      <c r="A262" s="52" t="n">
        <v>44587</v>
      </c>
      <c r="F262" s="57" t="n">
        <v>0.1056</v>
      </c>
      <c r="H262" s="57" t="n">
        <v>0.1105</v>
      </c>
    </row>
    <row r="263" customFormat="false" ht="15" hidden="false" customHeight="false" outlineLevel="0" collapsed="false">
      <c r="A263" s="52" t="n">
        <v>44588</v>
      </c>
      <c r="F263" s="57" t="n">
        <v>0.1059</v>
      </c>
      <c r="H263" s="57" t="n">
        <v>0.1104</v>
      </c>
    </row>
    <row r="264" customFormat="false" ht="15" hidden="false" customHeight="false" outlineLevel="0" collapsed="false">
      <c r="A264" s="52" t="n">
        <v>44589</v>
      </c>
      <c r="F264" s="57" t="n">
        <v>0.1056</v>
      </c>
      <c r="H264" s="57" t="n">
        <v>0.1099</v>
      </c>
    </row>
    <row r="265" customFormat="false" ht="15" hidden="false" customHeight="false" outlineLevel="0" collapsed="false">
      <c r="A265" s="52" t="n">
        <v>44592</v>
      </c>
      <c r="F265" s="57" t="n">
        <v>0.1046</v>
      </c>
      <c r="H265" s="57" t="n">
        <v>0.1102</v>
      </c>
    </row>
    <row r="266" customFormat="false" ht="15" hidden="false" customHeight="false" outlineLevel="0" collapsed="false">
      <c r="A266" s="52" t="n">
        <v>44593</v>
      </c>
      <c r="F266" s="57" t="n">
        <v>0.1052</v>
      </c>
      <c r="H266" s="57" t="n">
        <v>0.1103</v>
      </c>
    </row>
    <row r="267" customFormat="false" ht="15" hidden="false" customHeight="false" outlineLevel="0" collapsed="false">
      <c r="A267" s="52" t="n">
        <v>44594</v>
      </c>
      <c r="F267" s="57" t="n">
        <v>0.1057</v>
      </c>
      <c r="H267" s="57" t="n">
        <v>0.1108</v>
      </c>
    </row>
    <row r="268" customFormat="false" ht="15" hidden="false" customHeight="false" outlineLevel="0" collapsed="false">
      <c r="A268" s="52" t="n">
        <v>44595</v>
      </c>
      <c r="F268" s="57" t="n">
        <v>0.106</v>
      </c>
      <c r="H268" s="57" t="n">
        <v>0.1103</v>
      </c>
    </row>
    <row r="269" customFormat="false" ht="15" hidden="false" customHeight="false" outlineLevel="0" collapsed="false">
      <c r="A269" s="52" t="n">
        <v>44596</v>
      </c>
      <c r="F269" s="57" t="n">
        <v>0.1058</v>
      </c>
      <c r="H269" s="57" t="n">
        <v>0.1068</v>
      </c>
    </row>
    <row r="270" customFormat="false" ht="15" hidden="false" customHeight="false" outlineLevel="0" collapsed="false">
      <c r="A270" s="52" t="n">
        <v>44599</v>
      </c>
      <c r="F270" s="57" t="n">
        <v>0.1057</v>
      </c>
      <c r="H270" s="57" t="n">
        <v>0.107</v>
      </c>
    </row>
    <row r="271" customFormat="false" ht="15" hidden="false" customHeight="false" outlineLevel="0" collapsed="false">
      <c r="A271" s="52" t="n">
        <v>44600</v>
      </c>
      <c r="F271" s="57" t="n">
        <v>0.1056</v>
      </c>
      <c r="H271" s="57" t="n">
        <v>0.0992</v>
      </c>
    </row>
    <row r="272" customFormat="false" ht="15" hidden="false" customHeight="false" outlineLevel="0" collapsed="false">
      <c r="A272" s="52" t="n">
        <v>44601</v>
      </c>
      <c r="F272" s="57" t="n">
        <v>0.1055</v>
      </c>
      <c r="H272" s="57" t="n">
        <v>0.1008</v>
      </c>
    </row>
    <row r="273" customFormat="false" ht="15" hidden="false" customHeight="false" outlineLevel="0" collapsed="false">
      <c r="A273" s="52" t="n">
        <v>44602</v>
      </c>
      <c r="F273" s="57" t="n">
        <v>0.1058</v>
      </c>
      <c r="H273" s="57" t="n">
        <v>0.1009</v>
      </c>
    </row>
    <row r="274" customFormat="false" ht="15" hidden="false" customHeight="false" outlineLevel="0" collapsed="false">
      <c r="A274" s="52" t="n">
        <v>44603</v>
      </c>
      <c r="F274" s="57" t="n">
        <v>0.1054</v>
      </c>
      <c r="H274" s="57" t="n">
        <v>0.1021</v>
      </c>
    </row>
    <row r="275" customFormat="false" ht="15" hidden="false" customHeight="false" outlineLevel="0" collapsed="false">
      <c r="A275" s="52" t="n">
        <v>44606</v>
      </c>
      <c r="F275" s="57" t="n">
        <v>0.1061</v>
      </c>
      <c r="H275" s="57" t="n">
        <v>0.1024</v>
      </c>
    </row>
    <row r="276" customFormat="false" ht="15" hidden="false" customHeight="false" outlineLevel="0" collapsed="false">
      <c r="A276" s="52" t="n">
        <v>44607</v>
      </c>
      <c r="F276" s="57" t="n">
        <v>0.106</v>
      </c>
      <c r="H276" s="57" t="n">
        <v>0.1005</v>
      </c>
    </row>
    <row r="277" customFormat="false" ht="15" hidden="false" customHeight="false" outlineLevel="0" collapsed="false">
      <c r="A277" s="52" t="n">
        <v>44608</v>
      </c>
      <c r="F277" s="57" t="n">
        <v>0.1055</v>
      </c>
      <c r="H277" s="57" t="n">
        <v>0.1002</v>
      </c>
    </row>
    <row r="278" customFormat="false" ht="15" hidden="false" customHeight="false" outlineLevel="0" collapsed="false">
      <c r="A278" s="52" t="n">
        <v>44609</v>
      </c>
      <c r="F278" s="57" t="n">
        <v>0.1057</v>
      </c>
      <c r="H278" s="57" t="n">
        <v>0.0986</v>
      </c>
    </row>
    <row r="279" customFormat="false" ht="15" hidden="false" customHeight="false" outlineLevel="0" collapsed="false">
      <c r="A279" s="52" t="n">
        <v>44610</v>
      </c>
      <c r="F279" s="57" t="n">
        <v>0.106</v>
      </c>
      <c r="H279" s="57" t="n">
        <v>0.0988</v>
      </c>
    </row>
    <row r="280" customFormat="false" ht="15" hidden="false" customHeight="false" outlineLevel="0" collapsed="false">
      <c r="A280" s="52" t="n">
        <v>44613</v>
      </c>
      <c r="F280" s="57" t="n">
        <v>0.1052</v>
      </c>
      <c r="H280" s="57" t="n">
        <v>0.1024</v>
      </c>
    </row>
    <row r="281" customFormat="false" ht="15" hidden="false" customHeight="false" outlineLevel="0" collapsed="false">
      <c r="A281" s="52" t="n">
        <v>44614</v>
      </c>
      <c r="F281" s="57" t="n">
        <v>0.1062</v>
      </c>
      <c r="H281" s="57" t="n">
        <v>0.1105</v>
      </c>
    </row>
    <row r="282" customFormat="false" ht="15" hidden="false" customHeight="false" outlineLevel="0" collapsed="false">
      <c r="A282" s="52" t="n">
        <v>44615</v>
      </c>
      <c r="F282" s="57" t="n">
        <v>0.1055</v>
      </c>
      <c r="H282" s="57" t="n">
        <v>0.1105</v>
      </c>
    </row>
    <row r="283" customFormat="false" ht="15" hidden="false" customHeight="false" outlineLevel="0" collapsed="false">
      <c r="A283" s="52" t="n">
        <v>44616</v>
      </c>
      <c r="F283" s="57" t="n">
        <v>0.1078</v>
      </c>
      <c r="H283" s="57" t="n">
        <v>0.1442</v>
      </c>
    </row>
    <row r="284" customFormat="false" ht="15" hidden="false" customHeight="false" outlineLevel="0" collapsed="false">
      <c r="A284" s="52" t="n">
        <v>44617</v>
      </c>
      <c r="F284" s="57" t="n">
        <v>0.107</v>
      </c>
      <c r="H284" s="57" t="n">
        <v>0.1443</v>
      </c>
    </row>
    <row r="285" customFormat="false" ht="15" hidden="false" customHeight="false" outlineLevel="0" collapsed="false">
      <c r="A285" s="52" t="n">
        <v>44620</v>
      </c>
      <c r="F285" s="57" t="n">
        <v>0.1075</v>
      </c>
      <c r="H285" s="57" t="n">
        <v>0.1447</v>
      </c>
    </row>
    <row r="286" customFormat="false" ht="15" hidden="false" customHeight="false" outlineLevel="0" collapsed="false">
      <c r="A286" s="52" t="n">
        <v>44621</v>
      </c>
      <c r="F286" s="57" t="n">
        <v>0.1095</v>
      </c>
      <c r="H286" s="57" t="n">
        <v>0.1445</v>
      </c>
    </row>
    <row r="287" customFormat="false" ht="15" hidden="false" customHeight="false" outlineLevel="0" collapsed="false">
      <c r="A287" s="52" t="n">
        <v>44622</v>
      </c>
      <c r="F287" s="57" t="n">
        <v>0.1115</v>
      </c>
      <c r="H287" s="57" t="n">
        <v>0.1446</v>
      </c>
    </row>
    <row r="288" customFormat="false" ht="15" hidden="false" customHeight="false" outlineLevel="0" collapsed="false">
      <c r="A288" s="52" t="n">
        <v>44623</v>
      </c>
      <c r="E288" s="57" t="n">
        <v>0.10895</v>
      </c>
      <c r="F288" s="57" t="n">
        <v>0.111</v>
      </c>
      <c r="H288" s="57" t="n">
        <v>0.1445</v>
      </c>
    </row>
    <row r="289" customFormat="false" ht="15" hidden="false" customHeight="false" outlineLevel="0" collapsed="false">
      <c r="A289" s="52" t="n">
        <v>44624</v>
      </c>
      <c r="E289" s="57" t="n">
        <v>0.11158</v>
      </c>
      <c r="F289" s="57" t="n">
        <v>0.1124</v>
      </c>
      <c r="H289" s="57" t="n">
        <v>0.1421</v>
      </c>
    </row>
    <row r="290" customFormat="false" ht="15" hidden="false" customHeight="false" outlineLevel="0" collapsed="false">
      <c r="A290" s="52" t="n">
        <v>44625</v>
      </c>
      <c r="F290" s="57" t="n">
        <v>0.1119</v>
      </c>
      <c r="H290" s="57" t="n">
        <v>0.1416</v>
      </c>
    </row>
    <row r="291" customFormat="false" ht="15" hidden="false" customHeight="false" outlineLevel="0" collapsed="false">
      <c r="A291" s="52" t="n">
        <v>44629</v>
      </c>
      <c r="B291" s="57" t="n">
        <v>0.099</v>
      </c>
      <c r="C291" s="57" t="n">
        <v>0.109</v>
      </c>
      <c r="D291" s="57" t="n">
        <v>0.1105</v>
      </c>
      <c r="E291" s="57" t="n">
        <v>0.10995</v>
      </c>
      <c r="F291" s="57" t="n">
        <v>0.1111</v>
      </c>
      <c r="H291" s="57" t="n">
        <v>0.1383</v>
      </c>
    </row>
    <row r="292" customFormat="false" ht="15" hidden="false" customHeight="false" outlineLevel="0" collapsed="false">
      <c r="A292" s="52" t="n">
        <v>44630</v>
      </c>
      <c r="B292" s="57" t="n">
        <v>0.1141</v>
      </c>
      <c r="C292" s="57" t="n">
        <v>0.1078</v>
      </c>
      <c r="D292" s="57" t="n">
        <v>0.1102</v>
      </c>
      <c r="E292" s="57" t="n">
        <v>0.10995</v>
      </c>
      <c r="F292" s="57" t="n">
        <v>0.1112</v>
      </c>
      <c r="H292" s="57" t="n">
        <v>0.1381</v>
      </c>
    </row>
    <row r="293" customFormat="false" ht="15" hidden="false" customHeight="false" outlineLevel="0" collapsed="false">
      <c r="A293" s="52" t="n">
        <v>44631</v>
      </c>
      <c r="B293" s="57" t="n">
        <v>0.1198</v>
      </c>
      <c r="C293" s="57" t="n">
        <v>0.1056</v>
      </c>
      <c r="D293" s="57" t="n">
        <v>0.1087</v>
      </c>
      <c r="E293" s="57" t="n">
        <v>0.11007</v>
      </c>
      <c r="F293" s="57" t="n">
        <v>0.1107</v>
      </c>
      <c r="H293" s="57" t="n">
        <v>0.1398</v>
      </c>
    </row>
    <row r="294" customFormat="false" ht="15" hidden="false" customHeight="false" outlineLevel="0" collapsed="false">
      <c r="A294" s="52" t="n">
        <v>44634</v>
      </c>
      <c r="B294" s="57" t="n">
        <v>0.1308</v>
      </c>
      <c r="C294" s="57" t="n">
        <v>0.1076</v>
      </c>
      <c r="D294" s="57" t="n">
        <v>0.106</v>
      </c>
      <c r="E294" s="57" t="n">
        <v>0.10995</v>
      </c>
      <c r="F294" s="57" t="n">
        <v>0.1103</v>
      </c>
      <c r="H294" s="57" t="n">
        <v>0.1388</v>
      </c>
    </row>
    <row r="295" customFormat="false" ht="15" hidden="false" customHeight="false" outlineLevel="0" collapsed="false">
      <c r="A295" s="52" t="n">
        <v>44635</v>
      </c>
      <c r="B295" s="57" t="n">
        <v>0.1284</v>
      </c>
      <c r="C295" s="57" t="n">
        <v>0.1058</v>
      </c>
      <c r="D295" s="57" t="n">
        <v>0.1056</v>
      </c>
      <c r="E295" s="57" t="n">
        <v>0.10995</v>
      </c>
      <c r="F295" s="57" t="n">
        <v>0.1108</v>
      </c>
      <c r="H295" s="57" t="n">
        <v>0.1416</v>
      </c>
    </row>
    <row r="296" customFormat="false" ht="15" hidden="false" customHeight="false" outlineLevel="0" collapsed="false">
      <c r="A296" s="52" t="n">
        <v>44636</v>
      </c>
      <c r="B296" s="57" t="n">
        <v>0.128</v>
      </c>
      <c r="C296" s="57" t="n">
        <v>0.1061</v>
      </c>
      <c r="D296" s="57" t="n">
        <v>0.1057</v>
      </c>
      <c r="E296" s="57" t="n">
        <v>0.10995</v>
      </c>
      <c r="F296" s="57" t="n">
        <v>0.111</v>
      </c>
      <c r="H296" s="57" t="n">
        <v>0.1416</v>
      </c>
    </row>
    <row r="297" customFormat="false" ht="15" hidden="false" customHeight="false" outlineLevel="0" collapsed="false">
      <c r="A297" s="52" t="n">
        <v>44637</v>
      </c>
      <c r="B297" s="57" t="n">
        <v>0.139</v>
      </c>
      <c r="C297" s="57" t="n">
        <v>0.1167</v>
      </c>
      <c r="D297" s="57" t="n">
        <v>0.1068</v>
      </c>
      <c r="E297" s="57" t="n">
        <v>0.11969</v>
      </c>
      <c r="F297" s="57" t="n">
        <v>0.1108</v>
      </c>
      <c r="H297" s="57" t="n">
        <v>0.1426</v>
      </c>
    </row>
    <row r="298" customFormat="false" ht="15" hidden="false" customHeight="false" outlineLevel="0" collapsed="false">
      <c r="A298" s="52" t="n">
        <v>44638</v>
      </c>
      <c r="B298" s="57" t="n">
        <v>0.1382</v>
      </c>
      <c r="C298" s="57" t="n">
        <v>0.1176</v>
      </c>
      <c r="D298" s="57" t="n">
        <v>0.1078</v>
      </c>
      <c r="E298" s="57" t="n">
        <v>0.11984</v>
      </c>
      <c r="F298" s="57" t="n">
        <v>0.1114</v>
      </c>
      <c r="H298" s="57" t="n">
        <v>0.1435</v>
      </c>
    </row>
    <row r="299" customFormat="false" ht="15" hidden="false" customHeight="false" outlineLevel="0" collapsed="false">
      <c r="A299" s="52" t="n">
        <v>44644</v>
      </c>
      <c r="B299" s="57" t="n">
        <v>0.1388</v>
      </c>
      <c r="C299" s="57" t="n">
        <v>0.1189</v>
      </c>
      <c r="D299" s="57" t="n">
        <v>0.1082</v>
      </c>
      <c r="E299" s="57" t="n">
        <v>0.11969</v>
      </c>
      <c r="F299" s="57" t="n">
        <v>0.1119</v>
      </c>
      <c r="H299" s="57" t="n">
        <v>0.1407</v>
      </c>
    </row>
    <row r="300" customFormat="false" ht="15" hidden="false" customHeight="false" outlineLevel="0" collapsed="false">
      <c r="A300" s="52" t="n">
        <v>44645</v>
      </c>
      <c r="B300" s="57" t="n">
        <v>0.1402</v>
      </c>
      <c r="C300" s="57" t="n">
        <v>0.125</v>
      </c>
      <c r="D300" s="57" t="n">
        <v>0.1074</v>
      </c>
      <c r="E300" s="57" t="n">
        <v>0.11985</v>
      </c>
      <c r="F300" s="57" t="n">
        <v>0.1108</v>
      </c>
      <c r="H300" s="57" t="n">
        <v>0.1401</v>
      </c>
    </row>
    <row r="301" customFormat="false" ht="15" hidden="false" customHeight="false" outlineLevel="0" collapsed="false">
      <c r="A301" s="52" t="n">
        <v>44648</v>
      </c>
      <c r="B301" s="57" t="n">
        <v>0.1396</v>
      </c>
      <c r="C301" s="57" t="n">
        <v>0.1262</v>
      </c>
      <c r="D301" s="57" t="n">
        <v>0.1078</v>
      </c>
      <c r="E301" s="57" t="n">
        <v>0.11969</v>
      </c>
      <c r="F301" s="57" t="n">
        <v>0.1106</v>
      </c>
      <c r="H301" s="57" t="n">
        <v>0.1384</v>
      </c>
    </row>
    <row r="302" customFormat="false" ht="15" hidden="false" customHeight="false" outlineLevel="0" collapsed="false">
      <c r="A302" s="52" t="n">
        <v>44649</v>
      </c>
      <c r="B302" s="57" t="n">
        <v>0.1381</v>
      </c>
      <c r="C302" s="57" t="n">
        <v>0.1258</v>
      </c>
      <c r="D302" s="57" t="n">
        <v>0.1081</v>
      </c>
      <c r="E302" s="57" t="n">
        <v>0.11969</v>
      </c>
      <c r="F302" s="57" t="n">
        <v>0.1101</v>
      </c>
      <c r="H302" s="57" t="n">
        <v>0.1383</v>
      </c>
    </row>
    <row r="303" customFormat="false" ht="15" hidden="false" customHeight="false" outlineLevel="0" collapsed="false">
      <c r="A303" s="52" t="n">
        <v>44650</v>
      </c>
      <c r="B303" s="57" t="n">
        <v>0.139</v>
      </c>
      <c r="C303" s="57" t="n">
        <v>0.1266</v>
      </c>
      <c r="D303" s="57" t="n">
        <v>0.1081</v>
      </c>
      <c r="E303" s="57" t="n">
        <v>0.11955</v>
      </c>
      <c r="F303" s="57" t="n">
        <v>0.1101</v>
      </c>
      <c r="H303" s="57" t="n">
        <v>0.1369</v>
      </c>
    </row>
    <row r="304" customFormat="false" ht="15" hidden="false" customHeight="false" outlineLevel="0" collapsed="false">
      <c r="A304" s="52" t="n">
        <v>44651</v>
      </c>
      <c r="B304" s="57" t="n">
        <v>0.1353</v>
      </c>
      <c r="C304" s="57" t="n">
        <v>0.128</v>
      </c>
      <c r="D304" s="57" t="n">
        <v>0.1085</v>
      </c>
      <c r="E304" s="57" t="n">
        <v>0.11977</v>
      </c>
      <c r="F304" s="57" t="n">
        <v>0.1097</v>
      </c>
      <c r="H304" s="57" t="n">
        <v>0.137</v>
      </c>
    </row>
    <row r="305" customFormat="false" ht="15" hidden="false" customHeight="false" outlineLevel="0" collapsed="false">
      <c r="A305" s="52" t="n">
        <v>44652</v>
      </c>
      <c r="B305" s="57" t="n">
        <v>0.1362</v>
      </c>
      <c r="C305" s="57" t="n">
        <v>0.1304</v>
      </c>
      <c r="D305" s="57" t="n">
        <v>0.1079</v>
      </c>
      <c r="E305" s="57" t="n">
        <v>0.11962</v>
      </c>
      <c r="F305" s="57" t="n">
        <v>0.1116</v>
      </c>
      <c r="H305" s="57" t="n">
        <v>0.1322</v>
      </c>
    </row>
    <row r="306" customFormat="false" ht="15" hidden="false" customHeight="false" outlineLevel="0" collapsed="false">
      <c r="A306" s="52" t="n">
        <v>44655</v>
      </c>
      <c r="B306" s="57" t="n">
        <v>0.1329</v>
      </c>
      <c r="C306" s="57" t="n">
        <v>0.1313</v>
      </c>
      <c r="D306" s="57" t="n">
        <v>0.1076</v>
      </c>
      <c r="E306" s="57" t="n">
        <v>0.11969</v>
      </c>
      <c r="F306" s="57" t="n">
        <v>0.1116</v>
      </c>
      <c r="H306" s="57" t="n">
        <v>0.1317</v>
      </c>
    </row>
    <row r="307" customFormat="false" ht="15" hidden="false" customHeight="false" outlineLevel="0" collapsed="false">
      <c r="A307" s="52" t="n">
        <v>44656</v>
      </c>
      <c r="B307" s="57" t="n">
        <v>0.1326</v>
      </c>
      <c r="C307" s="57" t="n">
        <v>0.13</v>
      </c>
      <c r="D307" s="57" t="n">
        <v>0.1076</v>
      </c>
      <c r="E307" s="57" t="n">
        <v>0.11969</v>
      </c>
      <c r="F307" s="57" t="n">
        <v>0.1109</v>
      </c>
      <c r="H307" s="57" t="n">
        <v>0.1299</v>
      </c>
    </row>
    <row r="308" customFormat="false" ht="15" hidden="false" customHeight="false" outlineLevel="0" collapsed="false">
      <c r="A308" s="52" t="n">
        <v>44657</v>
      </c>
      <c r="B308" s="57" t="n">
        <v>0.1275</v>
      </c>
      <c r="C308" s="57" t="n">
        <v>0.1256</v>
      </c>
      <c r="D308" s="57" t="n">
        <v>0.1081</v>
      </c>
      <c r="E308" s="57" t="n">
        <v>0.11969</v>
      </c>
      <c r="F308" s="57" t="n">
        <v>0.1114</v>
      </c>
      <c r="H308" s="57" t="n">
        <v>0.1276</v>
      </c>
    </row>
    <row r="309" customFormat="false" ht="15" hidden="false" customHeight="false" outlineLevel="0" collapsed="false">
      <c r="A309" s="52" t="n">
        <v>44658</v>
      </c>
      <c r="B309" s="57" t="n">
        <v>0.1285</v>
      </c>
      <c r="C309" s="57" t="n">
        <v>0.1308</v>
      </c>
      <c r="D309" s="57" t="n">
        <v>0.1074</v>
      </c>
      <c r="E309" s="57" t="n">
        <v>0.11969</v>
      </c>
      <c r="F309" s="57" t="n">
        <v>0.1119</v>
      </c>
      <c r="H309" s="57" t="n">
        <v>0.127</v>
      </c>
    </row>
    <row r="310" customFormat="false" ht="15" hidden="false" customHeight="false" outlineLevel="0" collapsed="false">
      <c r="A310" s="52" t="n">
        <v>44659</v>
      </c>
      <c r="B310" s="57" t="n">
        <v>0.1285</v>
      </c>
      <c r="C310" s="57" t="n">
        <v>0.1316</v>
      </c>
      <c r="D310" s="57" t="n">
        <v>0.1075</v>
      </c>
      <c r="E310" s="57" t="n">
        <v>0.11986</v>
      </c>
      <c r="F310" s="57" t="n">
        <v>0.1113</v>
      </c>
      <c r="H310" s="57" t="n">
        <v>0.1287</v>
      </c>
    </row>
    <row r="311" customFormat="false" ht="15" hidden="false" customHeight="false" outlineLevel="0" collapsed="false">
      <c r="A311" s="52" t="n">
        <v>44662</v>
      </c>
      <c r="B311" s="57" t="n">
        <v>0.1445</v>
      </c>
      <c r="C311" s="57" t="n">
        <v>0.1394</v>
      </c>
      <c r="D311" s="57" t="n">
        <v>0.1075</v>
      </c>
      <c r="E311" s="57" t="n">
        <v>0.1197</v>
      </c>
      <c r="F311" s="57" t="n">
        <v>0.1116</v>
      </c>
      <c r="H311" s="57" t="n">
        <v>0.1361</v>
      </c>
    </row>
    <row r="312" customFormat="false" ht="15" hidden="false" customHeight="false" outlineLevel="0" collapsed="false">
      <c r="A312" s="52" t="n">
        <v>44663</v>
      </c>
      <c r="B312" s="57" t="n">
        <v>0.1343</v>
      </c>
      <c r="C312" s="57" t="n">
        <v>0.1309</v>
      </c>
      <c r="D312" s="57" t="n">
        <v>0.1067</v>
      </c>
      <c r="E312" s="57" t="n">
        <v>0.1197</v>
      </c>
      <c r="F312" s="57" t="n">
        <v>0.1115</v>
      </c>
      <c r="H312" s="57" t="n">
        <v>0.1415</v>
      </c>
    </row>
    <row r="313" customFormat="false" ht="15" hidden="false" customHeight="false" outlineLevel="0" collapsed="false">
      <c r="A313" s="52" t="n">
        <v>44664</v>
      </c>
      <c r="B313" s="57" t="n">
        <v>0.1395</v>
      </c>
      <c r="C313" s="57" t="n">
        <v>0.1334</v>
      </c>
      <c r="D313" s="57" t="n">
        <v>0.1065</v>
      </c>
      <c r="E313" s="57" t="n">
        <v>0.1197</v>
      </c>
      <c r="F313" s="57" t="n">
        <v>0.1112</v>
      </c>
      <c r="H313" s="57" t="n">
        <v>0.1403</v>
      </c>
    </row>
    <row r="314" customFormat="false" ht="15" hidden="false" customHeight="false" outlineLevel="0" collapsed="false">
      <c r="A314" s="52" t="n">
        <v>44665</v>
      </c>
      <c r="B314" s="57" t="n">
        <v>0.1387</v>
      </c>
      <c r="C314" s="57" t="n">
        <v>0.1336</v>
      </c>
      <c r="D314" s="57" t="n">
        <v>0.1076</v>
      </c>
      <c r="E314" s="57" t="n">
        <v>0.1197</v>
      </c>
      <c r="F314" s="57" t="n">
        <v>0.1114</v>
      </c>
      <c r="H314" s="57" t="n">
        <v>0.1401</v>
      </c>
    </row>
    <row r="315" customFormat="false" ht="15" hidden="false" customHeight="false" outlineLevel="0" collapsed="false">
      <c r="A315" s="52" t="n">
        <v>44666</v>
      </c>
      <c r="B315" s="57" t="n">
        <v>0.138</v>
      </c>
      <c r="C315" s="57" t="n">
        <v>0.1331</v>
      </c>
      <c r="D315" s="57" t="n">
        <v>0.1088</v>
      </c>
      <c r="E315" s="57" t="n">
        <v>0.11986</v>
      </c>
      <c r="F315" s="57" t="n">
        <v>0.1113</v>
      </c>
      <c r="H315" s="57" t="n">
        <v>0.1402</v>
      </c>
    </row>
    <row r="316" customFormat="false" ht="15" hidden="false" customHeight="false" outlineLevel="0" collapsed="false">
      <c r="A316" s="52" t="n">
        <v>44669</v>
      </c>
      <c r="B316" s="57" t="n">
        <v>0.1374</v>
      </c>
      <c r="C316" s="57" t="n">
        <v>0.1324</v>
      </c>
      <c r="D316" s="57" t="n">
        <v>0.1095</v>
      </c>
      <c r="E316" s="57" t="n">
        <v>0.1197</v>
      </c>
      <c r="F316" s="57" t="n">
        <v>0.1117</v>
      </c>
      <c r="H316" s="57" t="n">
        <v>0.1395</v>
      </c>
    </row>
    <row r="317" customFormat="false" ht="15" hidden="false" customHeight="false" outlineLevel="0" collapsed="false">
      <c r="A317" s="52" t="n">
        <v>44670</v>
      </c>
      <c r="B317" s="57" t="n">
        <v>0.137</v>
      </c>
      <c r="C317" s="57" t="n">
        <v>0.1342</v>
      </c>
      <c r="D317" s="57" t="n">
        <v>0.1108</v>
      </c>
      <c r="E317" s="57" t="n">
        <v>0.1197</v>
      </c>
      <c r="F317" s="57" t="n">
        <v>0.1118</v>
      </c>
      <c r="H317" s="57" t="n">
        <v>0.1397</v>
      </c>
    </row>
    <row r="318" customFormat="false" ht="15" hidden="false" customHeight="false" outlineLevel="0" collapsed="false">
      <c r="A318" s="52" t="n">
        <v>44671</v>
      </c>
      <c r="B318" s="57" t="n">
        <v>0.1372</v>
      </c>
      <c r="C318" s="57" t="n">
        <v>0.1346</v>
      </c>
      <c r="D318" s="57" t="n">
        <v>0.1119</v>
      </c>
      <c r="E318" s="57" t="n">
        <v>0.1197</v>
      </c>
      <c r="F318" s="57" t="n">
        <v>0.1123</v>
      </c>
      <c r="H318" s="57" t="n">
        <v>0.1399</v>
      </c>
    </row>
    <row r="319" customFormat="false" ht="15" hidden="false" customHeight="false" outlineLevel="0" collapsed="false">
      <c r="A319" s="52" t="n">
        <v>44672</v>
      </c>
      <c r="B319" s="57" t="n">
        <v>0.1183</v>
      </c>
      <c r="C319" s="57" t="n">
        <v>0.1354</v>
      </c>
      <c r="D319" s="57" t="n">
        <v>0.1123</v>
      </c>
      <c r="E319" s="57" t="n">
        <v>0.1197</v>
      </c>
      <c r="F319" s="57" t="n">
        <v>0.1115</v>
      </c>
      <c r="H319" s="57" t="n">
        <v>0.1405</v>
      </c>
    </row>
    <row r="320" customFormat="false" ht="15" hidden="false" customHeight="false" outlineLevel="0" collapsed="false">
      <c r="A320" s="52" t="n">
        <v>44673</v>
      </c>
      <c r="B320" s="57" t="n">
        <v>0.1381</v>
      </c>
      <c r="C320" s="57" t="n">
        <v>0.1355</v>
      </c>
      <c r="D320" s="57" t="n">
        <v>0.1124</v>
      </c>
      <c r="E320" s="57" t="n">
        <v>0.11986</v>
      </c>
      <c r="F320" s="57" t="n">
        <v>0.112</v>
      </c>
      <c r="H320" s="57" t="n">
        <v>0.1397</v>
      </c>
    </row>
    <row r="321" customFormat="false" ht="15" hidden="false" customHeight="false" outlineLevel="0" collapsed="false">
      <c r="A321" s="52" t="n">
        <v>44676</v>
      </c>
      <c r="B321" s="57" t="n">
        <v>0.1375</v>
      </c>
      <c r="C321" s="57" t="n">
        <v>0.1361</v>
      </c>
      <c r="D321" s="57" t="n">
        <v>0.1102</v>
      </c>
      <c r="E321" s="57" t="n">
        <v>0.1197</v>
      </c>
      <c r="F321" s="57" t="n">
        <v>0.1118</v>
      </c>
      <c r="H321" s="57" t="n">
        <v>0.1398</v>
      </c>
    </row>
    <row r="322" customFormat="false" ht="15" hidden="false" customHeight="false" outlineLevel="0" collapsed="false">
      <c r="A322" s="52" t="n">
        <v>44677</v>
      </c>
      <c r="B322" s="57" t="n">
        <v>0.1376</v>
      </c>
      <c r="C322" s="57" t="n">
        <v>0.1241</v>
      </c>
      <c r="D322" s="57" t="n">
        <v>0.1099</v>
      </c>
      <c r="E322" s="57" t="n">
        <v>0.1197</v>
      </c>
      <c r="F322" s="57" t="n">
        <v>0.1107</v>
      </c>
      <c r="H322" s="57" t="n">
        <v>0.1443</v>
      </c>
    </row>
    <row r="323" customFormat="false" ht="15" hidden="false" customHeight="false" outlineLevel="0" collapsed="false">
      <c r="A323" s="52" t="n">
        <v>44678</v>
      </c>
      <c r="B323" s="57" t="n">
        <v>0.1211</v>
      </c>
      <c r="C323" s="57" t="n">
        <v>0.1322</v>
      </c>
      <c r="D323" s="57" t="n">
        <v>0.1118</v>
      </c>
      <c r="E323" s="57" t="n">
        <v>0.1197</v>
      </c>
      <c r="F323" s="57" t="n">
        <v>0.1113</v>
      </c>
      <c r="H323" s="57" t="n">
        <v>0.1438</v>
      </c>
    </row>
    <row r="324" customFormat="false" ht="15" hidden="false" customHeight="false" outlineLevel="0" collapsed="false">
      <c r="A324" s="52" t="n">
        <v>44679</v>
      </c>
      <c r="B324" s="57" t="n">
        <v>0.1406</v>
      </c>
      <c r="C324" s="57" t="n">
        <v>0.1324</v>
      </c>
      <c r="D324" s="57" t="n">
        <v>0.1104</v>
      </c>
      <c r="E324" s="57" t="n">
        <v>0.11962</v>
      </c>
      <c r="F324" s="57" t="n">
        <v>0.1125</v>
      </c>
      <c r="H324" s="57" t="n">
        <v>0.1442</v>
      </c>
    </row>
    <row r="325" customFormat="false" ht="15" hidden="false" customHeight="false" outlineLevel="0" collapsed="false">
      <c r="A325" s="52" t="n">
        <v>44680</v>
      </c>
      <c r="B325" s="57" t="n">
        <v>0.141</v>
      </c>
      <c r="C325" s="57" t="n">
        <v>0.131</v>
      </c>
      <c r="D325" s="57" t="n">
        <v>0.1096</v>
      </c>
      <c r="E325" s="57" t="n">
        <v>0.11986</v>
      </c>
      <c r="F325" s="57" t="n">
        <v>0.1119</v>
      </c>
      <c r="H325" s="57" t="n">
        <v>0.1453</v>
      </c>
    </row>
    <row r="326" customFormat="false" ht="15" hidden="false" customHeight="false" outlineLevel="0" collapsed="false">
      <c r="A326" s="52" t="n">
        <v>44684</v>
      </c>
      <c r="B326" s="57" t="n">
        <v>0.1418</v>
      </c>
      <c r="C326" s="57" t="n">
        <v>0.1322</v>
      </c>
      <c r="D326" s="57" t="n">
        <v>0.1101</v>
      </c>
      <c r="E326" s="57" t="n">
        <v>0.1197</v>
      </c>
      <c r="F326" s="57" t="n">
        <v>0.1128</v>
      </c>
      <c r="H326" s="57" t="n">
        <v>0.1446</v>
      </c>
    </row>
    <row r="327" customFormat="false" ht="15" hidden="false" customHeight="false" outlineLevel="0" collapsed="false">
      <c r="A327" s="52" t="n">
        <v>44685</v>
      </c>
      <c r="B327" s="57" t="n">
        <v>0.1413</v>
      </c>
      <c r="C327" s="57" t="n">
        <v>0.1322</v>
      </c>
      <c r="D327" s="57" t="n">
        <v>0.11</v>
      </c>
      <c r="E327" s="57" t="n">
        <v>0.1197</v>
      </c>
      <c r="F327" s="57" t="n">
        <v>0.1139</v>
      </c>
      <c r="H327" s="57" t="n">
        <v>0.1444</v>
      </c>
    </row>
    <row r="328" customFormat="false" ht="15" hidden="false" customHeight="false" outlineLevel="0" collapsed="false">
      <c r="A328" s="52" t="n">
        <v>44686</v>
      </c>
      <c r="B328" s="57" t="n">
        <v>0.1405</v>
      </c>
      <c r="C328" s="57" t="n">
        <v>0.1336</v>
      </c>
      <c r="D328" s="57" t="n">
        <v>0.11</v>
      </c>
      <c r="E328" s="57" t="n">
        <v>0.1197</v>
      </c>
      <c r="F328" s="57" t="n">
        <v>0.1127</v>
      </c>
      <c r="H328" s="57" t="n">
        <v>0.1437</v>
      </c>
    </row>
    <row r="329" customFormat="false" ht="15" hidden="false" customHeight="false" outlineLevel="0" collapsed="false">
      <c r="A329" s="52" t="n">
        <v>44687</v>
      </c>
      <c r="B329" s="57" t="n">
        <v>0.1415</v>
      </c>
      <c r="C329" s="57" t="n">
        <v>0.1344</v>
      </c>
      <c r="D329" s="57" t="n">
        <v>0.1107</v>
      </c>
      <c r="E329" s="57" t="n">
        <v>0.11995</v>
      </c>
      <c r="F329" s="57" t="n">
        <v>0.1153</v>
      </c>
      <c r="H329" s="57" t="n">
        <v>0.1444</v>
      </c>
    </row>
    <row r="330" customFormat="false" ht="15" hidden="false" customHeight="false" outlineLevel="0" collapsed="false">
      <c r="A330" s="52" t="n">
        <v>44692</v>
      </c>
      <c r="B330" s="57" t="n">
        <v>0.1425</v>
      </c>
      <c r="C330" s="57" t="n">
        <v>0.1362</v>
      </c>
      <c r="D330" s="57" t="n">
        <v>0.112</v>
      </c>
      <c r="E330" s="57" t="n">
        <v>0.1197</v>
      </c>
      <c r="F330" s="57" t="n">
        <v>0.1133</v>
      </c>
      <c r="H330" s="57" t="n">
        <v>0.1414</v>
      </c>
    </row>
    <row r="331" customFormat="false" ht="15" hidden="false" customHeight="false" outlineLevel="0" collapsed="false">
      <c r="A331" s="52" t="n">
        <v>44693</v>
      </c>
      <c r="B331" s="57" t="n">
        <v>0.141</v>
      </c>
      <c r="C331" s="57" t="n">
        <v>0.1354</v>
      </c>
      <c r="D331" s="57" t="n">
        <v>0.1112</v>
      </c>
      <c r="E331" s="57" t="n">
        <v>0.12082</v>
      </c>
      <c r="F331" s="57" t="n">
        <v>0.113</v>
      </c>
      <c r="H331" s="57" t="n">
        <v>0.1361</v>
      </c>
    </row>
    <row r="332" customFormat="false" ht="15" hidden="false" customHeight="false" outlineLevel="0" collapsed="false">
      <c r="A332" s="52" t="n">
        <v>44694</v>
      </c>
      <c r="B332" s="57" t="n">
        <v>0.138</v>
      </c>
      <c r="C332" s="57" t="n">
        <v>0.1378</v>
      </c>
      <c r="D332" s="57" t="n">
        <v>0.11</v>
      </c>
      <c r="E332" s="57" t="n">
        <v>0.12092</v>
      </c>
      <c r="F332" s="57" t="n">
        <v>0.1136</v>
      </c>
      <c r="H332" s="57" t="n">
        <v>0.1351</v>
      </c>
    </row>
    <row r="333" customFormat="false" ht="15" hidden="false" customHeight="false" outlineLevel="0" collapsed="false">
      <c r="A333" s="52" t="n">
        <v>44697</v>
      </c>
      <c r="B333" s="57" t="n">
        <v>0.1324</v>
      </c>
      <c r="C333" s="57" t="n">
        <v>0.1374</v>
      </c>
      <c r="D333" s="57" t="n">
        <v>0.1102</v>
      </c>
      <c r="E333" s="57" t="n">
        <v>0.12082</v>
      </c>
      <c r="F333" s="57" t="n">
        <v>0.1125</v>
      </c>
      <c r="H333" s="57" t="n">
        <v>0.1381</v>
      </c>
    </row>
    <row r="334" customFormat="false" ht="15" hidden="false" customHeight="false" outlineLevel="0" collapsed="false">
      <c r="A334" s="52" t="n">
        <v>44698</v>
      </c>
      <c r="B334" s="57" t="n">
        <v>0.1371</v>
      </c>
      <c r="C334" s="57" t="n">
        <v>0.1364</v>
      </c>
      <c r="D334" s="57" t="n">
        <v>0.1106</v>
      </c>
      <c r="E334" s="57" t="n">
        <v>0.12082</v>
      </c>
      <c r="F334" s="57" t="n">
        <v>0.1138</v>
      </c>
      <c r="H334" s="57" t="n">
        <v>0.1411</v>
      </c>
    </row>
    <row r="335" customFormat="false" ht="15" hidden="false" customHeight="false" outlineLevel="0" collapsed="false">
      <c r="A335" s="52" t="n">
        <v>44699</v>
      </c>
      <c r="B335" s="57" t="n">
        <v>0.1413</v>
      </c>
      <c r="C335" s="57" t="n">
        <v>0.1372</v>
      </c>
      <c r="D335" s="57" t="n">
        <v>0.1111</v>
      </c>
      <c r="E335" s="57" t="n">
        <v>0.12082</v>
      </c>
      <c r="F335" s="57" t="n">
        <v>0.1132</v>
      </c>
      <c r="H335" s="57" t="n">
        <v>0.1427</v>
      </c>
    </row>
    <row r="336" customFormat="false" ht="15" hidden="false" customHeight="false" outlineLevel="0" collapsed="false">
      <c r="A336" s="52" t="n">
        <v>44700</v>
      </c>
      <c r="B336" s="57" t="n">
        <v>0.1424</v>
      </c>
      <c r="C336" s="57" t="n">
        <v>0.1366</v>
      </c>
      <c r="D336" s="57" t="n">
        <v>0.1108</v>
      </c>
      <c r="E336" s="57" t="n">
        <v>0.12082</v>
      </c>
      <c r="F336" s="57" t="n">
        <v>0.1136</v>
      </c>
      <c r="H336" s="57" t="n">
        <v>0.1435</v>
      </c>
    </row>
    <row r="337" customFormat="false" ht="15" hidden="false" customHeight="false" outlineLevel="0" collapsed="false">
      <c r="A337" s="52" t="n">
        <v>44701</v>
      </c>
      <c r="B337" s="57" t="n">
        <v>0.1399</v>
      </c>
      <c r="C337" s="57" t="n">
        <v>0.1366</v>
      </c>
      <c r="D337" s="57" t="n">
        <v>0.1109</v>
      </c>
      <c r="E337" s="57" t="n">
        <v>0.12094</v>
      </c>
      <c r="F337" s="57" t="n">
        <v>0.1131</v>
      </c>
      <c r="H337" s="57" t="n">
        <v>0.1416</v>
      </c>
    </row>
    <row r="338" customFormat="false" ht="15" hidden="false" customHeight="false" outlineLevel="0" collapsed="false">
      <c r="A338" s="52" t="n">
        <v>44704</v>
      </c>
      <c r="B338" s="57" t="n">
        <v>0.1397</v>
      </c>
      <c r="C338" s="57" t="n">
        <v>0.1356</v>
      </c>
      <c r="D338" s="57" t="n">
        <v>0.1096</v>
      </c>
      <c r="E338" s="57" t="n">
        <v>0.12082</v>
      </c>
      <c r="F338" s="57" t="n">
        <v>0.1131</v>
      </c>
      <c r="H338" s="57" t="n">
        <v>0.1452</v>
      </c>
    </row>
    <row r="339" customFormat="false" ht="15" hidden="false" customHeight="false" outlineLevel="0" collapsed="false">
      <c r="A339" s="52" t="n">
        <v>44705</v>
      </c>
      <c r="B339" s="57" t="n">
        <v>0.144</v>
      </c>
      <c r="C339" s="57" t="n">
        <v>0.1343</v>
      </c>
      <c r="D339" s="57" t="n">
        <v>0.1112</v>
      </c>
      <c r="E339" s="57" t="n">
        <v>0.12132</v>
      </c>
      <c r="F339" s="57" t="n">
        <v>0.1133</v>
      </c>
      <c r="H339" s="57" t="n">
        <v>0.1485</v>
      </c>
    </row>
    <row r="340" customFormat="false" ht="15" hidden="false" customHeight="false" outlineLevel="0" collapsed="false">
      <c r="A340" s="52" t="n">
        <v>44706</v>
      </c>
      <c r="B340" s="57" t="n">
        <v>0.1452</v>
      </c>
      <c r="C340" s="57" t="n">
        <v>0.1348</v>
      </c>
      <c r="D340" s="57" t="n">
        <v>0.1093</v>
      </c>
      <c r="E340" s="57" t="n">
        <v>0.12132</v>
      </c>
      <c r="F340" s="57" t="n">
        <v>0.1131</v>
      </c>
      <c r="H340" s="57" t="n">
        <v>0.1489</v>
      </c>
    </row>
    <row r="341" customFormat="false" ht="15" hidden="false" customHeight="false" outlineLevel="0" collapsed="false">
      <c r="A341" s="52" t="n">
        <v>44707</v>
      </c>
      <c r="B341" s="57" t="n">
        <v>0.1457</v>
      </c>
      <c r="C341" s="57" t="n">
        <v>0.1348</v>
      </c>
      <c r="D341" s="57" t="n">
        <v>0.1094</v>
      </c>
      <c r="E341" s="57" t="n">
        <v>0.12132</v>
      </c>
      <c r="F341" s="57" t="n">
        <v>0.113</v>
      </c>
      <c r="H341" s="57" t="n">
        <v>0.1487</v>
      </c>
    </row>
    <row r="342" customFormat="false" ht="15" hidden="false" customHeight="false" outlineLevel="0" collapsed="false">
      <c r="A342" s="52" t="n">
        <v>44708</v>
      </c>
      <c r="B342" s="57" t="n">
        <v>0.1458</v>
      </c>
      <c r="C342" s="57" t="n">
        <v>0.128</v>
      </c>
      <c r="D342" s="57" t="n">
        <v>0.1105</v>
      </c>
      <c r="E342" s="57" t="n">
        <v>0.12144</v>
      </c>
      <c r="F342" s="57" t="n">
        <v>0.1132</v>
      </c>
      <c r="H342" s="57" t="n">
        <v>0.1492</v>
      </c>
    </row>
    <row r="343" customFormat="false" ht="15" hidden="false" customHeight="false" outlineLevel="0" collapsed="false">
      <c r="A343" s="52" t="n">
        <v>44711</v>
      </c>
      <c r="B343" s="57" t="n">
        <v>0.1461</v>
      </c>
      <c r="C343" s="57" t="n">
        <v>0.1324</v>
      </c>
      <c r="D343" s="57" t="n">
        <v>0.1101</v>
      </c>
      <c r="E343" s="57" t="n">
        <v>0.12071</v>
      </c>
      <c r="F343" s="57" t="n">
        <v>0.1136</v>
      </c>
      <c r="H343" s="57" t="n">
        <v>0.1479</v>
      </c>
    </row>
    <row r="344" customFormat="false" ht="15" hidden="false" customHeight="false" outlineLevel="0" collapsed="false">
      <c r="A344" s="52" t="n">
        <v>44712</v>
      </c>
      <c r="B344" s="57" t="n">
        <v>0.1433</v>
      </c>
      <c r="C344" s="57" t="n">
        <v>0.1327</v>
      </c>
      <c r="D344" s="57" t="n">
        <v>0.1096</v>
      </c>
      <c r="E344" s="57" t="n">
        <v>0.12089</v>
      </c>
      <c r="F344" s="57" t="n">
        <v>0.1137</v>
      </c>
      <c r="H344" s="57" t="n">
        <v>0.1489</v>
      </c>
    </row>
    <row r="345" customFormat="false" ht="15" hidden="false" customHeight="false" outlineLevel="0" collapsed="false">
      <c r="A345" s="52" t="n">
        <v>44713</v>
      </c>
      <c r="B345" s="57" t="n">
        <v>0.1436</v>
      </c>
      <c r="C345" s="57" t="n">
        <v>0.1331</v>
      </c>
      <c r="D345" s="57" t="n">
        <v>0.1093</v>
      </c>
      <c r="E345" s="57" t="n">
        <v>0.12082</v>
      </c>
      <c r="F345" s="57" t="n">
        <v>0.1149</v>
      </c>
      <c r="H345" s="57" t="n">
        <v>0.1488</v>
      </c>
    </row>
    <row r="346" customFormat="false" ht="15" hidden="false" customHeight="false" outlineLevel="0" collapsed="false">
      <c r="A346" s="52" t="n">
        <v>44714</v>
      </c>
      <c r="B346" s="57" t="n">
        <v>0.1435</v>
      </c>
      <c r="C346" s="57" t="n">
        <v>0.1325</v>
      </c>
      <c r="D346" s="57" t="n">
        <v>0.1096</v>
      </c>
      <c r="E346" s="57" t="n">
        <v>0.12082</v>
      </c>
      <c r="F346" s="57" t="n">
        <v>0.1156</v>
      </c>
      <c r="H346" s="57" t="n">
        <v>0.1455</v>
      </c>
    </row>
    <row r="347" customFormat="false" ht="15" hidden="false" customHeight="false" outlineLevel="0" collapsed="false">
      <c r="A347" s="52" t="n">
        <v>44715</v>
      </c>
      <c r="B347" s="57" t="n">
        <v>0.1418</v>
      </c>
      <c r="C347" s="57" t="n">
        <v>0.1337</v>
      </c>
      <c r="D347" s="57" t="n">
        <v>0.1117</v>
      </c>
      <c r="E347" s="57" t="n">
        <v>0.12077</v>
      </c>
      <c r="F347" s="57" t="n">
        <v>0.1149</v>
      </c>
      <c r="H347" s="57" t="n">
        <v>0.1458</v>
      </c>
    </row>
    <row r="348" customFormat="false" ht="15" hidden="false" customHeight="false" outlineLevel="0" collapsed="false">
      <c r="A348" s="52" t="n">
        <v>44718</v>
      </c>
      <c r="B348" s="57" t="n">
        <v>0.1423</v>
      </c>
      <c r="C348" s="57" t="n">
        <v>0.1358</v>
      </c>
      <c r="D348" s="57" t="n">
        <v>0.1139</v>
      </c>
      <c r="E348" s="57" t="n">
        <v>0.12082</v>
      </c>
      <c r="F348" s="57" t="n">
        <v>0.1144</v>
      </c>
      <c r="H348" s="57" t="n">
        <v>0.1426</v>
      </c>
    </row>
    <row r="349" customFormat="false" ht="15" hidden="false" customHeight="false" outlineLevel="0" collapsed="false">
      <c r="A349" s="52" t="n">
        <v>44719</v>
      </c>
      <c r="B349" s="57" t="n">
        <v>0.1404</v>
      </c>
      <c r="C349" s="57" t="n">
        <v>0.1355</v>
      </c>
      <c r="D349" s="57" t="n">
        <v>0.1142</v>
      </c>
      <c r="E349" s="57" t="n">
        <v>0.12082</v>
      </c>
      <c r="F349" s="57" t="n">
        <v>0.1145</v>
      </c>
      <c r="H349" s="57" t="n">
        <v>0.1395</v>
      </c>
    </row>
    <row r="350" customFormat="false" ht="15" hidden="false" customHeight="false" outlineLevel="0" collapsed="false">
      <c r="A350" s="52" t="n">
        <v>44720</v>
      </c>
      <c r="B350" s="57" t="n">
        <v>0.1394</v>
      </c>
      <c r="C350" s="57" t="n">
        <v>0.1367</v>
      </c>
      <c r="D350" s="57" t="n">
        <v>0.115</v>
      </c>
      <c r="E350" s="57" t="n">
        <v>0.12082</v>
      </c>
      <c r="F350" s="57" t="n">
        <v>0.1147</v>
      </c>
      <c r="H350" s="57" t="n">
        <v>0.1368</v>
      </c>
    </row>
    <row r="351" customFormat="false" ht="15" hidden="false" customHeight="false" outlineLevel="0" collapsed="false">
      <c r="A351" s="52" t="n">
        <v>44721</v>
      </c>
      <c r="B351" s="57" t="n">
        <v>0.138</v>
      </c>
      <c r="C351" s="57" t="n">
        <v>0.135</v>
      </c>
      <c r="D351" s="57" t="n">
        <v>0.1138</v>
      </c>
      <c r="E351" s="57" t="n">
        <v>0.12082</v>
      </c>
      <c r="F351" s="57" t="n">
        <v>0.1145</v>
      </c>
      <c r="H351" s="57" t="n">
        <v>0.1364</v>
      </c>
    </row>
    <row r="352" customFormat="false" ht="15" hidden="false" customHeight="false" outlineLevel="0" collapsed="false">
      <c r="A352" s="52" t="n">
        <v>44722</v>
      </c>
      <c r="B352" s="57" t="n">
        <v>0.1383</v>
      </c>
      <c r="C352" s="57" t="n">
        <v>0.1389</v>
      </c>
      <c r="D352" s="57" t="n">
        <v>0.1151</v>
      </c>
      <c r="E352" s="57" t="n">
        <v>0.12094</v>
      </c>
      <c r="F352" s="57" t="n">
        <v>0.1154</v>
      </c>
      <c r="H352" s="57" t="n">
        <v>0.1342</v>
      </c>
    </row>
    <row r="353" customFormat="false" ht="15" hidden="false" customHeight="false" outlineLevel="0" collapsed="false">
      <c r="A353" s="52" t="n">
        <v>44725</v>
      </c>
      <c r="B353" s="57" t="n">
        <v>0.1371</v>
      </c>
      <c r="C353" s="57" t="n">
        <v>0.1388</v>
      </c>
      <c r="D353" s="57" t="n">
        <v>0.1147</v>
      </c>
      <c r="E353" s="57" t="n">
        <v>0.12082</v>
      </c>
      <c r="F353" s="57" t="n">
        <v>0.1141</v>
      </c>
      <c r="H353" s="57" t="n">
        <v>0.1333</v>
      </c>
    </row>
    <row r="354" customFormat="false" ht="15" hidden="false" customHeight="false" outlineLevel="0" collapsed="false">
      <c r="A354" s="52" t="n">
        <v>44726</v>
      </c>
      <c r="B354" s="57" t="n">
        <v>0.1366</v>
      </c>
      <c r="C354" s="57" t="n">
        <v>0.1387</v>
      </c>
      <c r="D354" s="57" t="n">
        <v>0.1146</v>
      </c>
      <c r="E354" s="57" t="n">
        <v>0.12082</v>
      </c>
      <c r="F354" s="57" t="n">
        <v>0.1166</v>
      </c>
      <c r="H354" s="57" t="n">
        <v>0.1325</v>
      </c>
    </row>
    <row r="355" customFormat="false" ht="15" hidden="false" customHeight="false" outlineLevel="0" collapsed="false">
      <c r="A355" s="52" t="n">
        <v>44727</v>
      </c>
      <c r="B355" s="57" t="n">
        <v>0.137</v>
      </c>
      <c r="C355" s="57" t="n">
        <v>0.1375</v>
      </c>
      <c r="D355" s="57" t="n">
        <v>0.1165</v>
      </c>
      <c r="E355" s="57" t="n">
        <v>0.12082</v>
      </c>
      <c r="F355" s="57" t="n">
        <v>0.1154</v>
      </c>
      <c r="H355" s="57" t="n">
        <v>0.132</v>
      </c>
    </row>
    <row r="356" customFormat="false" ht="15" hidden="false" customHeight="false" outlineLevel="0" collapsed="false">
      <c r="A356" s="52" t="n">
        <v>44728</v>
      </c>
      <c r="B356" s="57" t="n">
        <v>0.136</v>
      </c>
      <c r="C356" s="57" t="n">
        <v>0.1394</v>
      </c>
      <c r="D356" s="57" t="n">
        <v>0.1165</v>
      </c>
      <c r="E356" s="57" t="n">
        <v>0.12082</v>
      </c>
      <c r="F356" s="57" t="n">
        <v>0.1152</v>
      </c>
      <c r="H356" s="57" t="n">
        <v>0.1311</v>
      </c>
    </row>
    <row r="357" customFormat="false" ht="15" hidden="false" customHeight="false" outlineLevel="0" collapsed="false">
      <c r="A357" s="52" t="n">
        <v>44729</v>
      </c>
      <c r="B357" s="57" t="n">
        <v>0.1356</v>
      </c>
      <c r="C357" s="57" t="n">
        <v>0.1377</v>
      </c>
      <c r="D357" s="57" t="n">
        <v>0.1149</v>
      </c>
      <c r="E357" s="57" t="n">
        <v>0.12094</v>
      </c>
      <c r="F357" s="57" t="n">
        <v>0.1155</v>
      </c>
      <c r="H357" s="57" t="n">
        <v>0.1307</v>
      </c>
    </row>
    <row r="358" customFormat="false" ht="15" hidden="false" customHeight="false" outlineLevel="0" collapsed="false">
      <c r="A358" s="52" t="n">
        <v>44732</v>
      </c>
      <c r="B358" s="57" t="n">
        <v>0.1358</v>
      </c>
      <c r="C358" s="57" t="n">
        <v>0.1384</v>
      </c>
      <c r="D358" s="57" t="n">
        <v>0.1149</v>
      </c>
      <c r="E358" s="57" t="n">
        <v>0.12082</v>
      </c>
      <c r="F358" s="57" t="n">
        <v>0.1156</v>
      </c>
      <c r="H358" s="57" t="n">
        <v>0.1342</v>
      </c>
    </row>
    <row r="359" customFormat="false" ht="15" hidden="false" customHeight="false" outlineLevel="0" collapsed="false">
      <c r="A359" s="52" t="n">
        <v>44733</v>
      </c>
      <c r="B359" s="57" t="n">
        <v>0.1373</v>
      </c>
      <c r="C359" s="57" t="n">
        <v>0.1332</v>
      </c>
      <c r="D359" s="57" t="n">
        <v>0.114</v>
      </c>
      <c r="E359" s="57" t="n">
        <v>0.12082</v>
      </c>
      <c r="F359" s="57" t="n">
        <v>0.117</v>
      </c>
      <c r="H359" s="57" t="n">
        <v>0.1311</v>
      </c>
    </row>
    <row r="360" customFormat="false" ht="15" hidden="false" customHeight="false" outlineLevel="0" collapsed="false">
      <c r="A360" s="52" t="n">
        <v>44734</v>
      </c>
      <c r="B360" s="57" t="n">
        <v>0.1375</v>
      </c>
      <c r="C360" s="57" t="n">
        <v>0.1333</v>
      </c>
      <c r="D360" s="57" t="n">
        <v>0.1144</v>
      </c>
      <c r="E360" s="57" t="n">
        <v>0.12082</v>
      </c>
      <c r="F360" s="57" t="n">
        <v>0.116</v>
      </c>
      <c r="H360" s="57" t="n">
        <v>0.1308</v>
      </c>
    </row>
    <row r="361" customFormat="false" ht="15" hidden="false" customHeight="false" outlineLevel="0" collapsed="false">
      <c r="A361" s="52" t="n">
        <v>44735</v>
      </c>
      <c r="B361" s="57" t="n">
        <v>0.1374</v>
      </c>
      <c r="C361" s="57" t="n">
        <v>0.1334</v>
      </c>
      <c r="D361" s="57" t="n">
        <v>0.1126</v>
      </c>
      <c r="E361" s="57" t="n">
        <v>0.12077</v>
      </c>
      <c r="F361" s="57" t="n">
        <v>0.1161</v>
      </c>
      <c r="H361" s="57" t="n">
        <v>0.1309</v>
      </c>
    </row>
    <row r="362" customFormat="false" ht="15" hidden="false" customHeight="false" outlineLevel="0" collapsed="false">
      <c r="A362" s="52" t="n">
        <v>44736</v>
      </c>
      <c r="B362" s="57" t="n">
        <v>0.1371</v>
      </c>
      <c r="C362" s="57" t="n">
        <v>0.1317</v>
      </c>
      <c r="D362" s="57" t="n">
        <v>0.113</v>
      </c>
      <c r="E362" s="57" t="n">
        <v>0.12094</v>
      </c>
      <c r="F362" s="57" t="n">
        <v>0.1166</v>
      </c>
      <c r="H362" s="57" t="n">
        <v>0.1307</v>
      </c>
    </row>
    <row r="363" customFormat="false" ht="15" hidden="false" customHeight="false" outlineLevel="0" collapsed="false">
      <c r="A363" s="52" t="n">
        <v>44739</v>
      </c>
      <c r="B363" s="57" t="n">
        <v>0.1365</v>
      </c>
      <c r="C363" s="57" t="n">
        <v>0.1353</v>
      </c>
      <c r="D363" s="57" t="n">
        <v>0.1121</v>
      </c>
      <c r="E363" s="57" t="n">
        <v>0.12082</v>
      </c>
      <c r="F363" s="57" t="n">
        <v>0.1165</v>
      </c>
      <c r="H363" s="57" t="n">
        <v>0.1308</v>
      </c>
    </row>
    <row r="364" customFormat="false" ht="15" hidden="false" customHeight="false" outlineLevel="0" collapsed="false">
      <c r="A364" s="52" t="n">
        <v>44740</v>
      </c>
      <c r="B364" s="57" t="n">
        <v>0.1365</v>
      </c>
      <c r="C364" s="57" t="n">
        <v>0.1317</v>
      </c>
      <c r="D364" s="57" t="n">
        <v>0.1118</v>
      </c>
      <c r="E364" s="57" t="n">
        <v>0.12082</v>
      </c>
      <c r="F364" s="57" t="n">
        <v>0.1162</v>
      </c>
      <c r="H364" s="57" t="n">
        <v>0.1323</v>
      </c>
    </row>
    <row r="365" customFormat="false" ht="15" hidden="false" customHeight="false" outlineLevel="0" collapsed="false">
      <c r="A365" s="52" t="n">
        <v>44741</v>
      </c>
      <c r="B365" s="57" t="n">
        <v>0.1375</v>
      </c>
      <c r="C365" s="57" t="n">
        <v>0.1316</v>
      </c>
      <c r="D365" s="57" t="n">
        <v>0.1113</v>
      </c>
      <c r="E365" s="57" t="n">
        <v>0.12082</v>
      </c>
      <c r="F365" s="57" t="n">
        <v>0.1162</v>
      </c>
      <c r="H365" s="57" t="n">
        <v>0.1322</v>
      </c>
    </row>
    <row r="366" customFormat="false" ht="15" hidden="false" customHeight="false" outlineLevel="0" collapsed="false">
      <c r="A366" s="52" t="n">
        <v>44742</v>
      </c>
      <c r="B366" s="57" t="n">
        <v>0.1367</v>
      </c>
      <c r="C366" s="57" t="n">
        <v>0.1288</v>
      </c>
      <c r="D366" s="57" t="n">
        <v>0.1116</v>
      </c>
      <c r="E366" s="57" t="n">
        <v>0.12082</v>
      </c>
      <c r="F366" s="57" t="n">
        <v>0.1162</v>
      </c>
      <c r="H366" s="57" t="n">
        <v>0.1339</v>
      </c>
    </row>
    <row r="367" customFormat="false" ht="15" hidden="false" customHeight="false" outlineLevel="0" collapsed="false">
      <c r="A367" s="52" t="n">
        <v>44743</v>
      </c>
      <c r="B367" s="57" t="n">
        <v>0.1377</v>
      </c>
      <c r="C367" s="57" t="n">
        <v>0.1337</v>
      </c>
      <c r="D367" s="57" t="n">
        <v>0.1111</v>
      </c>
      <c r="E367" s="57" t="n">
        <v>0.13347</v>
      </c>
      <c r="F367" s="57" t="n">
        <v>0.1166</v>
      </c>
      <c r="H367" s="57" t="n">
        <v>0.1306</v>
      </c>
    </row>
    <row r="368" customFormat="false" ht="15" hidden="false" customHeight="false" outlineLevel="0" collapsed="false">
      <c r="A368" s="52" t="n">
        <v>44746</v>
      </c>
      <c r="B368" s="57" t="n">
        <v>0.1447</v>
      </c>
      <c r="C368" s="57" t="n">
        <v>0.1308</v>
      </c>
      <c r="D368" s="57" t="n">
        <v>0.1108</v>
      </c>
      <c r="E368" s="57" t="n">
        <v>0.13333</v>
      </c>
      <c r="F368" s="57" t="n">
        <v>0.1162</v>
      </c>
      <c r="H368" s="57" t="n">
        <v>0.1305</v>
      </c>
    </row>
    <row r="369" customFormat="false" ht="15" hidden="false" customHeight="false" outlineLevel="0" collapsed="false">
      <c r="A369" s="52" t="n">
        <v>44747</v>
      </c>
      <c r="B369" s="57" t="n">
        <v>0.1442</v>
      </c>
      <c r="C369" s="57" t="n">
        <v>0.1305</v>
      </c>
      <c r="D369" s="57" t="n">
        <v>0.1127</v>
      </c>
      <c r="E369" s="57" t="n">
        <v>0.13333</v>
      </c>
      <c r="F369" s="57" t="n">
        <v>0.1167</v>
      </c>
      <c r="H369" s="57" t="n">
        <v>0.1301</v>
      </c>
    </row>
    <row r="370" customFormat="false" ht="15" hidden="false" customHeight="false" outlineLevel="0" collapsed="false">
      <c r="A370" s="52" t="n">
        <v>44749</v>
      </c>
      <c r="B370" s="57" t="n">
        <v>0.1439</v>
      </c>
      <c r="C370" s="57" t="n">
        <v>0.1326</v>
      </c>
      <c r="D370" s="57" t="n">
        <v>0.1109</v>
      </c>
      <c r="E370" s="57" t="n">
        <v>0.13333</v>
      </c>
      <c r="F370" s="57" t="n">
        <v>0.1164</v>
      </c>
      <c r="H370" s="57" t="n">
        <v>0.1298</v>
      </c>
    </row>
    <row r="371" customFormat="false" ht="15" hidden="false" customHeight="false" outlineLevel="0" collapsed="false">
      <c r="A371" s="52" t="n">
        <v>44750</v>
      </c>
      <c r="B371" s="57" t="n">
        <v>0.1421</v>
      </c>
      <c r="C371" s="57" t="n">
        <v>0.1312</v>
      </c>
      <c r="D371" s="57" t="n">
        <v>0.1103</v>
      </c>
      <c r="E371" s="57" t="n">
        <v>0.13347</v>
      </c>
      <c r="F371" s="57" t="n">
        <v>0.1168</v>
      </c>
      <c r="H371" s="57" t="n">
        <v>0.128</v>
      </c>
    </row>
    <row r="372" customFormat="false" ht="15" hidden="false" customHeight="false" outlineLevel="0" collapsed="false">
      <c r="A372" s="52" t="n">
        <v>44753</v>
      </c>
      <c r="B372" s="57" t="n">
        <v>0.1439</v>
      </c>
      <c r="C372" s="57" t="n">
        <v>0.1326</v>
      </c>
      <c r="D372" s="57" t="n">
        <v>0.1109</v>
      </c>
      <c r="E372" s="57" t="n">
        <v>0.13333</v>
      </c>
      <c r="F372" s="57" t="n">
        <v>0.1167</v>
      </c>
      <c r="H372" s="57" t="n">
        <v>0.1298</v>
      </c>
    </row>
    <row r="373" customFormat="false" ht="15" hidden="false" customHeight="false" outlineLevel="0" collapsed="false">
      <c r="A373" s="52" t="n">
        <v>44754</v>
      </c>
      <c r="B373" s="57" t="n">
        <v>0.1436</v>
      </c>
      <c r="C373" s="57" t="n">
        <v>0.1329</v>
      </c>
      <c r="D373" s="57" t="n">
        <v>0.1109</v>
      </c>
      <c r="E373" s="57" t="n">
        <v>0.13333</v>
      </c>
      <c r="F373" s="57" t="n">
        <v>0.1167</v>
      </c>
      <c r="H373" s="57" t="n">
        <v>0.1298</v>
      </c>
    </row>
    <row r="374" customFormat="false" ht="15" hidden="false" customHeight="false" outlineLevel="0" collapsed="false">
      <c r="A374" s="52" t="n">
        <v>44755</v>
      </c>
      <c r="B374" s="57" t="n">
        <v>0.1442</v>
      </c>
      <c r="C374" s="57" t="n">
        <v>0.1326</v>
      </c>
      <c r="D374" s="57" t="n">
        <v>0.1111</v>
      </c>
      <c r="E374" s="57" t="n">
        <v>0.13333</v>
      </c>
      <c r="F374" s="57" t="n">
        <v>0.1167</v>
      </c>
      <c r="H374" s="57" t="n">
        <v>0.13</v>
      </c>
    </row>
    <row r="375" customFormat="false" ht="15" hidden="false" customHeight="false" outlineLevel="0" collapsed="false">
      <c r="A375" s="52" t="n">
        <v>44756</v>
      </c>
      <c r="B375" s="57" t="n">
        <v>0.1409</v>
      </c>
      <c r="C375" s="57" t="n">
        <v>0.1351</v>
      </c>
      <c r="D375" s="57" t="n">
        <v>0.1103</v>
      </c>
      <c r="E375" s="57" t="n">
        <v>0.13333</v>
      </c>
      <c r="F375" s="57" t="n">
        <v>0.1165</v>
      </c>
      <c r="H375" s="57" t="n">
        <v>0.13</v>
      </c>
    </row>
    <row r="376" customFormat="false" ht="15" hidden="false" customHeight="false" outlineLevel="0" collapsed="false">
      <c r="A376" s="52" t="n">
        <v>44757</v>
      </c>
      <c r="B376" s="57" t="n">
        <v>0.1404</v>
      </c>
      <c r="C376" s="57" t="n">
        <v>0.1347</v>
      </c>
      <c r="D376" s="57" t="n">
        <v>0.1098</v>
      </c>
      <c r="E376" s="57" t="n">
        <v>0.13347</v>
      </c>
      <c r="F376" s="57" t="n">
        <v>0.1162</v>
      </c>
      <c r="H376" s="57" t="n">
        <v>0.13</v>
      </c>
    </row>
    <row r="377" customFormat="false" ht="15" hidden="false" customHeight="false" outlineLevel="0" collapsed="false">
      <c r="A377" s="52" t="n">
        <v>44760</v>
      </c>
      <c r="B377" s="57" t="n">
        <v>0.1407</v>
      </c>
      <c r="C377" s="57" t="n">
        <v>0.1349</v>
      </c>
      <c r="D377" s="57" t="n">
        <v>0.1098</v>
      </c>
      <c r="E377" s="57" t="n">
        <v>0.13334</v>
      </c>
      <c r="F377" s="57" t="n">
        <v>0.1165</v>
      </c>
      <c r="H377" s="57" t="n">
        <v>0.13</v>
      </c>
    </row>
    <row r="378" customFormat="false" ht="15" hidden="false" customHeight="false" outlineLevel="0" collapsed="false">
      <c r="A378" s="52" t="n">
        <v>44761</v>
      </c>
      <c r="B378" s="57" t="n">
        <v>0.1345</v>
      </c>
      <c r="C378" s="57" t="n">
        <v>0.1321</v>
      </c>
      <c r="D378" s="57" t="n">
        <v>0.1097</v>
      </c>
      <c r="E378" s="57" t="n">
        <v>0.13334</v>
      </c>
      <c r="F378" s="57" t="n">
        <v>0.1172</v>
      </c>
      <c r="H378" s="57" t="n">
        <v>0.13</v>
      </c>
    </row>
    <row r="379" customFormat="false" ht="15" hidden="false" customHeight="false" outlineLevel="0" collapsed="false">
      <c r="A379" s="52" t="n">
        <v>44762</v>
      </c>
      <c r="B379" s="57" t="n">
        <v>0.1435</v>
      </c>
      <c r="C379" s="57" t="n">
        <v>0.1333</v>
      </c>
      <c r="D379" s="57" t="n">
        <v>0.111</v>
      </c>
      <c r="E379" s="57" t="n">
        <v>0.13334</v>
      </c>
      <c r="F379" s="57" t="n">
        <v>0.117</v>
      </c>
      <c r="H379" s="57" t="n">
        <v>0.1286</v>
      </c>
    </row>
    <row r="380" customFormat="false" ht="15" hidden="false" customHeight="false" outlineLevel="0" collapsed="false">
      <c r="A380" s="52" t="n">
        <v>44763</v>
      </c>
      <c r="B380" s="57" t="n">
        <v>0.1439</v>
      </c>
      <c r="C380" s="57" t="n">
        <v>0.1288</v>
      </c>
      <c r="D380" s="57" t="n">
        <v>0.1124</v>
      </c>
      <c r="E380" s="57" t="n">
        <v>0.13334</v>
      </c>
      <c r="F380" s="57" t="n">
        <v>0.1174</v>
      </c>
      <c r="H380" s="57" t="n">
        <v>0.13</v>
      </c>
    </row>
    <row r="381" customFormat="false" ht="15" hidden="false" customHeight="false" outlineLevel="0" collapsed="false">
      <c r="A381" s="52" t="n">
        <v>44764</v>
      </c>
      <c r="B381" s="57" t="n">
        <v>0.1437</v>
      </c>
      <c r="C381" s="57" t="n">
        <v>0.1283</v>
      </c>
      <c r="D381" s="57" t="n">
        <v>0.1093</v>
      </c>
      <c r="E381" s="57" t="n">
        <v>0.13347</v>
      </c>
      <c r="F381" s="57" t="n">
        <v>0.1168</v>
      </c>
      <c r="H381" s="57" t="n">
        <v>0.13</v>
      </c>
    </row>
    <row r="382" customFormat="false" ht="15" hidden="false" customHeight="false" outlineLevel="0" collapsed="false">
      <c r="A382" s="52" t="n">
        <v>44767</v>
      </c>
      <c r="B382" s="57" t="n">
        <v>0.1423</v>
      </c>
      <c r="C382" s="57" t="n">
        <v>0.131</v>
      </c>
      <c r="D382" s="57" t="n">
        <v>0.1102</v>
      </c>
      <c r="E382" s="57" t="n">
        <v>0.13334</v>
      </c>
      <c r="F382" s="57" t="n">
        <v>0.1164</v>
      </c>
      <c r="H382" s="57" t="n">
        <v>0.13</v>
      </c>
    </row>
    <row r="383" customFormat="false" ht="15" hidden="false" customHeight="false" outlineLevel="0" collapsed="false">
      <c r="A383" s="52" t="n">
        <v>44768</v>
      </c>
      <c r="B383" s="57" t="n">
        <v>0.1425</v>
      </c>
      <c r="C383" s="57" t="n">
        <v>0.1273</v>
      </c>
      <c r="D383" s="57" t="n">
        <v>0.1093</v>
      </c>
      <c r="E383" s="57" t="n">
        <v>0.13334</v>
      </c>
      <c r="F383" s="57" t="n">
        <v>0.1161</v>
      </c>
      <c r="H383" s="57" t="n">
        <v>0.135</v>
      </c>
    </row>
    <row r="384" customFormat="false" ht="15" hidden="false" customHeight="false" outlineLevel="0" collapsed="false">
      <c r="A384" s="52" t="n">
        <v>44769</v>
      </c>
      <c r="B384" s="57" t="n">
        <v>0.1441</v>
      </c>
      <c r="C384" s="57" t="n">
        <v>0.1278</v>
      </c>
      <c r="D384" s="57" t="n">
        <v>0.1085</v>
      </c>
      <c r="E384" s="57" t="n">
        <v>0.13334</v>
      </c>
      <c r="F384" s="57" t="n">
        <v>0.1161</v>
      </c>
      <c r="H384" s="57" t="n">
        <v>0.135</v>
      </c>
    </row>
    <row r="385" customFormat="false" ht="15" hidden="false" customHeight="false" outlineLevel="0" collapsed="false">
      <c r="A385" s="52" t="n">
        <v>44770</v>
      </c>
      <c r="B385" s="57" t="n">
        <v>0.1433</v>
      </c>
      <c r="C385" s="57" t="n">
        <v>0.127</v>
      </c>
      <c r="D385" s="57" t="n">
        <v>0.1092</v>
      </c>
      <c r="E385" s="57" t="n">
        <v>0.13334</v>
      </c>
      <c r="F385" s="57" t="n">
        <v>0.116</v>
      </c>
      <c r="H385" s="57" t="n">
        <v>0.135</v>
      </c>
    </row>
    <row r="386" customFormat="false" ht="15" hidden="false" customHeight="false" outlineLevel="0" collapsed="false">
      <c r="A386" s="52" t="n">
        <v>44771</v>
      </c>
      <c r="B386" s="57" t="n">
        <v>0.1441</v>
      </c>
      <c r="C386" s="57" t="n">
        <v>0.1261</v>
      </c>
      <c r="D386" s="57" t="n">
        <v>0.1085</v>
      </c>
      <c r="E386" s="57" t="n">
        <v>0.13341</v>
      </c>
      <c r="F386" s="57" t="n">
        <v>0.1161</v>
      </c>
      <c r="H386" s="57" t="n">
        <v>0.1349</v>
      </c>
    </row>
    <row r="387" customFormat="false" ht="15" hidden="false" customHeight="false" outlineLevel="0" collapsed="false">
      <c r="A387" s="52" t="n">
        <v>44774</v>
      </c>
      <c r="B387" s="57" t="n">
        <v>0.1411</v>
      </c>
      <c r="C387" s="57" t="n">
        <v>0.1285</v>
      </c>
      <c r="D387" s="57" t="n">
        <v>0.1079</v>
      </c>
      <c r="E387" s="57" t="n">
        <v>0.13334</v>
      </c>
      <c r="F387" s="57" t="n">
        <v>0.1164</v>
      </c>
      <c r="H387" s="57" t="n">
        <v>0.1346</v>
      </c>
    </row>
    <row r="388" customFormat="false" ht="15" hidden="false" customHeight="false" outlineLevel="0" collapsed="false">
      <c r="A388" s="52" t="n">
        <v>44775</v>
      </c>
      <c r="B388" s="57" t="n">
        <v>0.1452</v>
      </c>
      <c r="C388" s="57" t="n">
        <v>0.1274</v>
      </c>
      <c r="D388" s="57" t="n">
        <v>0.1084</v>
      </c>
      <c r="E388" s="57" t="n">
        <v>0.13334</v>
      </c>
      <c r="F388" s="57" t="n">
        <v>0.1165</v>
      </c>
      <c r="H388" s="57" t="n">
        <v>0.1349</v>
      </c>
    </row>
    <row r="389" customFormat="false" ht="15" hidden="false" customHeight="false" outlineLevel="0" collapsed="false">
      <c r="A389" s="52" t="n">
        <v>44776</v>
      </c>
      <c r="B389" s="57" t="n">
        <v>0.144</v>
      </c>
      <c r="C389" s="57" t="n">
        <v>0.1296</v>
      </c>
      <c r="D389" s="57" t="n">
        <v>0.108</v>
      </c>
      <c r="E389" s="57" t="n">
        <v>0.13334</v>
      </c>
      <c r="F389" s="57" t="n">
        <v>0.1168</v>
      </c>
      <c r="H389" s="57" t="n">
        <v>0.1349</v>
      </c>
    </row>
    <row r="390" customFormat="false" ht="15" hidden="false" customHeight="false" outlineLevel="0" collapsed="false">
      <c r="A390" s="52" t="n">
        <v>44777</v>
      </c>
      <c r="B390" s="57" t="n">
        <v>0.1443</v>
      </c>
      <c r="C390" s="57" t="n">
        <v>0.1285</v>
      </c>
      <c r="D390" s="57" t="n">
        <v>0.1083</v>
      </c>
      <c r="E390" s="57" t="n">
        <v>0.13334</v>
      </c>
      <c r="F390" s="57" t="n">
        <v>0.1168</v>
      </c>
      <c r="H390" s="57" t="n">
        <v>0.135</v>
      </c>
    </row>
    <row r="391" customFormat="false" ht="15" hidden="false" customHeight="false" outlineLevel="0" collapsed="false">
      <c r="A391" s="52" t="n">
        <v>44778</v>
      </c>
      <c r="B391" s="57" t="n">
        <v>0.1443</v>
      </c>
      <c r="C391" s="57" t="n">
        <v>0.1304</v>
      </c>
      <c r="D391" s="57" t="n">
        <v>0.108</v>
      </c>
      <c r="E391" s="57" t="n">
        <v>0.13348</v>
      </c>
      <c r="F391" s="57" t="n">
        <v>0.1171</v>
      </c>
      <c r="H391" s="57" t="n">
        <v>0.135</v>
      </c>
    </row>
    <row r="392" customFormat="false" ht="15" hidden="false" customHeight="false" outlineLevel="0" collapsed="false">
      <c r="A392" s="52" t="n">
        <v>44781</v>
      </c>
      <c r="B392" s="57" t="n">
        <v>0.144</v>
      </c>
      <c r="C392" s="57" t="n">
        <v>0.1276</v>
      </c>
      <c r="D392" s="57" t="n">
        <v>0.1078</v>
      </c>
      <c r="E392" s="57" t="n">
        <v>0.13334</v>
      </c>
      <c r="F392" s="57" t="n">
        <v>0.1167</v>
      </c>
      <c r="H392" s="57" t="n">
        <v>0.135</v>
      </c>
    </row>
    <row r="393" customFormat="false" ht="15" hidden="false" customHeight="false" outlineLevel="0" collapsed="false">
      <c r="A393" s="52" t="n">
        <v>44782</v>
      </c>
      <c r="B393" s="57" t="n">
        <v>0.1441</v>
      </c>
      <c r="C393" s="57" t="n">
        <v>0.128</v>
      </c>
      <c r="D393" s="57" t="n">
        <v>0.1079</v>
      </c>
      <c r="E393" s="57" t="n">
        <v>0.13334</v>
      </c>
      <c r="F393" s="57" t="n">
        <v>0.1167</v>
      </c>
      <c r="H393" s="57" t="n">
        <v>0.135</v>
      </c>
    </row>
    <row r="394" customFormat="false" ht="15" hidden="false" customHeight="false" outlineLevel="0" collapsed="false">
      <c r="A394" s="52" t="n">
        <v>44783</v>
      </c>
      <c r="B394" s="57" t="n">
        <v>0.1441</v>
      </c>
      <c r="C394" s="57" t="n">
        <v>0.1293</v>
      </c>
      <c r="D394" s="57" t="n">
        <v>0.1076</v>
      </c>
      <c r="E394" s="57" t="n">
        <v>0.13327</v>
      </c>
      <c r="F394" s="57" t="n">
        <v>0.1169</v>
      </c>
      <c r="H394" s="57" t="n">
        <v>0.135</v>
      </c>
    </row>
    <row r="395" customFormat="false" ht="15" hidden="false" customHeight="false" outlineLevel="0" collapsed="false">
      <c r="A395" s="52" t="n">
        <v>44784</v>
      </c>
      <c r="B395" s="57" t="n">
        <v>0.1446</v>
      </c>
      <c r="C395" s="57" t="n">
        <v>0.1293</v>
      </c>
      <c r="D395" s="57" t="n">
        <v>0.1076</v>
      </c>
      <c r="E395" s="57" t="n">
        <v>0.13334</v>
      </c>
      <c r="F395" s="57" t="n">
        <v>0.1169</v>
      </c>
      <c r="H395" s="57" t="n">
        <v>0.135</v>
      </c>
    </row>
    <row r="396" customFormat="false" ht="15" hidden="false" customHeight="false" outlineLevel="0" collapsed="false">
      <c r="A396" s="52" t="n">
        <v>44785</v>
      </c>
      <c r="B396" s="57" t="n">
        <v>0.1451</v>
      </c>
      <c r="C396" s="57" t="n">
        <v>0.1297</v>
      </c>
      <c r="D396" s="57" t="n">
        <v>0.1073</v>
      </c>
      <c r="E396" s="57" t="n">
        <v>0.13349</v>
      </c>
      <c r="F396" s="57" t="n">
        <v>0.1165</v>
      </c>
      <c r="H396" s="57" t="n">
        <v>0.135</v>
      </c>
    </row>
    <row r="397" customFormat="false" ht="15" hidden="false" customHeight="false" outlineLevel="0" collapsed="false">
      <c r="A397" s="52" t="n">
        <v>44788</v>
      </c>
      <c r="B397" s="57" t="n">
        <v>0.1449</v>
      </c>
      <c r="C397" s="57" t="n">
        <v>0.13</v>
      </c>
      <c r="D397" s="57" t="n">
        <v>0.1072</v>
      </c>
      <c r="E397" s="57" t="n">
        <v>0.13334</v>
      </c>
      <c r="F397" s="57" t="n">
        <v>0.1168</v>
      </c>
      <c r="H397" s="57" t="n">
        <v>0.135</v>
      </c>
    </row>
    <row r="398" customFormat="false" ht="15" hidden="false" customHeight="false" outlineLevel="0" collapsed="false">
      <c r="A398" s="52" t="n">
        <v>44789</v>
      </c>
      <c r="B398" s="57" t="n">
        <v>0.1449</v>
      </c>
      <c r="C398" s="57" t="n">
        <v>0.1292</v>
      </c>
      <c r="D398" s="57" t="n">
        <v>0.1072</v>
      </c>
      <c r="E398" s="57" t="n">
        <v>0.13334</v>
      </c>
      <c r="F398" s="57" t="n">
        <v>0.1172</v>
      </c>
      <c r="H398" s="57" t="n">
        <v>0.135</v>
      </c>
    </row>
    <row r="399" customFormat="false" ht="15" hidden="false" customHeight="false" outlineLevel="0" collapsed="false">
      <c r="A399" s="52" t="n">
        <v>44790</v>
      </c>
      <c r="B399" s="57" t="n">
        <v>0.1449</v>
      </c>
      <c r="C399" s="57" t="n">
        <v>0.1309</v>
      </c>
      <c r="D399" s="57" t="n">
        <v>0.1072</v>
      </c>
      <c r="E399" s="57" t="n">
        <v>0.13334</v>
      </c>
      <c r="F399" s="57" t="n">
        <v>0.1174</v>
      </c>
      <c r="H399" s="57" t="n">
        <v>0.135</v>
      </c>
    </row>
    <row r="400" customFormat="false" ht="15" hidden="false" customHeight="false" outlineLevel="0" collapsed="false">
      <c r="A400" s="52" t="n">
        <v>44791</v>
      </c>
      <c r="B400" s="57" t="n">
        <v>0.1447</v>
      </c>
      <c r="C400" s="57" t="n">
        <v>0.1283</v>
      </c>
      <c r="D400" s="57" t="n">
        <v>0.1068</v>
      </c>
      <c r="E400" s="57" t="n">
        <v>0.13334</v>
      </c>
      <c r="F400" s="57" t="n">
        <v>0.117</v>
      </c>
      <c r="H400" s="57" t="n">
        <v>0.135</v>
      </c>
    </row>
    <row r="401" customFormat="false" ht="15" hidden="false" customHeight="false" outlineLevel="0" collapsed="false">
      <c r="A401" s="52" t="n">
        <v>44792</v>
      </c>
      <c r="B401" s="57" t="n">
        <v>0.1452</v>
      </c>
      <c r="C401" s="57" t="n">
        <v>0.1292</v>
      </c>
      <c r="D401" s="57" t="n">
        <v>0.1067</v>
      </c>
      <c r="E401" s="57" t="n">
        <v>0.13349</v>
      </c>
      <c r="F401" s="57" t="n">
        <v>0.1169</v>
      </c>
      <c r="H401" s="57" t="n">
        <v>0.135</v>
      </c>
    </row>
    <row r="402" customFormat="false" ht="15" hidden="false" customHeight="false" outlineLevel="0" collapsed="false">
      <c r="A402" s="52" t="n">
        <v>44795</v>
      </c>
      <c r="B402" s="57" t="n">
        <v>0.1452</v>
      </c>
      <c r="C402" s="57" t="n">
        <v>0.1287</v>
      </c>
      <c r="D402" s="57" t="n">
        <v>0.1068</v>
      </c>
      <c r="E402" s="57" t="n">
        <v>0.13334</v>
      </c>
      <c r="F402" s="57" t="n">
        <v>0.1163</v>
      </c>
      <c r="H402" s="57" t="n">
        <v>0.135</v>
      </c>
    </row>
    <row r="403" customFormat="false" ht="15" hidden="false" customHeight="false" outlineLevel="0" collapsed="false">
      <c r="A403" s="52" t="n">
        <v>44796</v>
      </c>
      <c r="B403" s="57" t="n">
        <v>0.1453</v>
      </c>
      <c r="C403" s="57" t="n">
        <v>0.1288</v>
      </c>
      <c r="D403" s="57" t="n">
        <v>0.1068</v>
      </c>
      <c r="E403" s="57" t="n">
        <v>0.13334</v>
      </c>
      <c r="F403" s="57" t="n">
        <v>0.1166</v>
      </c>
      <c r="H403" s="57" t="n">
        <v>0.1354</v>
      </c>
    </row>
    <row r="404" customFormat="false" ht="15" hidden="false" customHeight="false" outlineLevel="0" collapsed="false">
      <c r="A404" s="52" t="n">
        <v>44797</v>
      </c>
      <c r="B404" s="57" t="n">
        <v>0.1453</v>
      </c>
      <c r="C404" s="57" t="n">
        <v>0.1314</v>
      </c>
      <c r="D404" s="57" t="n">
        <v>0.1066</v>
      </c>
      <c r="E404" s="57" t="n">
        <v>0.13334</v>
      </c>
      <c r="F404" s="57" t="n">
        <v>0.1166</v>
      </c>
      <c r="H404" s="57" t="n">
        <v>0.1454</v>
      </c>
    </row>
    <row r="405" customFormat="false" ht="15" hidden="false" customHeight="false" outlineLevel="0" collapsed="false">
      <c r="A405" s="52" t="n">
        <v>44798</v>
      </c>
      <c r="B405" s="57" t="n">
        <v>0.1468</v>
      </c>
      <c r="C405" s="57" t="n">
        <v>0.1293</v>
      </c>
      <c r="D405" s="57" t="n">
        <v>0.107</v>
      </c>
      <c r="E405" s="57" t="n">
        <v>0.13334</v>
      </c>
      <c r="F405" s="57" t="n">
        <v>0.1172</v>
      </c>
      <c r="H405" s="57" t="n">
        <v>0.1497</v>
      </c>
    </row>
    <row r="406" customFormat="false" ht="15" hidden="false" customHeight="false" outlineLevel="0" collapsed="false">
      <c r="A406" s="52" t="n">
        <v>44799</v>
      </c>
      <c r="B406" s="57" t="n">
        <v>0.1472</v>
      </c>
      <c r="C406" s="57" t="n">
        <v>0.1281</v>
      </c>
      <c r="D406" s="57" t="n">
        <v>0.1065</v>
      </c>
      <c r="E406" s="57" t="n">
        <v>0.13349</v>
      </c>
      <c r="F406" s="57" t="n">
        <v>0.1164</v>
      </c>
      <c r="H406" s="57" t="n">
        <v>0.1525</v>
      </c>
    </row>
    <row r="407" customFormat="false" ht="15" hidden="false" customHeight="false" outlineLevel="0" collapsed="false">
      <c r="A407" s="52" t="n">
        <v>44800</v>
      </c>
      <c r="B407" s="57" t="n">
        <v>0.1474</v>
      </c>
      <c r="C407" s="57" t="n">
        <v>0.1285</v>
      </c>
      <c r="D407" s="57" t="n">
        <v>0.1062</v>
      </c>
      <c r="F407" s="57" t="n">
        <v>0.1161</v>
      </c>
      <c r="H407" s="57" t="n">
        <v>0.1504</v>
      </c>
    </row>
    <row r="408" customFormat="false" ht="15" hidden="false" customHeight="false" outlineLevel="0" collapsed="false">
      <c r="A408" s="52" t="n">
        <v>44804</v>
      </c>
      <c r="B408" s="57" t="n">
        <v>0.1466</v>
      </c>
      <c r="C408" s="57" t="n">
        <v>0.1298</v>
      </c>
      <c r="D408" s="57" t="n">
        <v>0.1064</v>
      </c>
      <c r="E408" s="57" t="n">
        <v>0.13201</v>
      </c>
      <c r="F408" s="57" t="n">
        <v>0.1162</v>
      </c>
      <c r="H408" s="57" t="n">
        <v>0.1513</v>
      </c>
    </row>
    <row r="409" customFormat="false" ht="15" hidden="false" customHeight="false" outlineLevel="0" collapsed="false">
      <c r="A409" s="52" t="n">
        <v>44805</v>
      </c>
      <c r="B409" s="57" t="n">
        <v>0.1462</v>
      </c>
      <c r="C409" s="57" t="n">
        <v>0.1293</v>
      </c>
      <c r="D409" s="57" t="n">
        <v>0.1065</v>
      </c>
      <c r="E409" s="57" t="n">
        <v>0.13194</v>
      </c>
      <c r="F409" s="57" t="n">
        <v>0.1175</v>
      </c>
      <c r="H409" s="57" t="n">
        <v>0.1521</v>
      </c>
    </row>
    <row r="410" customFormat="false" ht="15" hidden="false" customHeight="false" outlineLevel="0" collapsed="false">
      <c r="A410" s="52" t="n">
        <v>44806</v>
      </c>
      <c r="B410" s="57" t="n">
        <v>0.1466</v>
      </c>
      <c r="C410" s="57" t="n">
        <v>0.1273</v>
      </c>
      <c r="D410" s="57" t="n">
        <v>0.1063</v>
      </c>
      <c r="E410" s="57" t="n">
        <v>0.13208</v>
      </c>
      <c r="F410" s="57" t="n">
        <v>0.1175</v>
      </c>
      <c r="H410" s="57" t="n">
        <v>0.1529</v>
      </c>
    </row>
    <row r="411" customFormat="false" ht="15" hidden="false" customHeight="false" outlineLevel="0" collapsed="false">
      <c r="A411" s="52" t="n">
        <v>44809</v>
      </c>
      <c r="B411" s="57" t="n">
        <v>0.1467</v>
      </c>
      <c r="C411" s="57" t="n">
        <v>0.125</v>
      </c>
      <c r="D411" s="57" t="n">
        <v>0.1064</v>
      </c>
      <c r="E411" s="57" t="n">
        <v>0.13758</v>
      </c>
      <c r="F411" s="57" t="n">
        <v>0.1178</v>
      </c>
      <c r="H411" s="57" t="n">
        <v>0.151</v>
      </c>
    </row>
    <row r="412" customFormat="false" ht="15" hidden="false" customHeight="false" outlineLevel="0" collapsed="false">
      <c r="A412" s="52" t="n">
        <v>44810</v>
      </c>
      <c r="B412" s="57" t="n">
        <v>0.1464</v>
      </c>
      <c r="C412" s="57" t="n">
        <v>0.1273</v>
      </c>
      <c r="D412" s="57" t="n">
        <v>0.1061</v>
      </c>
      <c r="E412" s="57" t="n">
        <v>0.13758</v>
      </c>
      <c r="F412" s="57" t="n">
        <v>0.1178</v>
      </c>
      <c r="H412" s="57" t="n">
        <v>0.1509</v>
      </c>
    </row>
    <row r="413" customFormat="false" ht="15" hidden="false" customHeight="false" outlineLevel="0" collapsed="false">
      <c r="A413" s="52" t="n">
        <v>44811</v>
      </c>
      <c r="B413" s="57" t="n">
        <v>0.1465</v>
      </c>
      <c r="C413" s="57" t="n">
        <v>0.1277</v>
      </c>
      <c r="D413" s="57" t="n">
        <v>0.1063</v>
      </c>
      <c r="E413" s="57" t="n">
        <v>0.13758</v>
      </c>
      <c r="F413" s="57" t="n">
        <v>0.118</v>
      </c>
      <c r="H413" s="57" t="n">
        <v>0.1444</v>
      </c>
    </row>
    <row r="414" customFormat="false" ht="15" hidden="false" customHeight="false" outlineLevel="0" collapsed="false">
      <c r="A414" s="52" t="n">
        <v>44812</v>
      </c>
      <c r="B414" s="57" t="n">
        <v>0.1461</v>
      </c>
      <c r="C414" s="57" t="n">
        <v>0.1275</v>
      </c>
      <c r="D414" s="57" t="n">
        <v>0.1064</v>
      </c>
      <c r="E414" s="57" t="n">
        <v>0.13758</v>
      </c>
      <c r="F414" s="57" t="n">
        <v>0.1179</v>
      </c>
      <c r="H414" s="57" t="n">
        <v>0.1395</v>
      </c>
    </row>
    <row r="415" customFormat="false" ht="15" hidden="false" customHeight="false" outlineLevel="0" collapsed="false">
      <c r="A415" s="52" t="n">
        <v>44813</v>
      </c>
      <c r="B415" s="57" t="n">
        <v>0.1458</v>
      </c>
      <c r="C415" s="57" t="n">
        <v>0.1272</v>
      </c>
      <c r="D415" s="57" t="n">
        <v>0.1062</v>
      </c>
      <c r="E415" s="57" t="n">
        <v>0.13774</v>
      </c>
      <c r="F415" s="57" t="n">
        <v>0.1179</v>
      </c>
      <c r="H415" s="57" t="n">
        <v>0.1361</v>
      </c>
    </row>
    <row r="416" customFormat="false" ht="15" hidden="false" customHeight="false" outlineLevel="0" collapsed="false">
      <c r="A416" s="52" t="n">
        <v>44816</v>
      </c>
      <c r="B416" s="57" t="n">
        <v>0.1424</v>
      </c>
      <c r="C416" s="57" t="n">
        <v>0.127</v>
      </c>
      <c r="D416" s="57" t="n">
        <v>0.1063</v>
      </c>
      <c r="E416" s="57" t="n">
        <v>0.13758</v>
      </c>
      <c r="F416" s="57" t="n">
        <v>0.1175</v>
      </c>
      <c r="H416" s="57" t="n">
        <v>0.1354</v>
      </c>
    </row>
    <row r="417" customFormat="false" ht="15" hidden="false" customHeight="false" outlineLevel="0" collapsed="false">
      <c r="A417" s="52" t="n">
        <v>44817</v>
      </c>
      <c r="B417" s="57" t="n">
        <v>0.1448</v>
      </c>
      <c r="C417" s="57" t="n">
        <v>0.1274</v>
      </c>
      <c r="D417" s="57" t="n">
        <v>0.1056</v>
      </c>
      <c r="E417" s="57" t="n">
        <v>0.13758</v>
      </c>
      <c r="F417" s="57" t="n">
        <v>0.1197</v>
      </c>
      <c r="H417" s="57" t="n">
        <v>0.1367</v>
      </c>
    </row>
    <row r="418" customFormat="false" ht="15" hidden="false" customHeight="false" outlineLevel="0" collapsed="false">
      <c r="A418" s="52" t="n">
        <v>44818</v>
      </c>
      <c r="B418" s="57" t="n">
        <v>0.1445</v>
      </c>
      <c r="C418" s="57" t="n">
        <v>0.1253</v>
      </c>
      <c r="D418" s="57" t="n">
        <v>0.1055</v>
      </c>
      <c r="E418" s="57" t="n">
        <v>0.13758</v>
      </c>
      <c r="F418" s="57" t="n">
        <v>0.1185</v>
      </c>
      <c r="H418" s="57" t="n">
        <v>0.1434</v>
      </c>
    </row>
    <row r="419" customFormat="false" ht="15" hidden="false" customHeight="false" outlineLevel="0" collapsed="false">
      <c r="A419" s="52" t="n">
        <v>44819</v>
      </c>
      <c r="B419" s="57" t="n">
        <v>0.1463</v>
      </c>
      <c r="C419" s="57" t="n">
        <v>0.1273</v>
      </c>
      <c r="D419" s="57" t="n">
        <v>0.1083</v>
      </c>
      <c r="E419" s="57" t="n">
        <v>0.13758</v>
      </c>
      <c r="F419" s="57" t="n">
        <v>0.1176</v>
      </c>
      <c r="H419" s="57" t="n">
        <v>0.1398</v>
      </c>
    </row>
    <row r="420" customFormat="false" ht="15" hidden="false" customHeight="false" outlineLevel="0" collapsed="false">
      <c r="A420" s="52" t="n">
        <v>44820</v>
      </c>
      <c r="B420" s="57" t="n">
        <v>0.1454</v>
      </c>
      <c r="C420" s="57" t="n">
        <v>0.1277</v>
      </c>
      <c r="D420" s="57" t="n">
        <v>0.1056</v>
      </c>
      <c r="E420" s="57" t="n">
        <v>0.13774</v>
      </c>
      <c r="F420" s="57" t="n">
        <v>0.1176</v>
      </c>
      <c r="H420" s="57" t="n">
        <v>0.1435</v>
      </c>
    </row>
    <row r="421" customFormat="false" ht="15" hidden="false" customHeight="false" outlineLevel="0" collapsed="false">
      <c r="A421" s="52" t="n">
        <v>44823</v>
      </c>
      <c r="B421" s="57" t="n">
        <v>0.1462</v>
      </c>
      <c r="C421" s="57" t="n">
        <v>0.129</v>
      </c>
      <c r="D421" s="57" t="n">
        <v>0.1055</v>
      </c>
      <c r="E421" s="57" t="n">
        <v>0.13758</v>
      </c>
      <c r="F421" s="57" t="n">
        <v>0.118</v>
      </c>
      <c r="H421" s="57" t="n">
        <v>0.1446</v>
      </c>
    </row>
    <row r="422" customFormat="false" ht="15" hidden="false" customHeight="false" outlineLevel="0" collapsed="false">
      <c r="A422" s="52" t="n">
        <v>44824</v>
      </c>
      <c r="B422" s="57" t="n">
        <v>0.1464</v>
      </c>
      <c r="C422" s="57" t="n">
        <v>0.1286</v>
      </c>
      <c r="D422" s="57" t="n">
        <v>0.1056</v>
      </c>
      <c r="E422" s="57" t="n">
        <v>0.13758</v>
      </c>
      <c r="F422" s="57" t="n">
        <v>0.1195</v>
      </c>
      <c r="H422" s="57" t="n">
        <v>0.1468</v>
      </c>
    </row>
    <row r="423" customFormat="false" ht="15" hidden="false" customHeight="false" outlineLevel="0" collapsed="false">
      <c r="A423" s="52" t="n">
        <v>44825</v>
      </c>
      <c r="B423" s="57" t="n">
        <v>0.1464</v>
      </c>
      <c r="C423" s="57" t="n">
        <v>0.1309</v>
      </c>
      <c r="D423" s="57" t="n">
        <v>0.1074</v>
      </c>
      <c r="E423" s="57" t="n">
        <v>0.13758</v>
      </c>
      <c r="F423" s="57" t="n">
        <v>0.1171</v>
      </c>
      <c r="H423" s="57" t="n">
        <v>0.1465</v>
      </c>
    </row>
    <row r="424" customFormat="false" ht="15" hidden="false" customHeight="false" outlineLevel="0" collapsed="false">
      <c r="A424" s="52" t="n">
        <v>44826</v>
      </c>
      <c r="B424" s="57" t="n">
        <v>0.1466</v>
      </c>
      <c r="C424" s="57" t="n">
        <v>0.1289</v>
      </c>
      <c r="D424" s="57" t="n">
        <v>0.1055</v>
      </c>
      <c r="E424" s="57" t="n">
        <v>0.13758</v>
      </c>
      <c r="F424" s="57" t="n">
        <v>0.1184</v>
      </c>
      <c r="H424" s="57" t="n">
        <v>0.1437</v>
      </c>
    </row>
    <row r="425" customFormat="false" ht="15" hidden="false" customHeight="false" outlineLevel="0" collapsed="false">
      <c r="A425" s="52" t="n">
        <v>44827</v>
      </c>
      <c r="B425" s="57" t="n">
        <v>0.1461</v>
      </c>
      <c r="C425" s="57" t="n">
        <v>0.1301</v>
      </c>
      <c r="D425" s="57" t="n">
        <v>0.1055</v>
      </c>
      <c r="E425" s="57" t="n">
        <v>0.13774</v>
      </c>
      <c r="F425" s="57" t="n">
        <v>0.119</v>
      </c>
      <c r="H425" s="57" t="n">
        <v>0.1434</v>
      </c>
    </row>
    <row r="426" customFormat="false" ht="15" hidden="false" customHeight="false" outlineLevel="0" collapsed="false">
      <c r="A426" s="52" t="n">
        <v>44830</v>
      </c>
      <c r="B426" s="57" t="n">
        <v>0.1463</v>
      </c>
      <c r="C426" s="57" t="n">
        <v>0.1286</v>
      </c>
      <c r="D426" s="57" t="n">
        <v>0.1057</v>
      </c>
      <c r="E426" s="57" t="n">
        <v>0.13758</v>
      </c>
      <c r="F426" s="57" t="n">
        <v>0.1179</v>
      </c>
      <c r="H426" s="57" t="n">
        <v>0.1443</v>
      </c>
    </row>
    <row r="427" customFormat="false" ht="15" hidden="false" customHeight="false" outlineLevel="0" collapsed="false">
      <c r="A427" s="52" t="n">
        <v>44831</v>
      </c>
      <c r="B427" s="57" t="n">
        <v>0.1475</v>
      </c>
      <c r="C427" s="57" t="n">
        <v>0.1305</v>
      </c>
      <c r="D427" s="57" t="n">
        <v>0.1052</v>
      </c>
      <c r="E427" s="57" t="n">
        <v>0.13758</v>
      </c>
      <c r="F427" s="57" t="n">
        <v>0.1183</v>
      </c>
      <c r="H427" s="57" t="n">
        <v>0.1439</v>
      </c>
    </row>
    <row r="428" customFormat="false" ht="15" hidden="false" customHeight="false" outlineLevel="0" collapsed="false">
      <c r="A428" s="52" t="n">
        <v>44832</v>
      </c>
      <c r="B428" s="57" t="n">
        <v>0.147</v>
      </c>
      <c r="C428" s="57" t="n">
        <v>0.1311</v>
      </c>
      <c r="D428" s="57" t="n">
        <v>0.1056</v>
      </c>
      <c r="E428" s="57" t="n">
        <v>0.13758</v>
      </c>
      <c r="F428" s="57" t="n">
        <v>0.1184</v>
      </c>
      <c r="H428" s="57" t="n">
        <v>0.1435</v>
      </c>
    </row>
    <row r="429" customFormat="false" ht="15" hidden="false" customHeight="false" outlineLevel="0" collapsed="false">
      <c r="A429" s="52" t="n">
        <v>44833</v>
      </c>
      <c r="B429" s="57" t="n">
        <v>0.1472</v>
      </c>
      <c r="C429" s="57" t="n">
        <v>0.1291</v>
      </c>
      <c r="D429" s="57" t="n">
        <v>0.1056</v>
      </c>
      <c r="E429" s="57" t="n">
        <v>0.13758</v>
      </c>
      <c r="F429" s="57" t="n">
        <v>0.1181</v>
      </c>
      <c r="H429" s="57" t="n">
        <v>0.1425</v>
      </c>
    </row>
    <row r="430" customFormat="false" ht="15" hidden="false" customHeight="false" outlineLevel="0" collapsed="false">
      <c r="A430" s="52" t="n">
        <v>44834</v>
      </c>
      <c r="B430" s="57" t="n">
        <v>0.1473</v>
      </c>
      <c r="C430" s="57" t="n">
        <v>0.1278</v>
      </c>
      <c r="D430" s="57" t="n">
        <v>0.1057</v>
      </c>
      <c r="E430" s="57" t="n">
        <v>0.13774</v>
      </c>
      <c r="F430" s="57" t="n">
        <v>0.1185</v>
      </c>
      <c r="H430" s="57" t="n">
        <v>0.1468</v>
      </c>
    </row>
    <row r="431" customFormat="false" ht="15" hidden="false" customHeight="false" outlineLevel="0" collapsed="false">
      <c r="A431" s="52" t="n">
        <v>44837</v>
      </c>
      <c r="B431" s="57" t="n">
        <v>0.1482</v>
      </c>
      <c r="C431" s="57" t="n">
        <v>0.1293</v>
      </c>
      <c r="D431" s="57" t="n">
        <v>0.1058</v>
      </c>
      <c r="E431" s="57" t="n">
        <v>0.13757</v>
      </c>
      <c r="F431" s="57" t="n">
        <v>0.1195</v>
      </c>
      <c r="H431" s="57" t="n">
        <v>0.1437</v>
      </c>
    </row>
    <row r="432" customFormat="false" ht="15" hidden="false" customHeight="false" outlineLevel="0" collapsed="false">
      <c r="A432" s="52" t="n">
        <v>44838</v>
      </c>
      <c r="B432" s="57" t="n">
        <v>0.1483</v>
      </c>
      <c r="C432" s="57" t="n">
        <v>0.1279</v>
      </c>
      <c r="D432" s="57" t="n">
        <v>0.1059</v>
      </c>
      <c r="E432" s="57" t="n">
        <v>0.13757</v>
      </c>
      <c r="F432" s="57" t="n">
        <v>0.1202</v>
      </c>
      <c r="H432" s="57" t="n">
        <v>0.1502</v>
      </c>
    </row>
    <row r="433" customFormat="false" ht="15" hidden="false" customHeight="false" outlineLevel="0" collapsed="false">
      <c r="A433" s="52" t="n">
        <v>44839</v>
      </c>
      <c r="B433" s="57" t="n">
        <v>0.1488</v>
      </c>
      <c r="C433" s="57" t="n">
        <v>0.1296</v>
      </c>
      <c r="D433" s="57" t="n">
        <v>0.1058</v>
      </c>
      <c r="E433" s="57" t="n">
        <v>0.13757</v>
      </c>
      <c r="F433" s="57" t="n">
        <v>0.1202</v>
      </c>
      <c r="H433" s="57" t="n">
        <v>0.1483</v>
      </c>
    </row>
    <row r="434" customFormat="false" ht="15" hidden="false" customHeight="false" outlineLevel="0" collapsed="false">
      <c r="A434" s="52" t="n">
        <v>44840</v>
      </c>
      <c r="B434" s="57" t="n">
        <v>0.1482</v>
      </c>
      <c r="C434" s="57" t="n">
        <v>0.128</v>
      </c>
      <c r="D434" s="57" t="n">
        <v>0.1063</v>
      </c>
      <c r="E434" s="57" t="n">
        <v>0.13757</v>
      </c>
      <c r="F434" s="57" t="n">
        <v>0.12</v>
      </c>
      <c r="H434" s="57" t="n">
        <v>0.1479</v>
      </c>
    </row>
    <row r="435" customFormat="false" ht="15" hidden="false" customHeight="false" outlineLevel="0" collapsed="false">
      <c r="A435" s="52" t="n">
        <v>44841</v>
      </c>
      <c r="B435" s="57" t="n">
        <v>0.1487</v>
      </c>
      <c r="C435" s="57" t="n">
        <v>0.1281</v>
      </c>
      <c r="D435" s="57" t="n">
        <v>0.1062</v>
      </c>
      <c r="E435" s="57" t="n">
        <v>0.13772</v>
      </c>
      <c r="F435" s="57" t="n">
        <v>0.12</v>
      </c>
      <c r="H435" s="57" t="n">
        <v>0.1488</v>
      </c>
    </row>
    <row r="436" customFormat="false" ht="15" hidden="false" customHeight="false" outlineLevel="0" collapsed="false">
      <c r="A436" s="52" t="n">
        <v>44844</v>
      </c>
      <c r="B436" s="57" t="n">
        <v>0.1492</v>
      </c>
      <c r="C436" s="57" t="n">
        <v>0.1259</v>
      </c>
      <c r="D436" s="57" t="n">
        <v>0.1062</v>
      </c>
      <c r="E436" s="57" t="n">
        <v>0.13757</v>
      </c>
      <c r="F436" s="57" t="n">
        <v>0.1216</v>
      </c>
      <c r="H436" s="57" t="n">
        <v>0.1447</v>
      </c>
    </row>
    <row r="437" customFormat="false" ht="15" hidden="false" customHeight="false" outlineLevel="0" collapsed="false">
      <c r="A437" s="52" t="n">
        <v>44845</v>
      </c>
      <c r="B437" s="57" t="n">
        <v>0.1478</v>
      </c>
      <c r="C437" s="57" t="n">
        <v>0.1284</v>
      </c>
      <c r="D437" s="57" t="n">
        <v>0.1057</v>
      </c>
      <c r="E437" s="57" t="n">
        <v>0.13757</v>
      </c>
      <c r="F437" s="57" t="n">
        <v>0.12</v>
      </c>
      <c r="H437" s="57" t="n">
        <v>0.1455</v>
      </c>
    </row>
    <row r="438" customFormat="false" ht="15" hidden="false" customHeight="false" outlineLevel="0" collapsed="false">
      <c r="A438" s="52" t="n">
        <v>44846</v>
      </c>
      <c r="B438" s="57" t="n">
        <v>0.1481</v>
      </c>
      <c r="C438" s="57" t="n">
        <v>0.128</v>
      </c>
      <c r="D438" s="57" t="n">
        <v>0.1057</v>
      </c>
      <c r="E438" s="57" t="n">
        <v>0.13757</v>
      </c>
      <c r="F438" s="57" t="n">
        <v>0.121</v>
      </c>
      <c r="H438" s="57" t="n">
        <v>0.1419</v>
      </c>
    </row>
    <row r="439" customFormat="false" ht="15" hidden="false" customHeight="false" outlineLevel="0" collapsed="false">
      <c r="A439" s="52" t="n">
        <v>44847</v>
      </c>
      <c r="B439" s="57" t="n">
        <v>0.1473</v>
      </c>
      <c r="C439" s="57" t="n">
        <v>0.1284</v>
      </c>
      <c r="D439" s="57" t="n">
        <v>0.1061</v>
      </c>
      <c r="E439" s="57" t="n">
        <v>0.13757</v>
      </c>
      <c r="F439" s="57" t="n">
        <v>0.1213</v>
      </c>
      <c r="H439" s="57" t="n">
        <v>0.1425</v>
      </c>
    </row>
    <row r="440" customFormat="false" ht="15" hidden="false" customHeight="false" outlineLevel="0" collapsed="false">
      <c r="A440" s="52" t="n">
        <v>44848</v>
      </c>
      <c r="B440" s="57" t="n">
        <v>0.1472</v>
      </c>
      <c r="C440" s="57" t="n">
        <v>0.1274</v>
      </c>
      <c r="D440" s="57" t="n">
        <v>0.1059</v>
      </c>
      <c r="E440" s="57" t="n">
        <v>0.13772</v>
      </c>
      <c r="F440" s="57" t="n">
        <v>0.1202</v>
      </c>
      <c r="H440" s="57" t="n">
        <v>0.1415</v>
      </c>
    </row>
    <row r="441" customFormat="false" ht="15" hidden="false" customHeight="false" outlineLevel="0" collapsed="false">
      <c r="A441" s="52" t="n">
        <v>44851</v>
      </c>
      <c r="B441" s="57" t="n">
        <v>0.1464</v>
      </c>
      <c r="C441" s="57" t="n">
        <v>0.1283</v>
      </c>
      <c r="D441" s="57" t="n">
        <v>0.1057</v>
      </c>
      <c r="E441" s="57" t="n">
        <v>0.13757</v>
      </c>
      <c r="F441" s="57" t="n">
        <v>0.1202</v>
      </c>
      <c r="H441" s="57" t="n">
        <v>0.1409</v>
      </c>
    </row>
    <row r="442" customFormat="false" ht="15" hidden="false" customHeight="false" outlineLevel="0" collapsed="false">
      <c r="A442" s="52" t="n">
        <v>44852</v>
      </c>
      <c r="B442" s="57" t="n">
        <v>0.1464</v>
      </c>
      <c r="C442" s="57" t="n">
        <v>0.1272</v>
      </c>
      <c r="D442" s="57" t="n">
        <v>0.1054</v>
      </c>
      <c r="E442" s="57" t="n">
        <v>0.13757</v>
      </c>
      <c r="F442" s="57" t="n">
        <v>0.1201</v>
      </c>
      <c r="H442" s="57" t="n">
        <v>0.1401</v>
      </c>
    </row>
    <row r="443" customFormat="false" ht="15" hidden="false" customHeight="false" outlineLevel="0" collapsed="false">
      <c r="A443" s="52" t="n">
        <v>44853</v>
      </c>
      <c r="B443" s="57" t="n">
        <v>0.1457</v>
      </c>
      <c r="C443" s="57" t="n">
        <v>0.1281</v>
      </c>
      <c r="D443" s="57" t="n">
        <v>0.1054</v>
      </c>
      <c r="E443" s="57" t="n">
        <v>0.13757</v>
      </c>
      <c r="F443" s="57" t="n">
        <v>0.1203</v>
      </c>
      <c r="H443" s="57" t="n">
        <v>0.1427</v>
      </c>
    </row>
    <row r="444" customFormat="false" ht="15" hidden="false" customHeight="false" outlineLevel="0" collapsed="false">
      <c r="A444" s="52" t="n">
        <v>44854</v>
      </c>
      <c r="B444" s="57" t="n">
        <v>0.1524</v>
      </c>
      <c r="C444" s="57" t="n">
        <v>0.1305</v>
      </c>
      <c r="D444" s="57" t="n">
        <v>0.1044</v>
      </c>
      <c r="E444" s="57" t="n">
        <v>0.13757</v>
      </c>
      <c r="F444" s="57" t="n">
        <v>0.1202</v>
      </c>
      <c r="H444" s="57" t="n">
        <v>0.1434</v>
      </c>
    </row>
    <row r="445" customFormat="false" ht="15" hidden="false" customHeight="false" outlineLevel="0" collapsed="false">
      <c r="A445" s="52" t="n">
        <v>44855</v>
      </c>
      <c r="B445" s="57" t="n">
        <v>0.1507</v>
      </c>
      <c r="C445" s="57" t="n">
        <v>0.131</v>
      </c>
      <c r="D445" s="57" t="n">
        <v>0.1041</v>
      </c>
      <c r="E445" s="57" t="n">
        <v>0.13772</v>
      </c>
      <c r="F445" s="57" t="n">
        <v>0.1213</v>
      </c>
      <c r="H445" s="57" t="n">
        <v>0.1454</v>
      </c>
    </row>
    <row r="446" customFormat="false" ht="15" hidden="false" customHeight="false" outlineLevel="0" collapsed="false">
      <c r="A446" s="52" t="n">
        <v>44856</v>
      </c>
      <c r="B446" s="57" t="n">
        <v>0.1511</v>
      </c>
      <c r="C446" s="57" t="n">
        <v>0.1304</v>
      </c>
      <c r="D446" s="57" t="n">
        <v>0.1041</v>
      </c>
      <c r="F446" s="57" t="n">
        <v>0.1202</v>
      </c>
      <c r="H446" s="57" t="n">
        <v>0.1459</v>
      </c>
    </row>
    <row r="447" customFormat="false" ht="15" hidden="false" customHeight="false" outlineLevel="0" collapsed="false">
      <c r="A447" s="52" t="n">
        <v>44860</v>
      </c>
      <c r="B447" s="57" t="n">
        <v>0.1471</v>
      </c>
      <c r="C447" s="57" t="n">
        <v>0.132</v>
      </c>
      <c r="D447" s="57" t="n">
        <v>0.105</v>
      </c>
      <c r="E447" s="57" t="n">
        <v>0.13943</v>
      </c>
      <c r="F447" s="57" t="n">
        <v>0.1206</v>
      </c>
      <c r="H447" s="57" t="n">
        <v>0.1464</v>
      </c>
    </row>
    <row r="448" customFormat="false" ht="15" hidden="false" customHeight="false" outlineLevel="0" collapsed="false">
      <c r="A448" s="52" t="n">
        <v>44861</v>
      </c>
      <c r="B448" s="57" t="n">
        <v>0.1522</v>
      </c>
      <c r="C448" s="57" t="n">
        <v>0.1307</v>
      </c>
      <c r="D448" s="57" t="n">
        <v>0.1057</v>
      </c>
      <c r="E448" s="57" t="n">
        <v>0.13951</v>
      </c>
      <c r="F448" s="57" t="n">
        <v>0.1212</v>
      </c>
      <c r="H448" s="57" t="n">
        <v>0.1576</v>
      </c>
    </row>
    <row r="449" customFormat="false" ht="15" hidden="false" customHeight="false" outlineLevel="0" collapsed="false">
      <c r="A449" s="52" t="n">
        <v>44862</v>
      </c>
      <c r="B449" s="57" t="n">
        <v>0.1531</v>
      </c>
      <c r="C449" s="57" t="n">
        <v>0.1291</v>
      </c>
      <c r="D449" s="57" t="n">
        <v>0.1056</v>
      </c>
      <c r="E449" s="57" t="n">
        <v>0.13943</v>
      </c>
      <c r="F449" s="57" t="n">
        <v>0.1208</v>
      </c>
      <c r="H449" s="57" t="n">
        <v>0.1542</v>
      </c>
    </row>
    <row r="450" customFormat="false" ht="15" hidden="false" customHeight="false" outlineLevel="0" collapsed="false">
      <c r="A450" s="52" t="n">
        <v>44865</v>
      </c>
      <c r="B450" s="57" t="n">
        <v>0.1455</v>
      </c>
      <c r="C450" s="57" t="n">
        <v>0.1292</v>
      </c>
      <c r="D450" s="57" t="n">
        <v>0.1055</v>
      </c>
      <c r="E450" s="57" t="n">
        <v>0.13943</v>
      </c>
      <c r="F450" s="57" t="n">
        <v>0.121</v>
      </c>
      <c r="H450" s="57" t="n">
        <v>0.1541</v>
      </c>
    </row>
    <row r="451" customFormat="false" ht="15" hidden="false" customHeight="false" outlineLevel="0" collapsed="false">
      <c r="A451" s="52" t="n">
        <v>44866</v>
      </c>
      <c r="B451" s="57" t="n">
        <v>0.1496</v>
      </c>
      <c r="C451" s="57" t="n">
        <v>0.1301</v>
      </c>
      <c r="D451" s="57" t="n">
        <v>0.1076</v>
      </c>
      <c r="E451" s="57" t="n">
        <v>0.13951</v>
      </c>
      <c r="F451" s="57" t="n">
        <v>0.121</v>
      </c>
      <c r="H451" s="57" t="n">
        <v>0.1523</v>
      </c>
    </row>
    <row r="452" customFormat="false" ht="15" hidden="false" customHeight="false" outlineLevel="0" collapsed="false">
      <c r="A452" s="52" t="n">
        <v>44867</v>
      </c>
      <c r="B452" s="57" t="n">
        <v>0.1472</v>
      </c>
      <c r="C452" s="57" t="n">
        <v>0.1271</v>
      </c>
      <c r="D452" s="57" t="n">
        <v>0.1058</v>
      </c>
      <c r="E452" s="57" t="n">
        <v>0.13951</v>
      </c>
      <c r="F452" s="57" t="n">
        <v>0.1211</v>
      </c>
      <c r="H452" s="57" t="n">
        <v>0.1514</v>
      </c>
    </row>
    <row r="453" customFormat="false" ht="15" hidden="false" customHeight="false" outlineLevel="0" collapsed="false">
      <c r="A453" s="52" t="n">
        <v>44868</v>
      </c>
      <c r="B453" s="57" t="n">
        <v>0.1428</v>
      </c>
      <c r="C453" s="57" t="n">
        <v>0.1269</v>
      </c>
      <c r="D453" s="57" t="n">
        <v>0.106</v>
      </c>
      <c r="E453" s="57" t="n">
        <v>0.13951</v>
      </c>
      <c r="F453" s="57" t="n">
        <v>0.1244</v>
      </c>
      <c r="H453" s="57" t="n">
        <v>0.1509</v>
      </c>
    </row>
    <row r="454" customFormat="false" ht="15" hidden="false" customHeight="false" outlineLevel="0" collapsed="false">
      <c r="A454" s="52" t="n">
        <v>44869</v>
      </c>
      <c r="B454" s="57" t="n">
        <v>0.1455</v>
      </c>
      <c r="C454" s="57" t="n">
        <v>0.1266</v>
      </c>
      <c r="D454" s="57" t="n">
        <v>0.1062</v>
      </c>
      <c r="E454" s="57" t="n">
        <v>0.13966</v>
      </c>
      <c r="F454" s="57" t="n">
        <v>0.1229</v>
      </c>
      <c r="H454" s="57" t="n">
        <v>0.1501</v>
      </c>
    </row>
    <row r="455" customFormat="false" ht="15" hidden="false" customHeight="false" outlineLevel="0" collapsed="false">
      <c r="A455" s="52" t="n">
        <v>44872</v>
      </c>
      <c r="B455" s="57" t="n">
        <v>0.1426</v>
      </c>
      <c r="C455" s="57" t="n">
        <v>0.1262</v>
      </c>
      <c r="D455" s="57" t="n">
        <v>0.1059</v>
      </c>
      <c r="E455" s="57" t="n">
        <v>0.13951</v>
      </c>
      <c r="F455" s="57" t="n">
        <v>0.1227</v>
      </c>
      <c r="H455" s="57" t="n">
        <v>0.15</v>
      </c>
    </row>
    <row r="456" customFormat="false" ht="15" hidden="false" customHeight="false" outlineLevel="0" collapsed="false">
      <c r="A456" s="52" t="n">
        <v>44873</v>
      </c>
      <c r="B456" s="57" t="n">
        <v>0.1446</v>
      </c>
      <c r="C456" s="57" t="n">
        <v>0.1258</v>
      </c>
      <c r="D456" s="57" t="n">
        <v>0.1062</v>
      </c>
      <c r="E456" s="57" t="n">
        <v>0.13951</v>
      </c>
      <c r="F456" s="57" t="n">
        <v>0.1242</v>
      </c>
      <c r="H456" s="57" t="n">
        <v>0.1501</v>
      </c>
    </row>
    <row r="457" customFormat="false" ht="15" hidden="false" customHeight="false" outlineLevel="0" collapsed="false">
      <c r="A457" s="52" t="n">
        <v>44874</v>
      </c>
      <c r="B457" s="57" t="n">
        <v>0.1438</v>
      </c>
      <c r="C457" s="57" t="n">
        <v>0.1258</v>
      </c>
      <c r="D457" s="57" t="n">
        <v>0.1061</v>
      </c>
      <c r="E457" s="57" t="n">
        <v>0.13951</v>
      </c>
      <c r="F457" s="57" t="n">
        <v>0.1249</v>
      </c>
      <c r="H457" s="57" t="n">
        <v>0.1501</v>
      </c>
    </row>
    <row r="458" customFormat="false" ht="15" hidden="false" customHeight="false" outlineLevel="0" collapsed="false">
      <c r="A458" s="52" t="n">
        <v>44875</v>
      </c>
      <c r="B458" s="57" t="n">
        <v>0.1404</v>
      </c>
      <c r="C458" s="57" t="n">
        <v>0.1248</v>
      </c>
      <c r="D458" s="57" t="n">
        <v>0.106</v>
      </c>
      <c r="E458" s="57" t="n">
        <v>0.13951</v>
      </c>
      <c r="F458" s="57" t="n">
        <v>0.1228</v>
      </c>
      <c r="H458" s="57" t="n">
        <v>0.1501</v>
      </c>
    </row>
    <row r="459" customFormat="false" ht="15" hidden="false" customHeight="false" outlineLevel="0" collapsed="false">
      <c r="A459" s="52" t="n">
        <v>44876</v>
      </c>
      <c r="B459" s="57" t="n">
        <v>0.1444</v>
      </c>
      <c r="C459" s="57" t="n">
        <v>0.1238</v>
      </c>
      <c r="D459" s="57" t="n">
        <v>0.1063</v>
      </c>
      <c r="E459" s="57" t="n">
        <v>0.13967</v>
      </c>
      <c r="F459" s="57" t="n">
        <v>0.1229</v>
      </c>
      <c r="H459" s="57" t="n">
        <v>0.1506</v>
      </c>
    </row>
    <row r="460" customFormat="false" ht="15" hidden="false" customHeight="false" outlineLevel="0" collapsed="false">
      <c r="A460" s="52" t="n">
        <v>44879</v>
      </c>
      <c r="B460" s="57" t="n">
        <v>0.14</v>
      </c>
      <c r="C460" s="57" t="n">
        <v>0.1241</v>
      </c>
      <c r="D460" s="57" t="n">
        <v>0.1064</v>
      </c>
      <c r="E460" s="57" t="n">
        <v>0.13951</v>
      </c>
      <c r="F460" s="57" t="n">
        <v>0.1229</v>
      </c>
      <c r="H460" s="57" t="n">
        <v>0.1504</v>
      </c>
    </row>
    <row r="461" customFormat="false" ht="15" hidden="false" customHeight="false" outlineLevel="0" collapsed="false">
      <c r="A461" s="52" t="n">
        <v>44880</v>
      </c>
      <c r="B461" s="57" t="n">
        <v>0.1428</v>
      </c>
      <c r="C461" s="57" t="n">
        <v>0.1239</v>
      </c>
      <c r="D461" s="57" t="n">
        <v>0.1062</v>
      </c>
      <c r="E461" s="57" t="n">
        <v>0.15296</v>
      </c>
      <c r="F461" s="57" t="n">
        <v>0.1229</v>
      </c>
      <c r="H461" s="57" t="n">
        <v>0.1502</v>
      </c>
    </row>
    <row r="462" customFormat="false" ht="15" hidden="false" customHeight="false" outlineLevel="0" collapsed="false">
      <c r="A462" s="52" t="n">
        <v>44881</v>
      </c>
      <c r="B462" s="57" t="n">
        <v>0.1423</v>
      </c>
      <c r="C462" s="57" t="n">
        <v>0.1258</v>
      </c>
      <c r="D462" s="57" t="n">
        <v>0.1065</v>
      </c>
      <c r="E462" s="57" t="n">
        <v>0.15296</v>
      </c>
      <c r="F462" s="57" t="n">
        <v>0.1251</v>
      </c>
      <c r="H462" s="57" t="n">
        <v>0.1507</v>
      </c>
    </row>
    <row r="463" customFormat="false" ht="15" hidden="false" customHeight="false" outlineLevel="0" collapsed="false">
      <c r="A463" s="52" t="n">
        <v>44882</v>
      </c>
      <c r="B463" s="57" t="n">
        <v>0.1421</v>
      </c>
      <c r="C463" s="57" t="n">
        <v>0.1283</v>
      </c>
      <c r="D463" s="57" t="n">
        <v>0.1081</v>
      </c>
      <c r="E463" s="57" t="n">
        <v>0.15296</v>
      </c>
      <c r="F463" s="57" t="n">
        <v>0.1237</v>
      </c>
      <c r="H463" s="57" t="n">
        <v>0.1507</v>
      </c>
    </row>
    <row r="464" customFormat="false" ht="15" hidden="false" customHeight="false" outlineLevel="0" collapsed="false">
      <c r="A464" s="52" t="n">
        <v>44883</v>
      </c>
      <c r="B464" s="57" t="n">
        <v>0.1451</v>
      </c>
      <c r="C464" s="57" t="n">
        <v>0.1275</v>
      </c>
      <c r="D464" s="57" t="n">
        <v>0.108</v>
      </c>
      <c r="E464" s="57" t="n">
        <v>0.15314</v>
      </c>
      <c r="F464" s="57" t="n">
        <v>0.1234</v>
      </c>
      <c r="H464" s="57" t="n">
        <v>0.1503</v>
      </c>
    </row>
    <row r="465" customFormat="false" ht="15" hidden="false" customHeight="false" outlineLevel="0" collapsed="false">
      <c r="A465" s="52" t="n">
        <v>44886</v>
      </c>
      <c r="B465" s="57" t="n">
        <v>0.1462</v>
      </c>
      <c r="C465" s="57" t="n">
        <v>0.1302</v>
      </c>
      <c r="D465" s="57" t="n">
        <v>0.1109</v>
      </c>
      <c r="E465" s="57" t="n">
        <v>0.15296</v>
      </c>
      <c r="F465" s="57" t="n">
        <v>0.1231</v>
      </c>
      <c r="H465" s="57" t="n">
        <v>0.1515</v>
      </c>
    </row>
    <row r="466" customFormat="false" ht="15" hidden="false" customHeight="false" outlineLevel="0" collapsed="false">
      <c r="A466" s="52" t="n">
        <v>44887</v>
      </c>
      <c r="B466" s="57" t="n">
        <v>0.1431</v>
      </c>
      <c r="C466" s="57" t="n">
        <v>0.1302</v>
      </c>
      <c r="D466" s="57" t="n">
        <v>0.1117</v>
      </c>
      <c r="E466" s="57" t="n">
        <v>0.15296</v>
      </c>
      <c r="F466" s="57" t="n">
        <v>0.1234</v>
      </c>
      <c r="H466" s="57" t="n">
        <v>0.1533</v>
      </c>
    </row>
    <row r="467" customFormat="false" ht="15" hidden="false" customHeight="false" outlineLevel="0" collapsed="false">
      <c r="A467" s="52" t="n">
        <v>44888</v>
      </c>
      <c r="B467" s="57" t="n">
        <v>0.1466</v>
      </c>
      <c r="C467" s="57" t="n">
        <v>0.1302</v>
      </c>
      <c r="D467" s="57" t="n">
        <v>0.1127</v>
      </c>
      <c r="E467" s="57" t="n">
        <v>0.15296</v>
      </c>
      <c r="F467" s="57" t="n">
        <v>0.1235</v>
      </c>
      <c r="H467" s="57" t="n">
        <v>0.1525</v>
      </c>
    </row>
    <row r="468" customFormat="false" ht="15" hidden="false" customHeight="false" outlineLevel="0" collapsed="false">
      <c r="A468" s="52" t="n">
        <v>44889</v>
      </c>
      <c r="B468" s="57" t="n">
        <v>0.1469</v>
      </c>
      <c r="C468" s="57" t="n">
        <v>0.1298</v>
      </c>
      <c r="D468" s="57" t="n">
        <v>0.1118</v>
      </c>
      <c r="E468" s="57" t="n">
        <v>0.15296</v>
      </c>
      <c r="F468" s="57" t="n">
        <v>0.1242</v>
      </c>
      <c r="H468" s="57" t="n">
        <v>0.1598</v>
      </c>
    </row>
    <row r="469" customFormat="false" ht="15" hidden="false" customHeight="false" outlineLevel="0" collapsed="false">
      <c r="A469" s="52" t="n">
        <v>44890</v>
      </c>
      <c r="B469" s="57" t="n">
        <v>0.1512</v>
      </c>
      <c r="C469" s="57" t="n">
        <v>0.13</v>
      </c>
      <c r="D469" s="57" t="n">
        <v>0.1122</v>
      </c>
      <c r="E469" s="57" t="n">
        <v>0.15314</v>
      </c>
      <c r="F469" s="57" t="n">
        <v>0.1247</v>
      </c>
      <c r="H469" s="57" t="n">
        <v>0.1675</v>
      </c>
    </row>
    <row r="470" customFormat="false" ht="15" hidden="false" customHeight="false" outlineLevel="0" collapsed="false">
      <c r="A470" s="52" t="n">
        <v>44893</v>
      </c>
      <c r="B470" s="57" t="n">
        <v>0.1476</v>
      </c>
      <c r="C470" s="57" t="n">
        <v>0.1306</v>
      </c>
      <c r="D470" s="57" t="n">
        <v>0.1098</v>
      </c>
      <c r="E470" s="57" t="n">
        <v>0.15296</v>
      </c>
      <c r="F470" s="57" t="n">
        <v>0.1237</v>
      </c>
      <c r="H470" s="57" t="n">
        <v>0.1678</v>
      </c>
    </row>
    <row r="471" customFormat="false" ht="15" hidden="false" customHeight="false" outlineLevel="0" collapsed="false">
      <c r="A471" s="52" t="n">
        <v>44894</v>
      </c>
      <c r="B471" s="57" t="n">
        <v>0.1507</v>
      </c>
      <c r="C471" s="57" t="n">
        <v>0.1245</v>
      </c>
      <c r="D471" s="57" t="n">
        <v>0.1162</v>
      </c>
      <c r="E471" s="57" t="n">
        <v>0.15296</v>
      </c>
      <c r="F471" s="57" t="n">
        <v>0.1226</v>
      </c>
      <c r="H471" s="57" t="n">
        <v>0.1674</v>
      </c>
    </row>
    <row r="472" customFormat="false" ht="15" hidden="false" customHeight="false" outlineLevel="0" collapsed="false">
      <c r="A472" s="52" t="n">
        <v>44895</v>
      </c>
      <c r="B472" s="57" t="n">
        <v>0.1461</v>
      </c>
      <c r="C472" s="57" t="n">
        <v>0.1237</v>
      </c>
      <c r="D472" s="57" t="n">
        <v>0.115</v>
      </c>
      <c r="E472" s="57" t="n">
        <v>0.15296</v>
      </c>
      <c r="F472" s="57" t="n">
        <v>0.1221</v>
      </c>
      <c r="H472" s="57" t="n">
        <v>0.1692</v>
      </c>
    </row>
    <row r="473" customFormat="false" ht="15" hidden="false" customHeight="false" outlineLevel="0" collapsed="false">
      <c r="A473" s="52" t="n">
        <v>44896</v>
      </c>
      <c r="B473" s="57" t="n">
        <v>0.156</v>
      </c>
      <c r="C473" s="57" t="n">
        <v>0.1271</v>
      </c>
      <c r="D473" s="57" t="n">
        <v>0.1112</v>
      </c>
      <c r="E473" s="57" t="n">
        <v>0.15296</v>
      </c>
      <c r="F473" s="57" t="n">
        <v>0.1253</v>
      </c>
      <c r="H473" s="57" t="n">
        <v>0.1689</v>
      </c>
    </row>
    <row r="474" customFormat="false" ht="15" hidden="false" customHeight="false" outlineLevel="0" collapsed="false">
      <c r="A474" s="52" t="n">
        <v>44897</v>
      </c>
      <c r="B474" s="57" t="n">
        <v>0.1511</v>
      </c>
      <c r="C474" s="57" t="n">
        <v>0.1246</v>
      </c>
      <c r="D474" s="57" t="n">
        <v>0.114</v>
      </c>
      <c r="E474" s="57" t="n">
        <v>0.15314</v>
      </c>
      <c r="F474" s="57" t="n">
        <v>0.1251</v>
      </c>
      <c r="H474" s="57" t="n">
        <v>0.1636</v>
      </c>
    </row>
    <row r="475" customFormat="false" ht="15" hidden="false" customHeight="false" outlineLevel="0" collapsed="false">
      <c r="A475" s="52" t="n">
        <v>44900</v>
      </c>
      <c r="B475" s="57" t="n">
        <v>0.1507</v>
      </c>
      <c r="C475" s="57" t="n">
        <v>0.1248</v>
      </c>
      <c r="D475" s="57" t="n">
        <v>0.1122</v>
      </c>
      <c r="E475" s="57" t="n">
        <v>0.15296</v>
      </c>
      <c r="F475" s="57" t="n">
        <v>0.1257</v>
      </c>
      <c r="H475" s="57" t="n">
        <v>0.1604</v>
      </c>
    </row>
    <row r="476" customFormat="false" ht="15" hidden="false" customHeight="false" outlineLevel="0" collapsed="false">
      <c r="A476" s="52" t="n">
        <v>44901</v>
      </c>
      <c r="B476" s="57" t="n">
        <v>0.1478</v>
      </c>
      <c r="C476" s="57" t="n">
        <v>0.1221</v>
      </c>
      <c r="D476" s="57" t="n">
        <v>0.1085</v>
      </c>
      <c r="E476" s="57" t="n">
        <v>0.15878</v>
      </c>
      <c r="F476" s="57" t="n">
        <v>0.1264</v>
      </c>
      <c r="H476" s="57" t="n">
        <v>0.1637</v>
      </c>
    </row>
    <row r="477" customFormat="false" ht="15" hidden="false" customHeight="false" outlineLevel="0" collapsed="false">
      <c r="A477" s="52" t="n">
        <v>44902</v>
      </c>
      <c r="B477" s="57" t="n">
        <v>0.1473</v>
      </c>
      <c r="C477" s="57" t="n">
        <v>0.1204</v>
      </c>
      <c r="D477" s="57" t="n">
        <v>0.1099</v>
      </c>
      <c r="E477" s="57" t="n">
        <v>0.15878</v>
      </c>
      <c r="F477" s="57" t="n">
        <v>0.1268</v>
      </c>
      <c r="H477" s="57" t="n">
        <v>0.1627</v>
      </c>
    </row>
    <row r="478" customFormat="false" ht="15" hidden="false" customHeight="false" outlineLevel="0" collapsed="false">
      <c r="A478" s="52" t="n">
        <v>44903</v>
      </c>
      <c r="B478" s="57" t="n">
        <v>0.149</v>
      </c>
      <c r="C478" s="57" t="n">
        <v>0.1225</v>
      </c>
      <c r="D478" s="57" t="n">
        <v>0.1085</v>
      </c>
      <c r="E478" s="57" t="n">
        <v>0.15878</v>
      </c>
      <c r="F478" s="57" t="n">
        <v>0.1263</v>
      </c>
      <c r="H478" s="57" t="n">
        <v>0.1605</v>
      </c>
    </row>
    <row r="479" customFormat="false" ht="15" hidden="false" customHeight="false" outlineLevel="0" collapsed="false">
      <c r="A479" s="52" t="n">
        <v>44904</v>
      </c>
      <c r="B479" s="57" t="n">
        <v>0.1478</v>
      </c>
      <c r="C479" s="57" t="n">
        <v>0.1214</v>
      </c>
      <c r="D479" s="57" t="n">
        <v>0.1084</v>
      </c>
      <c r="E479" s="57" t="n">
        <v>0.15898</v>
      </c>
      <c r="F479" s="57" t="n">
        <v>0.1267</v>
      </c>
      <c r="H479" s="57" t="n">
        <v>0.1588</v>
      </c>
    </row>
    <row r="480" customFormat="false" ht="15" hidden="false" customHeight="false" outlineLevel="0" collapsed="false">
      <c r="A480" s="52" t="n">
        <v>44907</v>
      </c>
      <c r="B480" s="57" t="n">
        <v>0.145</v>
      </c>
      <c r="C480" s="57" t="n">
        <v>0.1209</v>
      </c>
      <c r="D480" s="57" t="n">
        <v>0.1094</v>
      </c>
      <c r="E480" s="57" t="n">
        <v>0.15878</v>
      </c>
      <c r="F480" s="57" t="n">
        <v>0.1263</v>
      </c>
      <c r="H480" s="57" t="n">
        <v>0.1586</v>
      </c>
    </row>
    <row r="481" customFormat="false" ht="15" hidden="false" customHeight="false" outlineLevel="0" collapsed="false">
      <c r="A481" s="52" t="n">
        <v>44908</v>
      </c>
      <c r="B481" s="57" t="n">
        <v>0.142</v>
      </c>
      <c r="C481" s="57" t="n">
        <v>0.1205</v>
      </c>
      <c r="D481" s="57" t="n">
        <v>0.1093</v>
      </c>
      <c r="E481" s="57" t="n">
        <v>0.15878</v>
      </c>
      <c r="F481" s="57" t="n">
        <v>0.1259</v>
      </c>
      <c r="H481" s="57" t="n">
        <v>0.1583</v>
      </c>
    </row>
    <row r="482" customFormat="false" ht="15" hidden="false" customHeight="false" outlineLevel="0" collapsed="false">
      <c r="A482" s="52" t="n">
        <v>44909</v>
      </c>
      <c r="B482" s="57" t="n">
        <v>0.1449</v>
      </c>
      <c r="C482" s="57" t="n">
        <v>0.1285</v>
      </c>
      <c r="D482" s="57" t="n">
        <v>0.1091</v>
      </c>
      <c r="E482" s="57" t="n">
        <v>0.15878</v>
      </c>
      <c r="F482" s="57" t="n">
        <v>0.1259</v>
      </c>
      <c r="H482" s="57" t="n">
        <v>0.1602</v>
      </c>
    </row>
    <row r="483" customFormat="false" ht="15" hidden="false" customHeight="false" outlineLevel="0" collapsed="false">
      <c r="A483" s="52" t="n">
        <v>44910</v>
      </c>
      <c r="B483" s="57" t="n">
        <v>0.1597</v>
      </c>
      <c r="C483" s="57" t="n">
        <v>0.1424</v>
      </c>
      <c r="D483" s="57" t="n">
        <v>0.11</v>
      </c>
      <c r="E483" s="57" t="n">
        <v>0.15908</v>
      </c>
      <c r="F483" s="57" t="n">
        <v>0.1264</v>
      </c>
      <c r="H483" s="57" t="n">
        <v>0.1592</v>
      </c>
    </row>
    <row r="484" customFormat="false" ht="15" hidden="false" customHeight="false" outlineLevel="0" collapsed="false">
      <c r="A484" s="52" t="n">
        <v>44914</v>
      </c>
      <c r="B484" s="57" t="n">
        <v>0.1591</v>
      </c>
      <c r="C484" s="57" t="n">
        <v>0.1429</v>
      </c>
      <c r="D484" s="57" t="n">
        <v>0.1092</v>
      </c>
      <c r="E484" s="57" t="n">
        <v>0.15878</v>
      </c>
      <c r="F484" s="57" t="n">
        <v>0.1266</v>
      </c>
      <c r="H484" s="57" t="n">
        <v>0.1582</v>
      </c>
    </row>
    <row r="485" customFormat="false" ht="15" hidden="false" customHeight="false" outlineLevel="0" collapsed="false">
      <c r="A485" s="52" t="n">
        <v>44915</v>
      </c>
      <c r="B485" s="57" t="n">
        <v>0.1581</v>
      </c>
      <c r="C485" s="57" t="n">
        <v>0.1421</v>
      </c>
      <c r="D485" s="57" t="n">
        <v>0.1111</v>
      </c>
      <c r="E485" s="57" t="n">
        <v>0.15878</v>
      </c>
      <c r="F485" s="57" t="n">
        <v>0.1268</v>
      </c>
      <c r="H485" s="57" t="n">
        <v>0.1582</v>
      </c>
    </row>
    <row r="486" customFormat="false" ht="15" hidden="false" customHeight="false" outlineLevel="0" collapsed="false">
      <c r="A486" s="52" t="n">
        <v>44916</v>
      </c>
      <c r="B486" s="57" t="n">
        <v>0.1544</v>
      </c>
      <c r="C486" s="57" t="n">
        <v>0.1421</v>
      </c>
      <c r="D486" s="57" t="n">
        <v>0.113</v>
      </c>
      <c r="E486" s="57" t="n">
        <v>0.16297</v>
      </c>
      <c r="F486" s="57" t="n">
        <v>0.1269</v>
      </c>
      <c r="H486" s="57" t="n">
        <v>0.1589</v>
      </c>
    </row>
    <row r="487" customFormat="false" ht="15" hidden="false" customHeight="false" outlineLevel="0" collapsed="false">
      <c r="A487" s="52" t="n">
        <v>44917</v>
      </c>
      <c r="B487" s="57" t="n">
        <v>0.1584</v>
      </c>
      <c r="C487" s="57" t="n">
        <v>0.1394</v>
      </c>
      <c r="D487" s="57" t="n">
        <v>0.1126</v>
      </c>
      <c r="E487" s="57" t="n">
        <v>0.16297</v>
      </c>
      <c r="F487" s="57" t="n">
        <v>0.1269</v>
      </c>
      <c r="H487" s="57" t="n">
        <v>0.1586</v>
      </c>
    </row>
    <row r="488" customFormat="false" ht="15" hidden="false" customHeight="false" outlineLevel="0" collapsed="false">
      <c r="A488" s="52" t="n">
        <v>44918</v>
      </c>
      <c r="B488" s="57" t="n">
        <v>0.1526</v>
      </c>
      <c r="C488" s="57" t="n">
        <v>0.1398</v>
      </c>
      <c r="D488" s="57" t="n">
        <v>0.1128</v>
      </c>
      <c r="E488" s="57" t="n">
        <v>0.16318</v>
      </c>
      <c r="F488" s="57" t="n">
        <v>0.1265</v>
      </c>
      <c r="H488" s="57" t="n">
        <v>0.1599</v>
      </c>
    </row>
    <row r="489" customFormat="false" ht="15" hidden="false" customHeight="false" outlineLevel="0" collapsed="false">
      <c r="A489" s="52" t="n">
        <v>44921</v>
      </c>
      <c r="B489" s="57" t="n">
        <v>0.1602</v>
      </c>
      <c r="C489" s="57" t="n">
        <v>0.1372</v>
      </c>
      <c r="D489" s="57" t="n">
        <v>0.1119</v>
      </c>
      <c r="E489" s="57" t="n">
        <v>0.16297</v>
      </c>
      <c r="F489" s="57" t="n">
        <v>0.1276</v>
      </c>
      <c r="H489" s="57" t="n">
        <v>0.1638</v>
      </c>
    </row>
    <row r="490" customFormat="false" ht="15" hidden="false" customHeight="false" outlineLevel="0" collapsed="false">
      <c r="A490" s="52" t="n">
        <v>44922</v>
      </c>
      <c r="B490" s="57" t="n">
        <v>0.1543</v>
      </c>
      <c r="C490" s="57" t="n">
        <v>0.1381</v>
      </c>
      <c r="D490" s="57" t="n">
        <v>0.1116</v>
      </c>
      <c r="E490" s="57" t="n">
        <v>0.16297</v>
      </c>
      <c r="F490" s="57" t="n">
        <v>0.1271</v>
      </c>
      <c r="H490" s="57" t="n">
        <v>0.166</v>
      </c>
    </row>
    <row r="491" customFormat="false" ht="15" hidden="false" customHeight="false" outlineLevel="0" collapsed="false">
      <c r="A491" s="52" t="n">
        <v>44923</v>
      </c>
      <c r="B491" s="57" t="n">
        <v>0.1607</v>
      </c>
      <c r="C491" s="57" t="n">
        <v>0.142</v>
      </c>
      <c r="D491" s="57" t="n">
        <v>0.1147</v>
      </c>
      <c r="E491" s="57" t="n">
        <v>0.16297</v>
      </c>
      <c r="F491" s="57" t="n">
        <v>0.1271</v>
      </c>
      <c r="H491" s="57" t="n">
        <v>0.1679</v>
      </c>
    </row>
    <row r="492" customFormat="false" ht="15" hidden="false" customHeight="false" outlineLevel="0" collapsed="false">
      <c r="A492" s="52" t="n">
        <v>44924</v>
      </c>
      <c r="B492" s="57" t="n">
        <v>0.158</v>
      </c>
      <c r="C492" s="57" t="n">
        <v>0.1418</v>
      </c>
      <c r="D492" s="57" t="n">
        <v>0.1137</v>
      </c>
      <c r="E492" s="57" t="n">
        <v>0.16297</v>
      </c>
      <c r="F492" s="57" t="n">
        <v>0.127</v>
      </c>
      <c r="H492" s="57" t="n">
        <v>0.1739</v>
      </c>
    </row>
    <row r="493" customFormat="false" ht="15" hidden="false" customHeight="false" outlineLevel="0" collapsed="false">
      <c r="A493" s="52" t="n">
        <v>44925</v>
      </c>
      <c r="B493" s="57" t="n">
        <v>0.1667</v>
      </c>
      <c r="C493" s="57" t="n">
        <v>0.1396</v>
      </c>
      <c r="D493" s="57" t="n">
        <v>0.113</v>
      </c>
      <c r="E493" s="57" t="n">
        <v>0.16329</v>
      </c>
      <c r="F493" s="57" t="n">
        <v>0.1266</v>
      </c>
      <c r="H493" s="57" t="n">
        <v>0.1763</v>
      </c>
    </row>
    <row r="494" customFormat="false" ht="15" hidden="false" customHeight="false" outlineLevel="0" collapsed="false">
      <c r="A494" s="52" t="n">
        <v>44930</v>
      </c>
      <c r="B494" s="57" t="n">
        <v>0.1667</v>
      </c>
      <c r="C494" s="57" t="n">
        <v>0.1374</v>
      </c>
      <c r="D494" s="57" t="n">
        <v>0.1163</v>
      </c>
      <c r="E494" s="57" t="n">
        <v>0.16297</v>
      </c>
      <c r="F494" s="57" t="n">
        <v>0.1269</v>
      </c>
      <c r="H494" s="57" t="n">
        <v>0.161</v>
      </c>
    </row>
    <row r="495" customFormat="false" ht="15" hidden="false" customHeight="false" outlineLevel="0" collapsed="false">
      <c r="A495" s="52" t="n">
        <v>44931</v>
      </c>
      <c r="B495" s="57" t="n">
        <v>0.156</v>
      </c>
      <c r="C495" s="57" t="n">
        <v>0.1392</v>
      </c>
      <c r="D495" s="57" t="n">
        <v>0.1169</v>
      </c>
      <c r="E495" s="57" t="n">
        <v>0.16297</v>
      </c>
      <c r="F495" s="57" t="n">
        <v>0.1271</v>
      </c>
      <c r="H495" s="57" t="n">
        <v>0.159</v>
      </c>
    </row>
    <row r="496" customFormat="false" ht="15" hidden="false" customHeight="false" outlineLevel="0" collapsed="false">
      <c r="A496" s="52" t="n">
        <v>44932</v>
      </c>
      <c r="B496" s="57" t="n">
        <v>0.1546</v>
      </c>
      <c r="C496" s="57" t="n">
        <v>0.1373</v>
      </c>
      <c r="D496" s="57" t="n">
        <v>0.1173</v>
      </c>
      <c r="E496" s="57" t="n">
        <v>0.16058</v>
      </c>
      <c r="F496" s="57" t="n">
        <v>0.127</v>
      </c>
      <c r="H496" s="57" t="n">
        <v>0.1582</v>
      </c>
    </row>
    <row r="497" customFormat="false" ht="15" hidden="false" customHeight="false" outlineLevel="0" collapsed="false">
      <c r="A497" s="52" t="n">
        <v>44935</v>
      </c>
      <c r="B497" s="57" t="n">
        <v>0.1537</v>
      </c>
      <c r="C497" s="57" t="n">
        <v>0.1321</v>
      </c>
      <c r="D497" s="57" t="n">
        <v>0.1164</v>
      </c>
      <c r="E497" s="57" t="n">
        <v>0.15944</v>
      </c>
      <c r="F497" s="57" t="n">
        <v>0.1273</v>
      </c>
      <c r="H497" s="57" t="n">
        <v>0.1586</v>
      </c>
    </row>
    <row r="498" customFormat="false" ht="15" hidden="false" customHeight="false" outlineLevel="0" collapsed="false">
      <c r="A498" s="52" t="n">
        <v>44936</v>
      </c>
      <c r="B498" s="57" t="n">
        <v>0.1519</v>
      </c>
      <c r="C498" s="57" t="n">
        <v>0.1323</v>
      </c>
      <c r="D498" s="57" t="n">
        <v>0.1147</v>
      </c>
      <c r="E498" s="57" t="n">
        <v>0.15944</v>
      </c>
      <c r="F498" s="57" t="n">
        <v>0.1275</v>
      </c>
      <c r="H498" s="57" t="n">
        <v>0.1578</v>
      </c>
    </row>
    <row r="499" customFormat="false" ht="15" hidden="false" customHeight="false" outlineLevel="0" collapsed="false">
      <c r="A499" s="52" t="n">
        <v>44937</v>
      </c>
      <c r="B499" s="57" t="n">
        <v>0.1514</v>
      </c>
      <c r="C499" s="57" t="n">
        <v>0.1348</v>
      </c>
      <c r="D499" s="57" t="n">
        <v>0.1171</v>
      </c>
      <c r="E499" s="57" t="n">
        <v>0.15944</v>
      </c>
      <c r="F499" s="57" t="n">
        <v>0.1268</v>
      </c>
      <c r="H499" s="57" t="n">
        <v>0.1576</v>
      </c>
    </row>
    <row r="500" customFormat="false" ht="15" hidden="false" customHeight="false" outlineLevel="0" collapsed="false">
      <c r="A500" s="52" t="n">
        <v>44938</v>
      </c>
      <c r="B500" s="57" t="n">
        <v>0.1538</v>
      </c>
      <c r="C500" s="57" t="n">
        <v>0.1379</v>
      </c>
      <c r="D500" s="57" t="n">
        <v>0.1127</v>
      </c>
      <c r="E500" s="57" t="n">
        <v>0.15944</v>
      </c>
      <c r="F500" s="57" t="n">
        <v>0.1278</v>
      </c>
      <c r="H500" s="57" t="n">
        <v>0.1576</v>
      </c>
    </row>
    <row r="501" customFormat="false" ht="15" hidden="false" customHeight="false" outlineLevel="0" collapsed="false">
      <c r="A501" s="52" t="n">
        <v>44939</v>
      </c>
      <c r="B501" s="57" t="n">
        <v>0.1539</v>
      </c>
      <c r="C501" s="57" t="n">
        <v>0.1372</v>
      </c>
      <c r="D501" s="57" t="n">
        <v>0.1129</v>
      </c>
      <c r="E501" s="57" t="n">
        <v>0.15965</v>
      </c>
      <c r="F501" s="57" t="n">
        <v>0.1265</v>
      </c>
      <c r="H501" s="57" t="n">
        <v>0.1576</v>
      </c>
    </row>
    <row r="502" customFormat="false" ht="15" hidden="false" customHeight="false" outlineLevel="0" collapsed="false">
      <c r="A502" s="52" t="n">
        <v>44942</v>
      </c>
      <c r="B502" s="57" t="n">
        <v>0.1607</v>
      </c>
      <c r="C502" s="57" t="n">
        <v>0.1471</v>
      </c>
      <c r="D502" s="57" t="n">
        <v>0.111</v>
      </c>
      <c r="E502" s="57" t="n">
        <v>0.15944</v>
      </c>
      <c r="F502" s="57" t="n">
        <v>0.1276</v>
      </c>
      <c r="H502" s="57" t="n">
        <v>0.1578</v>
      </c>
    </row>
    <row r="503" customFormat="false" ht="15" hidden="false" customHeight="false" outlineLevel="0" collapsed="false">
      <c r="A503" s="52" t="n">
        <v>44943</v>
      </c>
      <c r="B503" s="57" t="n">
        <v>0.16</v>
      </c>
      <c r="C503" s="57" t="n">
        <v>0.1467</v>
      </c>
      <c r="D503" s="57" t="n">
        <v>0.1106</v>
      </c>
      <c r="E503" s="57" t="n">
        <v>0.15944</v>
      </c>
      <c r="F503" s="57" t="n">
        <v>0.1271</v>
      </c>
      <c r="H503" s="57" t="n">
        <v>0.1576</v>
      </c>
    </row>
    <row r="504" customFormat="false" ht="15" hidden="false" customHeight="false" outlineLevel="0" collapsed="false">
      <c r="A504" s="52" t="n">
        <v>44944</v>
      </c>
      <c r="B504" s="57" t="n">
        <v>0.1616</v>
      </c>
      <c r="C504" s="57" t="n">
        <v>0.1433</v>
      </c>
      <c r="D504" s="57" t="n">
        <v>0.1123</v>
      </c>
      <c r="E504" s="57" t="n">
        <v>0.15944</v>
      </c>
      <c r="F504" s="57" t="n">
        <v>0.128</v>
      </c>
      <c r="H504" s="57" t="n">
        <v>0.1576</v>
      </c>
    </row>
    <row r="505" customFormat="false" ht="15" hidden="false" customHeight="false" outlineLevel="0" collapsed="false">
      <c r="A505" s="52" t="n">
        <v>44945</v>
      </c>
      <c r="B505" s="57" t="n">
        <v>0.1589</v>
      </c>
      <c r="C505" s="57" t="n">
        <v>0.1478</v>
      </c>
      <c r="D505" s="57" t="n">
        <v>0.1136</v>
      </c>
      <c r="E505" s="57" t="n">
        <v>0.15944</v>
      </c>
      <c r="F505" s="57" t="n">
        <v>0.1274</v>
      </c>
      <c r="H505" s="57" t="n">
        <v>0.1576</v>
      </c>
    </row>
    <row r="506" customFormat="false" ht="15" hidden="false" customHeight="false" outlineLevel="0" collapsed="false">
      <c r="A506" s="52" t="n">
        <v>44946</v>
      </c>
      <c r="B506" s="57" t="n">
        <v>0.1586</v>
      </c>
      <c r="C506" s="57" t="n">
        <v>0.1466</v>
      </c>
      <c r="D506" s="57" t="n">
        <v>0.1133</v>
      </c>
      <c r="E506" s="57" t="n">
        <v>0.15965</v>
      </c>
      <c r="F506" s="57" t="n">
        <v>0.128</v>
      </c>
      <c r="H506" s="57" t="n">
        <v>0.1576</v>
      </c>
    </row>
    <row r="507" customFormat="false" ht="15" hidden="false" customHeight="false" outlineLevel="0" collapsed="false">
      <c r="A507" s="52" t="n">
        <v>44949</v>
      </c>
      <c r="B507" s="57" t="n">
        <v>0.16</v>
      </c>
      <c r="C507" s="57" t="n">
        <v>0.1496</v>
      </c>
      <c r="D507" s="57" t="n">
        <v>0.1116</v>
      </c>
      <c r="E507" s="57" t="n">
        <v>0.15944</v>
      </c>
      <c r="F507" s="57" t="n">
        <v>0.1288</v>
      </c>
      <c r="H507" s="57" t="n">
        <v>0.1578</v>
      </c>
    </row>
    <row r="508" customFormat="false" ht="15" hidden="false" customHeight="false" outlineLevel="0" collapsed="false">
      <c r="A508" s="52" t="n">
        <v>44950</v>
      </c>
      <c r="B508" s="57" t="n">
        <v>0.1612</v>
      </c>
      <c r="C508" s="57" t="n">
        <v>0.1476</v>
      </c>
      <c r="D508" s="57" t="n">
        <v>0.1108</v>
      </c>
      <c r="E508" s="57" t="n">
        <v>0.15944</v>
      </c>
      <c r="F508" s="57" t="n">
        <v>0.1282</v>
      </c>
      <c r="H508" s="57" t="n">
        <v>0.1577</v>
      </c>
    </row>
    <row r="509" customFormat="false" ht="15" hidden="false" customHeight="false" outlineLevel="0" collapsed="false">
      <c r="A509" s="52" t="n">
        <v>44951</v>
      </c>
      <c r="B509" s="57" t="n">
        <v>0.1616</v>
      </c>
      <c r="C509" s="57" t="n">
        <v>0.1506</v>
      </c>
      <c r="D509" s="57" t="n">
        <v>0.1151</v>
      </c>
      <c r="E509" s="57" t="n">
        <v>0.15944</v>
      </c>
      <c r="F509" s="57" t="n">
        <v>0.1283</v>
      </c>
      <c r="H509" s="57" t="n">
        <v>0.1577</v>
      </c>
    </row>
    <row r="510" customFormat="false" ht="15" hidden="false" customHeight="false" outlineLevel="0" collapsed="false">
      <c r="A510" s="52" t="n">
        <v>44952</v>
      </c>
      <c r="B510" s="57" t="n">
        <v>0.1628</v>
      </c>
      <c r="C510" s="57" t="n">
        <v>0.1521</v>
      </c>
      <c r="D510" s="57" t="n">
        <v>0.1159</v>
      </c>
      <c r="E510" s="57" t="n">
        <v>0.15944</v>
      </c>
      <c r="F510" s="57" t="n">
        <v>0.1292</v>
      </c>
      <c r="H510" s="57" t="n">
        <v>0.1576</v>
      </c>
    </row>
    <row r="511" customFormat="false" ht="15" hidden="false" customHeight="false" outlineLevel="0" collapsed="false">
      <c r="A511" s="52" t="n">
        <v>44953</v>
      </c>
      <c r="B511" s="57" t="n">
        <v>0.1639</v>
      </c>
      <c r="C511" s="57" t="n">
        <v>0.1517</v>
      </c>
      <c r="D511" s="57" t="n">
        <v>0.1147</v>
      </c>
      <c r="E511" s="57" t="n">
        <v>0.15965</v>
      </c>
      <c r="F511" s="57" t="n">
        <v>0.1292</v>
      </c>
      <c r="H511" s="57" t="n">
        <v>0.1576</v>
      </c>
    </row>
    <row r="512" customFormat="false" ht="15" hidden="false" customHeight="false" outlineLevel="0" collapsed="false">
      <c r="A512" s="52" t="n">
        <v>44956</v>
      </c>
      <c r="B512" s="57" t="n">
        <v>0.1644</v>
      </c>
      <c r="C512" s="57" t="n">
        <v>0.1493</v>
      </c>
      <c r="D512" s="57" t="n">
        <v>0.1149</v>
      </c>
      <c r="E512" s="57" t="n">
        <v>0.15925</v>
      </c>
      <c r="F512" s="57" t="n">
        <v>0.1288</v>
      </c>
      <c r="H512" s="57" t="n">
        <v>0.1581</v>
      </c>
    </row>
    <row r="513" customFormat="false" ht="15" hidden="false" customHeight="false" outlineLevel="0" collapsed="false">
      <c r="A513" s="52" t="n">
        <v>44957</v>
      </c>
      <c r="B513" s="57" t="n">
        <v>0.1648</v>
      </c>
      <c r="C513" s="57" t="n">
        <v>0.1448</v>
      </c>
      <c r="D513" s="57" t="n">
        <v>0.1125</v>
      </c>
      <c r="E513" s="57" t="n">
        <v>0.15953</v>
      </c>
      <c r="F513" s="57" t="n">
        <v>0.1285</v>
      </c>
      <c r="H513" s="57" t="n">
        <v>0.1616</v>
      </c>
    </row>
    <row r="514" customFormat="false" ht="15" hidden="false" customHeight="false" outlineLevel="0" collapsed="false">
      <c r="A514" s="52" t="n">
        <v>44958</v>
      </c>
      <c r="B514" s="57" t="n">
        <v>0.162</v>
      </c>
      <c r="C514" s="57" t="n">
        <v>0.1396</v>
      </c>
      <c r="D514" s="57" t="n">
        <v>0.1151</v>
      </c>
      <c r="E514" s="57" t="n">
        <v>0.15944</v>
      </c>
      <c r="F514" s="57" t="n">
        <v>0.1291</v>
      </c>
      <c r="H514" s="57" t="n">
        <v>0.1606</v>
      </c>
    </row>
    <row r="515" customFormat="false" ht="15" hidden="false" customHeight="false" outlineLevel="0" collapsed="false">
      <c r="A515" s="52" t="n">
        <v>44959</v>
      </c>
      <c r="B515" s="57" t="n">
        <v>0.1589</v>
      </c>
      <c r="C515" s="57" t="n">
        <v>0.144</v>
      </c>
      <c r="D515" s="57" t="n">
        <v>0.1195</v>
      </c>
      <c r="E515" s="57" t="n">
        <v>0.15944</v>
      </c>
      <c r="F515" s="57" t="n">
        <v>0.1287</v>
      </c>
      <c r="H515" s="57" t="n">
        <v>0.1603</v>
      </c>
    </row>
    <row r="516" customFormat="false" ht="15" hidden="false" customHeight="false" outlineLevel="0" collapsed="false">
      <c r="A516" s="52" t="n">
        <v>44960</v>
      </c>
      <c r="B516" s="57" t="n">
        <v>0.1596</v>
      </c>
      <c r="C516" s="57" t="n">
        <v>0.1466</v>
      </c>
      <c r="D516" s="57" t="n">
        <v>0.1169</v>
      </c>
      <c r="E516" s="57" t="n">
        <v>0.15966</v>
      </c>
      <c r="F516" s="57" t="n">
        <v>0.1284</v>
      </c>
      <c r="H516" s="57" t="n">
        <v>0.1587</v>
      </c>
    </row>
    <row r="517" customFormat="false" ht="15" hidden="false" customHeight="false" outlineLevel="0" collapsed="false">
      <c r="A517" s="52" t="n">
        <v>44963</v>
      </c>
      <c r="B517" s="57" t="n">
        <v>0.1566</v>
      </c>
      <c r="C517" s="57" t="n">
        <v>0.1454</v>
      </c>
      <c r="D517" s="57" t="n">
        <v>0.1191</v>
      </c>
      <c r="E517" s="57" t="n">
        <v>0.15944</v>
      </c>
      <c r="F517" s="57" t="n">
        <v>0.129</v>
      </c>
      <c r="H517" s="57" t="n">
        <v>0.1582</v>
      </c>
    </row>
    <row r="518" customFormat="false" ht="15" hidden="false" customHeight="false" outlineLevel="0" collapsed="false">
      <c r="A518" s="52" t="n">
        <v>44964</v>
      </c>
      <c r="B518" s="57" t="n">
        <v>0.1619</v>
      </c>
      <c r="C518" s="57" t="n">
        <v>0.1463</v>
      </c>
      <c r="D518" s="57" t="n">
        <v>0.1207</v>
      </c>
      <c r="E518" s="57" t="n">
        <v>0.15944</v>
      </c>
      <c r="F518" s="57" t="n">
        <v>0.129</v>
      </c>
      <c r="H518" s="57" t="n">
        <v>0.1577</v>
      </c>
    </row>
    <row r="519" customFormat="false" ht="15" hidden="false" customHeight="false" outlineLevel="0" collapsed="false">
      <c r="A519" s="52" t="n">
        <v>44965</v>
      </c>
      <c r="B519" s="57" t="n">
        <v>0.1575</v>
      </c>
      <c r="C519" s="57" t="n">
        <v>0.147</v>
      </c>
      <c r="D519" s="57" t="n">
        <v>0.1193</v>
      </c>
      <c r="E519" s="57" t="n">
        <v>0.15944</v>
      </c>
      <c r="F519" s="57" t="n">
        <v>0.1293</v>
      </c>
      <c r="H519" s="57" t="n">
        <v>0.1576</v>
      </c>
    </row>
    <row r="520" customFormat="false" ht="15" hidden="false" customHeight="false" outlineLevel="0" collapsed="false">
      <c r="A520" s="52" t="n">
        <v>44966</v>
      </c>
      <c r="B520" s="57" t="n">
        <v>0.1639</v>
      </c>
      <c r="C520" s="57" t="n">
        <v>0.1429</v>
      </c>
      <c r="D520" s="57" t="n">
        <v>0.1171</v>
      </c>
      <c r="E520" s="57" t="n">
        <v>0.15944</v>
      </c>
      <c r="F520" s="57" t="n">
        <v>0.1297</v>
      </c>
      <c r="H520" s="57" t="n">
        <v>0.1576</v>
      </c>
    </row>
    <row r="521" customFormat="false" ht="15" hidden="false" customHeight="false" outlineLevel="0" collapsed="false">
      <c r="A521" s="52" t="n">
        <v>44967</v>
      </c>
      <c r="B521" s="57" t="n">
        <v>0.1625</v>
      </c>
      <c r="C521" s="57" t="n">
        <v>0.1417</v>
      </c>
      <c r="D521" s="57" t="n">
        <v>0.1139</v>
      </c>
      <c r="E521" s="57" t="n">
        <v>0.15966</v>
      </c>
      <c r="F521" s="57" t="n">
        <v>0.1287</v>
      </c>
      <c r="H521" s="57" t="n">
        <v>0.1576</v>
      </c>
    </row>
    <row r="522" customFormat="false" ht="15" hidden="false" customHeight="false" outlineLevel="0" collapsed="false">
      <c r="A522" s="52" t="n">
        <v>44970</v>
      </c>
      <c r="B522" s="57" t="n">
        <v>0.1528</v>
      </c>
      <c r="C522" s="57" t="n">
        <v>0.1354</v>
      </c>
      <c r="D522" s="57" t="n">
        <v>0.1123</v>
      </c>
      <c r="E522" s="57" t="n">
        <v>0.15944</v>
      </c>
      <c r="F522" s="57" t="n">
        <v>0.1289</v>
      </c>
      <c r="H522" s="57" t="n">
        <v>0.1576</v>
      </c>
    </row>
    <row r="523" customFormat="false" ht="15" hidden="false" customHeight="false" outlineLevel="0" collapsed="false">
      <c r="A523" s="52" t="n">
        <v>44971</v>
      </c>
      <c r="B523" s="57" t="n">
        <v>0.1546</v>
      </c>
      <c r="C523" s="57" t="n">
        <v>0.133</v>
      </c>
      <c r="D523" s="57" t="n">
        <v>0.1102</v>
      </c>
      <c r="E523" s="57" t="n">
        <v>0.15944</v>
      </c>
      <c r="F523" s="57" t="n">
        <v>0.1288</v>
      </c>
      <c r="H523" s="57" t="n">
        <v>0.1575</v>
      </c>
    </row>
    <row r="524" customFormat="false" ht="15" hidden="false" customHeight="false" outlineLevel="0" collapsed="false">
      <c r="A524" s="52" t="n">
        <v>44972</v>
      </c>
      <c r="B524" s="57" t="n">
        <v>0.1532</v>
      </c>
      <c r="C524" s="57" t="n">
        <v>0.1375</v>
      </c>
      <c r="D524" s="57" t="n">
        <v>0.1096</v>
      </c>
      <c r="E524" s="57" t="n">
        <v>0.15944</v>
      </c>
      <c r="F524" s="57" t="n">
        <v>0.1294</v>
      </c>
      <c r="H524" s="57" t="n">
        <v>0.1575</v>
      </c>
    </row>
    <row r="525" customFormat="false" ht="15" hidden="false" customHeight="false" outlineLevel="0" collapsed="false">
      <c r="A525" s="52" t="n">
        <v>44973</v>
      </c>
      <c r="B525" s="57" t="n">
        <v>0.1549</v>
      </c>
      <c r="C525" s="57" t="n">
        <v>0.1358</v>
      </c>
      <c r="D525" s="57" t="n">
        <v>0.1147</v>
      </c>
      <c r="E525" s="57" t="n">
        <v>0.15944</v>
      </c>
      <c r="F525" s="57" t="n">
        <v>0.1291</v>
      </c>
      <c r="H525" s="57" t="n">
        <v>0.1575</v>
      </c>
    </row>
    <row r="526" customFormat="false" ht="15" hidden="false" customHeight="false" outlineLevel="0" collapsed="false">
      <c r="A526" s="52" t="n">
        <v>44974</v>
      </c>
      <c r="B526" s="57" t="n">
        <v>0.1527</v>
      </c>
      <c r="C526" s="57" t="n">
        <v>0.1354</v>
      </c>
      <c r="D526" s="57" t="n">
        <v>0.1138</v>
      </c>
      <c r="E526" s="57" t="n">
        <v>0.15966</v>
      </c>
      <c r="F526" s="57" t="n">
        <v>0.129</v>
      </c>
      <c r="H526" s="57" t="n">
        <v>0.1576</v>
      </c>
    </row>
    <row r="527" customFormat="false" ht="15" hidden="false" customHeight="false" outlineLevel="0" collapsed="false">
      <c r="A527" s="52" t="n">
        <v>44977</v>
      </c>
      <c r="B527" s="57" t="n">
        <v>0.1539</v>
      </c>
      <c r="C527" s="57" t="n">
        <v>0.1345</v>
      </c>
      <c r="D527" s="57" t="n">
        <v>0.1129</v>
      </c>
      <c r="E527" s="57" t="n">
        <v>0.15944</v>
      </c>
      <c r="F527" s="57" t="n">
        <v>0.1297</v>
      </c>
      <c r="H527" s="57" t="n">
        <v>0.1577</v>
      </c>
    </row>
    <row r="528" customFormat="false" ht="15" hidden="false" customHeight="false" outlineLevel="0" collapsed="false">
      <c r="A528" s="52" t="n">
        <v>44978</v>
      </c>
      <c r="B528" s="57" t="n">
        <v>0.1527</v>
      </c>
      <c r="C528" s="57" t="n">
        <v>0.1343</v>
      </c>
      <c r="D528" s="57" t="n">
        <v>0.1088</v>
      </c>
      <c r="E528" s="57" t="n">
        <v>0.15944</v>
      </c>
      <c r="F528" s="57" t="n">
        <v>0.129</v>
      </c>
      <c r="H528" s="57" t="n">
        <v>0.1591</v>
      </c>
    </row>
    <row r="529" customFormat="false" ht="15" hidden="false" customHeight="false" outlineLevel="0" collapsed="false">
      <c r="A529" s="52" t="n">
        <v>44979</v>
      </c>
      <c r="B529" s="57" t="n">
        <v>0.1527</v>
      </c>
      <c r="C529" s="57" t="n">
        <v>0.1339</v>
      </c>
      <c r="D529" s="57" t="n">
        <v>0.1078</v>
      </c>
      <c r="E529" s="57" t="n">
        <v>0.15944</v>
      </c>
      <c r="F529" s="57" t="n">
        <v>0.1293</v>
      </c>
      <c r="H529" s="57" t="n">
        <v>0.1629</v>
      </c>
    </row>
    <row r="530" customFormat="false" ht="15" hidden="false" customHeight="false" outlineLevel="0" collapsed="false">
      <c r="A530" s="52" t="n">
        <v>44980</v>
      </c>
      <c r="B530" s="57" t="n">
        <v>0.1521</v>
      </c>
      <c r="C530" s="57" t="n">
        <v>0.1326</v>
      </c>
      <c r="D530" s="57" t="n">
        <v>0.1082</v>
      </c>
      <c r="E530" s="57" t="n">
        <v>0.15944</v>
      </c>
      <c r="F530" s="57" t="n">
        <v>0.1294</v>
      </c>
      <c r="H530" s="57" t="n">
        <v>0.1686</v>
      </c>
    </row>
    <row r="531" customFormat="false" ht="15" hidden="false" customHeight="false" outlineLevel="0" collapsed="false">
      <c r="A531" s="52" t="n">
        <v>44981</v>
      </c>
      <c r="B531" s="57" t="n">
        <v>0.1552</v>
      </c>
      <c r="C531" s="57" t="n">
        <v>0.1315</v>
      </c>
      <c r="D531" s="57" t="n">
        <v>0.1081</v>
      </c>
      <c r="E531" s="57" t="n">
        <v>0.15967</v>
      </c>
      <c r="F531" s="57" t="n">
        <v>0.1293</v>
      </c>
      <c r="H531" s="57" t="n">
        <v>0.1724</v>
      </c>
    </row>
    <row r="532" customFormat="false" ht="15" hidden="false" customHeight="false" outlineLevel="0" collapsed="false">
      <c r="A532" s="52" t="n">
        <v>44984</v>
      </c>
      <c r="B532" s="57" t="n">
        <v>0.1611</v>
      </c>
      <c r="C532" s="57" t="n">
        <v>0.1314</v>
      </c>
      <c r="D532" s="57" t="n">
        <v>0.1082</v>
      </c>
      <c r="E532" s="57" t="n">
        <v>0.15984</v>
      </c>
      <c r="F532" s="57" t="n">
        <v>0.1323</v>
      </c>
      <c r="H532" s="57" t="n">
        <v>0.1749</v>
      </c>
    </row>
    <row r="533" customFormat="false" ht="15" hidden="false" customHeight="false" outlineLevel="0" collapsed="false">
      <c r="A533" s="52" t="n">
        <v>44985</v>
      </c>
      <c r="B533" s="57" t="n">
        <v>0.1597</v>
      </c>
      <c r="C533" s="57" t="n">
        <v>0.1313</v>
      </c>
      <c r="D533" s="57" t="n">
        <v>0.1086</v>
      </c>
      <c r="E533" s="57" t="n">
        <v>0.15927</v>
      </c>
      <c r="F533" s="57" t="n">
        <v>0.1323</v>
      </c>
      <c r="H533" s="57" t="n">
        <v>0.1753</v>
      </c>
    </row>
    <row r="534" customFormat="false" ht="15" hidden="false" customHeight="false" outlineLevel="0" collapsed="false">
      <c r="A534" s="52" t="n">
        <v>44986</v>
      </c>
      <c r="B534" s="57" t="n">
        <v>0.1562</v>
      </c>
      <c r="C534" s="57" t="n">
        <v>0.1307</v>
      </c>
      <c r="D534" s="57" t="n">
        <v>0.1088</v>
      </c>
      <c r="E534" s="57" t="n">
        <v>0.15944</v>
      </c>
      <c r="F534" s="57" t="n">
        <v>0.1369</v>
      </c>
      <c r="H534" s="57" t="n">
        <v>0.1754</v>
      </c>
    </row>
    <row r="535" customFormat="false" ht="15" hidden="false" customHeight="false" outlineLevel="0" collapsed="false">
      <c r="A535" s="52" t="n">
        <v>44987</v>
      </c>
      <c r="B535" s="57" t="n">
        <v>0.1614</v>
      </c>
      <c r="C535" s="57" t="n">
        <v>0.1355</v>
      </c>
      <c r="D535" s="57" t="n">
        <v>0.1197</v>
      </c>
      <c r="E535" s="57" t="n">
        <v>0.15945</v>
      </c>
      <c r="F535" s="57" t="n">
        <v>0.138</v>
      </c>
      <c r="H535" s="57" t="n">
        <v>0.1761</v>
      </c>
    </row>
    <row r="536" customFormat="false" ht="15" hidden="false" customHeight="false" outlineLevel="0" collapsed="false">
      <c r="A536" s="52" t="n">
        <v>44988</v>
      </c>
      <c r="B536" s="57" t="n">
        <v>0.1602</v>
      </c>
      <c r="C536" s="57" t="n">
        <v>0.1327</v>
      </c>
      <c r="D536" s="57" t="n">
        <v>0.1228</v>
      </c>
      <c r="E536" s="57" t="n">
        <v>0.15967</v>
      </c>
      <c r="F536" s="57" t="n">
        <v>0.1371</v>
      </c>
      <c r="H536" s="57" t="n">
        <v>0.1758</v>
      </c>
    </row>
    <row r="537" customFormat="false" ht="15" hidden="false" customHeight="false" outlineLevel="0" collapsed="false">
      <c r="A537" s="52" t="n">
        <v>44991</v>
      </c>
      <c r="B537" s="57" t="n">
        <v>0.1621</v>
      </c>
      <c r="C537" s="57" t="n">
        <v>0.1343</v>
      </c>
      <c r="D537" s="57" t="n">
        <v>0.1202</v>
      </c>
      <c r="E537" s="57" t="n">
        <v>0.15945</v>
      </c>
      <c r="F537" s="57" t="n">
        <v>0.1373</v>
      </c>
      <c r="H537" s="57" t="n">
        <v>0.1759</v>
      </c>
    </row>
    <row r="538" customFormat="false" ht="15" hidden="false" customHeight="false" outlineLevel="0" collapsed="false">
      <c r="A538" s="52" t="n">
        <v>44992</v>
      </c>
      <c r="B538" s="57" t="n">
        <v>0.1661</v>
      </c>
      <c r="C538" s="57" t="n">
        <v>0.1342</v>
      </c>
      <c r="D538" s="57" t="n">
        <v>0.1201</v>
      </c>
      <c r="E538" s="57" t="n">
        <v>0.15956</v>
      </c>
      <c r="F538" s="57" t="n">
        <v>0.1375</v>
      </c>
      <c r="H538" s="57" t="n">
        <v>0.1718</v>
      </c>
    </row>
    <row r="539" customFormat="false" ht="15" hidden="false" customHeight="false" outlineLevel="0" collapsed="false">
      <c r="A539" s="52" t="n">
        <v>44994</v>
      </c>
      <c r="B539" s="57" t="n">
        <v>0.1652</v>
      </c>
      <c r="C539" s="57" t="n">
        <v>0.1338</v>
      </c>
      <c r="D539" s="57" t="n">
        <v>0.1179</v>
      </c>
      <c r="E539" s="57" t="n">
        <v>0.15933</v>
      </c>
      <c r="F539" s="57" t="n">
        <v>0.1375</v>
      </c>
      <c r="H539" s="57" t="n">
        <v>0.1631</v>
      </c>
    </row>
    <row r="540" customFormat="false" ht="15" hidden="false" customHeight="false" outlineLevel="0" collapsed="false">
      <c r="A540" s="52" t="n">
        <v>44995</v>
      </c>
      <c r="B540" s="57" t="n">
        <v>0.1594</v>
      </c>
      <c r="C540" s="57" t="n">
        <v>0.1333</v>
      </c>
      <c r="D540" s="57" t="n">
        <v>0.1154</v>
      </c>
      <c r="E540" s="57" t="n">
        <v>0.15933</v>
      </c>
      <c r="F540" s="57" t="n">
        <v>0.1376</v>
      </c>
      <c r="H540" s="57" t="n">
        <v>0.1588</v>
      </c>
    </row>
    <row r="541" customFormat="false" ht="15" hidden="false" customHeight="false" outlineLevel="0" collapsed="false">
      <c r="A541" s="52" t="n">
        <v>44998</v>
      </c>
      <c r="B541" s="57" t="n">
        <v>0.1561</v>
      </c>
      <c r="C541" s="57" t="n">
        <v>0.1357</v>
      </c>
      <c r="D541" s="57" t="n">
        <v>0.1137</v>
      </c>
      <c r="E541" s="57" t="n">
        <v>0.15945</v>
      </c>
      <c r="F541" s="57" t="n">
        <v>0.1376</v>
      </c>
      <c r="H541" s="57" t="n">
        <v>0.1589</v>
      </c>
    </row>
    <row r="542" customFormat="false" ht="15" hidden="false" customHeight="false" outlineLevel="0" collapsed="false">
      <c r="A542" s="52" t="n">
        <v>44999</v>
      </c>
      <c r="B542" s="57" t="n">
        <v>0.1562</v>
      </c>
      <c r="C542" s="57" t="n">
        <v>0.1319</v>
      </c>
      <c r="D542" s="57" t="n">
        <v>0.109</v>
      </c>
      <c r="E542" s="57" t="n">
        <v>0.15945</v>
      </c>
      <c r="F542" s="57" t="n">
        <v>0.1375</v>
      </c>
      <c r="H542" s="57" t="n">
        <v>0.1587</v>
      </c>
    </row>
    <row r="543" customFormat="false" ht="15" hidden="false" customHeight="false" outlineLevel="0" collapsed="false">
      <c r="A543" s="52" t="n">
        <v>45000</v>
      </c>
      <c r="B543" s="57" t="n">
        <v>0.1565</v>
      </c>
      <c r="C543" s="57" t="n">
        <v>0.1325</v>
      </c>
      <c r="D543" s="57" t="n">
        <v>0.1095</v>
      </c>
      <c r="E543" s="57" t="n">
        <v>0.15995</v>
      </c>
      <c r="F543" s="57" t="n">
        <v>0.1379</v>
      </c>
      <c r="H543" s="57" t="n">
        <v>0.158</v>
      </c>
    </row>
    <row r="544" customFormat="false" ht="15" hidden="false" customHeight="false" outlineLevel="0" collapsed="false">
      <c r="A544" s="52" t="n">
        <v>45001</v>
      </c>
      <c r="B544" s="57" t="n">
        <v>0.1563</v>
      </c>
      <c r="C544" s="57" t="n">
        <v>0.1329</v>
      </c>
      <c r="D544" s="57" t="n">
        <v>0.1179</v>
      </c>
      <c r="E544" s="57" t="n">
        <v>0.15995</v>
      </c>
      <c r="F544" s="57" t="n">
        <v>0.1357</v>
      </c>
      <c r="H544" s="57" t="n">
        <v>0.1582</v>
      </c>
    </row>
    <row r="545" customFormat="false" ht="15" hidden="false" customHeight="false" outlineLevel="0" collapsed="false">
      <c r="A545" s="52" t="n">
        <v>45002</v>
      </c>
      <c r="B545" s="57" t="n">
        <v>0.1559</v>
      </c>
      <c r="C545" s="57" t="n">
        <v>0.1321</v>
      </c>
      <c r="D545" s="57" t="n">
        <v>0.1163</v>
      </c>
      <c r="E545" s="57" t="n">
        <v>0.16018</v>
      </c>
      <c r="F545" s="57" t="n">
        <v>0.1373</v>
      </c>
      <c r="H545" s="57" t="n">
        <v>0.1585</v>
      </c>
    </row>
    <row r="546" customFormat="false" ht="15" hidden="false" customHeight="false" outlineLevel="0" collapsed="false">
      <c r="A546" s="52" t="n">
        <v>45005</v>
      </c>
      <c r="B546" s="57" t="n">
        <v>0.1569</v>
      </c>
      <c r="C546" s="57" t="n">
        <v>0.1317</v>
      </c>
      <c r="D546" s="57" t="n">
        <v>0.1157</v>
      </c>
      <c r="E546" s="57" t="n">
        <v>0.1496</v>
      </c>
      <c r="F546" s="57" t="n">
        <v>0.1375</v>
      </c>
      <c r="H546" s="57" t="n">
        <v>0.1599</v>
      </c>
    </row>
    <row r="547" customFormat="false" ht="15" hidden="false" customHeight="false" outlineLevel="0" collapsed="false">
      <c r="A547" s="52" t="n">
        <v>45009</v>
      </c>
      <c r="B547" s="57" t="n">
        <v>0.158</v>
      </c>
      <c r="C547" s="57" t="n">
        <v>0.1317</v>
      </c>
      <c r="D547" s="57" t="n">
        <v>0.1134</v>
      </c>
      <c r="E547" s="57" t="n">
        <v>0.14991</v>
      </c>
      <c r="F547" s="57" t="n">
        <v>0.1373</v>
      </c>
      <c r="H547" s="57" t="n">
        <v>0.1643</v>
      </c>
    </row>
    <row r="548" customFormat="false" ht="15" hidden="false" customHeight="false" outlineLevel="0" collapsed="false">
      <c r="A548" s="52" t="n">
        <v>45012</v>
      </c>
      <c r="B548" s="57" t="n">
        <v>0.1609</v>
      </c>
      <c r="C548" s="57" t="n">
        <v>0.1303</v>
      </c>
      <c r="D548" s="57" t="n">
        <v>0.1132</v>
      </c>
      <c r="E548" s="57" t="n">
        <v>0.1496</v>
      </c>
      <c r="F548" s="57" t="n">
        <v>0.1377</v>
      </c>
      <c r="H548" s="57" t="n">
        <v>0.1663</v>
      </c>
    </row>
    <row r="549" customFormat="false" ht="15" hidden="false" customHeight="false" outlineLevel="0" collapsed="false">
      <c r="A549" s="52" t="n">
        <v>45013</v>
      </c>
      <c r="B549" s="57" t="n">
        <v>0.1627</v>
      </c>
      <c r="C549" s="57" t="n">
        <v>0.1289</v>
      </c>
      <c r="D549" s="57" t="n">
        <v>0.1105</v>
      </c>
      <c r="E549" s="57" t="n">
        <v>0.1496</v>
      </c>
      <c r="F549" s="57" t="n">
        <v>0.1372</v>
      </c>
      <c r="H549" s="57" t="n">
        <v>0.1656</v>
      </c>
    </row>
    <row r="550" customFormat="false" ht="15" hidden="false" customHeight="false" outlineLevel="0" collapsed="false">
      <c r="A550" s="52" t="n">
        <v>45014</v>
      </c>
      <c r="B550" s="57" t="n">
        <v>0.1633</v>
      </c>
      <c r="C550" s="57" t="n">
        <v>0.1287</v>
      </c>
      <c r="D550" s="57" t="n">
        <v>0.1089</v>
      </c>
      <c r="E550" s="57" t="n">
        <v>0.1497</v>
      </c>
      <c r="F550" s="57" t="n">
        <v>0.1366</v>
      </c>
      <c r="H550" s="57" t="n">
        <v>0.166</v>
      </c>
    </row>
    <row r="551" customFormat="false" ht="15" hidden="false" customHeight="false" outlineLevel="0" collapsed="false">
      <c r="A551" s="52" t="n">
        <v>45015</v>
      </c>
      <c r="B551" s="57" t="n">
        <v>0.1628</v>
      </c>
      <c r="C551" s="57" t="n">
        <v>0.1297</v>
      </c>
      <c r="D551" s="57" t="n">
        <v>0.113</v>
      </c>
      <c r="E551" s="57" t="n">
        <v>0.14951</v>
      </c>
      <c r="F551" s="57" t="n">
        <v>0.1373</v>
      </c>
      <c r="H551" s="57" t="n">
        <v>0.1658</v>
      </c>
    </row>
    <row r="552" customFormat="false" ht="15" hidden="false" customHeight="false" outlineLevel="0" collapsed="false">
      <c r="A552" s="52" t="n">
        <v>45016</v>
      </c>
      <c r="B552" s="57" t="n">
        <v>0.1595</v>
      </c>
      <c r="C552" s="57" t="n">
        <v>0.1301</v>
      </c>
      <c r="D552" s="57" t="n">
        <v>0.1124</v>
      </c>
      <c r="E552" s="57" t="n">
        <v>0.15</v>
      </c>
      <c r="F552" s="57" t="n">
        <v>0.1366</v>
      </c>
      <c r="H552" s="57" t="n">
        <v>0.1711</v>
      </c>
    </row>
    <row r="553" customFormat="false" ht="15" hidden="false" customHeight="false" outlineLevel="0" collapsed="false">
      <c r="A553" s="52" t="n">
        <v>45019</v>
      </c>
      <c r="B553" s="57" t="n">
        <v>0.1582</v>
      </c>
      <c r="C553" s="57" t="n">
        <v>0.1292</v>
      </c>
      <c r="D553" s="57" t="n">
        <v>0.1122</v>
      </c>
      <c r="E553" s="57" t="n">
        <v>0.14984</v>
      </c>
      <c r="F553" s="57" t="n">
        <v>0.1365</v>
      </c>
      <c r="H553" s="57" t="n">
        <v>0.1666</v>
      </c>
    </row>
    <row r="554" customFormat="false" ht="15" hidden="false" customHeight="false" outlineLevel="0" collapsed="false">
      <c r="A554" s="52" t="n">
        <v>45020</v>
      </c>
      <c r="B554" s="57" t="n">
        <v>0.1569</v>
      </c>
      <c r="C554" s="57" t="n">
        <v>0.1278</v>
      </c>
      <c r="D554" s="57" t="n">
        <v>0.1108</v>
      </c>
      <c r="E554" s="57" t="n">
        <v>0.14973</v>
      </c>
      <c r="F554" s="57" t="n">
        <v>0.1364</v>
      </c>
      <c r="H554" s="57" t="n">
        <v>0.1672</v>
      </c>
    </row>
    <row r="555" customFormat="false" ht="15" hidden="false" customHeight="false" outlineLevel="0" collapsed="false">
      <c r="A555" s="52" t="n">
        <v>45021</v>
      </c>
      <c r="B555" s="57" t="n">
        <v>0.1578</v>
      </c>
      <c r="C555" s="57" t="n">
        <v>0.1259</v>
      </c>
      <c r="D555" s="57" t="n">
        <v>0.1114</v>
      </c>
      <c r="E555" s="57" t="n">
        <v>0.14984</v>
      </c>
      <c r="F555" s="57" t="n">
        <v>0.1371</v>
      </c>
      <c r="H555" s="57" t="n">
        <v>0.1711</v>
      </c>
    </row>
    <row r="556" customFormat="false" ht="15" hidden="false" customHeight="false" outlineLevel="0" collapsed="false">
      <c r="A556" s="52" t="n">
        <v>45022</v>
      </c>
      <c r="B556" s="57" t="n">
        <v>0.1594</v>
      </c>
      <c r="C556" s="57" t="n">
        <v>0.1235</v>
      </c>
      <c r="D556" s="57" t="n">
        <v>0.118</v>
      </c>
      <c r="E556" s="57" t="n">
        <v>0.14984</v>
      </c>
      <c r="F556" s="57" t="n">
        <v>0.136</v>
      </c>
      <c r="H556" s="57" t="n">
        <v>0.1677</v>
      </c>
    </row>
    <row r="557" customFormat="false" ht="15" hidden="false" customHeight="false" outlineLevel="0" collapsed="false">
      <c r="A557" s="52" t="n">
        <v>45023</v>
      </c>
      <c r="B557" s="57" t="n">
        <v>0.1555</v>
      </c>
      <c r="C557" s="57" t="n">
        <v>0.1244</v>
      </c>
      <c r="D557" s="57" t="n">
        <v>0.1176</v>
      </c>
      <c r="E557" s="57" t="n">
        <v>0.15005</v>
      </c>
      <c r="F557" s="57" t="n">
        <v>0.1362</v>
      </c>
      <c r="H557" s="57" t="n">
        <v>0.1628</v>
      </c>
    </row>
    <row r="558" customFormat="false" ht="15" hidden="false" customHeight="false" outlineLevel="0" collapsed="false">
      <c r="A558" s="52" t="n">
        <v>45026</v>
      </c>
      <c r="B558" s="57" t="n">
        <v>0.1506</v>
      </c>
      <c r="C558" s="57" t="n">
        <v>0.124</v>
      </c>
      <c r="D558" s="57" t="n">
        <v>0.1168</v>
      </c>
      <c r="E558" s="57" t="n">
        <v>0.14984</v>
      </c>
      <c r="F558" s="57" t="n">
        <v>0.1366</v>
      </c>
      <c r="H558" s="57" t="n">
        <v>0.1628</v>
      </c>
    </row>
    <row r="559" customFormat="false" ht="15" hidden="false" customHeight="false" outlineLevel="0" collapsed="false">
      <c r="A559" s="52" t="n">
        <v>45027</v>
      </c>
      <c r="B559" s="57" t="n">
        <v>0.1521</v>
      </c>
      <c r="C559" s="57" t="n">
        <v>0.124</v>
      </c>
      <c r="D559" s="57" t="n">
        <v>0.1174</v>
      </c>
      <c r="E559" s="57" t="n">
        <v>0.14984</v>
      </c>
      <c r="F559" s="57" t="n">
        <v>0.1367</v>
      </c>
      <c r="H559" s="57" t="n">
        <v>0.1636</v>
      </c>
    </row>
    <row r="560" customFormat="false" ht="15" hidden="false" customHeight="false" outlineLevel="0" collapsed="false">
      <c r="A560" s="52" t="n">
        <v>45028</v>
      </c>
      <c r="B560" s="57" t="n">
        <v>0.15</v>
      </c>
      <c r="C560" s="57" t="n">
        <v>0.1244</v>
      </c>
      <c r="D560" s="57" t="n">
        <v>0.1207</v>
      </c>
      <c r="E560" s="57" t="n">
        <v>0.14984</v>
      </c>
      <c r="F560" s="57" t="n">
        <v>0.1364</v>
      </c>
      <c r="H560" s="57" t="n">
        <v>0.1631</v>
      </c>
    </row>
    <row r="561" customFormat="false" ht="15" hidden="false" customHeight="false" outlineLevel="0" collapsed="false">
      <c r="A561" s="52" t="n">
        <v>45029</v>
      </c>
      <c r="B561" s="57" t="n">
        <v>0.1484</v>
      </c>
      <c r="C561" s="57" t="n">
        <v>0.1281</v>
      </c>
      <c r="D561" s="57" t="n">
        <v>0.1261</v>
      </c>
      <c r="E561" s="57" t="n">
        <v>0.14984</v>
      </c>
      <c r="F561" s="57" t="n">
        <v>0.137</v>
      </c>
      <c r="H561" s="57" t="n">
        <v>0.164</v>
      </c>
    </row>
    <row r="562" customFormat="false" ht="15" hidden="false" customHeight="false" outlineLevel="0" collapsed="false">
      <c r="A562" s="52" t="n">
        <v>45030</v>
      </c>
      <c r="B562" s="57" t="n">
        <v>0.1522</v>
      </c>
      <c r="C562" s="57" t="n">
        <v>0.1283</v>
      </c>
      <c r="D562" s="57" t="n">
        <v>0.1236</v>
      </c>
      <c r="E562" s="57" t="n">
        <v>0.15005</v>
      </c>
      <c r="F562" s="57" t="n">
        <v>0.137</v>
      </c>
      <c r="H562" s="57" t="n">
        <v>0.1638</v>
      </c>
    </row>
    <row r="563" customFormat="false" ht="15" hidden="false" customHeight="false" outlineLevel="0" collapsed="false">
      <c r="A563" s="52" t="n">
        <v>45033</v>
      </c>
      <c r="B563" s="57" t="n">
        <v>0.1533</v>
      </c>
      <c r="C563" s="57" t="n">
        <v>0.1262</v>
      </c>
      <c r="D563" s="57" t="n">
        <v>0.1223</v>
      </c>
      <c r="E563" s="57" t="n">
        <v>0.14984</v>
      </c>
      <c r="F563" s="57" t="n">
        <v>0.1371</v>
      </c>
      <c r="H563" s="57" t="n">
        <v>0.1665</v>
      </c>
    </row>
    <row r="564" customFormat="false" ht="15" hidden="false" customHeight="false" outlineLevel="0" collapsed="false">
      <c r="A564" s="52" t="n">
        <v>45034</v>
      </c>
      <c r="B564" s="57" t="n">
        <v>0.1539</v>
      </c>
      <c r="C564" s="57" t="n">
        <v>0.1257</v>
      </c>
      <c r="D564" s="57" t="n">
        <v>0.1199</v>
      </c>
      <c r="E564" s="57" t="n">
        <v>0.14984</v>
      </c>
      <c r="F564" s="57" t="n">
        <v>0.1373</v>
      </c>
      <c r="H564" s="57" t="n">
        <v>0.1738</v>
      </c>
    </row>
    <row r="565" customFormat="false" ht="15" hidden="false" customHeight="false" outlineLevel="0" collapsed="false">
      <c r="A565" s="52" t="n">
        <v>45035</v>
      </c>
      <c r="B565" s="57" t="n">
        <v>0.16</v>
      </c>
      <c r="C565" s="57" t="n">
        <v>0.1321</v>
      </c>
      <c r="D565" s="57" t="n">
        <v>0.1217</v>
      </c>
      <c r="E565" s="57" t="n">
        <v>0.14984</v>
      </c>
      <c r="F565" s="57" t="n">
        <v>0.1368</v>
      </c>
      <c r="H565" s="57" t="n">
        <v>0.1753</v>
      </c>
    </row>
    <row r="566" customFormat="false" ht="15" hidden="false" customHeight="false" outlineLevel="0" collapsed="false">
      <c r="A566" s="52" t="n">
        <v>45036</v>
      </c>
      <c r="B566" s="57" t="n">
        <v>0.1663</v>
      </c>
      <c r="C566" s="57" t="n">
        <v>0.1289</v>
      </c>
      <c r="D566" s="57" t="n">
        <v>0.1218</v>
      </c>
      <c r="E566" s="57" t="n">
        <v>0.14984</v>
      </c>
      <c r="F566" s="57" t="n">
        <v>0.1367</v>
      </c>
      <c r="H566" s="57" t="n">
        <v>0.176</v>
      </c>
    </row>
    <row r="567" customFormat="false" ht="15" hidden="false" customHeight="false" outlineLevel="0" collapsed="false">
      <c r="A567" s="52" t="n">
        <v>45037</v>
      </c>
      <c r="B567" s="57" t="n">
        <v>0.1649</v>
      </c>
      <c r="C567" s="57" t="n">
        <v>0.1189</v>
      </c>
      <c r="D567" s="57" t="n">
        <v>0.1172</v>
      </c>
      <c r="E567" s="57" t="n">
        <v>0.15007</v>
      </c>
      <c r="F567" s="57" t="n">
        <v>0.1373</v>
      </c>
      <c r="H567" s="57" t="n">
        <v>0.1759</v>
      </c>
    </row>
    <row r="568" customFormat="false" ht="15" hidden="false" customHeight="false" outlineLevel="0" collapsed="false">
      <c r="A568" s="52" t="n">
        <v>45040</v>
      </c>
      <c r="B568" s="57" t="n">
        <v>0.1639</v>
      </c>
      <c r="C568" s="57" t="n">
        <v>0.1273</v>
      </c>
      <c r="D568" s="57" t="n">
        <v>0.1161</v>
      </c>
      <c r="E568" s="57" t="n">
        <v>0.14984</v>
      </c>
      <c r="F568" s="57" t="n">
        <v>0.1379</v>
      </c>
      <c r="H568" s="57" t="n">
        <v>0.1771</v>
      </c>
    </row>
    <row r="569" customFormat="false" ht="15" hidden="false" customHeight="false" outlineLevel="0" collapsed="false">
      <c r="A569" s="52" t="n">
        <v>45041</v>
      </c>
      <c r="B569" s="57" t="n">
        <v>0.164</v>
      </c>
      <c r="C569" s="57" t="n">
        <v>0.1264</v>
      </c>
      <c r="D569" s="57" t="n">
        <v>0.1155</v>
      </c>
      <c r="E569" s="57" t="n">
        <v>0.14777</v>
      </c>
      <c r="F569" s="57" t="n">
        <v>0.1375</v>
      </c>
      <c r="H569" s="57" t="n">
        <v>0.1772</v>
      </c>
    </row>
    <row r="570" customFormat="false" ht="15" hidden="false" customHeight="false" outlineLevel="0" collapsed="false">
      <c r="A570" s="52" t="n">
        <v>45042</v>
      </c>
      <c r="B570" s="57" t="n">
        <v>0.1599</v>
      </c>
      <c r="C570" s="57" t="n">
        <v>0.1245</v>
      </c>
      <c r="D570" s="57" t="n">
        <v>0.1145</v>
      </c>
      <c r="E570" s="57" t="n">
        <v>0.14368</v>
      </c>
      <c r="F570" s="57" t="n">
        <v>0.1376</v>
      </c>
      <c r="H570" s="57" t="n">
        <v>0.1748</v>
      </c>
    </row>
    <row r="571" customFormat="false" ht="15" hidden="false" customHeight="false" outlineLevel="0" collapsed="false">
      <c r="A571" s="52" t="n">
        <v>45043</v>
      </c>
      <c r="B571" s="57" t="n">
        <v>0.1562</v>
      </c>
      <c r="C571" s="57" t="n">
        <v>0.1235</v>
      </c>
      <c r="D571" s="57" t="n">
        <v>0.1174</v>
      </c>
      <c r="E571" s="57" t="n">
        <v>0.14368</v>
      </c>
      <c r="F571" s="57" t="n">
        <v>0.1371</v>
      </c>
      <c r="H571" s="57" t="n">
        <v>0.1674</v>
      </c>
    </row>
    <row r="572" customFormat="false" ht="15" hidden="false" customHeight="false" outlineLevel="0" collapsed="false">
      <c r="A572" s="52" t="n">
        <v>45044</v>
      </c>
      <c r="B572" s="57" t="n">
        <v>0.1546</v>
      </c>
      <c r="C572" s="57" t="n">
        <v>0.1257</v>
      </c>
      <c r="D572" s="57" t="n">
        <v>0.1161</v>
      </c>
      <c r="E572" s="57" t="n">
        <v>0.14388</v>
      </c>
      <c r="F572" s="57" t="n">
        <v>0.1371</v>
      </c>
      <c r="H572" s="57" t="n">
        <v>0.1673</v>
      </c>
    </row>
    <row r="573" customFormat="false" ht="15" hidden="false" customHeight="false" outlineLevel="0" collapsed="false">
      <c r="A573" s="52" t="n">
        <v>45048</v>
      </c>
      <c r="B573" s="57" t="n">
        <v>0.155</v>
      </c>
      <c r="C573" s="57" t="n">
        <v>0.1255</v>
      </c>
      <c r="D573" s="57" t="n">
        <v>0.1153</v>
      </c>
      <c r="E573" s="57" t="n">
        <v>0.14368</v>
      </c>
      <c r="F573" s="57" t="n">
        <v>0.1372</v>
      </c>
      <c r="H573" s="57" t="n">
        <v>0.1683</v>
      </c>
    </row>
    <row r="574" customFormat="false" ht="15" hidden="false" customHeight="false" outlineLevel="0" collapsed="false">
      <c r="A574" s="52" t="n">
        <v>45049</v>
      </c>
      <c r="B574" s="57" t="n">
        <v>0.1637</v>
      </c>
      <c r="C574" s="57" t="n">
        <v>0.1323</v>
      </c>
      <c r="D574" s="57" t="n">
        <v>0.1147</v>
      </c>
      <c r="E574" s="57" t="n">
        <v>0.14368</v>
      </c>
      <c r="F574" s="57" t="n">
        <v>0.1373</v>
      </c>
      <c r="H574" s="57" t="n">
        <v>0.1661</v>
      </c>
    </row>
    <row r="575" customFormat="false" ht="15" hidden="false" customHeight="false" outlineLevel="0" collapsed="false">
      <c r="A575" s="52" t="n">
        <v>45050</v>
      </c>
      <c r="B575" s="57" t="n">
        <v>0.1653</v>
      </c>
      <c r="C575" s="57" t="n">
        <v>0.141</v>
      </c>
      <c r="D575" s="57" t="n">
        <v>0.1119</v>
      </c>
      <c r="E575" s="57" t="n">
        <v>0.14368</v>
      </c>
      <c r="F575" s="57" t="n">
        <v>0.1374</v>
      </c>
      <c r="H575" s="57" t="n">
        <v>0.1628</v>
      </c>
    </row>
    <row r="576" customFormat="false" ht="15" hidden="false" customHeight="false" outlineLevel="0" collapsed="false">
      <c r="A576" s="52" t="n">
        <v>45051</v>
      </c>
      <c r="B576" s="57" t="n">
        <v>0.1628</v>
      </c>
      <c r="C576" s="57" t="n">
        <v>0.1386</v>
      </c>
      <c r="D576" s="57" t="n">
        <v>0.1115</v>
      </c>
      <c r="E576" s="57" t="n">
        <v>0.14396</v>
      </c>
      <c r="F576" s="57" t="n">
        <v>0.1375</v>
      </c>
      <c r="H576" s="57" t="n">
        <v>0.1606</v>
      </c>
    </row>
    <row r="577" customFormat="false" ht="15" hidden="false" customHeight="false" outlineLevel="0" collapsed="false">
      <c r="A577" s="52" t="n">
        <v>45056</v>
      </c>
      <c r="B577" s="57" t="n">
        <v>0.1596</v>
      </c>
      <c r="C577" s="57" t="n">
        <v>0.1386</v>
      </c>
      <c r="D577" s="57" t="n">
        <v>0.1137</v>
      </c>
      <c r="E577" s="57" t="n">
        <v>0.14368</v>
      </c>
      <c r="F577" s="57" t="n">
        <v>0.138</v>
      </c>
      <c r="H577" s="57" t="n">
        <v>0.1604</v>
      </c>
    </row>
    <row r="578" customFormat="false" ht="15" hidden="false" customHeight="false" outlineLevel="0" collapsed="false">
      <c r="A578" s="52" t="n">
        <v>45057</v>
      </c>
      <c r="B578" s="57" t="n">
        <v>0.1583</v>
      </c>
      <c r="C578" s="57" t="n">
        <v>0.1368</v>
      </c>
      <c r="D578" s="57" t="n">
        <v>0.1195</v>
      </c>
      <c r="E578" s="57" t="n">
        <v>0.14368</v>
      </c>
      <c r="F578" s="57" t="n">
        <v>0.1379</v>
      </c>
      <c r="H578" s="57" t="n">
        <v>0.1601</v>
      </c>
    </row>
    <row r="579" customFormat="false" ht="15" hidden="false" customHeight="false" outlineLevel="0" collapsed="false">
      <c r="A579" s="52" t="n">
        <v>45058</v>
      </c>
      <c r="B579" s="57" t="n">
        <v>0.1569</v>
      </c>
      <c r="C579" s="57" t="n">
        <v>0.1342</v>
      </c>
      <c r="D579" s="57" t="n">
        <v>0.1172</v>
      </c>
      <c r="E579" s="57" t="n">
        <v>0.14382</v>
      </c>
      <c r="F579" s="57" t="n">
        <v>0.1375</v>
      </c>
      <c r="H579" s="57" t="n">
        <v>0.1592</v>
      </c>
    </row>
    <row r="580" customFormat="false" ht="15" hidden="false" customHeight="false" outlineLevel="0" collapsed="false">
      <c r="A580" s="52" t="n">
        <v>45061</v>
      </c>
      <c r="B580" s="57" t="n">
        <v>0.1556</v>
      </c>
      <c r="C580" s="57" t="n">
        <v>0.1318</v>
      </c>
      <c r="D580" s="57" t="n">
        <v>0.114</v>
      </c>
      <c r="E580" s="57" t="n">
        <v>0.14076</v>
      </c>
      <c r="F580" s="57" t="n">
        <v>0.1376</v>
      </c>
      <c r="H580" s="57" t="n">
        <v>0.1588</v>
      </c>
    </row>
    <row r="581" customFormat="false" ht="15" hidden="false" customHeight="false" outlineLevel="0" collapsed="false">
      <c r="A581" s="52" t="n">
        <v>45062</v>
      </c>
      <c r="B581" s="57" t="n">
        <v>0.1531</v>
      </c>
      <c r="C581" s="57" t="n">
        <v>0.1314</v>
      </c>
      <c r="D581" s="57" t="n">
        <v>0.1122</v>
      </c>
      <c r="E581" s="57" t="n">
        <v>0.14076</v>
      </c>
      <c r="F581" s="57" t="n">
        <v>0.1376</v>
      </c>
      <c r="H581" s="57" t="n">
        <v>0.1584</v>
      </c>
    </row>
    <row r="582" customFormat="false" ht="15" hidden="false" customHeight="false" outlineLevel="0" collapsed="false">
      <c r="A582" s="52" t="n">
        <v>45063</v>
      </c>
      <c r="B582" s="57" t="n">
        <v>0.1518</v>
      </c>
      <c r="C582" s="57" t="n">
        <v>0.1323</v>
      </c>
      <c r="D582" s="57" t="n">
        <v>0.1145</v>
      </c>
      <c r="E582" s="57" t="n">
        <v>0.14076</v>
      </c>
      <c r="F582" s="57" t="n">
        <v>0.1379</v>
      </c>
      <c r="H582" s="57" t="n">
        <v>0.1585</v>
      </c>
    </row>
    <row r="583" customFormat="false" ht="15" hidden="false" customHeight="false" outlineLevel="0" collapsed="false">
      <c r="A583" s="52" t="n">
        <v>45064</v>
      </c>
      <c r="B583" s="57" t="n">
        <v>0.1562</v>
      </c>
      <c r="C583" s="57" t="n">
        <v>0.1362</v>
      </c>
      <c r="D583" s="57" t="n">
        <v>0.1175</v>
      </c>
      <c r="E583" s="57" t="n">
        <v>0.14076</v>
      </c>
      <c r="F583" s="57" t="n">
        <v>0.1387</v>
      </c>
      <c r="H583" s="57" t="n">
        <v>0.1585</v>
      </c>
    </row>
    <row r="584" customFormat="false" ht="15" hidden="false" customHeight="false" outlineLevel="0" collapsed="false">
      <c r="A584" s="52" t="n">
        <v>45065</v>
      </c>
      <c r="B584" s="57" t="n">
        <v>0.1522</v>
      </c>
      <c r="C584" s="57" t="n">
        <v>0.1367</v>
      </c>
      <c r="D584" s="57" t="n">
        <v>0.1156</v>
      </c>
      <c r="E584" s="57" t="n">
        <v>0.1409</v>
      </c>
      <c r="F584" s="57" t="n">
        <v>0.1383</v>
      </c>
      <c r="H584" s="57" t="n">
        <v>0.1593</v>
      </c>
    </row>
    <row r="585" customFormat="false" ht="15" hidden="false" customHeight="false" outlineLevel="0" collapsed="false">
      <c r="A585" s="52" t="n">
        <v>45068</v>
      </c>
      <c r="B585" s="57" t="n">
        <v>0.1556</v>
      </c>
      <c r="C585" s="57" t="n">
        <v>0.1346</v>
      </c>
      <c r="D585" s="57" t="n">
        <v>0.1166</v>
      </c>
      <c r="E585" s="57" t="n">
        <v>0.14076</v>
      </c>
      <c r="F585" s="57" t="n">
        <v>0.1372</v>
      </c>
      <c r="H585" s="57" t="n">
        <v>0.168</v>
      </c>
    </row>
    <row r="586" customFormat="false" ht="15" hidden="false" customHeight="false" outlineLevel="0" collapsed="false">
      <c r="A586" s="52" t="n">
        <v>45069</v>
      </c>
      <c r="B586" s="57" t="n">
        <v>0.1605</v>
      </c>
      <c r="C586" s="57" t="n">
        <v>0.1334</v>
      </c>
      <c r="D586" s="57" t="n">
        <v>0.1187</v>
      </c>
      <c r="E586" s="57" t="n">
        <v>0.14076</v>
      </c>
      <c r="F586" s="57" t="n">
        <v>0.1374</v>
      </c>
      <c r="H586" s="57" t="n">
        <v>0.1693</v>
      </c>
    </row>
    <row r="587" customFormat="false" ht="15" hidden="false" customHeight="false" outlineLevel="0" collapsed="false">
      <c r="A587" s="52" t="n">
        <v>45070</v>
      </c>
      <c r="B587" s="57" t="n">
        <v>0.1614</v>
      </c>
      <c r="C587" s="57" t="n">
        <v>0.1336</v>
      </c>
      <c r="D587" s="57" t="n">
        <v>0.1181</v>
      </c>
      <c r="E587" s="57" t="n">
        <v>0.14076</v>
      </c>
      <c r="F587" s="57" t="n">
        <v>0.1378</v>
      </c>
      <c r="H587" s="57" t="n">
        <v>0.1739</v>
      </c>
    </row>
    <row r="588" customFormat="false" ht="15" hidden="false" customHeight="false" outlineLevel="0" collapsed="false">
      <c r="A588" s="52" t="n">
        <v>45071</v>
      </c>
      <c r="B588" s="57" t="n">
        <v>0.1639</v>
      </c>
      <c r="C588" s="57" t="n">
        <v>0.1339</v>
      </c>
      <c r="D588" s="57" t="n">
        <v>0.12</v>
      </c>
      <c r="E588" s="57" t="n">
        <v>0.14076</v>
      </c>
      <c r="F588" s="57" t="n">
        <v>0.138</v>
      </c>
      <c r="H588" s="57" t="n">
        <v>0.1769</v>
      </c>
    </row>
    <row r="589" customFormat="false" ht="15" hidden="false" customHeight="false" outlineLevel="0" collapsed="false">
      <c r="A589" s="52" t="n">
        <v>45072</v>
      </c>
      <c r="B589" s="57" t="n">
        <v>0.162</v>
      </c>
      <c r="C589" s="57" t="n">
        <v>0.1331</v>
      </c>
      <c r="D589" s="57" t="n">
        <v>0.1188</v>
      </c>
      <c r="E589" s="57" t="n">
        <v>0.1409</v>
      </c>
      <c r="F589" s="57" t="n">
        <v>0.1378</v>
      </c>
      <c r="H589" s="57" t="n">
        <v>0.1769</v>
      </c>
    </row>
    <row r="590" customFormat="false" ht="15" hidden="false" customHeight="false" outlineLevel="0" collapsed="false">
      <c r="A590" s="52" t="n">
        <v>45075</v>
      </c>
      <c r="B590" s="57" t="n">
        <v>0.1658</v>
      </c>
      <c r="C590" s="57" t="n">
        <v>0.132</v>
      </c>
      <c r="D590" s="57" t="n">
        <v>0.1182</v>
      </c>
      <c r="E590" s="57" t="n">
        <v>0.14076</v>
      </c>
      <c r="F590" s="57" t="n">
        <v>0.1386</v>
      </c>
      <c r="H590" s="57" t="n">
        <v>0.1772</v>
      </c>
    </row>
    <row r="591" customFormat="false" ht="15" hidden="false" customHeight="false" outlineLevel="0" collapsed="false">
      <c r="A591" s="52" t="n">
        <v>45076</v>
      </c>
      <c r="B591" s="57" t="n">
        <v>0.1652</v>
      </c>
      <c r="C591" s="57" t="n">
        <v>0.1326</v>
      </c>
      <c r="D591" s="57" t="n">
        <v>0.1214</v>
      </c>
      <c r="E591" s="57" t="n">
        <v>0.14064</v>
      </c>
      <c r="F591" s="57" t="n">
        <v>0.1383</v>
      </c>
      <c r="H591" s="57" t="n">
        <v>0.1765</v>
      </c>
    </row>
    <row r="592" customFormat="false" ht="15" hidden="false" customHeight="false" outlineLevel="0" collapsed="false">
      <c r="A592" s="52" t="n">
        <v>45077</v>
      </c>
      <c r="B592" s="57" t="n">
        <v>0.1617</v>
      </c>
      <c r="C592" s="57" t="n">
        <v>0.132</v>
      </c>
      <c r="D592" s="57" t="n">
        <v>0.122</v>
      </c>
      <c r="E592" s="57" t="n">
        <v>0.14083</v>
      </c>
      <c r="F592" s="57" t="n">
        <v>0.1377</v>
      </c>
      <c r="H592" s="57" t="n">
        <v>0.1759</v>
      </c>
    </row>
    <row r="593" customFormat="false" ht="15" hidden="false" customHeight="false" outlineLevel="0" collapsed="false">
      <c r="A593" s="52" t="n">
        <v>45078</v>
      </c>
      <c r="B593" s="57" t="n">
        <v>0.1646</v>
      </c>
      <c r="C593" s="57" t="n">
        <v>0.1348</v>
      </c>
      <c r="D593" s="57" t="n">
        <v>0.122</v>
      </c>
      <c r="E593" s="57" t="n">
        <v>0.14076</v>
      </c>
      <c r="F593" s="57" t="n">
        <v>0.1402</v>
      </c>
      <c r="H593" s="57" t="n">
        <v>0.1695</v>
      </c>
    </row>
    <row r="594" customFormat="false" ht="15" hidden="false" customHeight="false" outlineLevel="0" collapsed="false">
      <c r="A594" s="52" t="n">
        <v>45079</v>
      </c>
      <c r="B594" s="57" t="n">
        <v>0.1506</v>
      </c>
      <c r="C594" s="57" t="n">
        <v>0.1365</v>
      </c>
      <c r="D594" s="57" t="n">
        <v>0.1223</v>
      </c>
      <c r="E594" s="57" t="n">
        <v>0.1409</v>
      </c>
      <c r="F594" s="57" t="n">
        <v>0.1389</v>
      </c>
      <c r="H594" s="57" t="n">
        <v>0.1633</v>
      </c>
    </row>
    <row r="595" customFormat="false" ht="15" hidden="false" customHeight="false" outlineLevel="0" collapsed="false">
      <c r="A595" s="52" t="n">
        <v>45082</v>
      </c>
      <c r="B595" s="57" t="n">
        <v>0.1586</v>
      </c>
      <c r="C595" s="57" t="n">
        <v>0.1365</v>
      </c>
      <c r="D595" s="57" t="n">
        <v>0.1214</v>
      </c>
      <c r="E595" s="57" t="n">
        <v>0.14076</v>
      </c>
      <c r="F595" s="57" t="n">
        <v>0.1401</v>
      </c>
      <c r="H595" s="57" t="n">
        <v>0.1611</v>
      </c>
    </row>
    <row r="596" customFormat="false" ht="15" hidden="false" customHeight="false" outlineLevel="0" collapsed="false">
      <c r="A596" s="52" t="n">
        <v>45083</v>
      </c>
      <c r="B596" s="57" t="n">
        <v>0.1579</v>
      </c>
      <c r="C596" s="57" t="n">
        <v>0.1361</v>
      </c>
      <c r="D596" s="57" t="n">
        <v>0.1193</v>
      </c>
      <c r="E596" s="57" t="n">
        <v>0.14076</v>
      </c>
      <c r="F596" s="57" t="n">
        <v>0.1392</v>
      </c>
      <c r="H596" s="57" t="n">
        <v>0.1589</v>
      </c>
    </row>
    <row r="597" customFormat="false" ht="15" hidden="false" customHeight="false" outlineLevel="0" collapsed="false">
      <c r="A597" s="52" t="n">
        <v>45084</v>
      </c>
      <c r="B597" s="57" t="n">
        <v>0.1567</v>
      </c>
      <c r="C597" s="57" t="n">
        <v>0.1371</v>
      </c>
      <c r="D597" s="57" t="n">
        <v>0.1224</v>
      </c>
      <c r="E597" s="57" t="n">
        <v>0.14076</v>
      </c>
      <c r="F597" s="57" t="n">
        <v>0.1386</v>
      </c>
      <c r="H597" s="57" t="n">
        <v>0.1579</v>
      </c>
    </row>
    <row r="598" customFormat="false" ht="15" hidden="false" customHeight="false" outlineLevel="0" collapsed="false">
      <c r="A598" s="52" t="n">
        <v>45085</v>
      </c>
      <c r="B598" s="57" t="n">
        <v>0.1537</v>
      </c>
      <c r="C598" s="57" t="n">
        <v>0.1369</v>
      </c>
      <c r="D598" s="57" t="n">
        <v>0.123</v>
      </c>
      <c r="E598" s="57" t="n">
        <v>0.14076</v>
      </c>
      <c r="F598" s="57" t="n">
        <v>0.1387</v>
      </c>
      <c r="H598" s="57" t="n">
        <v>0.1576</v>
      </c>
    </row>
    <row r="599" customFormat="false" ht="15" hidden="false" customHeight="false" outlineLevel="0" collapsed="false">
      <c r="A599" s="52" t="n">
        <v>45086</v>
      </c>
      <c r="B599" s="57" t="n">
        <v>0.1535</v>
      </c>
      <c r="C599" s="57" t="n">
        <v>0.1366</v>
      </c>
      <c r="D599" s="57" t="n">
        <v>0.1237</v>
      </c>
      <c r="E599" s="57" t="n">
        <v>0.1409</v>
      </c>
      <c r="F599" s="57" t="n">
        <v>0.1387</v>
      </c>
      <c r="H599" s="57" t="n">
        <v>0.1576</v>
      </c>
    </row>
    <row r="600" customFormat="false" ht="15" hidden="false" customHeight="false" outlineLevel="0" collapsed="false">
      <c r="A600" s="52" t="n">
        <v>45089</v>
      </c>
      <c r="B600" s="57" t="n">
        <v>0.1534</v>
      </c>
      <c r="C600" s="57" t="n">
        <v>0.1366</v>
      </c>
      <c r="D600" s="57" t="n">
        <v>0.1235</v>
      </c>
      <c r="E600" s="57" t="n">
        <v>0.14076</v>
      </c>
      <c r="F600" s="57" t="n">
        <v>0.1387</v>
      </c>
      <c r="H600" s="57" t="n">
        <v>0.1579</v>
      </c>
    </row>
    <row r="601" customFormat="false" ht="15" hidden="false" customHeight="false" outlineLevel="0" collapsed="false">
      <c r="A601" s="52" t="n">
        <v>45090</v>
      </c>
      <c r="B601" s="57" t="n">
        <v>0.1535</v>
      </c>
      <c r="C601" s="57" t="n">
        <v>0.1365</v>
      </c>
      <c r="D601" s="57" t="n">
        <v>0.1231</v>
      </c>
      <c r="E601" s="57" t="n">
        <v>0.13846</v>
      </c>
      <c r="F601" s="57" t="n">
        <v>0.1387</v>
      </c>
      <c r="H601" s="57" t="n">
        <v>0.1578</v>
      </c>
    </row>
    <row r="602" customFormat="false" ht="15" hidden="false" customHeight="false" outlineLevel="0" collapsed="false">
      <c r="A602" s="52" t="n">
        <v>45091</v>
      </c>
      <c r="B602" s="57" t="n">
        <v>0.1535</v>
      </c>
      <c r="C602" s="57" t="n">
        <v>0.1362</v>
      </c>
      <c r="D602" s="57" t="n">
        <v>0.1255</v>
      </c>
      <c r="E602" s="57" t="n">
        <v>0.13846</v>
      </c>
      <c r="F602" s="57" t="n">
        <v>0.1392</v>
      </c>
      <c r="H602" s="57" t="n">
        <v>0.1577</v>
      </c>
    </row>
    <row r="603" customFormat="false" ht="15" hidden="false" customHeight="false" outlineLevel="0" collapsed="false">
      <c r="A603" s="52" t="n">
        <v>45092</v>
      </c>
      <c r="B603" s="57" t="n">
        <v>0.1553</v>
      </c>
      <c r="C603" s="57" t="n">
        <v>0.1387</v>
      </c>
      <c r="D603" s="57" t="n">
        <v>0.1273</v>
      </c>
      <c r="E603" s="57" t="n">
        <v>0.13846</v>
      </c>
      <c r="F603" s="57" t="n">
        <v>0.1403</v>
      </c>
      <c r="H603" s="57" t="n">
        <v>0.1577</v>
      </c>
    </row>
    <row r="604" customFormat="false" ht="15" hidden="false" customHeight="false" outlineLevel="0" collapsed="false">
      <c r="A604" s="52" t="n">
        <v>45093</v>
      </c>
      <c r="B604" s="57" t="n">
        <v>0.1496</v>
      </c>
      <c r="C604" s="57" t="n">
        <v>0.139</v>
      </c>
      <c r="D604" s="57" t="n">
        <v>0.128</v>
      </c>
      <c r="E604" s="57" t="n">
        <v>0.13859</v>
      </c>
      <c r="F604" s="57" t="n">
        <v>0.1402</v>
      </c>
      <c r="H604" s="57" t="n">
        <v>0.1577</v>
      </c>
    </row>
    <row r="605" customFormat="false" ht="15" hidden="false" customHeight="false" outlineLevel="0" collapsed="false">
      <c r="A605" s="52" t="n">
        <v>45096</v>
      </c>
      <c r="B605" s="57" t="n">
        <v>0.1536</v>
      </c>
      <c r="C605" s="57" t="n">
        <v>0.1374</v>
      </c>
      <c r="D605" s="57" t="n">
        <v>0.1271</v>
      </c>
      <c r="E605" s="57" t="n">
        <v>0.13846</v>
      </c>
      <c r="F605" s="57" t="n">
        <v>0.1399</v>
      </c>
      <c r="H605" s="57" t="n">
        <v>0.1579</v>
      </c>
    </row>
    <row r="606" customFormat="false" ht="15" hidden="false" customHeight="false" outlineLevel="0" collapsed="false">
      <c r="A606" s="52" t="n">
        <v>45097</v>
      </c>
      <c r="B606" s="57" t="n">
        <v>0.1488</v>
      </c>
      <c r="C606" s="57" t="n">
        <v>0.139</v>
      </c>
      <c r="D606" s="57" t="n">
        <v>0.1259</v>
      </c>
      <c r="E606" s="57" t="n">
        <v>0.13846</v>
      </c>
      <c r="F606" s="57" t="n">
        <v>0.1401</v>
      </c>
      <c r="H606" s="57" t="n">
        <v>0.1596</v>
      </c>
    </row>
    <row r="607" customFormat="false" ht="15" hidden="false" customHeight="false" outlineLevel="0" collapsed="false">
      <c r="A607" s="52" t="n">
        <v>45098</v>
      </c>
      <c r="B607" s="57" t="n">
        <v>0.1553</v>
      </c>
      <c r="C607" s="57" t="n">
        <v>0.1381</v>
      </c>
      <c r="D607" s="57" t="n">
        <v>0.1258</v>
      </c>
      <c r="E607" s="57" t="n">
        <v>0.13846</v>
      </c>
      <c r="F607" s="57" t="n">
        <v>0.1406</v>
      </c>
      <c r="H607" s="57" t="n">
        <v>0.159</v>
      </c>
    </row>
    <row r="608" customFormat="false" ht="15" hidden="false" customHeight="false" outlineLevel="0" collapsed="false">
      <c r="A608" s="52" t="n">
        <v>45099</v>
      </c>
      <c r="B608" s="57" t="n">
        <v>0.1548</v>
      </c>
      <c r="C608" s="57" t="n">
        <v>0.1385</v>
      </c>
      <c r="D608" s="57" t="n">
        <v>0.1259</v>
      </c>
      <c r="E608" s="57" t="n">
        <v>0.13846</v>
      </c>
      <c r="F608" s="57" t="n">
        <v>0.1399</v>
      </c>
      <c r="H608" s="57" t="n">
        <v>0.1586</v>
      </c>
    </row>
    <row r="609" customFormat="false" ht="15" hidden="false" customHeight="false" outlineLevel="0" collapsed="false">
      <c r="A609" s="52" t="n">
        <v>45100</v>
      </c>
      <c r="B609" s="57" t="n">
        <v>0.1548</v>
      </c>
      <c r="C609" s="57" t="n">
        <v>0.1388</v>
      </c>
      <c r="D609" s="57" t="n">
        <v>0.1257</v>
      </c>
      <c r="E609" s="57" t="n">
        <v>0.13859</v>
      </c>
      <c r="F609" s="57" t="n">
        <v>0.1407</v>
      </c>
      <c r="H609" s="57" t="n">
        <v>0.1596</v>
      </c>
    </row>
    <row r="610" customFormat="false" ht="15" hidden="false" customHeight="false" outlineLevel="0" collapsed="false">
      <c r="A610" s="52" t="n">
        <v>45103</v>
      </c>
      <c r="B610" s="57" t="n">
        <v>0.1552</v>
      </c>
      <c r="C610" s="57" t="n">
        <v>0.1381</v>
      </c>
      <c r="D610" s="57" t="n">
        <v>0.1247</v>
      </c>
      <c r="E610" s="57" t="n">
        <v>0.13846</v>
      </c>
      <c r="F610" s="57" t="n">
        <v>0.1392</v>
      </c>
      <c r="H610" s="57" t="n">
        <v>0.1628</v>
      </c>
    </row>
    <row r="611" customFormat="false" ht="15" hidden="false" customHeight="false" outlineLevel="0" collapsed="false">
      <c r="A611" s="52" t="n">
        <v>45104</v>
      </c>
      <c r="B611" s="57" t="n">
        <v>0.1574</v>
      </c>
      <c r="C611" s="57" t="n">
        <v>0.1377</v>
      </c>
      <c r="D611" s="57" t="n">
        <v>0.1234</v>
      </c>
      <c r="E611" s="57" t="n">
        <v>0.13853</v>
      </c>
      <c r="F611" s="57" t="n">
        <v>0.1399</v>
      </c>
      <c r="H611" s="57" t="n">
        <v>0.1677</v>
      </c>
    </row>
    <row r="612" customFormat="false" ht="15" hidden="false" customHeight="false" outlineLevel="0" collapsed="false">
      <c r="A612" s="52" t="n">
        <v>45106</v>
      </c>
      <c r="B612" s="57" t="n">
        <v>0.159</v>
      </c>
      <c r="C612" s="57" t="n">
        <v>0.1382</v>
      </c>
      <c r="D612" s="57" t="n">
        <v>0.1246</v>
      </c>
      <c r="E612" s="57" t="n">
        <v>0.13846</v>
      </c>
      <c r="F612" s="57" t="n">
        <v>0.1392</v>
      </c>
      <c r="H612" s="57" t="n">
        <v>0.1745</v>
      </c>
    </row>
    <row r="613" customFormat="false" ht="15" hidden="false" customHeight="false" outlineLevel="0" collapsed="false">
      <c r="A613" s="52" t="n">
        <v>45107</v>
      </c>
      <c r="B613" s="57" t="n">
        <v>0.1634</v>
      </c>
      <c r="C613" s="57" t="n">
        <v>0.1351</v>
      </c>
      <c r="D613" s="57" t="n">
        <v>0.1248</v>
      </c>
      <c r="E613" s="57" t="n">
        <v>0.13861</v>
      </c>
      <c r="F613" s="57" t="n">
        <v>0.14</v>
      </c>
      <c r="H613" s="57" t="n">
        <v>0.1761</v>
      </c>
    </row>
    <row r="614" customFormat="false" ht="15" hidden="false" customHeight="false" outlineLevel="0" collapsed="false">
      <c r="A614" s="52" t="n">
        <v>45108</v>
      </c>
      <c r="B614" s="57" t="n">
        <v>0.1644</v>
      </c>
      <c r="C614" s="57" t="n">
        <v>0.1353</v>
      </c>
      <c r="D614" s="57" t="n">
        <v>0.1254</v>
      </c>
      <c r="F614" s="57" t="n">
        <v>0.1395</v>
      </c>
      <c r="H614" s="57" t="n">
        <v>0.1757</v>
      </c>
    </row>
    <row r="615" customFormat="false" ht="15" hidden="false" customHeight="false" outlineLevel="0" collapsed="false">
      <c r="A615" s="52" t="n">
        <v>45110</v>
      </c>
      <c r="B615" s="57" t="n">
        <v>0.1626</v>
      </c>
      <c r="C615" s="57" t="n">
        <v>0.1366</v>
      </c>
      <c r="D615" s="57" t="n">
        <v>0.1256</v>
      </c>
      <c r="E615" s="57" t="n">
        <v>0.13846</v>
      </c>
      <c r="F615" s="57" t="n">
        <v>0.1401</v>
      </c>
      <c r="H615" s="57" t="n">
        <v>0.1758</v>
      </c>
    </row>
    <row r="616" customFormat="false" ht="15" hidden="false" customHeight="false" outlineLevel="0" collapsed="false">
      <c r="A616" s="52" t="n">
        <v>45111</v>
      </c>
      <c r="B616" s="57" t="n">
        <v>0.1578</v>
      </c>
      <c r="C616" s="57" t="n">
        <v>0.1357</v>
      </c>
      <c r="D616" s="57" t="n">
        <v>0.1272</v>
      </c>
      <c r="E616" s="57" t="n">
        <v>0.13846</v>
      </c>
      <c r="F616" s="57" t="n">
        <v>0.1398</v>
      </c>
      <c r="H616" s="57" t="n">
        <v>0.1762</v>
      </c>
    </row>
    <row r="617" customFormat="false" ht="15" hidden="false" customHeight="false" outlineLevel="0" collapsed="false">
      <c r="A617" s="52" t="n">
        <v>45112</v>
      </c>
      <c r="B617" s="57" t="n">
        <v>0.1474</v>
      </c>
      <c r="C617" s="57" t="n">
        <v>0.1358</v>
      </c>
      <c r="D617" s="57" t="n">
        <v>0.1272</v>
      </c>
      <c r="E617" s="57" t="n">
        <v>0.14106</v>
      </c>
      <c r="F617" s="57" t="n">
        <v>0.1399</v>
      </c>
      <c r="H617" s="57" t="n">
        <v>0.1733</v>
      </c>
    </row>
    <row r="618" customFormat="false" ht="15" hidden="false" customHeight="false" outlineLevel="0" collapsed="false">
      <c r="A618" s="52" t="n">
        <v>45117</v>
      </c>
      <c r="B618" s="57" t="n">
        <v>0.159</v>
      </c>
      <c r="C618" s="57" t="n">
        <v>0.1354</v>
      </c>
      <c r="D618" s="57" t="n">
        <v>0.1238</v>
      </c>
      <c r="E618" s="57" t="n">
        <v>0.14077</v>
      </c>
      <c r="F618" s="57" t="n">
        <v>0.1393</v>
      </c>
      <c r="H618" s="57" t="n">
        <v>0.1681</v>
      </c>
    </row>
    <row r="619" customFormat="false" ht="15" hidden="false" customHeight="false" outlineLevel="0" collapsed="false">
      <c r="A619" s="52" t="n">
        <v>45118</v>
      </c>
      <c r="B619" s="57" t="n">
        <v>0.1606</v>
      </c>
      <c r="C619" s="57" t="n">
        <v>0.1376</v>
      </c>
      <c r="D619" s="57" t="n">
        <v>0.1237</v>
      </c>
      <c r="E619" s="57" t="n">
        <v>0.14077</v>
      </c>
      <c r="F619" s="57" t="n">
        <v>0.14</v>
      </c>
      <c r="H619" s="57" t="n">
        <v>0.1636</v>
      </c>
    </row>
    <row r="620" customFormat="false" ht="15" hidden="false" customHeight="false" outlineLevel="0" collapsed="false">
      <c r="A620" s="52" t="n">
        <v>45119</v>
      </c>
      <c r="B620" s="57" t="n">
        <v>0.1581</v>
      </c>
      <c r="C620" s="57" t="n">
        <v>0.138</v>
      </c>
      <c r="D620" s="57" t="n">
        <v>0.1241</v>
      </c>
      <c r="E620" s="57" t="n">
        <v>0.14077</v>
      </c>
      <c r="F620" s="57" t="n">
        <v>0.1403</v>
      </c>
      <c r="H620" s="57" t="n">
        <v>0.1618</v>
      </c>
    </row>
    <row r="621" customFormat="false" ht="15" hidden="false" customHeight="false" outlineLevel="0" collapsed="false">
      <c r="A621" s="52" t="n">
        <v>45120</v>
      </c>
      <c r="B621" s="57" t="n">
        <v>0.1474</v>
      </c>
      <c r="C621" s="57" t="n">
        <v>0.1386</v>
      </c>
      <c r="D621" s="57" t="n">
        <v>0.1242</v>
      </c>
      <c r="E621" s="57" t="n">
        <v>0.14077</v>
      </c>
      <c r="F621" s="57" t="n">
        <v>0.1404</v>
      </c>
      <c r="H621" s="57" t="n">
        <v>0.1616</v>
      </c>
    </row>
    <row r="622" customFormat="false" ht="15" hidden="false" customHeight="false" outlineLevel="0" collapsed="false">
      <c r="A622" s="52" t="n">
        <v>45121</v>
      </c>
      <c r="B622" s="57" t="n">
        <v>0.1564</v>
      </c>
      <c r="C622" s="57" t="n">
        <v>0.1376</v>
      </c>
      <c r="D622" s="57" t="n">
        <v>0.1238</v>
      </c>
      <c r="E622" s="57" t="n">
        <v>0.14342</v>
      </c>
      <c r="F622" s="57" t="n">
        <v>0.141</v>
      </c>
      <c r="H622" s="57" t="n">
        <v>0.162</v>
      </c>
    </row>
    <row r="623" customFormat="false" ht="15" hidden="false" customHeight="false" outlineLevel="0" collapsed="false">
      <c r="A623" s="52" t="n">
        <v>45124</v>
      </c>
      <c r="B623" s="57" t="n">
        <v>0.1566</v>
      </c>
      <c r="C623" s="57" t="n">
        <v>0.1373</v>
      </c>
      <c r="D623" s="57" t="n">
        <v>0.1245</v>
      </c>
      <c r="E623" s="57" t="n">
        <v>0.14327</v>
      </c>
      <c r="F623" s="57" t="n">
        <v>0.1403</v>
      </c>
      <c r="H623" s="57" t="n">
        <v>0.1674</v>
      </c>
    </row>
    <row r="624" customFormat="false" ht="15" hidden="false" customHeight="false" outlineLevel="0" collapsed="false">
      <c r="A624" s="52" t="n">
        <v>45125</v>
      </c>
      <c r="B624" s="57" t="n">
        <v>0.1593</v>
      </c>
      <c r="C624" s="57" t="n">
        <v>0.1352</v>
      </c>
      <c r="D624" s="57" t="n">
        <v>0.1231</v>
      </c>
      <c r="E624" s="57" t="n">
        <v>0.14327</v>
      </c>
      <c r="F624" s="57" t="n">
        <v>0.1409</v>
      </c>
      <c r="H624" s="57" t="n">
        <v>0.1711</v>
      </c>
    </row>
    <row r="625" customFormat="false" ht="15" hidden="false" customHeight="false" outlineLevel="0" collapsed="false">
      <c r="A625" s="52" t="n">
        <v>45126</v>
      </c>
      <c r="B625" s="57" t="n">
        <v>0.1615</v>
      </c>
      <c r="C625" s="57" t="n">
        <v>0.1349</v>
      </c>
      <c r="D625" s="57" t="n">
        <v>0.1221</v>
      </c>
      <c r="E625" s="57" t="n">
        <v>0.14327</v>
      </c>
      <c r="F625" s="57" t="n">
        <v>0.1401</v>
      </c>
      <c r="H625" s="57" t="n">
        <v>0.1703</v>
      </c>
    </row>
    <row r="626" customFormat="false" ht="15" hidden="false" customHeight="false" outlineLevel="0" collapsed="false">
      <c r="A626" s="52" t="n">
        <v>45127</v>
      </c>
      <c r="B626" s="57" t="n">
        <v>0.1593</v>
      </c>
      <c r="C626" s="57" t="n">
        <v>0.1346</v>
      </c>
      <c r="D626" s="57" t="n">
        <v>0.122</v>
      </c>
      <c r="E626" s="57" t="n">
        <v>0.14327</v>
      </c>
      <c r="F626" s="57" t="n">
        <v>0.1403</v>
      </c>
      <c r="H626" s="57" t="n">
        <v>0.1689</v>
      </c>
    </row>
    <row r="627" customFormat="false" ht="15" hidden="false" customHeight="false" outlineLevel="0" collapsed="false">
      <c r="A627" s="52" t="n">
        <v>45128</v>
      </c>
      <c r="B627" s="57" t="n">
        <v>0.1592</v>
      </c>
      <c r="C627" s="57" t="n">
        <v>0.136</v>
      </c>
      <c r="D627" s="57" t="n">
        <v>0.1212</v>
      </c>
      <c r="E627" s="57" t="n">
        <v>0.14342</v>
      </c>
      <c r="F627" s="57" t="n">
        <v>0.1399</v>
      </c>
      <c r="H627" s="57" t="n">
        <v>0.1666</v>
      </c>
    </row>
    <row r="628" customFormat="false" ht="15" hidden="false" customHeight="false" outlineLevel="0" collapsed="false">
      <c r="A628" s="52" t="n">
        <v>45131</v>
      </c>
      <c r="B628" s="57" t="n">
        <v>0.1586</v>
      </c>
      <c r="C628" s="57" t="n">
        <v>0.1358</v>
      </c>
      <c r="D628" s="57" t="n">
        <v>0.1209</v>
      </c>
      <c r="E628" s="57" t="n">
        <v>0.14327</v>
      </c>
      <c r="F628" s="57" t="n">
        <v>0.14</v>
      </c>
      <c r="H628" s="57" t="n">
        <v>0.1671</v>
      </c>
    </row>
    <row r="629" customFormat="false" ht="15" hidden="false" customHeight="false" outlineLevel="0" collapsed="false">
      <c r="A629" s="52" t="n">
        <v>45132</v>
      </c>
      <c r="B629" s="57" t="n">
        <v>0.159</v>
      </c>
      <c r="C629" s="57" t="n">
        <v>0.1369</v>
      </c>
      <c r="D629" s="57" t="n">
        <v>0.121</v>
      </c>
      <c r="E629" s="57" t="n">
        <v>0.14327</v>
      </c>
      <c r="F629" s="57" t="n">
        <v>0.1403</v>
      </c>
      <c r="H629" s="57" t="n">
        <v>0.1656</v>
      </c>
    </row>
    <row r="630" customFormat="false" ht="15" hidden="false" customHeight="false" outlineLevel="0" collapsed="false">
      <c r="A630" s="52" t="n">
        <v>45133</v>
      </c>
      <c r="B630" s="57" t="n">
        <v>0.1586</v>
      </c>
      <c r="C630" s="57" t="n">
        <v>0.1345</v>
      </c>
      <c r="D630" s="57" t="n">
        <v>0.1206</v>
      </c>
      <c r="E630" s="57" t="n">
        <v>0.14327</v>
      </c>
      <c r="F630" s="57" t="n">
        <v>0.1414</v>
      </c>
      <c r="H630" s="57" t="n">
        <v>0.1676</v>
      </c>
    </row>
    <row r="631" customFormat="false" ht="15" hidden="false" customHeight="false" outlineLevel="0" collapsed="false">
      <c r="A631" s="52" t="n">
        <v>45134</v>
      </c>
      <c r="B631" s="57" t="n">
        <v>0.1599</v>
      </c>
      <c r="C631" s="57" t="n">
        <v>0.1349</v>
      </c>
      <c r="D631" s="57" t="n">
        <v>0.1194</v>
      </c>
      <c r="E631" s="57" t="n">
        <v>0.14328</v>
      </c>
      <c r="F631" s="57" t="n">
        <v>0.141</v>
      </c>
      <c r="H631" s="57" t="n">
        <v>0.1686</v>
      </c>
    </row>
    <row r="632" customFormat="false" ht="15" hidden="false" customHeight="false" outlineLevel="0" collapsed="false">
      <c r="A632" s="52" t="n">
        <v>45135</v>
      </c>
      <c r="B632" s="57" t="n">
        <v>0.1606</v>
      </c>
      <c r="C632" s="57" t="n">
        <v>0.1363</v>
      </c>
      <c r="D632" s="57" t="n">
        <v>0.1199</v>
      </c>
      <c r="E632" s="57" t="n">
        <v>0.14328</v>
      </c>
      <c r="F632" s="57" t="n">
        <v>0.1405</v>
      </c>
      <c r="H632" s="57" t="n">
        <v>0.169</v>
      </c>
    </row>
    <row r="633" customFormat="false" ht="15" hidden="false" customHeight="false" outlineLevel="0" collapsed="false">
      <c r="A633" s="52" t="n">
        <v>45138</v>
      </c>
      <c r="B633" s="57" t="n">
        <v>0.1596</v>
      </c>
      <c r="C633" s="57" t="n">
        <v>0.1351</v>
      </c>
      <c r="D633" s="57" t="n">
        <v>0.1192</v>
      </c>
      <c r="E633" s="57" t="n">
        <v>0.14334</v>
      </c>
      <c r="F633" s="57" t="n">
        <v>0.1408</v>
      </c>
      <c r="H633" s="57" t="n">
        <v>0.17</v>
      </c>
    </row>
    <row r="634" customFormat="false" ht="15" hidden="false" customHeight="false" outlineLevel="0" collapsed="false">
      <c r="A634" s="52" t="n">
        <v>45139</v>
      </c>
      <c r="B634" s="57" t="n">
        <v>0.16</v>
      </c>
      <c r="C634" s="57" t="n">
        <v>0.1348</v>
      </c>
      <c r="D634" s="57" t="n">
        <v>0.1189</v>
      </c>
      <c r="E634" s="57" t="n">
        <v>0.14328</v>
      </c>
      <c r="F634" s="57" t="n">
        <v>0.1407</v>
      </c>
      <c r="H634" s="57" t="n">
        <v>0.1683</v>
      </c>
    </row>
    <row r="635" customFormat="false" ht="15" hidden="false" customHeight="false" outlineLevel="0" collapsed="false">
      <c r="A635" s="52" t="n">
        <v>45140</v>
      </c>
      <c r="B635" s="57" t="n">
        <v>0.159</v>
      </c>
      <c r="C635" s="57" t="n">
        <v>0.1356</v>
      </c>
      <c r="D635" s="57" t="n">
        <v>0.1199</v>
      </c>
      <c r="E635" s="57" t="n">
        <v>0.14328</v>
      </c>
      <c r="F635" s="57" t="n">
        <v>0.1408</v>
      </c>
      <c r="H635" s="57" t="n">
        <v>0.1693</v>
      </c>
    </row>
    <row r="636" customFormat="false" ht="15" hidden="false" customHeight="false" outlineLevel="0" collapsed="false">
      <c r="A636" s="52" t="n">
        <v>45141</v>
      </c>
      <c r="B636" s="57" t="n">
        <v>0.1561</v>
      </c>
      <c r="C636" s="57" t="n">
        <v>0.1349</v>
      </c>
      <c r="D636" s="57" t="n">
        <v>0.12</v>
      </c>
      <c r="E636" s="57" t="n">
        <v>0.14328</v>
      </c>
      <c r="F636" s="57" t="n">
        <v>0.1405</v>
      </c>
      <c r="H636" s="57" t="n">
        <v>0.1699</v>
      </c>
    </row>
    <row r="637" customFormat="false" ht="15" hidden="false" customHeight="false" outlineLevel="0" collapsed="false">
      <c r="A637" s="52" t="n">
        <v>45142</v>
      </c>
      <c r="B637" s="57" t="n">
        <v>0.16</v>
      </c>
      <c r="C637" s="57" t="n">
        <v>0.1363</v>
      </c>
      <c r="D637" s="57" t="n">
        <v>0.1196</v>
      </c>
      <c r="E637" s="57" t="n">
        <v>0.14342</v>
      </c>
      <c r="F637" s="57" t="n">
        <v>0.1407</v>
      </c>
      <c r="H637" s="57" t="n">
        <v>0.1693</v>
      </c>
    </row>
    <row r="638" customFormat="false" ht="15" hidden="false" customHeight="false" outlineLevel="0" collapsed="false">
      <c r="A638" s="52" t="n">
        <v>45145</v>
      </c>
      <c r="B638" s="57" t="n">
        <v>0.1584</v>
      </c>
      <c r="C638" s="57" t="n">
        <v>0.1353</v>
      </c>
      <c r="D638" s="57" t="n">
        <v>0.1192</v>
      </c>
      <c r="E638" s="57" t="n">
        <v>0.14328</v>
      </c>
      <c r="F638" s="57" t="n">
        <v>0.1419</v>
      </c>
      <c r="H638" s="57" t="n">
        <v>0.1671</v>
      </c>
    </row>
    <row r="639" customFormat="false" ht="15" hidden="false" customHeight="false" outlineLevel="0" collapsed="false">
      <c r="A639" s="52" t="n">
        <v>45146</v>
      </c>
      <c r="B639" s="57" t="n">
        <v>0.1581</v>
      </c>
      <c r="C639" s="57" t="n">
        <v>0.1351</v>
      </c>
      <c r="D639" s="57" t="n">
        <v>0.1187</v>
      </c>
      <c r="E639" s="57" t="n">
        <v>0.14328</v>
      </c>
      <c r="F639" s="57" t="n">
        <v>0.1397</v>
      </c>
      <c r="H639" s="57" t="n">
        <v>0.1676</v>
      </c>
    </row>
    <row r="640" customFormat="false" ht="15" hidden="false" customHeight="false" outlineLevel="0" collapsed="false">
      <c r="A640" s="52" t="n">
        <v>45147</v>
      </c>
      <c r="B640" s="57" t="n">
        <v>0.1581</v>
      </c>
      <c r="C640" s="57" t="n">
        <v>0.1346</v>
      </c>
      <c r="D640" s="57" t="n">
        <v>0.1187</v>
      </c>
      <c r="E640" s="57" t="n">
        <v>0.14328</v>
      </c>
      <c r="F640" s="57" t="n">
        <v>0.1408</v>
      </c>
      <c r="H640" s="57" t="n">
        <v>0.17</v>
      </c>
    </row>
    <row r="641" customFormat="false" ht="15" hidden="false" customHeight="false" outlineLevel="0" collapsed="false">
      <c r="A641" s="52" t="n">
        <v>45148</v>
      </c>
      <c r="B641" s="57" t="n">
        <v>0.1593</v>
      </c>
      <c r="C641" s="57" t="n">
        <v>0.1349</v>
      </c>
      <c r="D641" s="57" t="n">
        <v>0.1179</v>
      </c>
      <c r="E641" s="57" t="n">
        <v>0.14328</v>
      </c>
      <c r="F641" s="57" t="n">
        <v>0.1407</v>
      </c>
      <c r="H641" s="57" t="n">
        <v>0.1716</v>
      </c>
    </row>
    <row r="642" customFormat="false" ht="15" hidden="false" customHeight="false" outlineLevel="0" collapsed="false">
      <c r="A642" s="52" t="n">
        <v>45149</v>
      </c>
      <c r="B642" s="57" t="n">
        <v>0.1603</v>
      </c>
      <c r="C642" s="57" t="n">
        <v>0.1358</v>
      </c>
      <c r="D642" s="57" t="n">
        <v>0.1186</v>
      </c>
      <c r="E642" s="57" t="n">
        <v>0.14343</v>
      </c>
      <c r="F642" s="57" t="n">
        <v>0.1401</v>
      </c>
      <c r="H642" s="57" t="n">
        <v>0.1734</v>
      </c>
    </row>
    <row r="643" customFormat="false" ht="15" hidden="false" customHeight="false" outlineLevel="0" collapsed="false">
      <c r="A643" s="52" t="n">
        <v>45152</v>
      </c>
      <c r="B643" s="57" t="n">
        <v>0.1617</v>
      </c>
      <c r="C643" s="57" t="n">
        <v>0.1348</v>
      </c>
      <c r="D643" s="57" t="n">
        <v>0.1184</v>
      </c>
      <c r="E643" s="57" t="n">
        <v>0.14328</v>
      </c>
      <c r="F643" s="57" t="n">
        <v>0.1402</v>
      </c>
      <c r="H643" s="57" t="n">
        <v>0.1708</v>
      </c>
    </row>
    <row r="644" customFormat="false" ht="15" hidden="false" customHeight="false" outlineLevel="0" collapsed="false">
      <c r="A644" s="52" t="n">
        <v>45153</v>
      </c>
      <c r="B644" s="57" t="n">
        <v>0.1552</v>
      </c>
      <c r="C644" s="57" t="n">
        <v>0.1348</v>
      </c>
      <c r="D644" s="57" t="n">
        <v>0.1176</v>
      </c>
      <c r="E644" s="57" t="n">
        <v>0.14328</v>
      </c>
      <c r="F644" s="57" t="n">
        <v>0.1408</v>
      </c>
      <c r="H644" s="57" t="n">
        <v>0.1704</v>
      </c>
    </row>
    <row r="645" customFormat="false" ht="15" hidden="false" customHeight="false" outlineLevel="0" collapsed="false">
      <c r="A645" s="52" t="n">
        <v>45154</v>
      </c>
      <c r="B645" s="57" t="n">
        <v>0.1604</v>
      </c>
      <c r="C645" s="57" t="n">
        <v>0.1348</v>
      </c>
      <c r="D645" s="57" t="n">
        <v>0.1183</v>
      </c>
      <c r="E645" s="57" t="n">
        <v>0.14328</v>
      </c>
      <c r="F645" s="57" t="n">
        <v>0.1409</v>
      </c>
      <c r="H645" s="57" t="n">
        <v>0.1705</v>
      </c>
    </row>
    <row r="646" customFormat="false" ht="15" hidden="false" customHeight="false" outlineLevel="0" collapsed="false">
      <c r="A646" s="52" t="n">
        <v>45155</v>
      </c>
      <c r="B646" s="57" t="n">
        <v>0.159</v>
      </c>
      <c r="C646" s="57" t="n">
        <v>0.1352</v>
      </c>
      <c r="D646" s="57" t="n">
        <v>0.1228</v>
      </c>
      <c r="E646" s="57" t="n">
        <v>0.14328</v>
      </c>
      <c r="F646" s="57" t="n">
        <v>0.1418</v>
      </c>
      <c r="H646" s="57" t="n">
        <v>0.1703</v>
      </c>
    </row>
    <row r="647" customFormat="false" ht="15" hidden="false" customHeight="false" outlineLevel="0" collapsed="false">
      <c r="A647" s="52" t="n">
        <v>45156</v>
      </c>
      <c r="B647" s="57" t="n">
        <v>0.1598</v>
      </c>
      <c r="C647" s="57" t="n">
        <v>0.1362</v>
      </c>
      <c r="D647" s="57" t="n">
        <v>0.122</v>
      </c>
      <c r="E647" s="57" t="n">
        <v>0.14343</v>
      </c>
      <c r="F647" s="57" t="n">
        <v>0.1411</v>
      </c>
      <c r="H647" s="57" t="n">
        <v>0.1708</v>
      </c>
    </row>
    <row r="648" customFormat="false" ht="15" hidden="false" customHeight="false" outlineLevel="0" collapsed="false">
      <c r="A648" s="52" t="n">
        <v>45159</v>
      </c>
      <c r="B648" s="57" t="n">
        <v>0.161</v>
      </c>
      <c r="C648" s="57" t="n">
        <v>0.1367</v>
      </c>
      <c r="D648" s="57" t="n">
        <v>0.121</v>
      </c>
      <c r="E648" s="57" t="n">
        <v>0.14328</v>
      </c>
      <c r="F648" s="57" t="n">
        <v>0.1412</v>
      </c>
      <c r="H648" s="57" t="n">
        <v>0.1725</v>
      </c>
    </row>
    <row r="649" customFormat="false" ht="15" hidden="false" customHeight="false" outlineLevel="0" collapsed="false">
      <c r="A649" s="52" t="n">
        <v>45160</v>
      </c>
      <c r="B649" s="57" t="n">
        <v>0.1559</v>
      </c>
      <c r="C649" s="57" t="n">
        <v>0.1357</v>
      </c>
      <c r="D649" s="57" t="n">
        <v>0.1216</v>
      </c>
      <c r="E649" s="57" t="n">
        <v>0.14328</v>
      </c>
      <c r="F649" s="57" t="n">
        <v>0.1411</v>
      </c>
      <c r="H649" s="57" t="n">
        <v>0.1739</v>
      </c>
    </row>
    <row r="650" customFormat="false" ht="15" hidden="false" customHeight="false" outlineLevel="0" collapsed="false">
      <c r="A650" s="52" t="n">
        <v>45161</v>
      </c>
      <c r="B650" s="57" t="n">
        <v>0.1592</v>
      </c>
      <c r="C650" s="57" t="n">
        <v>0.1352</v>
      </c>
      <c r="D650" s="57" t="n">
        <v>0.1206</v>
      </c>
      <c r="E650" s="57" t="n">
        <v>0.14328</v>
      </c>
      <c r="F650" s="57" t="n">
        <v>0.1413</v>
      </c>
      <c r="H650" s="57" t="n">
        <v>0.1718</v>
      </c>
    </row>
    <row r="651" customFormat="false" ht="15" hidden="false" customHeight="false" outlineLevel="0" collapsed="false">
      <c r="A651" s="52" t="n">
        <v>45162</v>
      </c>
      <c r="B651" s="57" t="n">
        <v>0.1595</v>
      </c>
      <c r="C651" s="57" t="n">
        <v>0.1381</v>
      </c>
      <c r="D651" s="57" t="n">
        <v>0.1205</v>
      </c>
      <c r="E651" s="57" t="n">
        <v>0.14328</v>
      </c>
      <c r="F651" s="57" t="n">
        <v>0.1413</v>
      </c>
      <c r="H651" s="57" t="n">
        <v>0.1727</v>
      </c>
    </row>
    <row r="652" customFormat="false" ht="15" hidden="false" customHeight="false" outlineLevel="0" collapsed="false">
      <c r="A652" s="52" t="n">
        <v>45163</v>
      </c>
      <c r="B652" s="57" t="n">
        <v>0.1631</v>
      </c>
      <c r="C652" s="57" t="n">
        <v>0.1368</v>
      </c>
      <c r="D652" s="57" t="n">
        <v>0.1187</v>
      </c>
      <c r="E652" s="57" t="n">
        <v>0.14343</v>
      </c>
      <c r="F652" s="57" t="n">
        <v>0.1413</v>
      </c>
      <c r="H652" s="57" t="n">
        <v>0.1716</v>
      </c>
    </row>
    <row r="653" customFormat="false" ht="15" hidden="false" customHeight="false" outlineLevel="0" collapsed="false">
      <c r="A653" s="52" t="n">
        <v>45166</v>
      </c>
      <c r="B653" s="57" t="n">
        <v>0.1627</v>
      </c>
      <c r="C653" s="57" t="n">
        <v>0.1376</v>
      </c>
      <c r="D653" s="57" t="n">
        <v>0.1206</v>
      </c>
      <c r="E653" s="57" t="n">
        <v>0.14328</v>
      </c>
      <c r="F653" s="57" t="n">
        <v>0.142</v>
      </c>
      <c r="H653" s="57" t="n">
        <v>0.1714</v>
      </c>
    </row>
    <row r="654" customFormat="false" ht="15" hidden="false" customHeight="false" outlineLevel="0" collapsed="false">
      <c r="A654" s="52" t="n">
        <v>45167</v>
      </c>
      <c r="B654" s="57" t="n">
        <v>0.1622</v>
      </c>
      <c r="C654" s="57" t="n">
        <v>0.1374</v>
      </c>
      <c r="D654" s="57" t="n">
        <v>0.1183</v>
      </c>
      <c r="E654" s="57" t="n">
        <v>0.14321</v>
      </c>
      <c r="F654" s="57" t="n">
        <v>0.1414</v>
      </c>
      <c r="H654" s="57" t="n">
        <v>0.1713</v>
      </c>
    </row>
    <row r="655" customFormat="false" ht="15" hidden="false" customHeight="false" outlineLevel="0" collapsed="false">
      <c r="A655" s="52" t="n">
        <v>45169</v>
      </c>
      <c r="B655" s="57" t="n">
        <v>0.1609</v>
      </c>
      <c r="C655" s="57" t="n">
        <v>0.1366</v>
      </c>
      <c r="D655" s="57" t="n">
        <v>0.118</v>
      </c>
      <c r="E655" s="57" t="n">
        <v>0.14334</v>
      </c>
      <c r="F655" s="57" t="n">
        <v>0.1405</v>
      </c>
      <c r="H655" s="57" t="n">
        <v>0.172</v>
      </c>
    </row>
    <row r="656" customFormat="false" ht="15" hidden="false" customHeight="false" outlineLevel="0" collapsed="false">
      <c r="A656" s="52" t="n">
        <v>45170</v>
      </c>
      <c r="B656" s="57" t="n">
        <v>0.1611</v>
      </c>
      <c r="C656" s="57" t="n">
        <v>0.136</v>
      </c>
      <c r="D656" s="57" t="n">
        <v>0.1186</v>
      </c>
      <c r="E656" s="57" t="n">
        <v>0.14343</v>
      </c>
      <c r="F656" s="57" t="n">
        <v>0.1436</v>
      </c>
      <c r="H656" s="57" t="n">
        <v>0.1723</v>
      </c>
    </row>
    <row r="657" customFormat="false" ht="15" hidden="false" customHeight="false" outlineLevel="0" collapsed="false">
      <c r="A657" s="52" t="n">
        <v>45173</v>
      </c>
      <c r="B657" s="57" t="n">
        <v>0.1618</v>
      </c>
      <c r="C657" s="57" t="n">
        <v>0.1373</v>
      </c>
      <c r="D657" s="57" t="n">
        <v>0.1182</v>
      </c>
      <c r="E657" s="57" t="n">
        <v>0.1432</v>
      </c>
      <c r="F657" s="57" t="n">
        <v>0.1432</v>
      </c>
      <c r="H657" s="57" t="n">
        <v>0.1711</v>
      </c>
    </row>
    <row r="658" customFormat="false" ht="15" hidden="false" customHeight="false" outlineLevel="0" collapsed="false">
      <c r="A658" s="52" t="n">
        <v>45174</v>
      </c>
      <c r="B658" s="57" t="n">
        <v>0.157</v>
      </c>
      <c r="C658" s="57" t="n">
        <v>0.1371</v>
      </c>
      <c r="D658" s="57" t="n">
        <v>0.118</v>
      </c>
      <c r="E658" s="57" t="n">
        <v>0.14779</v>
      </c>
      <c r="F658" s="57" t="n">
        <v>0.1438</v>
      </c>
      <c r="H658" s="57" t="n">
        <v>0.172</v>
      </c>
    </row>
    <row r="659" customFormat="false" ht="15" hidden="false" customHeight="false" outlineLevel="0" collapsed="false">
      <c r="A659" s="52" t="n">
        <v>45175</v>
      </c>
      <c r="B659" s="57" t="n">
        <v>0.1612</v>
      </c>
      <c r="C659" s="57" t="n">
        <v>0.1363</v>
      </c>
      <c r="D659" s="57" t="n">
        <v>0.1183</v>
      </c>
      <c r="E659" s="57" t="n">
        <v>0.13466</v>
      </c>
      <c r="F659" s="57" t="n">
        <v>0.1441</v>
      </c>
      <c r="H659" s="57" t="n">
        <v>0.1725</v>
      </c>
    </row>
    <row r="660" customFormat="false" ht="15" hidden="false" customHeight="false" outlineLevel="0" collapsed="false">
      <c r="A660" s="52" t="n">
        <v>45176</v>
      </c>
      <c r="B660" s="57" t="n">
        <v>0.1583</v>
      </c>
      <c r="C660" s="57" t="n">
        <v>0.1364</v>
      </c>
      <c r="D660" s="57" t="n">
        <v>0.12</v>
      </c>
      <c r="E660" s="57" t="n">
        <v>0.13466</v>
      </c>
      <c r="F660" s="57" t="n">
        <v>0.1434</v>
      </c>
      <c r="H660" s="57" t="n">
        <v>0.172</v>
      </c>
    </row>
    <row r="661" customFormat="false" ht="15" hidden="false" customHeight="false" outlineLevel="0" collapsed="false">
      <c r="A661" s="52" t="n">
        <v>45177</v>
      </c>
      <c r="B661" s="57" t="n">
        <v>0.1557</v>
      </c>
      <c r="C661" s="57" t="n">
        <v>0.1364</v>
      </c>
      <c r="D661" s="57" t="n">
        <v>0.1206</v>
      </c>
      <c r="E661" s="57" t="n">
        <v>0.13481</v>
      </c>
      <c r="F661" s="57" t="n">
        <v>0.1436</v>
      </c>
      <c r="H661" s="57" t="n">
        <v>0.1702</v>
      </c>
    </row>
    <row r="662" customFormat="false" ht="15" hidden="false" customHeight="false" outlineLevel="0" collapsed="false">
      <c r="A662" s="52" t="n">
        <v>45180</v>
      </c>
      <c r="B662" s="57" t="n">
        <v>0.153</v>
      </c>
      <c r="C662" s="57" t="n">
        <v>0.1353</v>
      </c>
      <c r="D662" s="57" t="n">
        <v>0.1204</v>
      </c>
      <c r="E662" s="57" t="n">
        <v>0.13466</v>
      </c>
      <c r="F662" s="57" t="n">
        <v>0.1442</v>
      </c>
      <c r="H662" s="57" t="n">
        <v>0.1675</v>
      </c>
    </row>
    <row r="663" customFormat="false" ht="15" hidden="false" customHeight="false" outlineLevel="0" collapsed="false">
      <c r="A663" s="52" t="n">
        <v>45181</v>
      </c>
      <c r="B663" s="57" t="n">
        <v>0.1583</v>
      </c>
      <c r="C663" s="57" t="n">
        <v>0.1362</v>
      </c>
      <c r="D663" s="57" t="n">
        <v>0.1205</v>
      </c>
      <c r="E663" s="57" t="n">
        <v>0.13466</v>
      </c>
      <c r="F663" s="57" t="n">
        <v>0.1435</v>
      </c>
      <c r="H663" s="57" t="n">
        <v>0.1664</v>
      </c>
    </row>
    <row r="664" customFormat="false" ht="15" hidden="false" customHeight="false" outlineLevel="0" collapsed="false">
      <c r="A664" s="52" t="n">
        <v>45182</v>
      </c>
      <c r="B664" s="57" t="n">
        <v>0.1522</v>
      </c>
      <c r="C664" s="57" t="n">
        <v>0.1357</v>
      </c>
      <c r="D664" s="57" t="n">
        <v>0.1206</v>
      </c>
      <c r="E664" s="57" t="n">
        <v>0.13466</v>
      </c>
      <c r="F664" s="57" t="n">
        <v>0.1434</v>
      </c>
      <c r="H664" s="57" t="n">
        <v>0.17</v>
      </c>
    </row>
    <row r="665" customFormat="false" ht="15" hidden="false" customHeight="false" outlineLevel="0" collapsed="false">
      <c r="A665" s="52" t="n">
        <v>45183</v>
      </c>
      <c r="B665" s="57" t="n">
        <v>0.1576</v>
      </c>
      <c r="C665" s="57" t="n">
        <v>0.1345</v>
      </c>
      <c r="D665" s="57" t="n">
        <v>0.1226</v>
      </c>
      <c r="E665" s="57" t="n">
        <v>0.13459</v>
      </c>
      <c r="F665" s="57" t="n">
        <v>0.1444</v>
      </c>
      <c r="H665" s="57" t="n">
        <v>0.1694</v>
      </c>
    </row>
    <row r="666" customFormat="false" ht="15" hidden="false" customHeight="false" outlineLevel="0" collapsed="false">
      <c r="A666" s="52" t="n">
        <v>45184</v>
      </c>
      <c r="B666" s="57" t="n">
        <v>0.1578</v>
      </c>
      <c r="C666" s="57" t="n">
        <v>0.1346</v>
      </c>
      <c r="D666" s="57" t="n">
        <v>0.1224</v>
      </c>
      <c r="E666" s="57" t="n">
        <v>0.13481</v>
      </c>
      <c r="F666" s="57" t="n">
        <v>0.1451</v>
      </c>
      <c r="H666" s="57" t="n">
        <v>0.1698</v>
      </c>
    </row>
    <row r="667" customFormat="false" ht="15" hidden="false" customHeight="false" outlineLevel="0" collapsed="false">
      <c r="A667" s="52" t="n">
        <v>45187</v>
      </c>
      <c r="B667" s="57" t="n">
        <v>0.1579</v>
      </c>
      <c r="C667" s="57" t="n">
        <v>0.1342</v>
      </c>
      <c r="D667" s="57" t="n">
        <v>0.1221</v>
      </c>
      <c r="E667" s="57" t="n">
        <v>0.13466</v>
      </c>
      <c r="F667" s="57" t="n">
        <v>0.1437</v>
      </c>
      <c r="H667" s="57" t="n">
        <v>0.1681</v>
      </c>
    </row>
    <row r="668" customFormat="false" ht="15" hidden="false" customHeight="false" outlineLevel="0" collapsed="false">
      <c r="A668" s="52" t="n">
        <v>45188</v>
      </c>
      <c r="B668" s="57" t="n">
        <v>0.1578</v>
      </c>
      <c r="C668" s="57" t="n">
        <v>0.1348</v>
      </c>
      <c r="D668" s="57" t="n">
        <v>0.1213</v>
      </c>
      <c r="E668" s="57" t="n">
        <v>0.13466</v>
      </c>
      <c r="F668" s="57" t="n">
        <v>0.1443</v>
      </c>
      <c r="H668" s="57" t="n">
        <v>0.1668</v>
      </c>
    </row>
    <row r="669" customFormat="false" ht="15" hidden="false" customHeight="false" outlineLevel="0" collapsed="false">
      <c r="A669" s="52" t="n">
        <v>45189</v>
      </c>
      <c r="B669" s="57" t="n">
        <v>0.1575</v>
      </c>
      <c r="C669" s="57" t="n">
        <v>0.1347</v>
      </c>
      <c r="D669" s="57" t="n">
        <v>0.121</v>
      </c>
      <c r="E669" s="57" t="n">
        <v>0.13466</v>
      </c>
      <c r="F669" s="57" t="n">
        <v>0.1438</v>
      </c>
      <c r="H669" s="57" t="n">
        <v>0.1678</v>
      </c>
    </row>
    <row r="670" customFormat="false" ht="15" hidden="false" customHeight="false" outlineLevel="0" collapsed="false">
      <c r="A670" s="52" t="n">
        <v>45190</v>
      </c>
      <c r="B670" s="57" t="n">
        <v>0.1538</v>
      </c>
      <c r="C670" s="57" t="n">
        <v>0.1348</v>
      </c>
      <c r="D670" s="57" t="n">
        <v>0.1214</v>
      </c>
      <c r="E670" s="57" t="n">
        <v>0.13466</v>
      </c>
      <c r="F670" s="57" t="n">
        <v>0.1434</v>
      </c>
      <c r="H670" s="57" t="n">
        <v>0.1693</v>
      </c>
    </row>
    <row r="671" customFormat="false" ht="15" hidden="false" customHeight="false" outlineLevel="0" collapsed="false">
      <c r="A671" s="52" t="n">
        <v>45191</v>
      </c>
      <c r="B671" s="57" t="n">
        <v>0.1526</v>
      </c>
      <c r="C671" s="57" t="n">
        <v>0.1339</v>
      </c>
      <c r="D671" s="57" t="n">
        <v>0.1222</v>
      </c>
      <c r="E671" s="57" t="n">
        <v>0.13481</v>
      </c>
      <c r="F671" s="57" t="n">
        <v>0.1452</v>
      </c>
      <c r="H671" s="57" t="n">
        <v>0.17</v>
      </c>
    </row>
    <row r="672" customFormat="false" ht="15" hidden="false" customHeight="false" outlineLevel="0" collapsed="false">
      <c r="A672" s="52" t="n">
        <v>45194</v>
      </c>
      <c r="B672" s="57" t="n">
        <v>0.1586</v>
      </c>
      <c r="C672" s="57" t="n">
        <v>0.1343</v>
      </c>
      <c r="D672" s="57" t="n">
        <v>0.1217</v>
      </c>
      <c r="E672" s="57" t="n">
        <v>0.13466</v>
      </c>
      <c r="F672" s="57" t="n">
        <v>0.1446</v>
      </c>
      <c r="H672" s="57" t="n">
        <v>0.1706</v>
      </c>
    </row>
    <row r="673" customFormat="false" ht="15" hidden="false" customHeight="false" outlineLevel="0" collapsed="false">
      <c r="A673" s="52" t="n">
        <v>45195</v>
      </c>
      <c r="B673" s="57" t="n">
        <v>0.1594</v>
      </c>
      <c r="C673" s="57" t="n">
        <v>0.135</v>
      </c>
      <c r="D673" s="57" t="n">
        <v>0.1225</v>
      </c>
      <c r="E673" s="57" t="n">
        <v>0.13466</v>
      </c>
      <c r="F673" s="57" t="n">
        <v>0.1449</v>
      </c>
      <c r="H673" s="57" t="n">
        <v>0.1713</v>
      </c>
    </row>
    <row r="674" customFormat="false" ht="15" hidden="false" customHeight="false" outlineLevel="0" collapsed="false">
      <c r="A674" s="52" t="n">
        <v>45196</v>
      </c>
      <c r="B674" s="57" t="n">
        <v>0.1596</v>
      </c>
      <c r="C674" s="57" t="n">
        <v>0.135</v>
      </c>
      <c r="D674" s="57" t="n">
        <v>0.1224</v>
      </c>
      <c r="E674" s="57" t="n">
        <v>0.13466</v>
      </c>
      <c r="F674" s="57" t="n">
        <v>0.1447</v>
      </c>
      <c r="H674" s="57" t="n">
        <v>0.1712</v>
      </c>
    </row>
    <row r="675" customFormat="false" ht="15" hidden="false" customHeight="false" outlineLevel="0" collapsed="false">
      <c r="A675" s="52" t="n">
        <v>45197</v>
      </c>
      <c r="B675" s="57" t="n">
        <v>0.1593</v>
      </c>
      <c r="C675" s="57" t="n">
        <v>0.1347</v>
      </c>
      <c r="D675" s="57" t="n">
        <v>0.1226</v>
      </c>
      <c r="E675" s="57" t="n">
        <v>0.13459</v>
      </c>
      <c r="F675" s="57" t="n">
        <v>0.1446</v>
      </c>
      <c r="H675" s="57" t="n">
        <v>0.1716</v>
      </c>
    </row>
    <row r="676" customFormat="false" ht="15" hidden="false" customHeight="false" outlineLevel="0" collapsed="false">
      <c r="A676" s="52" t="n">
        <v>45198</v>
      </c>
      <c r="B676" s="57" t="n">
        <v>0.1596</v>
      </c>
      <c r="C676" s="57" t="n">
        <v>0.1346</v>
      </c>
      <c r="D676" s="57" t="n">
        <v>0.1225</v>
      </c>
      <c r="E676" s="57" t="n">
        <v>0.13481</v>
      </c>
      <c r="F676" s="57" t="n">
        <v>0.1443</v>
      </c>
      <c r="H676" s="57" t="n">
        <v>0.1714</v>
      </c>
    </row>
    <row r="677" customFormat="false" ht="15" hidden="false" customHeight="false" outlineLevel="0" collapsed="false">
      <c r="A677" s="52" t="n">
        <v>45201</v>
      </c>
      <c r="B677" s="57" t="n">
        <v>0.1592</v>
      </c>
      <c r="C677" s="57" t="n">
        <v>0.1344</v>
      </c>
      <c r="D677" s="57" t="n">
        <v>0.123</v>
      </c>
      <c r="E677" s="57" t="n">
        <v>0.13466</v>
      </c>
      <c r="F677" s="57" t="n">
        <v>0.145</v>
      </c>
      <c r="H677" s="57" t="n">
        <v>0.1692</v>
      </c>
    </row>
    <row r="678" customFormat="false" ht="15" hidden="false" customHeight="false" outlineLevel="0" collapsed="false">
      <c r="A678" s="52" t="n">
        <v>45202</v>
      </c>
      <c r="B678" s="57" t="n">
        <v>0.1591</v>
      </c>
      <c r="C678" s="57" t="n">
        <v>0.1348</v>
      </c>
      <c r="D678" s="57" t="n">
        <v>0.1222</v>
      </c>
      <c r="E678" s="57" t="n">
        <v>0.13467</v>
      </c>
      <c r="F678" s="57" t="n">
        <v>0.1437</v>
      </c>
      <c r="H678" s="57" t="n">
        <v>0.168</v>
      </c>
    </row>
    <row r="679" customFormat="false" ht="15" hidden="false" customHeight="false" outlineLevel="0" collapsed="false">
      <c r="A679" s="52" t="n">
        <v>45203</v>
      </c>
      <c r="B679" s="57" t="n">
        <v>0.1587</v>
      </c>
      <c r="C679" s="57" t="n">
        <v>0.135</v>
      </c>
      <c r="D679" s="57" t="n">
        <v>0.1225</v>
      </c>
      <c r="E679" s="57" t="n">
        <v>0.13467</v>
      </c>
      <c r="F679" s="57" t="n">
        <v>0.1448</v>
      </c>
      <c r="H679" s="57" t="n">
        <v>0.1627</v>
      </c>
    </row>
    <row r="680" customFormat="false" ht="15" hidden="false" customHeight="false" outlineLevel="0" collapsed="false">
      <c r="A680" s="52" t="n">
        <v>45204</v>
      </c>
      <c r="B680" s="57" t="n">
        <v>0.1558</v>
      </c>
      <c r="C680" s="57" t="n">
        <v>0.1359</v>
      </c>
      <c r="D680" s="57" t="n">
        <v>0.1221</v>
      </c>
      <c r="E680" s="57" t="n">
        <v>0.13467</v>
      </c>
      <c r="F680" s="57" t="n">
        <v>0.1441</v>
      </c>
      <c r="H680" s="57" t="n">
        <v>0.158</v>
      </c>
    </row>
    <row r="681" customFormat="false" ht="15" hidden="false" customHeight="false" outlineLevel="0" collapsed="false">
      <c r="A681" s="52" t="n">
        <v>45205</v>
      </c>
      <c r="B681" s="57" t="n">
        <v>0.153</v>
      </c>
      <c r="C681" s="57" t="n">
        <v>0.1354</v>
      </c>
      <c r="D681" s="57" t="n">
        <v>0.1229</v>
      </c>
      <c r="E681" s="57" t="n">
        <v>0.13481</v>
      </c>
      <c r="F681" s="57" t="n">
        <v>0.1455</v>
      </c>
      <c r="H681" s="57" t="n">
        <v>0.1558</v>
      </c>
    </row>
    <row r="682" customFormat="false" ht="15" hidden="false" customHeight="false" outlineLevel="0" collapsed="false">
      <c r="A682" s="52" t="n">
        <v>45208</v>
      </c>
      <c r="B682" s="57" t="n">
        <v>0.1518</v>
      </c>
      <c r="C682" s="57" t="n">
        <v>0.1361</v>
      </c>
      <c r="D682" s="57" t="n">
        <v>0.1227</v>
      </c>
      <c r="E682" s="57" t="n">
        <v>0.13467</v>
      </c>
      <c r="F682" s="57" t="n">
        <v>0.1456</v>
      </c>
      <c r="H682" s="57" t="n">
        <v>0.1519</v>
      </c>
    </row>
    <row r="683" customFormat="false" ht="15" hidden="false" customHeight="false" outlineLevel="0" collapsed="false">
      <c r="A683" s="52" t="n">
        <v>45209</v>
      </c>
      <c r="B683" s="57" t="n">
        <v>0.1497</v>
      </c>
      <c r="C683" s="57" t="n">
        <v>0.1365</v>
      </c>
      <c r="D683" s="57" t="n">
        <v>0.1225</v>
      </c>
      <c r="E683" s="57" t="n">
        <v>0.13459</v>
      </c>
      <c r="F683" s="57" t="n">
        <v>0.1463</v>
      </c>
      <c r="H683" s="57" t="n">
        <v>0.1545</v>
      </c>
    </row>
    <row r="684" customFormat="false" ht="15" hidden="false" customHeight="false" outlineLevel="0" collapsed="false">
      <c r="A684" s="52" t="n">
        <v>45210</v>
      </c>
      <c r="B684" s="57" t="n">
        <v>0.15</v>
      </c>
      <c r="C684" s="57" t="n">
        <v>0.136</v>
      </c>
      <c r="D684" s="57" t="n">
        <v>0.1223</v>
      </c>
      <c r="E684" s="57" t="n">
        <v>0.13967</v>
      </c>
      <c r="F684" s="57" t="n">
        <v>0.1463</v>
      </c>
      <c r="H684" s="57" t="n">
        <v>0.1604</v>
      </c>
    </row>
    <row r="685" customFormat="false" ht="15" hidden="false" customHeight="false" outlineLevel="0" collapsed="false">
      <c r="A685" s="52" t="n">
        <v>45211</v>
      </c>
      <c r="B685" s="57" t="n">
        <v>0.1543</v>
      </c>
      <c r="C685" s="57" t="n">
        <v>0.1359</v>
      </c>
      <c r="D685" s="57" t="n">
        <v>0.1233</v>
      </c>
      <c r="E685" s="57" t="n">
        <v>0.13967</v>
      </c>
      <c r="F685" s="57" t="n">
        <v>0.1457</v>
      </c>
      <c r="H685" s="57" t="n">
        <v>0.1643</v>
      </c>
    </row>
    <row r="686" customFormat="false" ht="15" hidden="false" customHeight="false" outlineLevel="0" collapsed="false">
      <c r="A686" s="52" t="n">
        <v>45212</v>
      </c>
      <c r="B686" s="57" t="n">
        <v>0.1567</v>
      </c>
      <c r="C686" s="57" t="n">
        <v>0.1357</v>
      </c>
      <c r="D686" s="57" t="n">
        <v>0.1238</v>
      </c>
      <c r="E686" s="57" t="n">
        <v>0.13983</v>
      </c>
      <c r="F686" s="57" t="n">
        <v>0.1462</v>
      </c>
      <c r="H686" s="57" t="n">
        <v>0.1644</v>
      </c>
    </row>
    <row r="687" customFormat="false" ht="15" hidden="false" customHeight="false" outlineLevel="0" collapsed="false">
      <c r="A687" s="52" t="n">
        <v>45215</v>
      </c>
      <c r="B687" s="57" t="n">
        <v>0.1569</v>
      </c>
      <c r="C687" s="57" t="n">
        <v>0.1349</v>
      </c>
      <c r="D687" s="57" t="n">
        <v>0.1229</v>
      </c>
      <c r="E687" s="57" t="n">
        <v>0.13967</v>
      </c>
      <c r="F687" s="57" t="n">
        <v>0.146</v>
      </c>
      <c r="H687" s="57" t="n">
        <v>0.1653</v>
      </c>
    </row>
    <row r="688" customFormat="false" ht="15" hidden="false" customHeight="false" outlineLevel="0" collapsed="false">
      <c r="A688" s="52" t="n">
        <v>45216</v>
      </c>
      <c r="B688" s="57" t="n">
        <v>0.1527</v>
      </c>
      <c r="C688" s="57" t="n">
        <v>0.1355</v>
      </c>
      <c r="D688" s="57" t="n">
        <v>0.123</v>
      </c>
      <c r="E688" s="57" t="n">
        <v>0.13959</v>
      </c>
      <c r="F688" s="57" t="n">
        <v>0.1454</v>
      </c>
      <c r="H688" s="57" t="n">
        <v>0.1669</v>
      </c>
    </row>
    <row r="689" customFormat="false" ht="15" hidden="false" customHeight="false" outlineLevel="0" collapsed="false">
      <c r="A689" s="52" t="n">
        <v>45217</v>
      </c>
      <c r="B689" s="57" t="n">
        <v>0.158</v>
      </c>
      <c r="C689" s="57" t="n">
        <v>0.1352</v>
      </c>
      <c r="D689" s="57" t="n">
        <v>0.1236</v>
      </c>
      <c r="E689" s="57" t="n">
        <v>0.13967</v>
      </c>
      <c r="F689" s="57" t="n">
        <v>0.146</v>
      </c>
      <c r="H689" s="57" t="n">
        <v>0.1664</v>
      </c>
    </row>
    <row r="690" customFormat="false" ht="15" hidden="false" customHeight="false" outlineLevel="0" collapsed="false">
      <c r="A690" s="52" t="n">
        <v>45218</v>
      </c>
      <c r="B690" s="57" t="n">
        <v>0.1587</v>
      </c>
      <c r="C690" s="57" t="n">
        <v>0.1366</v>
      </c>
      <c r="D690" s="57" t="n">
        <v>0.1242</v>
      </c>
      <c r="E690" s="57" t="n">
        <v>0.13967</v>
      </c>
      <c r="F690" s="57" t="n">
        <v>0.1449</v>
      </c>
      <c r="H690" s="57" t="n">
        <v>0.1651</v>
      </c>
    </row>
    <row r="691" customFormat="false" ht="15" hidden="false" customHeight="false" outlineLevel="0" collapsed="false">
      <c r="A691" s="52" t="n">
        <v>45219</v>
      </c>
      <c r="B691" s="57" t="n">
        <v>0.1582</v>
      </c>
      <c r="C691" s="57" t="n">
        <v>0.1371</v>
      </c>
      <c r="D691" s="57" t="n">
        <v>0.1247</v>
      </c>
      <c r="E691" s="57" t="n">
        <v>0.13746</v>
      </c>
      <c r="F691" s="57" t="n">
        <v>0.1454</v>
      </c>
      <c r="H691" s="57" t="n">
        <v>0.1627</v>
      </c>
    </row>
    <row r="692" customFormat="false" ht="15" hidden="false" customHeight="false" outlineLevel="0" collapsed="false">
      <c r="A692" s="52" t="n">
        <v>45222</v>
      </c>
      <c r="B692" s="57" t="n">
        <v>0.157</v>
      </c>
      <c r="C692" s="57" t="n">
        <v>0.1376</v>
      </c>
      <c r="D692" s="57" t="n">
        <v>0.1249</v>
      </c>
      <c r="E692" s="57" t="n">
        <v>0.13731</v>
      </c>
      <c r="F692" s="57" t="n">
        <v>0.1444</v>
      </c>
      <c r="H692" s="57" t="n">
        <v>0.1641</v>
      </c>
    </row>
    <row r="693" customFormat="false" ht="15" hidden="false" customHeight="false" outlineLevel="0" collapsed="false">
      <c r="A693" s="52" t="n">
        <v>45223</v>
      </c>
      <c r="B693" s="57" t="n">
        <v>0.158</v>
      </c>
      <c r="C693" s="57" t="n">
        <v>0.1374</v>
      </c>
      <c r="D693" s="57" t="n">
        <v>0.1249</v>
      </c>
      <c r="E693" s="57" t="n">
        <v>0.13738</v>
      </c>
      <c r="F693" s="57" t="n">
        <v>0.1445</v>
      </c>
      <c r="H693" s="57" t="n">
        <v>0.1671</v>
      </c>
    </row>
    <row r="694" customFormat="false" ht="15" hidden="false" customHeight="false" outlineLevel="0" collapsed="false">
      <c r="A694" s="52" t="n">
        <v>45225</v>
      </c>
      <c r="B694" s="57" t="n">
        <v>0.1598</v>
      </c>
      <c r="C694" s="57" t="n">
        <v>0.1371</v>
      </c>
      <c r="D694" s="57" t="n">
        <v>0.1252</v>
      </c>
      <c r="E694" s="57" t="n">
        <v>0.13731</v>
      </c>
      <c r="F694" s="57" t="n">
        <v>0.1442</v>
      </c>
      <c r="H694" s="57" t="n">
        <v>0.1676</v>
      </c>
    </row>
    <row r="695" customFormat="false" ht="15" hidden="false" customHeight="false" outlineLevel="0" collapsed="false">
      <c r="A695" s="52" t="n">
        <v>45226</v>
      </c>
      <c r="B695" s="57" t="n">
        <v>0.161</v>
      </c>
      <c r="C695" s="57" t="n">
        <v>0.138</v>
      </c>
      <c r="D695" s="57" t="n">
        <v>0.1235</v>
      </c>
      <c r="E695" s="57" t="n">
        <v>0.13746</v>
      </c>
      <c r="F695" s="57" t="n">
        <v>0.1435</v>
      </c>
      <c r="H695" s="57" t="n">
        <v>0.1681</v>
      </c>
    </row>
    <row r="696" customFormat="false" ht="15" hidden="false" customHeight="false" outlineLevel="0" collapsed="false">
      <c r="A696" s="52" t="n">
        <v>45229</v>
      </c>
      <c r="B696" s="57" t="n">
        <v>0.1559</v>
      </c>
      <c r="C696" s="57" t="n">
        <v>0.1375</v>
      </c>
      <c r="D696" s="57" t="n">
        <v>0.1234</v>
      </c>
      <c r="E696" s="57" t="n">
        <v>0.13715</v>
      </c>
      <c r="F696" s="57" t="n">
        <v>0.1448</v>
      </c>
      <c r="H696" s="57" t="n">
        <v>0.1679</v>
      </c>
    </row>
    <row r="697" customFormat="false" ht="15" hidden="false" customHeight="false" outlineLevel="0" collapsed="false">
      <c r="A697" s="52" t="n">
        <v>45230</v>
      </c>
      <c r="B697" s="57" t="n">
        <v>0.1602</v>
      </c>
      <c r="C697" s="57" t="n">
        <v>0.1376</v>
      </c>
      <c r="D697" s="57" t="n">
        <v>0.1229</v>
      </c>
      <c r="E697" s="57" t="n">
        <v>0.13737</v>
      </c>
      <c r="F697" s="57" t="n">
        <v>0.1453</v>
      </c>
      <c r="H697" s="57" t="n">
        <v>0.1679</v>
      </c>
    </row>
    <row r="698" customFormat="false" ht="15" hidden="false" customHeight="false" outlineLevel="0" collapsed="false">
      <c r="A698" s="52" t="n">
        <v>45231</v>
      </c>
      <c r="B698" s="57" t="n">
        <v>0.1602</v>
      </c>
      <c r="C698" s="57" t="n">
        <v>0.1362</v>
      </c>
      <c r="D698" s="57" t="n">
        <v>0.1228</v>
      </c>
      <c r="E698" s="57" t="n">
        <v>0.13731</v>
      </c>
      <c r="F698" s="57" t="n">
        <v>0.1448</v>
      </c>
      <c r="H698" s="57" t="n">
        <v>0.1625</v>
      </c>
    </row>
    <row r="699" customFormat="false" ht="15" hidden="false" customHeight="false" outlineLevel="0" collapsed="false">
      <c r="A699" s="52" t="n">
        <v>45232</v>
      </c>
      <c r="B699" s="57" t="n">
        <v>0.1581</v>
      </c>
      <c r="C699" s="57" t="n">
        <v>0.1387</v>
      </c>
      <c r="D699" s="57" t="n">
        <v>0.123</v>
      </c>
      <c r="E699" s="57" t="n">
        <v>0.13731</v>
      </c>
      <c r="F699" s="57" t="n">
        <v>0.1444</v>
      </c>
      <c r="H699" s="57" t="n">
        <v>0.1575</v>
      </c>
    </row>
    <row r="700" customFormat="false" ht="15" hidden="false" customHeight="false" outlineLevel="0" collapsed="false">
      <c r="A700" s="52" t="n">
        <v>45233</v>
      </c>
      <c r="B700" s="57" t="n">
        <v>0.1608</v>
      </c>
      <c r="C700" s="57" t="n">
        <v>0.1395</v>
      </c>
      <c r="D700" s="57" t="n">
        <v>0.1226</v>
      </c>
      <c r="E700" s="57" t="n">
        <v>0.13747</v>
      </c>
      <c r="F700" s="57" t="n">
        <v>0.1453</v>
      </c>
      <c r="H700" s="57" t="n">
        <v>0.158</v>
      </c>
    </row>
    <row r="701" customFormat="false" ht="15" hidden="false" customHeight="false" outlineLevel="0" collapsed="false">
      <c r="A701" s="52" t="n">
        <v>45236</v>
      </c>
      <c r="B701" s="57" t="n">
        <v>0.1556</v>
      </c>
      <c r="C701" s="57" t="n">
        <v>0.1401</v>
      </c>
      <c r="D701" s="57" t="n">
        <v>0.1229</v>
      </c>
      <c r="E701" s="57" t="n">
        <v>0.13777</v>
      </c>
      <c r="F701" s="57" t="n">
        <v>0.1452</v>
      </c>
      <c r="H701" s="57" t="n">
        <v>0.1597</v>
      </c>
    </row>
    <row r="702" customFormat="false" ht="15" hidden="false" customHeight="false" outlineLevel="0" collapsed="false">
      <c r="A702" s="52" t="n">
        <v>45237</v>
      </c>
      <c r="B702" s="57" t="n">
        <v>0.1564</v>
      </c>
      <c r="C702" s="57" t="n">
        <v>0.1396</v>
      </c>
      <c r="D702" s="57" t="n">
        <v>0.1233</v>
      </c>
      <c r="E702" s="57" t="n">
        <v>0.13777</v>
      </c>
      <c r="F702" s="57" t="n">
        <v>0.1455</v>
      </c>
      <c r="H702" s="57" t="n">
        <v>0.1599</v>
      </c>
    </row>
    <row r="703" customFormat="false" ht="15" hidden="false" customHeight="false" outlineLevel="0" collapsed="false">
      <c r="A703" s="52" t="n">
        <v>45238</v>
      </c>
      <c r="B703" s="57" t="n">
        <v>0.156</v>
      </c>
      <c r="C703" s="57" t="n">
        <v>0.139</v>
      </c>
      <c r="D703" s="57" t="n">
        <v>0.1231</v>
      </c>
      <c r="E703" s="57" t="n">
        <v>0.13777</v>
      </c>
      <c r="F703" s="57" t="n">
        <v>0.1453</v>
      </c>
      <c r="H703" s="57" t="n">
        <v>0.1591</v>
      </c>
    </row>
    <row r="704" customFormat="false" ht="15" hidden="false" customHeight="false" outlineLevel="0" collapsed="false">
      <c r="A704" s="52" t="n">
        <v>45239</v>
      </c>
      <c r="B704" s="57" t="n">
        <v>0.1556</v>
      </c>
      <c r="C704" s="57" t="n">
        <v>0.1386</v>
      </c>
      <c r="D704" s="57" t="n">
        <v>0.1226</v>
      </c>
      <c r="E704" s="57" t="n">
        <v>0.13777</v>
      </c>
      <c r="F704" s="57" t="n">
        <v>0.1456</v>
      </c>
      <c r="H704" s="57" t="n">
        <v>0.1588</v>
      </c>
    </row>
    <row r="705" customFormat="false" ht="15" hidden="false" customHeight="false" outlineLevel="0" collapsed="false">
      <c r="A705" s="52" t="n">
        <v>45240</v>
      </c>
      <c r="B705" s="57" t="n">
        <v>0.1515</v>
      </c>
      <c r="C705" s="57" t="n">
        <v>0.1387</v>
      </c>
      <c r="D705" s="57" t="n">
        <v>0.1228</v>
      </c>
      <c r="E705" s="57" t="n">
        <v>0.13793</v>
      </c>
      <c r="F705" s="57" t="n">
        <v>0.1453</v>
      </c>
      <c r="H705" s="57" t="n">
        <v>0.1576</v>
      </c>
    </row>
    <row r="706" customFormat="false" ht="15" hidden="false" customHeight="false" outlineLevel="0" collapsed="false">
      <c r="A706" s="52" t="n">
        <v>45243</v>
      </c>
      <c r="B706" s="57" t="n">
        <v>0.154</v>
      </c>
      <c r="C706" s="57" t="n">
        <v>0.1373</v>
      </c>
      <c r="D706" s="57" t="n">
        <v>0.1225</v>
      </c>
      <c r="E706" s="57" t="n">
        <v>0.13767</v>
      </c>
      <c r="F706" s="57" t="n">
        <v>0.146</v>
      </c>
      <c r="H706" s="57" t="n">
        <v>0.1588</v>
      </c>
    </row>
    <row r="707" customFormat="false" ht="15" hidden="false" customHeight="false" outlineLevel="0" collapsed="false">
      <c r="A707" s="52" t="n">
        <v>45244</v>
      </c>
      <c r="B707" s="57" t="n">
        <v>0.1549</v>
      </c>
      <c r="C707" s="57" t="n">
        <v>0.1379</v>
      </c>
      <c r="D707" s="57" t="n">
        <v>0.1226</v>
      </c>
      <c r="E707" s="57" t="n">
        <v>0.13998</v>
      </c>
      <c r="F707" s="57" t="n">
        <v>0.1446</v>
      </c>
      <c r="H707" s="57" t="n">
        <v>0.1568</v>
      </c>
    </row>
    <row r="708" customFormat="false" ht="15" hidden="false" customHeight="false" outlineLevel="0" collapsed="false">
      <c r="A708" s="52" t="n">
        <v>45245</v>
      </c>
      <c r="B708" s="57" t="n">
        <v>0.1513</v>
      </c>
      <c r="C708" s="57" t="n">
        <v>0.1381</v>
      </c>
      <c r="D708" s="57" t="n">
        <v>0.1226</v>
      </c>
      <c r="E708" s="57" t="n">
        <v>0.13767</v>
      </c>
      <c r="F708" s="57" t="n">
        <v>0.1459</v>
      </c>
      <c r="H708" s="57" t="n">
        <v>0.1552</v>
      </c>
    </row>
    <row r="709" customFormat="false" ht="15" hidden="false" customHeight="false" outlineLevel="0" collapsed="false">
      <c r="A709" s="52" t="n">
        <v>45246</v>
      </c>
      <c r="B709" s="57" t="n">
        <v>0.153</v>
      </c>
      <c r="C709" s="57" t="n">
        <v>0.1388</v>
      </c>
      <c r="D709" s="57" t="n">
        <v>0.1227</v>
      </c>
      <c r="E709" s="57" t="n">
        <v>0.13767</v>
      </c>
      <c r="F709" s="57" t="n">
        <v>0.1451</v>
      </c>
      <c r="H709" s="57" t="n">
        <v>0.1535</v>
      </c>
    </row>
    <row r="710" customFormat="false" ht="15" hidden="false" customHeight="false" outlineLevel="0" collapsed="false">
      <c r="A710" s="52" t="n">
        <v>45247</v>
      </c>
      <c r="B710" s="57" t="n">
        <v>0.1519</v>
      </c>
      <c r="C710" s="57" t="n">
        <v>0.1388</v>
      </c>
      <c r="D710" s="57" t="n">
        <v>0.1227</v>
      </c>
      <c r="E710" s="57" t="n">
        <v>0.13783</v>
      </c>
      <c r="F710" s="57" t="n">
        <v>0.1456</v>
      </c>
      <c r="H710" s="57" t="n">
        <v>0.1528</v>
      </c>
    </row>
    <row r="711" customFormat="false" ht="15" hidden="false" customHeight="false" outlineLevel="0" collapsed="false">
      <c r="A711" s="52" t="n">
        <v>45250</v>
      </c>
      <c r="B711" s="57" t="n">
        <v>0.1517</v>
      </c>
      <c r="C711" s="57" t="n">
        <v>0.1373</v>
      </c>
      <c r="D711" s="57" t="n">
        <v>0.1228</v>
      </c>
      <c r="E711" s="57" t="n">
        <v>0.13967</v>
      </c>
      <c r="F711" s="57" t="n">
        <v>0.1446</v>
      </c>
      <c r="H711" s="57" t="n">
        <v>0.1521</v>
      </c>
    </row>
    <row r="712" customFormat="false" ht="15" hidden="false" customHeight="false" outlineLevel="0" collapsed="false">
      <c r="A712" s="52" t="n">
        <v>45251</v>
      </c>
      <c r="B712" s="57" t="n">
        <v>0.151</v>
      </c>
      <c r="C712" s="57" t="n">
        <v>0.1388</v>
      </c>
      <c r="D712" s="57" t="n">
        <v>0.1229</v>
      </c>
      <c r="E712" s="57" t="n">
        <v>0.14461</v>
      </c>
      <c r="F712" s="57" t="n">
        <v>0.1449</v>
      </c>
      <c r="H712" s="57" t="n">
        <v>0.151</v>
      </c>
    </row>
    <row r="713" customFormat="false" ht="15" hidden="false" customHeight="false" outlineLevel="0" collapsed="false">
      <c r="A713" s="52" t="n">
        <v>45252</v>
      </c>
      <c r="B713" s="57" t="n">
        <v>0.1504</v>
      </c>
      <c r="C713" s="57" t="n">
        <v>0.1392</v>
      </c>
      <c r="D713" s="57" t="n">
        <v>0.1229</v>
      </c>
      <c r="E713" s="57" t="n">
        <v>0.14461</v>
      </c>
      <c r="F713" s="57" t="n">
        <v>0.1459</v>
      </c>
      <c r="H713" s="57" t="n">
        <v>0.1508</v>
      </c>
    </row>
    <row r="714" customFormat="false" ht="15" hidden="false" customHeight="false" outlineLevel="0" collapsed="false">
      <c r="A714" s="52" t="n">
        <v>45253</v>
      </c>
      <c r="B714" s="57" t="n">
        <v>0.1501</v>
      </c>
      <c r="C714" s="57" t="n">
        <v>0.1389</v>
      </c>
      <c r="D714" s="57" t="n">
        <v>0.1232</v>
      </c>
      <c r="E714" s="57" t="n">
        <v>0.1446</v>
      </c>
      <c r="F714" s="57" t="n">
        <v>0.1459</v>
      </c>
      <c r="H714" s="57" t="n">
        <v>0.1511</v>
      </c>
    </row>
    <row r="715" customFormat="false" ht="15" hidden="false" customHeight="false" outlineLevel="0" collapsed="false">
      <c r="A715" s="52" t="n">
        <v>45254</v>
      </c>
      <c r="B715" s="57" t="n">
        <v>0.1504</v>
      </c>
      <c r="C715" s="57" t="n">
        <v>0.139</v>
      </c>
      <c r="D715" s="57" t="n">
        <v>0.1233</v>
      </c>
      <c r="E715" s="57" t="n">
        <v>0.14476</v>
      </c>
      <c r="F715" s="57" t="n">
        <v>0.1443</v>
      </c>
      <c r="H715" s="57" t="n">
        <v>0.1511</v>
      </c>
    </row>
    <row r="716" customFormat="false" ht="15" hidden="false" customHeight="false" outlineLevel="0" collapsed="false">
      <c r="A716" s="52" t="n">
        <v>45257</v>
      </c>
      <c r="B716" s="57" t="n">
        <v>0.1506</v>
      </c>
      <c r="C716" s="57" t="n">
        <v>0.1394</v>
      </c>
      <c r="D716" s="57" t="n">
        <v>0.123</v>
      </c>
      <c r="E716" s="57" t="n">
        <v>0.14374</v>
      </c>
      <c r="F716" s="57" t="n">
        <v>0.1429</v>
      </c>
      <c r="H716" s="57" t="n">
        <v>0.154</v>
      </c>
    </row>
    <row r="717" customFormat="false" ht="15" hidden="false" customHeight="false" outlineLevel="0" collapsed="false">
      <c r="A717" s="52" t="n">
        <v>45258</v>
      </c>
      <c r="B717" s="57" t="n">
        <v>0.1525</v>
      </c>
      <c r="C717" s="57" t="n">
        <v>0.1383</v>
      </c>
      <c r="D717" s="57" t="n">
        <v>0.1238</v>
      </c>
      <c r="E717" s="57" t="n">
        <v>0.14374</v>
      </c>
      <c r="F717" s="57" t="n">
        <v>0.1437</v>
      </c>
      <c r="H717" s="57" t="n">
        <v>0.1603</v>
      </c>
    </row>
    <row r="718" customFormat="false" ht="15" hidden="false" customHeight="false" outlineLevel="0" collapsed="false">
      <c r="A718" s="52" t="n">
        <v>45259</v>
      </c>
      <c r="B718" s="57" t="n">
        <v>0.157</v>
      </c>
      <c r="C718" s="57" t="n">
        <v>0.1388</v>
      </c>
      <c r="D718" s="57" t="n">
        <v>0.1239</v>
      </c>
      <c r="E718" s="57" t="n">
        <v>0.14374</v>
      </c>
      <c r="F718" s="57" t="n">
        <v>0.1444</v>
      </c>
      <c r="H718" s="57" t="n">
        <v>0.1646</v>
      </c>
    </row>
    <row r="719" customFormat="false" ht="15" hidden="false" customHeight="false" outlineLevel="0" collapsed="false">
      <c r="A719" s="52" t="n">
        <v>45260</v>
      </c>
      <c r="B719" s="57" t="n">
        <v>0.1601</v>
      </c>
      <c r="C719" s="57" t="n">
        <v>0.1392</v>
      </c>
      <c r="D719" s="57" t="n">
        <v>0.1237</v>
      </c>
      <c r="E719" s="57" t="n">
        <v>0.14374</v>
      </c>
      <c r="F719" s="57" t="n">
        <v>0.1437</v>
      </c>
      <c r="H719" s="57" t="n">
        <v>0.1656</v>
      </c>
    </row>
    <row r="720" customFormat="false" ht="15" hidden="false" customHeight="false" outlineLevel="0" collapsed="false">
      <c r="A720" s="52" t="n">
        <v>45261</v>
      </c>
      <c r="B720" s="57" t="n">
        <v>0.1604</v>
      </c>
      <c r="C720" s="57" t="n">
        <v>0.1383</v>
      </c>
      <c r="D720" s="57" t="n">
        <v>0.1238</v>
      </c>
      <c r="E720" s="57" t="n">
        <v>0.14257</v>
      </c>
      <c r="F720" s="57" t="n">
        <v>0.1459</v>
      </c>
      <c r="H720" s="57" t="n">
        <v>0.1633</v>
      </c>
    </row>
    <row r="721" customFormat="false" ht="15" hidden="false" customHeight="false" outlineLevel="0" collapsed="false">
      <c r="A721" s="52" t="n">
        <v>45264</v>
      </c>
      <c r="B721" s="57" t="n">
        <v>0.1591</v>
      </c>
      <c r="C721" s="57" t="n">
        <v>0.1376</v>
      </c>
      <c r="D721" s="57" t="n">
        <v>0.1238</v>
      </c>
      <c r="E721" s="57" t="n">
        <v>0.14241</v>
      </c>
      <c r="F721" s="57" t="n">
        <v>0.1453</v>
      </c>
      <c r="H721" s="57" t="n">
        <v>0.1588</v>
      </c>
    </row>
    <row r="722" customFormat="false" ht="15" hidden="false" customHeight="false" outlineLevel="0" collapsed="false">
      <c r="A722" s="52" t="n">
        <v>45265</v>
      </c>
      <c r="B722" s="57" t="n">
        <v>0.1558</v>
      </c>
      <c r="C722" s="57" t="n">
        <v>0.1389</v>
      </c>
      <c r="D722" s="57" t="n">
        <v>0.1237</v>
      </c>
      <c r="E722" s="57" t="n">
        <v>0.14241</v>
      </c>
      <c r="F722" s="57" t="n">
        <v>0.1448</v>
      </c>
      <c r="H722" s="57" t="n">
        <v>0.1512</v>
      </c>
    </row>
    <row r="723" customFormat="false" ht="15" hidden="false" customHeight="false" outlineLevel="0" collapsed="false">
      <c r="A723" s="52" t="n">
        <v>45266</v>
      </c>
      <c r="B723" s="57" t="n">
        <v>0.1508</v>
      </c>
      <c r="C723" s="57" t="n">
        <v>0.1389</v>
      </c>
      <c r="D723" s="57" t="n">
        <v>0.1241</v>
      </c>
      <c r="E723" s="57" t="n">
        <v>0.14241</v>
      </c>
      <c r="F723" s="57" t="n">
        <v>0.1454</v>
      </c>
      <c r="H723" s="57" t="n">
        <v>0.1488</v>
      </c>
    </row>
    <row r="724" customFormat="false" ht="15" hidden="false" customHeight="false" outlineLevel="0" collapsed="false">
      <c r="A724" s="52" t="n">
        <v>45267</v>
      </c>
      <c r="B724" s="57" t="n">
        <v>0.1527</v>
      </c>
      <c r="C724" s="57" t="n">
        <v>0.1399</v>
      </c>
      <c r="D724" s="57" t="n">
        <v>0.1245</v>
      </c>
      <c r="E724" s="57" t="n">
        <v>0.14241</v>
      </c>
      <c r="F724" s="57" t="n">
        <v>0.1461</v>
      </c>
      <c r="H724" s="57" t="n">
        <v>0.1485</v>
      </c>
    </row>
    <row r="725" customFormat="false" ht="15" hidden="false" customHeight="false" outlineLevel="0" collapsed="false">
      <c r="A725" s="52" t="n">
        <v>45268</v>
      </c>
      <c r="B725" s="57" t="n">
        <v>0.1526</v>
      </c>
      <c r="C725" s="57" t="n">
        <v>0.1399</v>
      </c>
      <c r="D725" s="57" t="n">
        <v>0.1244</v>
      </c>
      <c r="E725" s="57" t="n">
        <v>0.14257</v>
      </c>
      <c r="F725" s="57" t="n">
        <v>0.1459</v>
      </c>
      <c r="H725" s="57" t="n">
        <v>0.148</v>
      </c>
    </row>
    <row r="726" customFormat="false" ht="15" hidden="false" customHeight="false" outlineLevel="0" collapsed="false">
      <c r="A726" s="52" t="n">
        <v>45271</v>
      </c>
      <c r="B726" s="57" t="n">
        <v>0.1524</v>
      </c>
      <c r="C726" s="57" t="n">
        <v>0.1403</v>
      </c>
      <c r="D726" s="57" t="n">
        <v>0.1247</v>
      </c>
      <c r="E726" s="57" t="n">
        <v>0.14241</v>
      </c>
      <c r="F726" s="57" t="n">
        <v>0.1465</v>
      </c>
      <c r="H726" s="57" t="n">
        <v>0.148</v>
      </c>
    </row>
    <row r="727" customFormat="false" ht="15" hidden="false" customHeight="false" outlineLevel="0" collapsed="false">
      <c r="A727" s="52" t="n">
        <v>45272</v>
      </c>
      <c r="B727" s="57" t="n">
        <v>0.1524</v>
      </c>
      <c r="C727" s="57" t="n">
        <v>0.1403</v>
      </c>
      <c r="D727" s="57" t="n">
        <v>0.1247</v>
      </c>
      <c r="E727" s="57" t="n">
        <v>0.14241</v>
      </c>
      <c r="F727" s="57" t="n">
        <v>0.1453</v>
      </c>
      <c r="H727" s="57" t="n">
        <v>0.1479</v>
      </c>
    </row>
    <row r="728" customFormat="false" ht="15" hidden="false" customHeight="false" outlineLevel="0" collapsed="false">
      <c r="A728" s="52" t="n">
        <v>45273</v>
      </c>
      <c r="B728" s="57" t="n">
        <v>0.1525</v>
      </c>
      <c r="C728" s="57" t="n">
        <v>0.1402</v>
      </c>
      <c r="D728" s="57" t="n">
        <v>0.1249</v>
      </c>
      <c r="E728" s="57" t="n">
        <v>0.14241</v>
      </c>
      <c r="F728" s="57" t="n">
        <v>0.145</v>
      </c>
      <c r="H728" s="57" t="n">
        <v>0.1477</v>
      </c>
    </row>
    <row r="729" customFormat="false" ht="15" hidden="false" customHeight="false" outlineLevel="0" collapsed="false">
      <c r="A729" s="52" t="n">
        <v>45274</v>
      </c>
      <c r="B729" s="57" t="n">
        <v>0.1483</v>
      </c>
      <c r="C729" s="57" t="n">
        <v>0.1387</v>
      </c>
      <c r="D729" s="57" t="n">
        <v>0.1246</v>
      </c>
      <c r="E729" s="57" t="n">
        <v>0.14498</v>
      </c>
      <c r="F729" s="57" t="n">
        <v>0.1452</v>
      </c>
      <c r="H729" s="57" t="n">
        <v>0.1475</v>
      </c>
    </row>
    <row r="730" customFormat="false" ht="15" hidden="false" customHeight="false" outlineLevel="0" collapsed="false">
      <c r="A730" s="52" t="n">
        <v>45275</v>
      </c>
      <c r="B730" s="57" t="n">
        <v>0.1464</v>
      </c>
      <c r="C730" s="57" t="n">
        <v>0.1368</v>
      </c>
      <c r="D730" s="57" t="n">
        <v>0.1252</v>
      </c>
      <c r="E730" s="57" t="n">
        <v>0.14257</v>
      </c>
      <c r="F730" s="57" t="n">
        <v>0.1454</v>
      </c>
      <c r="H730" s="57" t="n">
        <v>0.1475</v>
      </c>
    </row>
    <row r="731" customFormat="false" ht="15" hidden="false" customHeight="false" outlineLevel="0" collapsed="false">
      <c r="A731" s="52" t="n">
        <v>45279</v>
      </c>
      <c r="B731" s="57" t="n">
        <v>0.1473</v>
      </c>
      <c r="C731" s="57" t="n">
        <v>0.1348</v>
      </c>
      <c r="D731" s="57" t="n">
        <v>0.1255</v>
      </c>
      <c r="E731" s="57" t="n">
        <v>0.14275</v>
      </c>
      <c r="F731" s="57" t="n">
        <v>0.1451</v>
      </c>
      <c r="H731" s="57" t="n">
        <v>0.1475</v>
      </c>
    </row>
    <row r="732" customFormat="false" ht="15" hidden="false" customHeight="false" outlineLevel="0" collapsed="false">
      <c r="A732" s="52" t="n">
        <v>45280</v>
      </c>
      <c r="B732" s="57" t="n">
        <v>0.147</v>
      </c>
      <c r="C732" s="57" t="n">
        <v>0.1356</v>
      </c>
      <c r="D732" s="57" t="n">
        <v>0.125</v>
      </c>
      <c r="E732" s="57" t="n">
        <v>0.14283</v>
      </c>
      <c r="F732" s="57" t="n">
        <v>0.1446</v>
      </c>
      <c r="H732" s="57" t="n">
        <v>0.1475</v>
      </c>
    </row>
    <row r="733" customFormat="false" ht="15" hidden="false" customHeight="false" outlineLevel="0" collapsed="false">
      <c r="A733" s="52" t="n">
        <v>45281</v>
      </c>
      <c r="B733" s="57" t="n">
        <v>0.1469</v>
      </c>
      <c r="C733" s="57" t="n">
        <v>0.1353</v>
      </c>
      <c r="D733" s="57" t="n">
        <v>0.1251</v>
      </c>
      <c r="E733" s="57" t="n">
        <v>0.14283</v>
      </c>
      <c r="F733" s="57" t="n">
        <v>0.1447</v>
      </c>
      <c r="H733" s="57" t="n">
        <v>0.1475</v>
      </c>
    </row>
    <row r="734" customFormat="false" ht="15" hidden="false" customHeight="false" outlineLevel="0" collapsed="false">
      <c r="A734" s="52" t="n">
        <v>45282</v>
      </c>
      <c r="B734" s="57" t="n">
        <v>0.1456</v>
      </c>
      <c r="C734" s="57" t="n">
        <v>0.1347</v>
      </c>
      <c r="D734" s="57" t="n">
        <v>0.125</v>
      </c>
      <c r="E734" s="57" t="n">
        <v>0.143</v>
      </c>
      <c r="F734" s="57" t="n">
        <v>0.145</v>
      </c>
      <c r="H734" s="57" t="n">
        <v>0.1475</v>
      </c>
    </row>
    <row r="735" customFormat="false" ht="15" hidden="false" customHeight="false" outlineLevel="0" collapsed="false">
      <c r="A735" s="52" t="n">
        <v>45285</v>
      </c>
      <c r="B735" s="57" t="n">
        <v>0.1464</v>
      </c>
      <c r="C735" s="57" t="n">
        <v>0.1331</v>
      </c>
      <c r="D735" s="57" t="n">
        <v>0.1249</v>
      </c>
      <c r="E735" s="57" t="n">
        <v>0.14275</v>
      </c>
      <c r="F735" s="57" t="n">
        <v>0.1443</v>
      </c>
      <c r="H735" s="57" t="n">
        <v>0.1476</v>
      </c>
    </row>
    <row r="736" customFormat="false" ht="15" hidden="false" customHeight="false" outlineLevel="0" collapsed="false">
      <c r="A736" s="52" t="n">
        <v>45286</v>
      </c>
      <c r="B736" s="57" t="n">
        <v>0.1468</v>
      </c>
      <c r="C736" s="57" t="n">
        <v>0.1343</v>
      </c>
      <c r="D736" s="57" t="n">
        <v>0.1246</v>
      </c>
      <c r="E736" s="57" t="n">
        <v>0.14283</v>
      </c>
      <c r="F736" s="57" t="n">
        <v>0.1447</v>
      </c>
      <c r="H736" s="57" t="n">
        <v>0.1515</v>
      </c>
    </row>
    <row r="737" customFormat="false" ht="15" hidden="false" customHeight="false" outlineLevel="0" collapsed="false">
      <c r="A737" s="52" t="n">
        <v>45287</v>
      </c>
      <c r="B737" s="57" t="n">
        <v>0.1506</v>
      </c>
      <c r="C737" s="57" t="n">
        <v>0.136</v>
      </c>
      <c r="D737" s="57" t="n">
        <v>0.1234</v>
      </c>
      <c r="E737" s="57" t="n">
        <v>0.14283</v>
      </c>
      <c r="F737" s="57" t="n">
        <v>0.1448</v>
      </c>
      <c r="H737" s="57" t="n">
        <v>0.1535</v>
      </c>
    </row>
    <row r="738" customFormat="false" ht="15" hidden="false" customHeight="false" outlineLevel="0" collapsed="false">
      <c r="A738" s="52" t="n">
        <v>45288</v>
      </c>
      <c r="B738" s="57" t="n">
        <v>0.1521</v>
      </c>
      <c r="C738" s="57" t="n">
        <v>0.1358</v>
      </c>
      <c r="D738" s="57" t="n">
        <v>0.1236</v>
      </c>
      <c r="E738" s="57" t="n">
        <v>0.14283</v>
      </c>
      <c r="F738" s="57" t="n">
        <v>0.1445</v>
      </c>
      <c r="H738" s="57" t="n">
        <v>0.1553</v>
      </c>
    </row>
    <row r="739" customFormat="false" ht="15" hidden="false" customHeight="false" outlineLevel="0" collapsed="false">
      <c r="A739" s="52" t="n">
        <v>45289</v>
      </c>
      <c r="B739" s="57" t="n">
        <v>0.1534</v>
      </c>
      <c r="C739" s="57" t="n">
        <v>0.1354</v>
      </c>
      <c r="D739" s="57" t="n">
        <v>0.123</v>
      </c>
      <c r="E739" s="57" t="n">
        <v>0.143</v>
      </c>
      <c r="F739" s="57" t="n">
        <v>0.1446</v>
      </c>
      <c r="H739" s="57" t="n">
        <v>0.1619</v>
      </c>
    </row>
    <row r="740" customFormat="false" ht="15" hidden="false" customHeight="false" outlineLevel="0" collapsed="false">
      <c r="A740" s="52" t="n">
        <v>45294</v>
      </c>
      <c r="B740" s="57" t="n">
        <v>0.1559</v>
      </c>
      <c r="C740" s="57" t="n">
        <v>0.1351</v>
      </c>
      <c r="D740" s="57" t="n">
        <v>0.1227</v>
      </c>
      <c r="E740" s="57" t="n">
        <v>0.14041</v>
      </c>
      <c r="F740" s="57" t="n">
        <v>0.145</v>
      </c>
      <c r="H740" s="57" t="n">
        <v>0.1574</v>
      </c>
    </row>
    <row r="741" customFormat="false" ht="15" hidden="false" customHeight="false" outlineLevel="0" collapsed="false">
      <c r="A741" s="52" t="n">
        <v>45295</v>
      </c>
      <c r="B741" s="57" t="n">
        <v>0.1527</v>
      </c>
      <c r="C741" s="57" t="n">
        <v>0.1353</v>
      </c>
      <c r="D741" s="57" t="n">
        <v>0.1236</v>
      </c>
      <c r="E741" s="57" t="n">
        <v>0.14041</v>
      </c>
      <c r="F741" s="57" t="n">
        <v>0.1442</v>
      </c>
      <c r="H741" s="57" t="n">
        <v>0.1488</v>
      </c>
    </row>
    <row r="742" customFormat="false" ht="15" hidden="false" customHeight="false" outlineLevel="0" collapsed="false">
      <c r="A742" s="52" t="n">
        <v>45296</v>
      </c>
      <c r="B742" s="57" t="n">
        <v>0.1508</v>
      </c>
      <c r="C742" s="57" t="n">
        <v>0.1384</v>
      </c>
      <c r="D742" s="57" t="n">
        <v>0.1217</v>
      </c>
      <c r="E742" s="57" t="n">
        <v>0.14057</v>
      </c>
      <c r="F742" s="57" t="n">
        <v>0.1442</v>
      </c>
      <c r="H742" s="57" t="n">
        <v>0.1469</v>
      </c>
    </row>
    <row r="743" customFormat="false" ht="15" hidden="false" customHeight="false" outlineLevel="0" collapsed="false">
      <c r="A743" s="52" t="n">
        <v>45299</v>
      </c>
      <c r="B743" s="57" t="n">
        <v>0.1497</v>
      </c>
      <c r="C743" s="57" t="n">
        <v>0.1388</v>
      </c>
      <c r="D743" s="57" t="n">
        <v>0.1213</v>
      </c>
      <c r="E743" s="57" t="n">
        <v>0.14041</v>
      </c>
      <c r="F743" s="57" t="n">
        <v>0.1446</v>
      </c>
      <c r="H743" s="57" t="n">
        <v>0.147</v>
      </c>
    </row>
    <row r="744" customFormat="false" ht="15" hidden="false" customHeight="false" outlineLevel="0" collapsed="false">
      <c r="A744" s="52" t="n">
        <v>45300</v>
      </c>
      <c r="B744" s="57" t="n">
        <v>0.1488</v>
      </c>
      <c r="C744" s="57" t="n">
        <v>0.1374</v>
      </c>
      <c r="D744" s="57" t="n">
        <v>0.1218</v>
      </c>
      <c r="E744" s="57" t="n">
        <v>0.14041</v>
      </c>
      <c r="F744" s="57" t="n">
        <v>0.1452</v>
      </c>
      <c r="H744" s="57" t="n">
        <v>0.1475</v>
      </c>
    </row>
    <row r="745" customFormat="false" ht="15" hidden="false" customHeight="false" outlineLevel="0" collapsed="false">
      <c r="A745" s="52" t="n">
        <v>45301</v>
      </c>
      <c r="B745" s="57" t="n">
        <v>0.1426</v>
      </c>
      <c r="C745" s="57" t="n">
        <v>0.1288</v>
      </c>
      <c r="D745" s="57" t="n">
        <v>0.1239</v>
      </c>
      <c r="E745" s="57" t="n">
        <v>0.14041</v>
      </c>
      <c r="F745" s="57" t="n">
        <v>0.1458</v>
      </c>
      <c r="H745" s="57" t="n">
        <v>0.1465</v>
      </c>
    </row>
    <row r="746" customFormat="false" ht="15" hidden="false" customHeight="false" outlineLevel="0" collapsed="false">
      <c r="A746" s="52" t="n">
        <v>45302</v>
      </c>
      <c r="B746" s="57" t="n">
        <v>0.1434</v>
      </c>
      <c r="C746" s="57" t="n">
        <v>0.1315</v>
      </c>
      <c r="D746" s="57" t="n">
        <v>0.1232</v>
      </c>
      <c r="E746" s="57" t="n">
        <v>0.12907</v>
      </c>
      <c r="F746" s="57" t="n">
        <v>0.1446</v>
      </c>
      <c r="H746" s="57" t="n">
        <v>0.1475</v>
      </c>
    </row>
    <row r="747" customFormat="false" ht="15" hidden="false" customHeight="false" outlineLevel="0" collapsed="false">
      <c r="A747" s="52" t="n">
        <v>45303</v>
      </c>
      <c r="B747" s="57" t="n">
        <v>0.1442</v>
      </c>
      <c r="C747" s="57" t="n">
        <v>0.1311</v>
      </c>
      <c r="D747" s="57" t="n">
        <v>0.1231</v>
      </c>
      <c r="E747" s="57" t="n">
        <v>0.12921</v>
      </c>
      <c r="F747" s="57" t="n">
        <v>0.1452</v>
      </c>
      <c r="H747" s="57" t="n">
        <v>0.1475</v>
      </c>
    </row>
    <row r="748" customFormat="false" ht="15" hidden="false" customHeight="false" outlineLevel="0" collapsed="false">
      <c r="A748" s="52" t="n">
        <v>45306</v>
      </c>
      <c r="B748" s="57" t="n">
        <v>0.1427</v>
      </c>
      <c r="C748" s="57" t="n">
        <v>0.1303</v>
      </c>
      <c r="D748" s="57" t="n">
        <v>0.1232</v>
      </c>
      <c r="E748" s="57" t="n">
        <v>0.12907</v>
      </c>
      <c r="F748" s="57" t="n">
        <v>0.1448</v>
      </c>
      <c r="H748" s="57" t="n">
        <v>0.1475</v>
      </c>
    </row>
    <row r="749" customFormat="false" ht="15" hidden="false" customHeight="false" outlineLevel="0" collapsed="false">
      <c r="A749" s="52" t="n">
        <v>45307</v>
      </c>
      <c r="B749" s="57" t="n">
        <v>0.1428</v>
      </c>
      <c r="C749" s="57" t="n">
        <v>0.1296</v>
      </c>
      <c r="D749" s="57" t="n">
        <v>0.1228</v>
      </c>
      <c r="E749" s="57" t="n">
        <v>0.12907</v>
      </c>
      <c r="F749" s="57" t="n">
        <v>0.1452</v>
      </c>
      <c r="H749" s="57" t="n">
        <v>0.1475</v>
      </c>
    </row>
    <row r="750" customFormat="false" ht="15" hidden="false" customHeight="false" outlineLevel="0" collapsed="false">
      <c r="A750" s="52" t="n">
        <v>45308</v>
      </c>
      <c r="B750" s="57" t="n">
        <v>0.1418</v>
      </c>
      <c r="C750" s="57" t="n">
        <v>0.1289</v>
      </c>
      <c r="D750" s="57" t="n">
        <v>0.1227</v>
      </c>
      <c r="E750" s="57" t="n">
        <v>0.12907</v>
      </c>
      <c r="F750" s="57" t="n">
        <v>0.145</v>
      </c>
      <c r="H750" s="57" t="n">
        <v>0.1482</v>
      </c>
    </row>
    <row r="751" customFormat="false" ht="15" hidden="false" customHeight="false" outlineLevel="0" collapsed="false">
      <c r="A751" s="52" t="n">
        <v>45309</v>
      </c>
      <c r="B751" s="57" t="n">
        <v>0.1422</v>
      </c>
      <c r="C751" s="57" t="n">
        <v>0.1283</v>
      </c>
      <c r="D751" s="57" t="n">
        <v>0.1223</v>
      </c>
      <c r="E751" s="57" t="n">
        <v>0.12907</v>
      </c>
      <c r="F751" s="57" t="n">
        <v>0.1433</v>
      </c>
      <c r="H751" s="57" t="n">
        <v>0.1554</v>
      </c>
    </row>
    <row r="752" customFormat="false" ht="15" hidden="false" customHeight="false" outlineLevel="0" collapsed="false">
      <c r="A752" s="52" t="n">
        <v>45310</v>
      </c>
      <c r="B752" s="57" t="n">
        <v>0.1399</v>
      </c>
      <c r="C752" s="57" t="n">
        <v>0.1262</v>
      </c>
      <c r="D752" s="57" t="n">
        <v>0.1239</v>
      </c>
      <c r="E752" s="57" t="n">
        <v>0.12922</v>
      </c>
      <c r="F752" s="57" t="n">
        <v>0.1439</v>
      </c>
      <c r="H752" s="57" t="n">
        <v>0.1531</v>
      </c>
    </row>
    <row r="753" customFormat="false" ht="15" hidden="false" customHeight="false" outlineLevel="0" collapsed="false">
      <c r="A753" s="52" t="n">
        <v>45313</v>
      </c>
      <c r="B753" s="57" t="n">
        <v>0.1432</v>
      </c>
      <c r="C753" s="57" t="n">
        <v>0.1264</v>
      </c>
      <c r="D753" s="57" t="n">
        <v>0.1253</v>
      </c>
      <c r="E753" s="57" t="n">
        <v>0.12908</v>
      </c>
      <c r="F753" s="57" t="n">
        <v>0.1418</v>
      </c>
      <c r="H753" s="57" t="n">
        <v>0.1501</v>
      </c>
    </row>
    <row r="754" customFormat="false" ht="15" hidden="false" customHeight="false" outlineLevel="0" collapsed="false">
      <c r="A754" s="52" t="n">
        <v>45314</v>
      </c>
      <c r="B754" s="57" t="n">
        <v>0.1415</v>
      </c>
      <c r="C754" s="57" t="n">
        <v>0.1259</v>
      </c>
      <c r="D754" s="57" t="n">
        <v>0.125</v>
      </c>
      <c r="E754" s="57" t="n">
        <v>0.12908</v>
      </c>
      <c r="F754" s="57" t="n">
        <v>0.1423</v>
      </c>
      <c r="H754" s="57" t="n">
        <v>0.1442</v>
      </c>
    </row>
    <row r="755" customFormat="false" ht="15" hidden="false" customHeight="false" outlineLevel="0" collapsed="false">
      <c r="A755" s="52" t="n">
        <v>45315</v>
      </c>
      <c r="B755" s="57" t="n">
        <v>0.135</v>
      </c>
      <c r="C755" s="57" t="n">
        <v>0.1259</v>
      </c>
      <c r="D755" s="57" t="n">
        <v>0.1243</v>
      </c>
      <c r="E755" s="57" t="n">
        <v>0.129</v>
      </c>
      <c r="F755" s="57" t="n">
        <v>0.1428</v>
      </c>
      <c r="H755" s="57" t="n">
        <v>0.1461</v>
      </c>
    </row>
    <row r="756" customFormat="false" ht="15" hidden="false" customHeight="false" outlineLevel="0" collapsed="false">
      <c r="A756" s="52" t="n">
        <v>45316</v>
      </c>
      <c r="B756" s="57" t="n">
        <v>0.138</v>
      </c>
      <c r="C756" s="57" t="n">
        <v>0.1254</v>
      </c>
      <c r="D756" s="57" t="n">
        <v>0.1244</v>
      </c>
      <c r="E756" s="57" t="n">
        <v>0.12908</v>
      </c>
      <c r="F756" s="57" t="n">
        <v>0.1426</v>
      </c>
      <c r="H756" s="57" t="n">
        <v>0.151</v>
      </c>
    </row>
    <row r="757" customFormat="false" ht="15" hidden="false" customHeight="false" outlineLevel="0" collapsed="false">
      <c r="A757" s="52" t="n">
        <v>45317</v>
      </c>
      <c r="B757" s="57" t="n">
        <v>0.1405</v>
      </c>
      <c r="C757" s="57" t="n">
        <v>0.1242</v>
      </c>
      <c r="D757" s="57" t="n">
        <v>0.1245</v>
      </c>
      <c r="E757" s="57" t="n">
        <v>0.12922</v>
      </c>
      <c r="F757" s="57" t="n">
        <v>0.1444</v>
      </c>
      <c r="H757" s="57" t="n">
        <v>0.1501</v>
      </c>
    </row>
    <row r="758" customFormat="false" ht="15" hidden="false" customHeight="false" outlineLevel="0" collapsed="false">
      <c r="A758" s="52" t="n">
        <v>45320</v>
      </c>
      <c r="B758" s="57" t="n">
        <v>0.1389</v>
      </c>
      <c r="C758" s="57" t="n">
        <v>0.1236</v>
      </c>
      <c r="D758" s="57" t="n">
        <v>0.1253</v>
      </c>
      <c r="E758" s="57" t="n">
        <v>0.12922</v>
      </c>
      <c r="F758" s="57" t="n">
        <v>0.1421</v>
      </c>
      <c r="H758" s="57" t="n">
        <v>0.1496</v>
      </c>
    </row>
    <row r="759" customFormat="false" ht="15" hidden="false" customHeight="false" outlineLevel="0" collapsed="false">
      <c r="A759" s="52" t="n">
        <v>45321</v>
      </c>
      <c r="B759" s="57" t="n">
        <v>0.1375</v>
      </c>
      <c r="C759" s="57" t="n">
        <v>0.1221</v>
      </c>
      <c r="D759" s="57" t="n">
        <v>0.1247</v>
      </c>
      <c r="E759" s="57" t="n">
        <v>0.12922</v>
      </c>
      <c r="F759" s="57" t="n">
        <v>0.1435</v>
      </c>
      <c r="H759" s="57" t="n">
        <v>0.1451</v>
      </c>
    </row>
    <row r="760" customFormat="false" ht="15" hidden="false" customHeight="false" outlineLevel="0" collapsed="false">
      <c r="A760" s="52" t="n">
        <v>45322</v>
      </c>
      <c r="B760" s="57" t="n">
        <v>0.133</v>
      </c>
      <c r="C760" s="57" t="n">
        <v>0.1227</v>
      </c>
      <c r="D760" s="57" t="n">
        <v>0.1238</v>
      </c>
      <c r="E760" s="57" t="n">
        <v>0.12922</v>
      </c>
      <c r="F760" s="57" t="n">
        <v>0.1438</v>
      </c>
      <c r="H760" s="57" t="n">
        <v>0.1432</v>
      </c>
    </row>
    <row r="761" customFormat="false" ht="15" hidden="false" customHeight="false" outlineLevel="0" collapsed="false">
      <c r="A761" s="52" t="n">
        <v>45323</v>
      </c>
      <c r="B761" s="57" t="n">
        <v>0.1324</v>
      </c>
      <c r="C761" s="57" t="n">
        <v>0.1231</v>
      </c>
      <c r="D761" s="57" t="n">
        <v>0.1234</v>
      </c>
      <c r="E761" s="57" t="n">
        <v>0.12922</v>
      </c>
      <c r="F761" s="57" t="n">
        <v>0.1436</v>
      </c>
      <c r="H761" s="57" t="n">
        <v>0.1421</v>
      </c>
    </row>
    <row r="762" customFormat="false" ht="15" hidden="false" customHeight="false" outlineLevel="0" collapsed="false">
      <c r="A762" s="52" t="n">
        <v>45324</v>
      </c>
      <c r="B762" s="57" t="n">
        <v>0.1321</v>
      </c>
      <c r="C762" s="57" t="n">
        <v>0.1232</v>
      </c>
      <c r="D762" s="57" t="n">
        <v>0.1237</v>
      </c>
      <c r="E762" s="57" t="n">
        <v>0.12922</v>
      </c>
      <c r="F762" s="57" t="n">
        <v>0.1426</v>
      </c>
      <c r="H762" s="57" t="n">
        <v>0.1407</v>
      </c>
    </row>
    <row r="763" customFormat="false" ht="15" hidden="false" customHeight="false" outlineLevel="0" collapsed="false">
      <c r="A763" s="52" t="n">
        <v>45327</v>
      </c>
      <c r="B763" s="57" t="n">
        <v>0.1318</v>
      </c>
      <c r="C763" s="57" t="n">
        <v>0.1228</v>
      </c>
      <c r="D763" s="57" t="n">
        <v>0.1238</v>
      </c>
      <c r="E763" s="57" t="n">
        <v>0.12922</v>
      </c>
      <c r="F763" s="57" t="n">
        <v>0.1426</v>
      </c>
      <c r="H763" s="57" t="n">
        <v>0.1412</v>
      </c>
    </row>
    <row r="764" customFormat="false" ht="15" hidden="false" customHeight="false" outlineLevel="0" collapsed="false">
      <c r="A764" s="52" t="n">
        <v>45328</v>
      </c>
      <c r="B764" s="57" t="n">
        <v>0.132</v>
      </c>
      <c r="C764" s="57" t="n">
        <v>0.1233</v>
      </c>
      <c r="D764" s="57" t="n">
        <v>0.1238</v>
      </c>
      <c r="E764" s="57" t="n">
        <v>0.12922</v>
      </c>
      <c r="F764" s="57" t="n">
        <v>0.1425</v>
      </c>
      <c r="H764" s="57" t="n">
        <v>0.1414</v>
      </c>
    </row>
    <row r="765" customFormat="false" ht="15" hidden="false" customHeight="false" outlineLevel="0" collapsed="false">
      <c r="A765" s="52" t="n">
        <v>45329</v>
      </c>
      <c r="B765" s="57" t="n">
        <v>0.1321</v>
      </c>
      <c r="C765" s="57" t="n">
        <v>0.1229</v>
      </c>
      <c r="D765" s="57" t="n">
        <v>0.1228</v>
      </c>
      <c r="E765" s="57" t="n">
        <v>0.12922</v>
      </c>
      <c r="F765" s="57" t="n">
        <v>0.1425</v>
      </c>
      <c r="H765" s="57" t="n">
        <v>0.1407</v>
      </c>
    </row>
    <row r="766" customFormat="false" ht="15" hidden="false" customHeight="false" outlineLevel="0" collapsed="false">
      <c r="A766" s="52" t="n">
        <v>45330</v>
      </c>
      <c r="B766" s="57" t="n">
        <v>0.1322</v>
      </c>
      <c r="C766" s="57" t="n">
        <v>0.1234</v>
      </c>
      <c r="D766" s="57" t="n">
        <v>0.1225</v>
      </c>
      <c r="E766" s="57" t="n">
        <v>0.12922</v>
      </c>
      <c r="F766" s="57" t="n">
        <v>0.1423</v>
      </c>
      <c r="H766" s="57" t="n">
        <v>0.1404</v>
      </c>
    </row>
    <row r="767" customFormat="false" ht="15" hidden="false" customHeight="false" outlineLevel="0" collapsed="false">
      <c r="A767" s="52" t="n">
        <v>45331</v>
      </c>
      <c r="B767" s="57" t="n">
        <v>0.132</v>
      </c>
      <c r="C767" s="57" t="n">
        <v>0.1232</v>
      </c>
      <c r="D767" s="57" t="n">
        <v>0.1228</v>
      </c>
      <c r="E767" s="57" t="n">
        <v>0.12922</v>
      </c>
      <c r="F767" s="57" t="n">
        <v>0.1427</v>
      </c>
      <c r="H767" s="57" t="n">
        <v>0.1401</v>
      </c>
    </row>
    <row r="768" customFormat="false" ht="15" hidden="false" customHeight="false" outlineLevel="0" collapsed="false">
      <c r="A768" s="52" t="n">
        <v>45334</v>
      </c>
      <c r="B768" s="57" t="n">
        <v>0.1305</v>
      </c>
      <c r="C768" s="57" t="n">
        <v>0.1232</v>
      </c>
      <c r="D768" s="57" t="n">
        <v>0.1227</v>
      </c>
      <c r="E768" s="57" t="n">
        <v>0.12922</v>
      </c>
      <c r="F768" s="57" t="n">
        <v>0.1418</v>
      </c>
      <c r="H768" s="57" t="n">
        <v>0.1414</v>
      </c>
    </row>
    <row r="769" customFormat="false" ht="15" hidden="false" customHeight="false" outlineLevel="0" collapsed="false">
      <c r="A769" s="52" t="n">
        <v>45335</v>
      </c>
      <c r="B769" s="57" t="n">
        <v>0.1324</v>
      </c>
      <c r="C769" s="57" t="n">
        <v>0.1223</v>
      </c>
      <c r="D769" s="57" t="n">
        <v>0.1225</v>
      </c>
      <c r="E769" s="57" t="n">
        <v>0.12922</v>
      </c>
      <c r="F769" s="57" t="n">
        <v>0.1412</v>
      </c>
      <c r="H769" s="57" t="n">
        <v>0.1438</v>
      </c>
    </row>
    <row r="770" customFormat="false" ht="15" hidden="false" customHeight="false" outlineLevel="0" collapsed="false">
      <c r="A770" s="52" t="n">
        <v>45336</v>
      </c>
      <c r="B770" s="57" t="n">
        <v>0.132</v>
      </c>
      <c r="C770" s="57" t="n">
        <v>0.1212</v>
      </c>
      <c r="D770" s="57" t="n">
        <v>0.1218</v>
      </c>
      <c r="E770" s="57" t="n">
        <v>0.12922</v>
      </c>
      <c r="F770" s="57" t="n">
        <v>0.1419</v>
      </c>
      <c r="H770" s="57" t="n">
        <v>0.1498</v>
      </c>
    </row>
    <row r="771" customFormat="false" ht="15" hidden="false" customHeight="false" outlineLevel="0" collapsed="false">
      <c r="A771" s="52" t="n">
        <v>45337</v>
      </c>
      <c r="B771" s="57" t="n">
        <v>0.1323</v>
      </c>
      <c r="C771" s="57" t="n">
        <v>0.1197</v>
      </c>
      <c r="D771" s="57" t="n">
        <v>0.1216</v>
      </c>
      <c r="E771" s="57" t="n">
        <v>0.12922</v>
      </c>
      <c r="F771" s="57" t="n">
        <v>0.141</v>
      </c>
      <c r="H771" s="57" t="n">
        <v>0.1448</v>
      </c>
    </row>
    <row r="772" customFormat="false" ht="15" hidden="false" customHeight="false" outlineLevel="0" collapsed="false">
      <c r="A772" s="52" t="n">
        <v>45338</v>
      </c>
      <c r="B772" s="57" t="n">
        <v>0.1312</v>
      </c>
      <c r="C772" s="57" t="n">
        <v>0.121</v>
      </c>
      <c r="D772" s="57" t="n">
        <v>0.1216</v>
      </c>
      <c r="E772" s="57" t="n">
        <v>0.12922</v>
      </c>
      <c r="F772" s="57" t="n">
        <v>0.1426</v>
      </c>
      <c r="H772" s="57" t="n">
        <v>0.1441</v>
      </c>
    </row>
    <row r="773" customFormat="false" ht="15" hidden="false" customHeight="false" outlineLevel="0" collapsed="false">
      <c r="A773" s="52" t="n">
        <v>45341</v>
      </c>
      <c r="B773" s="57" t="n">
        <v>0.1299</v>
      </c>
      <c r="C773" s="57" t="n">
        <v>0.1204</v>
      </c>
      <c r="D773" s="57" t="n">
        <v>0.1211</v>
      </c>
      <c r="E773" s="57" t="n">
        <v>0.12922</v>
      </c>
      <c r="F773" s="57" t="n">
        <v>0.1424</v>
      </c>
      <c r="H773" s="57" t="n">
        <v>0.1431</v>
      </c>
    </row>
    <row r="774" customFormat="false" ht="15" hidden="false" customHeight="false" outlineLevel="0" collapsed="false">
      <c r="A774" s="52" t="n">
        <v>45342</v>
      </c>
      <c r="B774" s="57" t="n">
        <v>0.1307</v>
      </c>
      <c r="C774" s="57" t="n">
        <v>0.1211</v>
      </c>
      <c r="D774" s="57" t="n">
        <v>0.1211</v>
      </c>
      <c r="E774" s="57" t="n">
        <v>0.12922</v>
      </c>
      <c r="F774" s="57" t="n">
        <v>0.1424</v>
      </c>
      <c r="H774" s="57" t="n">
        <v>0.1429</v>
      </c>
    </row>
    <row r="775" customFormat="false" ht="15" hidden="false" customHeight="false" outlineLevel="0" collapsed="false">
      <c r="A775" s="52" t="n">
        <v>45343</v>
      </c>
      <c r="B775" s="57" t="n">
        <v>0.1281</v>
      </c>
      <c r="C775" s="57" t="n">
        <v>0.1193</v>
      </c>
      <c r="D775" s="57" t="n">
        <v>0.1209</v>
      </c>
      <c r="E775" s="57" t="n">
        <v>0.12922</v>
      </c>
      <c r="F775" s="57" t="n">
        <v>0.1421</v>
      </c>
      <c r="H775" s="57" t="n">
        <v>0.1447</v>
      </c>
    </row>
    <row r="776" customFormat="false" ht="15" hidden="false" customHeight="false" outlineLevel="0" collapsed="false">
      <c r="A776" s="52" t="n">
        <v>45344</v>
      </c>
      <c r="B776" s="57" t="n">
        <v>0.1309</v>
      </c>
      <c r="C776" s="57" t="n">
        <v>0.1187</v>
      </c>
      <c r="D776" s="57" t="n">
        <v>0.1209</v>
      </c>
      <c r="E776" s="57" t="n">
        <v>0.12922</v>
      </c>
      <c r="F776" s="57" t="n">
        <v>0.1426</v>
      </c>
      <c r="H776" s="57" t="n">
        <v>0.1449</v>
      </c>
    </row>
    <row r="777" customFormat="false" ht="15" hidden="false" customHeight="false" outlineLevel="0" collapsed="false">
      <c r="A777" s="52" t="n">
        <v>45345</v>
      </c>
      <c r="B777" s="57" t="n">
        <v>0.1297</v>
      </c>
      <c r="C777" s="57" t="n">
        <v>0.1187</v>
      </c>
      <c r="D777" s="57" t="n">
        <v>0.1211</v>
      </c>
      <c r="E777" s="57" t="n">
        <v>0.12922</v>
      </c>
      <c r="F777" s="57" t="n">
        <v>0.1428</v>
      </c>
      <c r="H777" s="57" t="n">
        <v>0.1479</v>
      </c>
    </row>
    <row r="778" customFormat="false" ht="15" hidden="false" customHeight="false" outlineLevel="0" collapsed="false">
      <c r="A778" s="52" t="n">
        <v>45348</v>
      </c>
      <c r="B778" s="57" t="n">
        <v>0.1304</v>
      </c>
      <c r="C778" s="57" t="n">
        <v>0.1178</v>
      </c>
      <c r="D778" s="57" t="n">
        <v>0.121</v>
      </c>
      <c r="E778" s="57" t="n">
        <v>0.12922</v>
      </c>
      <c r="F778" s="57" t="n">
        <v>0.1417</v>
      </c>
      <c r="H778" s="57" t="n">
        <v>0.1541</v>
      </c>
    </row>
    <row r="779" customFormat="false" ht="15" hidden="false" customHeight="false" outlineLevel="0" collapsed="false">
      <c r="A779" s="52" t="n">
        <v>45349</v>
      </c>
      <c r="B779" s="57" t="n">
        <v>0.1314</v>
      </c>
      <c r="C779" s="57" t="n">
        <v>0.1158</v>
      </c>
      <c r="D779" s="57" t="n">
        <v>0.1218</v>
      </c>
      <c r="E779" s="57" t="n">
        <v>0.12922</v>
      </c>
      <c r="F779" s="57" t="n">
        <v>0.1424</v>
      </c>
      <c r="H779" s="57" t="n">
        <v>0.1561</v>
      </c>
    </row>
    <row r="780" customFormat="false" ht="15" hidden="false" customHeight="false" outlineLevel="0" collapsed="false">
      <c r="A780" s="52" t="n">
        <v>45350</v>
      </c>
      <c r="B780" s="57" t="n">
        <v>0.1334</v>
      </c>
      <c r="C780" s="57" t="n">
        <v>0.1147</v>
      </c>
      <c r="D780" s="57" t="n">
        <v>0.1215</v>
      </c>
      <c r="E780" s="57" t="n">
        <v>0.12922</v>
      </c>
      <c r="F780" s="57" t="n">
        <v>0.1417</v>
      </c>
      <c r="H780" s="57" t="n">
        <v>0.1531</v>
      </c>
    </row>
    <row r="781" customFormat="false" ht="15" hidden="false" customHeight="false" outlineLevel="0" collapsed="false">
      <c r="A781" s="52" t="n">
        <v>45351</v>
      </c>
      <c r="B781" s="57" t="n">
        <v>0.1315</v>
      </c>
      <c r="C781" s="57" t="n">
        <v>0.1166</v>
      </c>
      <c r="D781" s="57" t="n">
        <v>0.1212</v>
      </c>
      <c r="E781" s="57" t="n">
        <v>0.12922</v>
      </c>
      <c r="F781" s="57" t="n">
        <v>0.1421</v>
      </c>
      <c r="H781" s="57" t="n">
        <v>0.1503</v>
      </c>
    </row>
    <row r="782" customFormat="false" ht="15" hidden="false" customHeight="false" outlineLevel="0" collapsed="false">
      <c r="A782" s="52" t="n">
        <v>45352</v>
      </c>
      <c r="B782" s="57" t="n">
        <v>0.1317</v>
      </c>
      <c r="C782" s="57" t="n">
        <v>0.1165</v>
      </c>
      <c r="D782" s="57" t="n">
        <v>0.1203</v>
      </c>
      <c r="E782" s="57" t="n">
        <v>0.12922</v>
      </c>
      <c r="F782" s="57" t="n">
        <v>0.1434</v>
      </c>
      <c r="H782" s="57" t="n">
        <v>0.1411</v>
      </c>
    </row>
    <row r="783" customFormat="false" ht="15" hidden="false" customHeight="false" outlineLevel="0" collapsed="false">
      <c r="A783" s="52" t="n">
        <v>45355</v>
      </c>
      <c r="B783" s="57" t="n">
        <v>0.1298</v>
      </c>
      <c r="C783" s="57" t="n">
        <v>0.1181</v>
      </c>
      <c r="D783" s="57" t="n">
        <v>0.1206</v>
      </c>
      <c r="E783" s="57" t="n">
        <v>0.12922</v>
      </c>
      <c r="F783" s="57" t="n">
        <v>0.1421</v>
      </c>
      <c r="H783" s="57" t="n">
        <v>0.1388</v>
      </c>
    </row>
    <row r="784" customFormat="false" ht="15" hidden="false" customHeight="false" outlineLevel="0" collapsed="false">
      <c r="A784" s="52" t="n">
        <v>45356</v>
      </c>
      <c r="B784" s="57" t="n">
        <v>0.1298</v>
      </c>
      <c r="C784" s="57" t="n">
        <v>0.1179</v>
      </c>
      <c r="D784" s="57" t="n">
        <v>0.1208</v>
      </c>
      <c r="E784" s="57" t="n">
        <v>0.12922</v>
      </c>
      <c r="F784" s="57" t="n">
        <v>0.1415</v>
      </c>
      <c r="H784" s="57" t="n">
        <v>0.1355</v>
      </c>
    </row>
    <row r="785" customFormat="false" ht="15" hidden="false" customHeight="false" outlineLevel="0" collapsed="false">
      <c r="A785" s="52" t="n">
        <v>45357</v>
      </c>
      <c r="B785" s="57" t="n">
        <v>0.1269</v>
      </c>
      <c r="C785" s="57" t="n">
        <v>0.1166</v>
      </c>
      <c r="D785" s="57" t="n">
        <v>0.1206</v>
      </c>
      <c r="E785" s="57" t="n">
        <v>0.12922</v>
      </c>
      <c r="F785" s="57" t="n">
        <v>0.1419</v>
      </c>
      <c r="H785" s="57" t="n">
        <v>0.1351</v>
      </c>
    </row>
    <row r="786" customFormat="false" ht="15" hidden="false" customHeight="false" outlineLevel="0" collapsed="false">
      <c r="A786" s="52" t="n">
        <v>45358</v>
      </c>
      <c r="B786" s="57" t="n">
        <v>0.1269</v>
      </c>
      <c r="C786" s="57" t="n">
        <v>0.1164</v>
      </c>
      <c r="D786" s="57" t="n">
        <v>0.1201</v>
      </c>
      <c r="E786" s="57" t="n">
        <v>0.12922</v>
      </c>
      <c r="F786" s="57" t="n">
        <v>0.1417</v>
      </c>
      <c r="H786" s="57" t="n">
        <v>0.135</v>
      </c>
    </row>
    <row r="787" customFormat="false" ht="15" hidden="false" customHeight="false" outlineLevel="0" collapsed="false">
      <c r="A787" s="52" t="n">
        <v>45362</v>
      </c>
      <c r="B787" s="57" t="n">
        <v>0.1272</v>
      </c>
      <c r="C787" s="57" t="n">
        <v>0.1168</v>
      </c>
      <c r="D787" s="57" t="n">
        <v>0.1197</v>
      </c>
      <c r="E787" s="57" t="n">
        <v>0.12922</v>
      </c>
      <c r="F787" s="57" t="n">
        <v>0.1421</v>
      </c>
      <c r="H787" s="57" t="n">
        <v>0.1358</v>
      </c>
    </row>
    <row r="788" customFormat="false" ht="15" hidden="false" customHeight="false" outlineLevel="0" collapsed="false">
      <c r="A788" s="52" t="n">
        <v>45363</v>
      </c>
      <c r="B788" s="57" t="n">
        <v>0.1283</v>
      </c>
      <c r="C788" s="57" t="n">
        <v>0.1171</v>
      </c>
      <c r="D788" s="57" t="n">
        <v>0.1197</v>
      </c>
      <c r="E788" s="57" t="n">
        <v>0.12922</v>
      </c>
      <c r="F788" s="57" t="n">
        <v>0.141</v>
      </c>
      <c r="H788" s="57" t="n">
        <v>0.1362</v>
      </c>
    </row>
    <row r="789" customFormat="false" ht="15" hidden="false" customHeight="false" outlineLevel="0" collapsed="false">
      <c r="A789" s="52" t="n">
        <v>45364</v>
      </c>
      <c r="B789" s="57" t="n">
        <v>0.1279</v>
      </c>
      <c r="C789" s="57" t="n">
        <v>0.1167</v>
      </c>
      <c r="D789" s="57" t="n">
        <v>0.1189</v>
      </c>
      <c r="E789" s="57" t="n">
        <v>0.12922</v>
      </c>
      <c r="F789" s="57" t="n">
        <v>0.1433</v>
      </c>
      <c r="H789" s="57" t="n">
        <v>0.1372</v>
      </c>
    </row>
    <row r="790" customFormat="false" ht="15" hidden="false" customHeight="false" outlineLevel="0" collapsed="false">
      <c r="A790" s="52" t="n">
        <v>45365</v>
      </c>
      <c r="B790" s="57" t="n">
        <v>0.1274</v>
      </c>
      <c r="C790" s="57" t="n">
        <v>0.1167</v>
      </c>
      <c r="D790" s="57" t="n">
        <v>0.1189</v>
      </c>
      <c r="E790" s="57" t="n">
        <v>0.12922</v>
      </c>
      <c r="F790" s="57" t="n">
        <v>0.1427</v>
      </c>
      <c r="H790" s="57" t="n">
        <v>0.1357</v>
      </c>
    </row>
    <row r="791" customFormat="false" ht="15" hidden="false" customHeight="false" outlineLevel="0" collapsed="false">
      <c r="A791" s="52" t="n">
        <v>45366</v>
      </c>
      <c r="B791" s="57" t="n">
        <v>0.1259</v>
      </c>
      <c r="C791" s="57" t="n">
        <v>0.1164</v>
      </c>
      <c r="D791" s="57" t="n">
        <v>0.1199</v>
      </c>
      <c r="E791" s="57" t="n">
        <v>0.12922</v>
      </c>
      <c r="F791" s="57" t="n">
        <v>0.1419</v>
      </c>
      <c r="H791" s="57" t="n">
        <v>0.1354</v>
      </c>
    </row>
    <row r="792" customFormat="false" ht="15" hidden="false" customHeight="false" outlineLevel="0" collapsed="false">
      <c r="A792" s="52" t="n">
        <v>45369</v>
      </c>
      <c r="B792" s="57" t="n">
        <v>0.126</v>
      </c>
      <c r="C792" s="57" t="n">
        <v>0.1164</v>
      </c>
      <c r="D792" s="57" t="n">
        <v>0.1198</v>
      </c>
      <c r="E792" s="57" t="n">
        <v>0.12922</v>
      </c>
      <c r="F792" s="57" t="n">
        <v>0.1421</v>
      </c>
      <c r="H792" s="57" t="n">
        <v>0.1348</v>
      </c>
    </row>
    <row r="793" customFormat="false" ht="15" hidden="false" customHeight="false" outlineLevel="0" collapsed="false">
      <c r="A793" s="52" t="n">
        <v>45370</v>
      </c>
      <c r="B793" s="57" t="n">
        <v>0.1275</v>
      </c>
      <c r="C793" s="57" t="n">
        <v>0.1166</v>
      </c>
      <c r="D793" s="57" t="n">
        <v>0.1203</v>
      </c>
      <c r="E793" s="57" t="n">
        <v>0.12922</v>
      </c>
      <c r="F793" s="57" t="n">
        <v>0.1419</v>
      </c>
      <c r="H793" s="57" t="n">
        <v>0.1362</v>
      </c>
    </row>
    <row r="794" customFormat="false" ht="15" hidden="false" customHeight="false" outlineLevel="0" collapsed="false">
      <c r="A794" s="52" t="n">
        <v>45371</v>
      </c>
      <c r="B794" s="57" t="n">
        <v>0.1243</v>
      </c>
      <c r="C794" s="57" t="n">
        <v>0.1145</v>
      </c>
      <c r="D794" s="57" t="n">
        <v>0.1197</v>
      </c>
      <c r="E794" s="57" t="n">
        <v>0.12922</v>
      </c>
      <c r="F794" s="57" t="n">
        <v>0.1421</v>
      </c>
      <c r="H794" s="57" t="n">
        <v>0.1383</v>
      </c>
    </row>
    <row r="795" customFormat="false" ht="15" hidden="false" customHeight="false" outlineLevel="0" collapsed="false">
      <c r="A795" s="52" t="n">
        <v>45377</v>
      </c>
      <c r="B795" s="57" t="n">
        <v>0.1256</v>
      </c>
      <c r="C795" s="57" t="n">
        <v>0.1155</v>
      </c>
      <c r="D795" s="57" t="n">
        <v>0.1199</v>
      </c>
      <c r="E795" s="57" t="n">
        <v>0.12922</v>
      </c>
      <c r="F795" s="57" t="n">
        <v>0.1437</v>
      </c>
      <c r="H795" s="57" t="n">
        <v>0.1379</v>
      </c>
    </row>
    <row r="796" customFormat="false" ht="15" hidden="false" customHeight="false" outlineLevel="0" collapsed="false">
      <c r="A796" s="52" t="n">
        <v>45378</v>
      </c>
      <c r="B796" s="57" t="n">
        <v>0.1263</v>
      </c>
      <c r="C796" s="57" t="n">
        <v>0.1149</v>
      </c>
      <c r="D796" s="57" t="n">
        <v>0.1199</v>
      </c>
      <c r="E796" s="57" t="n">
        <v>0.12922</v>
      </c>
      <c r="F796" s="57" t="n">
        <v>0.143</v>
      </c>
      <c r="H796" s="57" t="n">
        <v>0.1374</v>
      </c>
    </row>
    <row r="797" customFormat="false" ht="15" hidden="false" customHeight="false" outlineLevel="0" collapsed="false">
      <c r="A797" s="52" t="n">
        <v>45379</v>
      </c>
      <c r="B797" s="57" t="n">
        <v>0.1257</v>
      </c>
      <c r="C797" s="57" t="n">
        <v>0.1146</v>
      </c>
      <c r="D797" s="57" t="n">
        <v>0.1204</v>
      </c>
      <c r="E797" s="57" t="n">
        <v>0.12922</v>
      </c>
      <c r="F797" s="57" t="n">
        <v>0.1418</v>
      </c>
      <c r="H797" s="57" t="n">
        <v>0.1379</v>
      </c>
    </row>
    <row r="798" customFormat="false" ht="15" hidden="false" customHeight="false" outlineLevel="0" collapsed="false">
      <c r="A798" s="52" t="n">
        <v>45380</v>
      </c>
      <c r="B798" s="57" t="n">
        <v>0.1259</v>
      </c>
      <c r="C798" s="57" t="n">
        <v>0.1147</v>
      </c>
      <c r="D798" s="57" t="n">
        <v>0.1203</v>
      </c>
      <c r="E798" s="57" t="n">
        <v>0.12922</v>
      </c>
      <c r="F798" s="57" t="n">
        <v>0.1418</v>
      </c>
      <c r="H798" s="57" t="n">
        <v>0.1391</v>
      </c>
    </row>
    <row r="799" customFormat="false" ht="15" hidden="false" customHeight="false" outlineLevel="0" collapsed="false">
      <c r="A799" s="52" t="n">
        <v>45383</v>
      </c>
      <c r="B799" s="57" t="n">
        <v>0.125</v>
      </c>
      <c r="C799" s="57" t="n">
        <v>0.1154</v>
      </c>
      <c r="D799" s="57" t="n">
        <v>0.1203</v>
      </c>
      <c r="E799" s="57" t="n">
        <v>0.12922</v>
      </c>
      <c r="F799" s="57" t="n">
        <v>0.1418</v>
      </c>
      <c r="H799" s="57" t="n">
        <v>0.14</v>
      </c>
    </row>
    <row r="800" customFormat="false" ht="15" hidden="false" customHeight="false" outlineLevel="0" collapsed="false">
      <c r="A800" s="52" t="n">
        <v>45384</v>
      </c>
      <c r="B800" s="57" t="n">
        <v>0.1275</v>
      </c>
      <c r="C800" s="57" t="n">
        <v>0.1162</v>
      </c>
      <c r="D800" s="57" t="n">
        <v>0.1198</v>
      </c>
      <c r="E800" s="57" t="n">
        <v>0.12922</v>
      </c>
      <c r="F800" s="57" t="n">
        <v>0.1421</v>
      </c>
      <c r="H800" s="57" t="n">
        <v>0.1383</v>
      </c>
    </row>
    <row r="801" customFormat="false" ht="15" hidden="false" customHeight="false" outlineLevel="0" collapsed="false">
      <c r="A801" s="52" t="n">
        <v>45385</v>
      </c>
      <c r="B801" s="57" t="n">
        <v>0.1248</v>
      </c>
      <c r="C801" s="57" t="n">
        <v>0.1149</v>
      </c>
      <c r="D801" s="57" t="n">
        <v>0.1197</v>
      </c>
      <c r="E801" s="57" t="n">
        <v>0.12922</v>
      </c>
      <c r="F801" s="57" t="n">
        <v>0.1413</v>
      </c>
      <c r="H801" s="57" t="n">
        <v>0.1352</v>
      </c>
    </row>
    <row r="802" customFormat="false" ht="15" hidden="false" customHeight="false" outlineLevel="0" collapsed="false">
      <c r="A802" s="52" t="n">
        <v>45386</v>
      </c>
      <c r="B802" s="57" t="n">
        <v>0.1263</v>
      </c>
      <c r="C802" s="57" t="n">
        <v>0.1162</v>
      </c>
      <c r="D802" s="57" t="n">
        <v>0.1201</v>
      </c>
      <c r="E802" s="57" t="n">
        <v>0.12922</v>
      </c>
      <c r="F802" s="57" t="n">
        <v>0.1396</v>
      </c>
      <c r="H802" s="57" t="n">
        <v>0.1324</v>
      </c>
    </row>
    <row r="803" customFormat="false" ht="15" hidden="false" customHeight="false" outlineLevel="0" collapsed="false">
      <c r="A803" s="52" t="n">
        <v>45387</v>
      </c>
      <c r="B803" s="57" t="n">
        <v>0.124</v>
      </c>
      <c r="C803" s="57" t="n">
        <v>0.1166</v>
      </c>
      <c r="D803" s="57" t="n">
        <v>0.1192</v>
      </c>
      <c r="E803" s="57" t="n">
        <v>0.12922</v>
      </c>
      <c r="F803" s="57" t="n">
        <v>0.1412</v>
      </c>
      <c r="H803" s="57" t="n">
        <v>0.132</v>
      </c>
    </row>
    <row r="804" customFormat="false" ht="15" hidden="false" customHeight="false" outlineLevel="0" collapsed="false">
      <c r="A804" s="52" t="n">
        <v>45390</v>
      </c>
      <c r="B804" s="57" t="n">
        <v>0.1245</v>
      </c>
      <c r="C804" s="57" t="n">
        <v>0.1173</v>
      </c>
      <c r="D804" s="57" t="n">
        <v>0.1193</v>
      </c>
      <c r="E804" s="57" t="n">
        <v>0.12922</v>
      </c>
      <c r="F804" s="57" t="n">
        <v>0.1412</v>
      </c>
      <c r="H804" s="57" t="n">
        <v>0.1364</v>
      </c>
    </row>
    <row r="805" customFormat="false" ht="15" hidden="false" customHeight="false" outlineLevel="0" collapsed="false">
      <c r="A805" s="52" t="n">
        <v>45391</v>
      </c>
      <c r="B805" s="57" t="n">
        <v>0.1265</v>
      </c>
      <c r="C805" s="57" t="n">
        <v>0.1164</v>
      </c>
      <c r="D805" s="57" t="n">
        <v>0.1195</v>
      </c>
      <c r="E805" s="57" t="n">
        <v>0.12922</v>
      </c>
      <c r="F805" s="57" t="n">
        <v>0.1412</v>
      </c>
      <c r="H805" s="57" t="n">
        <v>0.135</v>
      </c>
    </row>
    <row r="806" customFormat="false" ht="15" hidden="false" customHeight="false" outlineLevel="0" collapsed="false">
      <c r="A806" s="52" t="n">
        <v>45392</v>
      </c>
      <c r="B806" s="57" t="n">
        <v>0.1239</v>
      </c>
      <c r="C806" s="57" t="n">
        <v>0.1155</v>
      </c>
      <c r="D806" s="57" t="n">
        <v>0.1197</v>
      </c>
      <c r="E806" s="57" t="n">
        <v>0.12922</v>
      </c>
      <c r="F806" s="57" t="n">
        <v>0.141</v>
      </c>
      <c r="H806" s="57" t="n">
        <v>0.1346</v>
      </c>
    </row>
    <row r="807" customFormat="false" ht="15" hidden="false" customHeight="false" outlineLevel="0" collapsed="false">
      <c r="A807" s="52" t="n">
        <v>45393</v>
      </c>
      <c r="B807" s="57" t="n">
        <v>0.1234</v>
      </c>
      <c r="C807" s="57" t="n">
        <v>0.1154</v>
      </c>
      <c r="D807" s="57" t="n">
        <v>0.1205</v>
      </c>
      <c r="E807" s="57" t="n">
        <v>0.12922</v>
      </c>
      <c r="F807" s="57" t="n">
        <v>0.1409</v>
      </c>
      <c r="H807" s="57" t="n">
        <v>0.1306</v>
      </c>
    </row>
    <row r="808" customFormat="false" ht="15" hidden="false" customHeight="false" outlineLevel="0" collapsed="false">
      <c r="A808" s="52" t="n">
        <v>45394</v>
      </c>
      <c r="B808" s="57" t="n">
        <v>0.1228</v>
      </c>
      <c r="C808" s="57" t="n">
        <v>0.1191</v>
      </c>
      <c r="D808" s="57" t="n">
        <v>0.1201</v>
      </c>
      <c r="E808" s="57" t="n">
        <v>0.12922</v>
      </c>
      <c r="F808" s="57" t="n">
        <v>0.1407</v>
      </c>
      <c r="H808" s="57" t="n">
        <v>0.1292</v>
      </c>
    </row>
    <row r="809" customFormat="false" ht="15" hidden="false" customHeight="false" outlineLevel="0" collapsed="false">
      <c r="A809" s="52" t="n">
        <v>45397</v>
      </c>
      <c r="B809" s="57" t="n">
        <v>0.1234</v>
      </c>
      <c r="C809" s="57" t="n">
        <v>0.1184</v>
      </c>
      <c r="D809" s="57" t="n">
        <v>0.1199</v>
      </c>
      <c r="E809" s="57" t="n">
        <v>0.12922</v>
      </c>
      <c r="F809" s="57" t="n">
        <v>0.1414</v>
      </c>
      <c r="H809" s="57" t="n">
        <v>0.1293</v>
      </c>
    </row>
    <row r="810" customFormat="false" ht="15" hidden="false" customHeight="false" outlineLevel="0" collapsed="false">
      <c r="A810" s="52" t="n">
        <v>45398</v>
      </c>
      <c r="B810" s="57" t="n">
        <v>0.1229</v>
      </c>
      <c r="C810" s="57" t="n">
        <v>0.1182</v>
      </c>
      <c r="D810" s="57" t="n">
        <v>0.1205</v>
      </c>
      <c r="E810" s="57" t="n">
        <v>0.12922</v>
      </c>
      <c r="F810" s="57" t="n">
        <v>0.1418</v>
      </c>
      <c r="H810" s="57" t="n">
        <v>0.1344</v>
      </c>
    </row>
    <row r="811" customFormat="false" ht="15" hidden="false" customHeight="false" outlineLevel="0" collapsed="false">
      <c r="A811" s="52" t="n">
        <v>45399</v>
      </c>
      <c r="B811" s="57" t="n">
        <v>0.123</v>
      </c>
      <c r="C811" s="57" t="n">
        <v>0.1184</v>
      </c>
      <c r="D811" s="57" t="n">
        <v>0.12</v>
      </c>
      <c r="E811" s="57" t="n">
        <v>0.12922</v>
      </c>
      <c r="F811" s="57" t="n">
        <v>0.1404</v>
      </c>
      <c r="H811" s="57" t="n">
        <v>0.1348</v>
      </c>
    </row>
    <row r="812" customFormat="false" ht="15" hidden="false" customHeight="false" outlineLevel="0" collapsed="false">
      <c r="A812" s="52" t="n">
        <v>45400</v>
      </c>
      <c r="B812" s="57" t="n">
        <v>0.1237</v>
      </c>
      <c r="C812" s="57" t="n">
        <v>0.1188</v>
      </c>
      <c r="D812" s="57" t="n">
        <v>0.12</v>
      </c>
      <c r="E812" s="57" t="n">
        <v>0.12922</v>
      </c>
      <c r="F812" s="57" t="n">
        <v>0.1405</v>
      </c>
      <c r="H812" s="57" t="n">
        <v>0.1328</v>
      </c>
    </row>
    <row r="813" customFormat="false" ht="15" hidden="false" customHeight="false" outlineLevel="0" collapsed="false">
      <c r="A813" s="52" t="n">
        <v>45401</v>
      </c>
      <c r="B813" s="57" t="n">
        <v>0.1234</v>
      </c>
      <c r="C813" s="57" t="n">
        <v>0.1186</v>
      </c>
      <c r="D813" s="57" t="n">
        <v>0.12</v>
      </c>
      <c r="E813" s="57" t="n">
        <v>0.12922</v>
      </c>
      <c r="F813" s="57" t="n">
        <v>0.1404</v>
      </c>
      <c r="H813" s="57" t="n">
        <v>0.1366</v>
      </c>
    </row>
    <row r="814" customFormat="false" ht="15" hidden="false" customHeight="false" outlineLevel="0" collapsed="false">
      <c r="A814" s="52" t="n">
        <v>45404</v>
      </c>
      <c r="B814" s="57" t="n">
        <v>0.1251</v>
      </c>
      <c r="C814" s="57" t="n">
        <v>0.1187</v>
      </c>
      <c r="D814" s="57" t="n">
        <v>0.1203</v>
      </c>
      <c r="E814" s="57" t="n">
        <v>0.12922</v>
      </c>
      <c r="F814" s="57" t="n">
        <v>0.141</v>
      </c>
      <c r="H814" s="57" t="n">
        <v>0.1381</v>
      </c>
    </row>
    <row r="815" customFormat="false" ht="15" hidden="false" customHeight="false" outlineLevel="0" collapsed="false">
      <c r="A815" s="52" t="n">
        <v>45405</v>
      </c>
      <c r="B815" s="57" t="n">
        <v>0.1256</v>
      </c>
      <c r="C815" s="57" t="n">
        <v>0.1192</v>
      </c>
      <c r="D815" s="57" t="n">
        <v>0.1208</v>
      </c>
      <c r="E815" s="57" t="n">
        <v>0.12922</v>
      </c>
      <c r="F815" s="57" t="n">
        <v>0.1406</v>
      </c>
      <c r="H815" s="57" t="n">
        <v>0.138</v>
      </c>
    </row>
    <row r="816" customFormat="false" ht="15" hidden="false" customHeight="false" outlineLevel="0" collapsed="false">
      <c r="A816" s="52" t="n">
        <v>45406</v>
      </c>
      <c r="B816" s="57" t="n">
        <v>0.1255</v>
      </c>
      <c r="C816" s="57" t="n">
        <v>0.1188</v>
      </c>
      <c r="D816" s="57" t="n">
        <v>0.121</v>
      </c>
      <c r="E816" s="57" t="n">
        <v>0.12922</v>
      </c>
      <c r="F816" s="57" t="n">
        <v>0.1403</v>
      </c>
      <c r="H816" s="57" t="n">
        <v>0.1398</v>
      </c>
    </row>
    <row r="817" customFormat="false" ht="15" hidden="false" customHeight="false" outlineLevel="0" collapsed="false">
      <c r="A817" s="52" t="n">
        <v>45407</v>
      </c>
      <c r="B817" s="57" t="n">
        <v>0.1264</v>
      </c>
      <c r="C817" s="57" t="n">
        <v>0.1196</v>
      </c>
      <c r="D817" s="57" t="n">
        <v>0.1213</v>
      </c>
      <c r="E817" s="57" t="n">
        <v>0.12922</v>
      </c>
      <c r="F817" s="57" t="n">
        <v>0.1404</v>
      </c>
      <c r="H817" s="57" t="n">
        <v>0.1421</v>
      </c>
    </row>
    <row r="818" customFormat="false" ht="15" hidden="false" customHeight="false" outlineLevel="0" collapsed="false">
      <c r="A818" s="52" t="n">
        <v>45408</v>
      </c>
      <c r="B818" s="57" t="n">
        <v>0.1276</v>
      </c>
      <c r="C818" s="57" t="n">
        <v>0.1193</v>
      </c>
      <c r="D818" s="57" t="n">
        <v>0.1209</v>
      </c>
      <c r="E818" s="57" t="n">
        <v>0.12922</v>
      </c>
      <c r="F818" s="57" t="n">
        <v>0.1403</v>
      </c>
      <c r="H818" s="57" t="n">
        <v>0.1508</v>
      </c>
    </row>
    <row r="819" customFormat="false" ht="15" hidden="false" customHeight="false" outlineLevel="0" collapsed="false">
      <c r="A819" s="52" t="n">
        <v>45411</v>
      </c>
      <c r="B819" s="57" t="n">
        <v>0.1302</v>
      </c>
      <c r="C819" s="57" t="n">
        <v>0.1191</v>
      </c>
      <c r="D819" s="57" t="n">
        <v>0.122</v>
      </c>
      <c r="E819" s="57" t="n">
        <v>0.12922</v>
      </c>
      <c r="F819" s="57" t="n">
        <v>0.1409</v>
      </c>
      <c r="H819" s="57" t="n">
        <v>0.1521</v>
      </c>
    </row>
    <row r="820" customFormat="false" ht="15" hidden="false" customHeight="false" outlineLevel="0" collapsed="false">
      <c r="A820" s="52" t="n">
        <v>45412</v>
      </c>
      <c r="B820" s="57" t="n">
        <v>0.131</v>
      </c>
      <c r="C820" s="57" t="n">
        <v>0.1194</v>
      </c>
      <c r="D820" s="57" t="n">
        <v>0.1209</v>
      </c>
      <c r="E820" s="57" t="n">
        <v>0.12922</v>
      </c>
      <c r="F820" s="57" t="n">
        <v>0.1397</v>
      </c>
      <c r="H820" s="57" t="n">
        <v>0.1423</v>
      </c>
    </row>
    <row r="821" customFormat="false" ht="15" hidden="false" customHeight="false" outlineLevel="0" collapsed="false">
      <c r="A821" s="52" t="n">
        <v>45414</v>
      </c>
      <c r="B821" s="57" t="n">
        <v>0.1273</v>
      </c>
      <c r="C821" s="57" t="n">
        <v>0.1197</v>
      </c>
      <c r="D821" s="57" t="n">
        <v>0.1222</v>
      </c>
      <c r="E821" s="57" t="n">
        <v>0.12922</v>
      </c>
      <c r="F821" s="57" t="n">
        <v>0.1402</v>
      </c>
      <c r="H821" s="57" t="n">
        <v>0.1372</v>
      </c>
    </row>
    <row r="822" customFormat="false" ht="15" hidden="false" customHeight="false" outlineLevel="0" collapsed="false">
      <c r="A822" s="52" t="n">
        <v>45415</v>
      </c>
      <c r="B822" s="57" t="n">
        <v>0.1286</v>
      </c>
      <c r="C822" s="57" t="n">
        <v>0.1211</v>
      </c>
      <c r="D822" s="57" t="n">
        <v>0.1206</v>
      </c>
      <c r="E822" s="57" t="n">
        <v>0.12922</v>
      </c>
      <c r="F822" s="57" t="n">
        <v>0.1408</v>
      </c>
      <c r="H822" s="57" t="n">
        <v>0.1328</v>
      </c>
    </row>
    <row r="823" customFormat="false" ht="15" hidden="false" customHeight="false" outlineLevel="0" collapsed="false">
      <c r="A823" s="52" t="n">
        <v>45416</v>
      </c>
      <c r="B823" s="57" t="n">
        <v>0.1275</v>
      </c>
      <c r="C823" s="57" t="n">
        <v>0.1226</v>
      </c>
      <c r="D823" s="57" t="n">
        <v>0.1204</v>
      </c>
      <c r="F823" s="57" t="n">
        <v>0.1425</v>
      </c>
      <c r="H823" s="57" t="n">
        <v>0.134</v>
      </c>
    </row>
    <row r="824" customFormat="false" ht="15" hidden="false" customHeight="false" outlineLevel="0" collapsed="false">
      <c r="A824" s="52" t="n">
        <v>45418</v>
      </c>
      <c r="B824" s="57" t="n">
        <v>0.1293</v>
      </c>
      <c r="C824" s="57" t="n">
        <v>0.1218</v>
      </c>
      <c r="D824" s="57" t="n">
        <v>0.1205</v>
      </c>
      <c r="E824" s="57" t="n">
        <v>0.12922</v>
      </c>
      <c r="F824" s="57" t="n">
        <v>0.1406</v>
      </c>
      <c r="H824" s="57" t="n">
        <v>0.1385</v>
      </c>
    </row>
    <row r="825" customFormat="false" ht="15" hidden="false" customHeight="false" outlineLevel="0" collapsed="false">
      <c r="A825" s="52" t="n">
        <v>45422</v>
      </c>
      <c r="B825" s="57" t="n">
        <v>0.1277</v>
      </c>
      <c r="C825" s="57" t="n">
        <v>0.1206</v>
      </c>
      <c r="D825" s="57" t="n">
        <v>0.1228</v>
      </c>
      <c r="E825" s="57" t="n">
        <v>0.12922</v>
      </c>
      <c r="F825" s="57" t="n">
        <v>0.1409</v>
      </c>
      <c r="H825" s="57" t="n">
        <v>0.1365</v>
      </c>
    </row>
    <row r="826" customFormat="false" ht="15" hidden="false" customHeight="false" outlineLevel="0" collapsed="false">
      <c r="A826" s="52" t="n">
        <v>45425</v>
      </c>
      <c r="B826" s="57" t="n">
        <v>0.1266</v>
      </c>
      <c r="C826" s="57" t="n">
        <v>0.1207</v>
      </c>
      <c r="D826" s="57" t="n">
        <v>0.122</v>
      </c>
      <c r="E826" s="57" t="n">
        <v>0.12922</v>
      </c>
      <c r="F826" s="57" t="n">
        <v>0.1405</v>
      </c>
      <c r="H826" s="57" t="n">
        <v>0.1358</v>
      </c>
    </row>
    <row r="827" customFormat="false" ht="15" hidden="false" customHeight="false" outlineLevel="0" collapsed="false">
      <c r="A827" s="52" t="n">
        <v>45426</v>
      </c>
      <c r="B827" s="57" t="n">
        <v>0.1276</v>
      </c>
      <c r="C827" s="57" t="n">
        <v>0.1209</v>
      </c>
      <c r="D827" s="57" t="n">
        <v>0.1223</v>
      </c>
      <c r="E827" s="57" t="n">
        <v>0.12922</v>
      </c>
      <c r="F827" s="57" t="n">
        <v>0.1409</v>
      </c>
      <c r="H827" s="57" t="n">
        <v>0.1368</v>
      </c>
    </row>
    <row r="828" customFormat="false" ht="15" hidden="false" customHeight="false" outlineLevel="0" collapsed="false">
      <c r="A828" s="52" t="n">
        <v>45427</v>
      </c>
      <c r="B828" s="57" t="n">
        <v>0.1277</v>
      </c>
      <c r="C828" s="57" t="n">
        <v>0.1216</v>
      </c>
      <c r="D828" s="57" t="n">
        <v>0.1239</v>
      </c>
      <c r="E828" s="57" t="n">
        <v>0.12922</v>
      </c>
      <c r="F828" s="57" t="n">
        <v>0.1407</v>
      </c>
      <c r="H828" s="57" t="n">
        <v>0.1374</v>
      </c>
    </row>
    <row r="829" customFormat="false" ht="15" hidden="false" customHeight="false" outlineLevel="0" collapsed="false">
      <c r="A829" s="52" t="n">
        <v>45428</v>
      </c>
      <c r="B829" s="57" t="n">
        <v>0.128</v>
      </c>
      <c r="C829" s="57" t="n">
        <v>0.1221</v>
      </c>
      <c r="D829" s="57" t="n">
        <v>0.1233</v>
      </c>
      <c r="E829" s="57" t="n">
        <v>0.12922</v>
      </c>
      <c r="F829" s="57" t="n">
        <v>0.141</v>
      </c>
      <c r="H829" s="57" t="n">
        <v>0.1532</v>
      </c>
    </row>
    <row r="830" customFormat="false" ht="15" hidden="false" customHeight="false" outlineLevel="0" collapsed="false">
      <c r="A830" s="52" t="n">
        <v>45429</v>
      </c>
      <c r="B830" s="57" t="n">
        <v>0.1354</v>
      </c>
      <c r="C830" s="57" t="n">
        <v>0.1202</v>
      </c>
      <c r="D830" s="57" t="n">
        <v>0.1237</v>
      </c>
      <c r="E830" s="57" t="n">
        <v>0.12922</v>
      </c>
      <c r="F830" s="57" t="n">
        <v>0.1406</v>
      </c>
      <c r="H830" s="57" t="n">
        <v>0.1513</v>
      </c>
    </row>
    <row r="831" customFormat="false" ht="15" hidden="false" customHeight="false" outlineLevel="0" collapsed="false">
      <c r="A831" s="52" t="n">
        <v>45432</v>
      </c>
      <c r="B831" s="57" t="n">
        <v>0.1304</v>
      </c>
      <c r="C831" s="57" t="n">
        <v>0.1223</v>
      </c>
      <c r="D831" s="57" t="n">
        <v>0.1242</v>
      </c>
      <c r="E831" s="57" t="n">
        <v>0.12922</v>
      </c>
      <c r="F831" s="57" t="n">
        <v>0.1406</v>
      </c>
      <c r="H831" s="57" t="n">
        <v>0.1387</v>
      </c>
    </row>
    <row r="832" customFormat="false" ht="15" hidden="false" customHeight="false" outlineLevel="0" collapsed="false">
      <c r="A832" s="52" t="n">
        <v>45433</v>
      </c>
      <c r="B832" s="57" t="n">
        <v>0.1287</v>
      </c>
      <c r="C832" s="57" t="n">
        <v>0.1235</v>
      </c>
      <c r="D832" s="57" t="n">
        <v>0.1233</v>
      </c>
      <c r="E832" s="57" t="n">
        <v>0.12922</v>
      </c>
      <c r="F832" s="57" t="n">
        <v>0.1401</v>
      </c>
      <c r="H832" s="57" t="n">
        <v>0.1308</v>
      </c>
    </row>
    <row r="833" customFormat="false" ht="15" hidden="false" customHeight="false" outlineLevel="0" collapsed="false">
      <c r="A833" s="52" t="n">
        <v>45434</v>
      </c>
      <c r="B833" s="57" t="n">
        <v>0.1276</v>
      </c>
      <c r="C833" s="57" t="n">
        <v>0.1246</v>
      </c>
      <c r="D833" s="57" t="n">
        <v>0.1254</v>
      </c>
      <c r="E833" s="57" t="n">
        <v>0.12922</v>
      </c>
      <c r="F833" s="57" t="n">
        <v>0.1395</v>
      </c>
      <c r="H833" s="57" t="n">
        <v>0.1304</v>
      </c>
    </row>
    <row r="834" customFormat="false" ht="15" hidden="false" customHeight="false" outlineLevel="0" collapsed="false">
      <c r="A834" s="52" t="n">
        <v>45435</v>
      </c>
      <c r="B834" s="57" t="n">
        <v>0.1274</v>
      </c>
      <c r="C834" s="57" t="n">
        <v>0.1246</v>
      </c>
      <c r="D834" s="57" t="n">
        <v>0.1258</v>
      </c>
      <c r="E834" s="57" t="n">
        <v>0.12922</v>
      </c>
      <c r="F834" s="57" t="n">
        <v>0.1393</v>
      </c>
      <c r="H834" s="57" t="n">
        <v>0.1307</v>
      </c>
    </row>
    <row r="835" customFormat="false" ht="15" hidden="false" customHeight="false" outlineLevel="0" collapsed="false">
      <c r="A835" s="52" t="n">
        <v>45436</v>
      </c>
      <c r="B835" s="57" t="n">
        <v>0.1269</v>
      </c>
      <c r="C835" s="57" t="n">
        <v>0.125</v>
      </c>
      <c r="D835" s="57" t="n">
        <v>0.1245</v>
      </c>
      <c r="E835" s="57" t="n">
        <v>0.12922</v>
      </c>
      <c r="F835" s="57" t="n">
        <v>0.141</v>
      </c>
      <c r="H835" s="57" t="n">
        <v>0.13</v>
      </c>
    </row>
    <row r="836" customFormat="false" ht="15" hidden="false" customHeight="false" outlineLevel="0" collapsed="false">
      <c r="A836" s="52" t="n">
        <v>45439</v>
      </c>
      <c r="B836" s="57" t="n">
        <v>0.1293</v>
      </c>
      <c r="C836" s="57" t="n">
        <v>0.1254</v>
      </c>
      <c r="D836" s="57" t="n">
        <v>0.1244</v>
      </c>
      <c r="E836" s="57" t="n">
        <v>0.12922</v>
      </c>
      <c r="F836" s="57" t="n">
        <v>0.142</v>
      </c>
      <c r="H836" s="57" t="n">
        <v>0.1288</v>
      </c>
    </row>
    <row r="837" customFormat="false" ht="15" hidden="false" customHeight="false" outlineLevel="0" collapsed="false">
      <c r="A837" s="52" t="n">
        <v>45440</v>
      </c>
      <c r="B837" s="57" t="n">
        <v>0.1263</v>
      </c>
      <c r="C837" s="57" t="n">
        <v>0.1258</v>
      </c>
      <c r="D837" s="57" t="n">
        <v>0.1238</v>
      </c>
      <c r="E837" s="57" t="n">
        <v>0.12922</v>
      </c>
      <c r="F837" s="57" t="n">
        <v>0.1406</v>
      </c>
      <c r="H837" s="57" t="n">
        <v>0.1317</v>
      </c>
    </row>
    <row r="838" customFormat="false" ht="15" hidden="false" customHeight="false" outlineLevel="0" collapsed="false">
      <c r="A838" s="52" t="n">
        <v>45441</v>
      </c>
      <c r="B838" s="57" t="n">
        <v>0.1287</v>
      </c>
      <c r="C838" s="57" t="n">
        <v>0.125</v>
      </c>
      <c r="D838" s="57" t="n">
        <v>0.1241</v>
      </c>
      <c r="E838" s="57" t="n">
        <v>0.12922</v>
      </c>
      <c r="F838" s="57" t="n">
        <v>0.1392</v>
      </c>
      <c r="H838" s="57" t="n">
        <v>0.1347</v>
      </c>
    </row>
    <row r="839" customFormat="false" ht="15" hidden="false" customHeight="false" outlineLevel="0" collapsed="false">
      <c r="A839" s="52" t="n">
        <v>45442</v>
      </c>
      <c r="B839" s="57" t="n">
        <v>0.1322</v>
      </c>
      <c r="C839" s="57" t="n">
        <v>0.1264</v>
      </c>
      <c r="D839" s="57" t="n">
        <v>0.1234</v>
      </c>
      <c r="E839" s="57" t="n">
        <v>0.12922</v>
      </c>
      <c r="F839" s="57" t="n">
        <v>0.1389</v>
      </c>
      <c r="H839" s="57" t="n">
        <v>0.1315</v>
      </c>
    </row>
    <row r="840" customFormat="false" ht="15" hidden="false" customHeight="false" outlineLevel="0" collapsed="false">
      <c r="A840" s="52" t="n">
        <v>45443</v>
      </c>
      <c r="B840" s="57" t="n">
        <v>0.1323</v>
      </c>
      <c r="C840" s="57" t="n">
        <v>0.1257</v>
      </c>
      <c r="D840" s="57" t="n">
        <v>0.1217</v>
      </c>
      <c r="E840" s="57" t="n">
        <v>0.12922</v>
      </c>
      <c r="F840" s="57" t="n">
        <v>0.1389</v>
      </c>
      <c r="H840" s="57" t="n">
        <v>0.1306</v>
      </c>
    </row>
    <row r="841" customFormat="false" ht="15" hidden="false" customHeight="false" outlineLevel="0" collapsed="false">
      <c r="A841" s="52" t="n">
        <v>45446</v>
      </c>
      <c r="B841" s="57" t="n">
        <v>0.1327</v>
      </c>
      <c r="C841" s="57" t="n">
        <v>0.1247</v>
      </c>
      <c r="D841" s="57" t="n">
        <v>0.121</v>
      </c>
      <c r="E841" s="57" t="n">
        <v>0.12922</v>
      </c>
      <c r="F841" s="57" t="n">
        <v>0.1407</v>
      </c>
      <c r="H841" s="57" t="n">
        <v>0.13</v>
      </c>
    </row>
    <row r="842" customFormat="false" ht="15" hidden="false" customHeight="false" outlineLevel="0" collapsed="false">
      <c r="A842" s="52" t="n">
        <v>45447</v>
      </c>
      <c r="B842" s="57" t="n">
        <v>0.1305</v>
      </c>
      <c r="C842" s="57" t="n">
        <v>0.1274</v>
      </c>
      <c r="D842" s="57" t="n">
        <v>0.1222</v>
      </c>
      <c r="E842" s="57" t="n">
        <v>0.12922</v>
      </c>
      <c r="F842" s="57" t="n">
        <v>0.1381</v>
      </c>
      <c r="H842" s="57" t="n">
        <v>0.1314</v>
      </c>
    </row>
    <row r="843" customFormat="false" ht="15" hidden="false" customHeight="false" outlineLevel="0" collapsed="false">
      <c r="A843" s="52" t="n">
        <v>45448</v>
      </c>
      <c r="B843" s="57" t="n">
        <v>0.1313</v>
      </c>
      <c r="C843" s="57" t="n">
        <v>0.1276</v>
      </c>
      <c r="D843" s="57" t="n">
        <v>0.1257</v>
      </c>
      <c r="E843" s="57" t="n">
        <v>0.12922</v>
      </c>
      <c r="F843" s="57" t="n">
        <v>0.1395</v>
      </c>
      <c r="H843" s="57" t="n">
        <v>0.1334</v>
      </c>
    </row>
    <row r="844" customFormat="false" ht="15" hidden="false" customHeight="false" outlineLevel="0" collapsed="false">
      <c r="A844" s="52" t="n">
        <v>45449</v>
      </c>
      <c r="B844" s="57" t="n">
        <v>0.1312</v>
      </c>
      <c r="C844" s="57" t="n">
        <v>0.1282</v>
      </c>
      <c r="D844" s="57" t="n">
        <v>0.1254</v>
      </c>
      <c r="E844" s="57" t="n">
        <v>0.12922</v>
      </c>
      <c r="F844" s="57" t="n">
        <v>0.14</v>
      </c>
      <c r="H844" s="57" t="n">
        <v>0.1361</v>
      </c>
    </row>
    <row r="845" customFormat="false" ht="15" hidden="false" customHeight="false" outlineLevel="0" collapsed="false">
      <c r="A845" s="52" t="n">
        <v>45450</v>
      </c>
      <c r="B845" s="57" t="n">
        <v>0.1325</v>
      </c>
      <c r="C845" s="57" t="n">
        <v>0.1274</v>
      </c>
      <c r="D845" s="57" t="n">
        <v>0.1246</v>
      </c>
      <c r="E845" s="57" t="n">
        <v>0.12922</v>
      </c>
      <c r="F845" s="57" t="n">
        <v>0.1403</v>
      </c>
      <c r="H845" s="57" t="n">
        <v>0.1394</v>
      </c>
    </row>
    <row r="846" customFormat="false" ht="15" hidden="false" customHeight="false" outlineLevel="0" collapsed="false">
      <c r="A846" s="52" t="n">
        <v>45453</v>
      </c>
      <c r="B846" s="57" t="n">
        <v>0.1339</v>
      </c>
      <c r="C846" s="57" t="n">
        <v>0.1288</v>
      </c>
      <c r="D846" s="57" t="n">
        <v>0.1236</v>
      </c>
      <c r="E846" s="57" t="n">
        <v>0.12922</v>
      </c>
      <c r="F846" s="57" t="n">
        <v>0.1394</v>
      </c>
      <c r="H846" s="57" t="n">
        <v>0.1362</v>
      </c>
    </row>
    <row r="847" customFormat="false" ht="15" hidden="false" customHeight="false" outlineLevel="0" collapsed="false">
      <c r="A847" s="52" t="n">
        <v>45454</v>
      </c>
      <c r="B847" s="57" t="n">
        <v>0.1318</v>
      </c>
      <c r="C847" s="57" t="n">
        <v>0.1273</v>
      </c>
      <c r="D847" s="57" t="n">
        <v>0.1233</v>
      </c>
      <c r="E847" s="57" t="n">
        <v>0.12922</v>
      </c>
      <c r="F847" s="57" t="n">
        <v>0.1401</v>
      </c>
      <c r="H847" s="57" t="n">
        <v>0.1361</v>
      </c>
    </row>
    <row r="848" customFormat="false" ht="15" hidden="false" customHeight="false" outlineLevel="0" collapsed="false">
      <c r="A848" s="52" t="n">
        <v>45455</v>
      </c>
      <c r="B848" s="57" t="n">
        <v>0.1324</v>
      </c>
      <c r="C848" s="57" t="n">
        <v>0.129</v>
      </c>
      <c r="D848" s="57" t="n">
        <v>0.1246</v>
      </c>
      <c r="E848" s="57" t="n">
        <v>0.12922</v>
      </c>
      <c r="F848" s="57" t="n">
        <v>0.1404</v>
      </c>
      <c r="H848" s="57" t="n">
        <v>0.1355</v>
      </c>
    </row>
    <row r="849" customFormat="false" ht="15" hidden="false" customHeight="false" outlineLevel="0" collapsed="false">
      <c r="A849" s="52" t="n">
        <v>45456</v>
      </c>
      <c r="B849" s="57" t="n">
        <v>0.1306</v>
      </c>
      <c r="C849" s="57" t="n">
        <v>0.1293</v>
      </c>
      <c r="D849" s="57" t="n">
        <v>0.1281</v>
      </c>
      <c r="E849" s="57" t="n">
        <v>0.12922</v>
      </c>
      <c r="F849" s="57" t="n">
        <v>0.142</v>
      </c>
      <c r="H849" s="57" t="n">
        <v>0.1357</v>
      </c>
    </row>
    <row r="850" customFormat="false" ht="15" hidden="false" customHeight="false" outlineLevel="0" collapsed="false">
      <c r="A850" s="52" t="n">
        <v>45457</v>
      </c>
      <c r="B850" s="57" t="n">
        <v>0.131</v>
      </c>
      <c r="C850" s="57" t="n">
        <v>0.1293</v>
      </c>
      <c r="D850" s="57" t="n">
        <v>0.1267</v>
      </c>
      <c r="E850" s="57" t="n">
        <v>0.12922</v>
      </c>
      <c r="F850" s="57" t="n">
        <v>0.1407</v>
      </c>
      <c r="H850" s="57" t="n">
        <v>0.1354</v>
      </c>
    </row>
    <row r="851" customFormat="false" ht="15" hidden="false" customHeight="false" outlineLevel="0" collapsed="false">
      <c r="A851" s="52" t="n">
        <v>45460</v>
      </c>
      <c r="B851" s="57" t="n">
        <v>0.1322</v>
      </c>
      <c r="C851" s="57" t="n">
        <v>0.1285</v>
      </c>
      <c r="D851" s="57" t="n">
        <v>0.1238</v>
      </c>
      <c r="E851" s="57" t="n">
        <v>0.12922</v>
      </c>
      <c r="F851" s="57" t="n">
        <v>0.1424</v>
      </c>
      <c r="H851" s="57" t="n">
        <v>0.1349</v>
      </c>
    </row>
    <row r="852" customFormat="false" ht="15" hidden="false" customHeight="false" outlineLevel="0" collapsed="false">
      <c r="A852" s="52" t="n">
        <v>45461</v>
      </c>
      <c r="B852" s="57" t="n">
        <v>0.132</v>
      </c>
      <c r="C852" s="57" t="n">
        <v>0.1284</v>
      </c>
      <c r="D852" s="57" t="n">
        <v>0.125</v>
      </c>
      <c r="E852" s="57" t="n">
        <v>0.12922</v>
      </c>
      <c r="F852" s="57" t="n">
        <v>0.1411</v>
      </c>
      <c r="H852" s="57" t="n">
        <v>0.1343</v>
      </c>
    </row>
    <row r="853" customFormat="false" ht="15" hidden="false" customHeight="false" outlineLevel="0" collapsed="false">
      <c r="A853" s="52" t="n">
        <v>45462</v>
      </c>
      <c r="B853" s="57" t="n">
        <v>0.1313</v>
      </c>
      <c r="C853" s="57" t="n">
        <v>0.1293</v>
      </c>
      <c r="D853" s="57" t="n">
        <v>0.126</v>
      </c>
      <c r="E853" s="57" t="n">
        <v>0.12922</v>
      </c>
      <c r="F853" s="57" t="n">
        <v>0.1421</v>
      </c>
      <c r="H853" s="57" t="n">
        <v>0.1338</v>
      </c>
    </row>
    <row r="854" customFormat="false" ht="15" hidden="false" customHeight="false" outlineLevel="0" collapsed="false">
      <c r="A854" s="52" t="n">
        <v>45463</v>
      </c>
      <c r="B854" s="57" t="n">
        <v>0.1306</v>
      </c>
      <c r="C854" s="57" t="n">
        <v>0.1324</v>
      </c>
      <c r="D854" s="57" t="n">
        <v>0.1291</v>
      </c>
      <c r="E854" s="57" t="n">
        <v>0.12922</v>
      </c>
      <c r="F854" s="57" t="n">
        <v>0.1412</v>
      </c>
      <c r="H854" s="57" t="n">
        <v>0.1351</v>
      </c>
    </row>
    <row r="855" customFormat="false" ht="15" hidden="false" customHeight="false" outlineLevel="0" collapsed="false">
      <c r="A855" s="52" t="n">
        <v>45464</v>
      </c>
      <c r="B855" s="57" t="n">
        <v>0.1299</v>
      </c>
      <c r="C855" s="57" t="n">
        <v>0.1307</v>
      </c>
      <c r="D855" s="57" t="n">
        <v>0.128</v>
      </c>
      <c r="E855" s="57" t="n">
        <v>0.12922</v>
      </c>
      <c r="F855" s="57" t="n">
        <v>0.1418</v>
      </c>
      <c r="H855" s="57" t="n">
        <v>0.1445</v>
      </c>
    </row>
    <row r="856" customFormat="false" ht="15" hidden="false" customHeight="false" outlineLevel="0" collapsed="false">
      <c r="A856" s="52" t="n">
        <v>45467</v>
      </c>
      <c r="B856" s="57" t="n">
        <v>0.1312</v>
      </c>
      <c r="C856" s="57" t="n">
        <v>0.1276</v>
      </c>
      <c r="D856" s="57" t="n">
        <v>0.1244</v>
      </c>
      <c r="E856" s="57" t="n">
        <v>0.12922</v>
      </c>
      <c r="F856" s="57" t="n">
        <v>0.1415</v>
      </c>
      <c r="H856" s="57" t="n">
        <v>0.1508</v>
      </c>
    </row>
    <row r="857" customFormat="false" ht="15" hidden="false" customHeight="false" outlineLevel="0" collapsed="false">
      <c r="A857" s="52" t="n">
        <v>45468</v>
      </c>
      <c r="B857" s="57" t="n">
        <v>0.1341</v>
      </c>
      <c r="C857" s="57" t="n">
        <v>0.1279</v>
      </c>
      <c r="D857" s="57" t="n">
        <v>0.1258</v>
      </c>
      <c r="E857" s="57" t="n">
        <v>0.12922</v>
      </c>
      <c r="F857" s="57" t="n">
        <v>0.1414</v>
      </c>
      <c r="H857" s="57" t="n">
        <v>0.1437</v>
      </c>
    </row>
    <row r="858" customFormat="false" ht="15" hidden="false" customHeight="false" outlineLevel="0" collapsed="false">
      <c r="A858" s="52" t="n">
        <v>45469</v>
      </c>
      <c r="B858" s="57" t="n">
        <v>0.133</v>
      </c>
      <c r="C858" s="57" t="n">
        <v>0.1297</v>
      </c>
      <c r="D858" s="57" t="n">
        <v>0.1261</v>
      </c>
      <c r="E858" s="57" t="n">
        <v>0.12922</v>
      </c>
      <c r="F858" s="57" t="n">
        <v>0.1412</v>
      </c>
      <c r="H858" s="57" t="n">
        <v>0.1325</v>
      </c>
    </row>
    <row r="859" customFormat="false" ht="15" hidden="false" customHeight="false" outlineLevel="0" collapsed="false">
      <c r="A859" s="52" t="n">
        <v>45470</v>
      </c>
      <c r="B859" s="57" t="n">
        <v>0.1317</v>
      </c>
      <c r="C859" s="57" t="n">
        <v>0.1318</v>
      </c>
      <c r="D859" s="57" t="n">
        <v>0.1304</v>
      </c>
      <c r="E859" s="57" t="n">
        <v>0.12922</v>
      </c>
      <c r="F859" s="57" t="n">
        <v>0.1409</v>
      </c>
      <c r="H859" s="57" t="n">
        <v>0.1308</v>
      </c>
    </row>
    <row r="860" customFormat="false" ht="15" hidden="false" customHeight="false" outlineLevel="0" collapsed="false">
      <c r="A860" s="52" t="n">
        <v>45471</v>
      </c>
      <c r="B860" s="57" t="n">
        <v>0.131</v>
      </c>
      <c r="C860" s="57" t="n">
        <v>0.1297</v>
      </c>
      <c r="D860" s="57" t="n">
        <v>0.1269</v>
      </c>
      <c r="E860" s="57" t="n">
        <v>0.12922</v>
      </c>
      <c r="F860" s="57" t="n">
        <v>0.141</v>
      </c>
      <c r="H860" s="57" t="n">
        <v>0.1312</v>
      </c>
    </row>
    <row r="861" customFormat="false" ht="15" hidden="false" customHeight="false" outlineLevel="0" collapsed="false">
      <c r="A861" s="52" t="n">
        <v>45474</v>
      </c>
      <c r="B861" s="57" t="n">
        <v>0.1318</v>
      </c>
      <c r="C861" s="57" t="n">
        <v>0.1274</v>
      </c>
      <c r="D861" s="57" t="n">
        <v>0.127</v>
      </c>
      <c r="E861" s="57" t="n">
        <v>0.12922</v>
      </c>
      <c r="F861" s="57" t="n">
        <v>0.1423</v>
      </c>
      <c r="H861" s="57" t="n">
        <v>0.1309</v>
      </c>
    </row>
    <row r="862" customFormat="false" ht="15" hidden="false" customHeight="false" outlineLevel="0" collapsed="false">
      <c r="A862" s="52" t="n">
        <v>45475</v>
      </c>
      <c r="B862" s="57" t="n">
        <v>0.1302</v>
      </c>
      <c r="C862" s="57" t="n">
        <v>0.128</v>
      </c>
      <c r="D862" s="57" t="n">
        <v>0.1256</v>
      </c>
      <c r="E862" s="57" t="n">
        <v>0.12922</v>
      </c>
      <c r="F862" s="57" t="n">
        <v>0.1427</v>
      </c>
      <c r="H862" s="57" t="n">
        <v>0.1297</v>
      </c>
    </row>
    <row r="863" customFormat="false" ht="15" hidden="false" customHeight="false" outlineLevel="0" collapsed="false">
      <c r="A863" s="52" t="n">
        <v>45476</v>
      </c>
      <c r="B863" s="57" t="n">
        <v>0.1325</v>
      </c>
      <c r="C863" s="57" t="n">
        <v>0.1313</v>
      </c>
      <c r="D863" s="57" t="n">
        <v>0.1292</v>
      </c>
      <c r="E863" s="57" t="n">
        <v>0.12922</v>
      </c>
      <c r="F863" s="57" t="n">
        <v>0.1419</v>
      </c>
      <c r="H863" s="57" t="n">
        <v>0.1298</v>
      </c>
    </row>
    <row r="864" customFormat="false" ht="15" hidden="false" customHeight="false" outlineLevel="0" collapsed="false">
      <c r="A864" s="52" t="n">
        <v>45477</v>
      </c>
      <c r="B864" s="57" t="n">
        <v>0.1332</v>
      </c>
      <c r="C864" s="57" t="n">
        <v>0.1291</v>
      </c>
      <c r="D864" s="57" t="n">
        <v>0.1283</v>
      </c>
      <c r="E864" s="57" t="n">
        <v>0.12922</v>
      </c>
      <c r="F864" s="57" t="n">
        <v>0.1424</v>
      </c>
      <c r="H864" s="57" t="n">
        <v>0.1316</v>
      </c>
    </row>
    <row r="865" customFormat="false" ht="15" hidden="false" customHeight="false" outlineLevel="0" collapsed="false">
      <c r="A865" s="52" t="n">
        <v>45478</v>
      </c>
      <c r="B865" s="57" t="n">
        <v>0.1337</v>
      </c>
      <c r="C865" s="57" t="n">
        <v>0.1305</v>
      </c>
      <c r="D865" s="57" t="n">
        <v>0.1262</v>
      </c>
      <c r="E865" s="57" t="n">
        <v>0.12922</v>
      </c>
      <c r="F865" s="57" t="n">
        <v>0.1419</v>
      </c>
      <c r="H865" s="57" t="n">
        <v>0.1307</v>
      </c>
    </row>
    <row r="866" customFormat="false" ht="15" hidden="false" customHeight="false" outlineLevel="0" collapsed="false">
      <c r="A866" s="52" t="n">
        <v>45482</v>
      </c>
      <c r="B866" s="57" t="n">
        <v>0.131</v>
      </c>
      <c r="C866" s="57" t="n">
        <v>0.1308</v>
      </c>
      <c r="D866" s="57" t="n">
        <v>0.1261</v>
      </c>
      <c r="E866" s="57" t="n">
        <v>0.12922</v>
      </c>
      <c r="F866" s="57" t="n">
        <v>0.1402</v>
      </c>
      <c r="H866" s="57" t="n">
        <v>0.1313</v>
      </c>
    </row>
    <row r="867" customFormat="false" ht="15" hidden="false" customHeight="false" outlineLevel="0" collapsed="false">
      <c r="A867" s="52" t="n">
        <v>45483</v>
      </c>
      <c r="B867" s="57" t="n">
        <v>0.1322</v>
      </c>
      <c r="C867" s="57" t="n">
        <v>0.132</v>
      </c>
      <c r="D867" s="57" t="n">
        <v>0.1285</v>
      </c>
      <c r="E867" s="57" t="n">
        <v>0.12922</v>
      </c>
      <c r="F867" s="57" t="n">
        <v>0.1409</v>
      </c>
      <c r="H867" s="57" t="n">
        <v>0.1302</v>
      </c>
    </row>
    <row r="868" customFormat="false" ht="15" hidden="false" customHeight="false" outlineLevel="0" collapsed="false">
      <c r="A868" s="52" t="n">
        <v>45484</v>
      </c>
      <c r="B868" s="57" t="n">
        <v>0.1338</v>
      </c>
      <c r="C868" s="57" t="n">
        <v>0.1322</v>
      </c>
      <c r="D868" s="57" t="n">
        <v>0.1277</v>
      </c>
      <c r="E868" s="57" t="n">
        <v>0.12922</v>
      </c>
      <c r="F868" s="57" t="n">
        <v>0.1419</v>
      </c>
      <c r="H868" s="57" t="n">
        <v>0.1303</v>
      </c>
    </row>
    <row r="869" customFormat="false" ht="15" hidden="false" customHeight="false" outlineLevel="0" collapsed="false">
      <c r="A869" s="52" t="n">
        <v>45485</v>
      </c>
      <c r="B869" s="57" t="n">
        <v>0.1317</v>
      </c>
      <c r="C869" s="57" t="n">
        <v>0.132</v>
      </c>
      <c r="D869" s="57" t="n">
        <v>0.1271</v>
      </c>
      <c r="E869" s="57" t="n">
        <v>0.12922</v>
      </c>
      <c r="F869" s="57" t="n">
        <v>0.1409</v>
      </c>
      <c r="H869" s="57" t="n">
        <v>0.1303</v>
      </c>
    </row>
    <row r="870" customFormat="false" ht="15" hidden="false" customHeight="false" outlineLevel="0" collapsed="false">
      <c r="A870" s="52" t="n">
        <v>45488</v>
      </c>
      <c r="B870" s="57" t="n">
        <v>0.1326</v>
      </c>
      <c r="C870" s="57" t="n">
        <v>0.1315</v>
      </c>
      <c r="D870" s="57" t="n">
        <v>0.1267</v>
      </c>
      <c r="E870" s="57" t="n">
        <v>0.12922</v>
      </c>
      <c r="F870" s="57" t="n">
        <v>0.1414</v>
      </c>
      <c r="H870" s="57" t="n">
        <v>0.1303</v>
      </c>
    </row>
    <row r="871" customFormat="false" ht="15" hidden="false" customHeight="false" outlineLevel="0" collapsed="false">
      <c r="A871" s="52" t="n">
        <v>45489</v>
      </c>
      <c r="B871" s="57" t="n">
        <v>0.133</v>
      </c>
      <c r="C871" s="57" t="n">
        <v>0.1309</v>
      </c>
      <c r="D871" s="57" t="n">
        <v>0.1265</v>
      </c>
      <c r="E871" s="57" t="n">
        <v>0.12922</v>
      </c>
      <c r="F871" s="57" t="n">
        <v>0.1397</v>
      </c>
      <c r="H871" s="57" t="n">
        <v>0.1309</v>
      </c>
    </row>
    <row r="872" customFormat="false" ht="15" hidden="false" customHeight="false" outlineLevel="0" collapsed="false">
      <c r="A872" s="52" t="n">
        <v>45490</v>
      </c>
      <c r="B872" s="57" t="n">
        <v>0.1301</v>
      </c>
      <c r="C872" s="57" t="n">
        <v>0.1311</v>
      </c>
      <c r="D872" s="57" t="n">
        <v>0.131</v>
      </c>
      <c r="E872" s="57" t="n">
        <v>0.12922</v>
      </c>
      <c r="F872" s="57" t="n">
        <v>0.1404</v>
      </c>
      <c r="H872" s="57" t="n">
        <v>0.1317</v>
      </c>
    </row>
    <row r="873" customFormat="false" ht="15" hidden="false" customHeight="false" outlineLevel="0" collapsed="false">
      <c r="A873" s="52" t="n">
        <v>45491</v>
      </c>
      <c r="B873" s="57" t="n">
        <v>0.1305</v>
      </c>
      <c r="C873" s="57" t="n">
        <v>0.1319</v>
      </c>
      <c r="D873" s="57" t="n">
        <v>0.1306</v>
      </c>
      <c r="E873" s="57" t="n">
        <v>0.12922</v>
      </c>
      <c r="F873" s="57" t="n">
        <v>0.1405</v>
      </c>
      <c r="H873" s="57" t="n">
        <v>0.1314</v>
      </c>
    </row>
    <row r="874" customFormat="false" ht="15" hidden="false" customHeight="false" outlineLevel="0" collapsed="false">
      <c r="A874" s="52" t="n">
        <v>45492</v>
      </c>
      <c r="B874" s="57" t="n">
        <v>0.1319</v>
      </c>
      <c r="C874" s="57" t="n">
        <v>0.131</v>
      </c>
      <c r="D874" s="57" t="n">
        <v>0.1275</v>
      </c>
      <c r="E874" s="57" t="n">
        <v>0.12922</v>
      </c>
      <c r="F874" s="57" t="n">
        <v>0.1404</v>
      </c>
      <c r="H874" s="57" t="n">
        <v>0.1313</v>
      </c>
    </row>
    <row r="875" customFormat="false" ht="15" hidden="false" customHeight="false" outlineLevel="0" collapsed="false">
      <c r="A875" s="52" t="n">
        <v>45495</v>
      </c>
      <c r="B875" s="57" t="n">
        <v>0.1322</v>
      </c>
      <c r="C875" s="57" t="n">
        <v>0.1303</v>
      </c>
      <c r="D875" s="57" t="n">
        <v>0.1259</v>
      </c>
      <c r="E875" s="57" t="n">
        <v>0.12922</v>
      </c>
      <c r="F875" s="57" t="n">
        <v>0.1391</v>
      </c>
      <c r="H875" s="57" t="n">
        <v>0.1316</v>
      </c>
    </row>
    <row r="876" customFormat="false" ht="15" hidden="false" customHeight="false" outlineLevel="0" collapsed="false">
      <c r="A876" s="52" t="n">
        <v>45496</v>
      </c>
      <c r="B876" s="57" t="n">
        <v>0.1325</v>
      </c>
      <c r="C876" s="57" t="n">
        <v>0.1301</v>
      </c>
      <c r="D876" s="57" t="n">
        <v>0.1267</v>
      </c>
      <c r="E876" s="57" t="n">
        <v>0.12922</v>
      </c>
      <c r="F876" s="57" t="n">
        <v>0.139</v>
      </c>
      <c r="H876" s="57" t="n">
        <v>0.1313</v>
      </c>
    </row>
    <row r="877" customFormat="false" ht="15" hidden="false" customHeight="false" outlineLevel="0" collapsed="false">
      <c r="A877" s="52" t="n">
        <v>45497</v>
      </c>
      <c r="B877" s="57" t="n">
        <v>0.1294</v>
      </c>
      <c r="C877" s="57" t="n">
        <v>0.1296</v>
      </c>
      <c r="D877" s="57" t="n">
        <v>0.1274</v>
      </c>
      <c r="E877" s="57" t="n">
        <v>0.12922</v>
      </c>
      <c r="F877" s="57" t="n">
        <v>0.14</v>
      </c>
      <c r="H877" s="57" t="n">
        <v>0.1342</v>
      </c>
    </row>
    <row r="878" customFormat="false" ht="15" hidden="false" customHeight="false" outlineLevel="0" collapsed="false">
      <c r="A878" s="52" t="n">
        <v>45498</v>
      </c>
      <c r="B878" s="57" t="n">
        <v>0.1317</v>
      </c>
      <c r="C878" s="57" t="n">
        <v>0.1302</v>
      </c>
      <c r="D878" s="57" t="n">
        <v>0.128</v>
      </c>
      <c r="E878" s="57" t="n">
        <v>0.12922</v>
      </c>
      <c r="F878" s="57" t="n">
        <v>0.1394</v>
      </c>
      <c r="H878" s="57" t="n">
        <v>0.1412</v>
      </c>
    </row>
    <row r="879" customFormat="false" ht="15" hidden="false" customHeight="false" outlineLevel="0" collapsed="false">
      <c r="A879" s="52" t="n">
        <v>45499</v>
      </c>
      <c r="B879" s="57" t="n">
        <v>0.1319</v>
      </c>
      <c r="C879" s="57" t="n">
        <v>0.1289</v>
      </c>
      <c r="D879" s="57" t="n">
        <v>0.1284</v>
      </c>
      <c r="E879" s="57" t="n">
        <v>0.12922</v>
      </c>
      <c r="F879" s="57" t="n">
        <v>0.1381</v>
      </c>
      <c r="H879" s="57" t="n">
        <v>0.1422</v>
      </c>
    </row>
    <row r="880" customFormat="false" ht="15" hidden="false" customHeight="false" outlineLevel="0" collapsed="false">
      <c r="A880" s="52" t="n">
        <v>45502</v>
      </c>
      <c r="B880" s="57" t="n">
        <v>0.1352</v>
      </c>
      <c r="C880" s="57" t="n">
        <v>0.1288</v>
      </c>
      <c r="D880" s="57" t="n">
        <v>0.1262</v>
      </c>
      <c r="E880" s="57" t="n">
        <v>0.12922</v>
      </c>
      <c r="F880" s="57" t="n">
        <v>0.1391</v>
      </c>
      <c r="H880" s="57" t="n">
        <v>0.1362</v>
      </c>
    </row>
    <row r="881" customFormat="false" ht="15" hidden="false" customHeight="false" outlineLevel="0" collapsed="false">
      <c r="A881" s="52" t="n">
        <v>45503</v>
      </c>
      <c r="B881" s="57" t="n">
        <v>0.1358</v>
      </c>
      <c r="C881" s="57" t="n">
        <v>0.1287</v>
      </c>
      <c r="D881" s="57" t="n">
        <v>0.1264</v>
      </c>
      <c r="E881" s="57" t="n">
        <v>0.12922</v>
      </c>
      <c r="F881" s="57" t="n">
        <v>0.1399</v>
      </c>
      <c r="H881" s="57" t="n">
        <v>0.1342</v>
      </c>
    </row>
    <row r="882" customFormat="false" ht="15" hidden="false" customHeight="false" outlineLevel="0" collapsed="false">
      <c r="A882" s="52" t="n">
        <v>45504</v>
      </c>
      <c r="B882" s="57" t="n">
        <v>0.1309</v>
      </c>
      <c r="C882" s="57" t="n">
        <v>0.1273</v>
      </c>
      <c r="D882" s="57" t="n">
        <v>0.1257</v>
      </c>
      <c r="E882" s="57" t="n">
        <v>0.12922</v>
      </c>
      <c r="F882" s="57" t="n">
        <v>0.139</v>
      </c>
      <c r="H882" s="57" t="n">
        <v>0.1375</v>
      </c>
    </row>
    <row r="883" customFormat="false" ht="15" hidden="false" customHeight="false" outlineLevel="0" collapsed="false">
      <c r="A883" s="52" t="n">
        <v>45505</v>
      </c>
      <c r="B883" s="57" t="n">
        <v>0.131</v>
      </c>
      <c r="C883" s="57" t="n">
        <v>0.1267</v>
      </c>
      <c r="D883" s="57" t="n">
        <v>0.1236</v>
      </c>
      <c r="E883" s="57" t="n">
        <v>0.12922</v>
      </c>
      <c r="F883" s="57" t="n">
        <v>0.1385</v>
      </c>
      <c r="H883" s="57" t="n">
        <v>0.1342</v>
      </c>
    </row>
    <row r="884" customFormat="false" ht="15" hidden="false" customHeight="false" outlineLevel="0" collapsed="false">
      <c r="A884" s="52" t="n">
        <v>45506</v>
      </c>
      <c r="B884" s="57" t="n">
        <v>0.1285</v>
      </c>
      <c r="C884" s="57" t="n">
        <v>0.1265</v>
      </c>
      <c r="D884" s="57" t="n">
        <v>0.1252</v>
      </c>
      <c r="E884" s="57" t="n">
        <v>0.12922</v>
      </c>
      <c r="F884" s="57" t="n">
        <v>0.1364</v>
      </c>
      <c r="H884" s="57" t="n">
        <v>0.1302</v>
      </c>
    </row>
    <row r="885" customFormat="false" ht="15" hidden="false" customHeight="false" outlineLevel="0" collapsed="false">
      <c r="A885" s="52" t="n">
        <v>45509</v>
      </c>
      <c r="B885" s="57" t="n">
        <v>0.1289</v>
      </c>
      <c r="C885" s="57" t="n">
        <v>0.1255</v>
      </c>
      <c r="D885" s="57" t="n">
        <v>0.125</v>
      </c>
      <c r="E885" s="57" t="n">
        <v>0.12922</v>
      </c>
      <c r="F885" s="57" t="n">
        <v>0.1394</v>
      </c>
      <c r="H885" s="57" t="n">
        <v>0.1303</v>
      </c>
    </row>
    <row r="886" customFormat="false" ht="15" hidden="false" customHeight="false" outlineLevel="0" collapsed="false">
      <c r="A886" s="52" t="n">
        <v>45510</v>
      </c>
      <c r="B886" s="57" t="n">
        <v>0.1296</v>
      </c>
      <c r="C886" s="57" t="n">
        <v>0.1262</v>
      </c>
      <c r="D886" s="57" t="n">
        <v>0.1248</v>
      </c>
      <c r="E886" s="57" t="n">
        <v>0.12922</v>
      </c>
      <c r="F886" s="57" t="n">
        <v>0.1384</v>
      </c>
      <c r="H886" s="57" t="n">
        <v>0.1299</v>
      </c>
    </row>
    <row r="887" customFormat="false" ht="15" hidden="false" customHeight="false" outlineLevel="0" collapsed="false">
      <c r="A887" s="52" t="n">
        <v>45511</v>
      </c>
      <c r="B887" s="57" t="n">
        <v>0.1326</v>
      </c>
      <c r="C887" s="57" t="n">
        <v>0.1273</v>
      </c>
      <c r="D887" s="57" t="n">
        <v>0.1256</v>
      </c>
      <c r="E887" s="57" t="n">
        <v>0.12922</v>
      </c>
      <c r="F887" s="57" t="n">
        <v>0.1394</v>
      </c>
      <c r="H887" s="57" t="n">
        <v>0.13</v>
      </c>
    </row>
    <row r="888" customFormat="false" ht="15" hidden="false" customHeight="false" outlineLevel="0" collapsed="false">
      <c r="A888" s="52" t="n">
        <v>45512</v>
      </c>
      <c r="B888" s="57" t="n">
        <v>0.1325</v>
      </c>
      <c r="C888" s="57" t="n">
        <v>0.1271</v>
      </c>
      <c r="D888" s="57" t="n">
        <v>0.1251</v>
      </c>
      <c r="E888" s="57" t="n">
        <v>0.12922</v>
      </c>
      <c r="F888" s="57" t="n">
        <v>0.1384</v>
      </c>
      <c r="H888" s="57" t="n">
        <v>0.1299</v>
      </c>
    </row>
    <row r="889" customFormat="false" ht="15" hidden="false" customHeight="false" outlineLevel="0" collapsed="false">
      <c r="A889" s="52" t="n">
        <v>45513</v>
      </c>
      <c r="B889" s="57" t="n">
        <v>0.1327</v>
      </c>
      <c r="C889" s="57" t="n">
        <v>0.1268</v>
      </c>
      <c r="D889" s="57" t="n">
        <v>0.1254</v>
      </c>
      <c r="E889" s="57" t="n">
        <v>0.12922</v>
      </c>
      <c r="F889" s="57" t="n">
        <v>0.1387</v>
      </c>
      <c r="H889" s="57" t="n">
        <v>0.13</v>
      </c>
    </row>
    <row r="890" customFormat="false" ht="15" hidden="false" customHeight="false" outlineLevel="0" collapsed="false">
      <c r="A890" s="52" t="n">
        <v>45516</v>
      </c>
      <c r="B890" s="57" t="n">
        <v>0.1295</v>
      </c>
      <c r="C890" s="57" t="n">
        <v>0.1296</v>
      </c>
      <c r="D890" s="57" t="n">
        <v>0.1239</v>
      </c>
      <c r="E890" s="57" t="n">
        <v>0.12922</v>
      </c>
      <c r="F890" s="57" t="n">
        <v>0.1383</v>
      </c>
      <c r="H890" s="57" t="n">
        <v>0.1299</v>
      </c>
    </row>
    <row r="891" customFormat="false" ht="15" hidden="false" customHeight="false" outlineLevel="0" collapsed="false">
      <c r="A891" s="52" t="n">
        <v>45517</v>
      </c>
      <c r="B891" s="57" t="n">
        <v>0.1305</v>
      </c>
      <c r="C891" s="57" t="n">
        <v>0.1292</v>
      </c>
      <c r="D891" s="57" t="n">
        <v>0.1235</v>
      </c>
      <c r="E891" s="57" t="n">
        <v>0.13446</v>
      </c>
      <c r="F891" s="57" t="n">
        <v>0.1385</v>
      </c>
      <c r="H891" s="57" t="n">
        <v>0.1305</v>
      </c>
    </row>
    <row r="892" customFormat="false" ht="15" hidden="false" customHeight="false" outlineLevel="0" collapsed="false">
      <c r="A892" s="52" t="n">
        <v>45518</v>
      </c>
      <c r="B892" s="57" t="n">
        <v>0.1313</v>
      </c>
      <c r="C892" s="57" t="n">
        <v>0.1292</v>
      </c>
      <c r="D892" s="57" t="n">
        <v>0.1222</v>
      </c>
      <c r="E892" s="57" t="n">
        <v>0.13446</v>
      </c>
      <c r="F892" s="57" t="n">
        <v>0.1386</v>
      </c>
      <c r="H892" s="57" t="n">
        <v>0.1314</v>
      </c>
    </row>
    <row r="893" customFormat="false" ht="15" hidden="false" customHeight="false" outlineLevel="0" collapsed="false">
      <c r="A893" s="52" t="n">
        <v>45519</v>
      </c>
      <c r="B893" s="57" t="n">
        <v>0.1315</v>
      </c>
      <c r="C893" s="57" t="n">
        <v>0.129</v>
      </c>
      <c r="D893" s="57" t="n">
        <v>0.1227</v>
      </c>
      <c r="E893" s="57" t="n">
        <v>0.13396</v>
      </c>
      <c r="F893" s="57" t="n">
        <v>0.1387</v>
      </c>
      <c r="H893" s="57" t="n">
        <v>0.1303</v>
      </c>
    </row>
    <row r="894" customFormat="false" ht="15" hidden="false" customHeight="false" outlineLevel="0" collapsed="false">
      <c r="A894" s="52" t="n">
        <v>45520</v>
      </c>
      <c r="B894" s="57" t="n">
        <v>0.1325</v>
      </c>
      <c r="C894" s="57" t="n">
        <v>0.13</v>
      </c>
      <c r="D894" s="57" t="n">
        <v>0.122</v>
      </c>
      <c r="E894" s="57" t="n">
        <v>0.13396</v>
      </c>
      <c r="F894" s="57" t="n">
        <v>0.1385</v>
      </c>
      <c r="H894" s="57" t="n">
        <v>0.1314</v>
      </c>
    </row>
    <row r="895" customFormat="false" ht="15" hidden="false" customHeight="false" outlineLevel="0" collapsed="false">
      <c r="A895" s="52" t="n">
        <v>45523</v>
      </c>
      <c r="B895" s="57" t="n">
        <v>0.1319</v>
      </c>
      <c r="C895" s="57" t="n">
        <v>0.13</v>
      </c>
      <c r="D895" s="57" t="n">
        <v>0.1217</v>
      </c>
      <c r="E895" s="57" t="n">
        <v>0.13396</v>
      </c>
      <c r="F895" s="57" t="n">
        <v>0.1375</v>
      </c>
      <c r="H895" s="57" t="n">
        <v>0.132</v>
      </c>
    </row>
    <row r="896" customFormat="false" ht="15" hidden="false" customHeight="false" outlineLevel="0" collapsed="false">
      <c r="A896" s="52" t="n">
        <v>45524</v>
      </c>
      <c r="B896" s="57" t="n">
        <v>0.1326</v>
      </c>
      <c r="C896" s="57" t="n">
        <v>0.1296</v>
      </c>
      <c r="D896" s="57" t="n">
        <v>0.1227</v>
      </c>
      <c r="E896" s="57" t="n">
        <v>0.13396</v>
      </c>
      <c r="F896" s="57" t="n">
        <v>0.138</v>
      </c>
      <c r="H896" s="57" t="n">
        <v>0.1318</v>
      </c>
    </row>
    <row r="897" customFormat="false" ht="15" hidden="false" customHeight="false" outlineLevel="0" collapsed="false">
      <c r="A897" s="52" t="n">
        <v>45525</v>
      </c>
      <c r="B897" s="57" t="n">
        <v>0.1311</v>
      </c>
      <c r="C897" s="57" t="n">
        <v>0.1303</v>
      </c>
      <c r="D897" s="57" t="n">
        <v>0.1253</v>
      </c>
      <c r="E897" s="57" t="n">
        <v>0.13396</v>
      </c>
      <c r="F897" s="57" t="n">
        <v>0.1382</v>
      </c>
      <c r="H897" s="57" t="n">
        <v>0.1313</v>
      </c>
    </row>
    <row r="898" customFormat="false" ht="15" hidden="false" customHeight="false" outlineLevel="0" collapsed="false">
      <c r="A898" s="52" t="n">
        <v>45526</v>
      </c>
      <c r="B898" s="57" t="n">
        <v>0.1315</v>
      </c>
      <c r="C898" s="57" t="n">
        <v>0.1284</v>
      </c>
      <c r="D898" s="57" t="n">
        <v>0.1251</v>
      </c>
      <c r="E898" s="57" t="n">
        <v>0.13396</v>
      </c>
      <c r="F898" s="57" t="n">
        <v>0.138</v>
      </c>
      <c r="H898" s="57" t="n">
        <v>0.1312</v>
      </c>
    </row>
    <row r="899" customFormat="false" ht="15" hidden="false" customHeight="false" outlineLevel="0" collapsed="false">
      <c r="A899" s="52" t="n">
        <v>45527</v>
      </c>
      <c r="B899" s="57" t="n">
        <v>0.1317</v>
      </c>
      <c r="C899" s="57" t="n">
        <v>0.1275</v>
      </c>
      <c r="D899" s="57" t="n">
        <v>0.1248</v>
      </c>
      <c r="E899" s="57" t="n">
        <v>0.13396</v>
      </c>
      <c r="F899" s="57" t="n">
        <v>0.1374</v>
      </c>
      <c r="H899" s="57" t="n">
        <v>0.1313</v>
      </c>
    </row>
    <row r="900" customFormat="false" ht="15" hidden="false" customHeight="false" outlineLevel="0" collapsed="false">
      <c r="A900" s="52" t="n">
        <v>45530</v>
      </c>
      <c r="B900" s="57" t="n">
        <v>0.1351</v>
      </c>
      <c r="C900" s="57" t="n">
        <v>0.1312</v>
      </c>
      <c r="D900" s="57" t="n">
        <v>0.122</v>
      </c>
      <c r="E900" s="57" t="n">
        <v>0.13396</v>
      </c>
      <c r="F900" s="57" t="n">
        <v>0.1437</v>
      </c>
      <c r="H900" s="57" t="n">
        <v>0.1314</v>
      </c>
    </row>
    <row r="901" customFormat="false" ht="15" hidden="false" customHeight="false" outlineLevel="0" collapsed="false">
      <c r="A901" s="52" t="n">
        <v>45531</v>
      </c>
      <c r="B901" s="57" t="n">
        <v>0.1346</v>
      </c>
      <c r="C901" s="57" t="n">
        <v>0.1303</v>
      </c>
      <c r="D901" s="57" t="n">
        <v>0.1201</v>
      </c>
      <c r="E901" s="57" t="n">
        <v>0.13396</v>
      </c>
      <c r="F901" s="57" t="n">
        <v>0.1383</v>
      </c>
      <c r="H901" s="57" t="n">
        <v>0.1319</v>
      </c>
    </row>
    <row r="902" customFormat="false" ht="15" hidden="false" customHeight="false" outlineLevel="0" collapsed="false">
      <c r="A902" s="52" t="n">
        <v>45532</v>
      </c>
      <c r="B902" s="57" t="n">
        <v>0.1329</v>
      </c>
      <c r="C902" s="57" t="n">
        <v>0.1306</v>
      </c>
      <c r="D902" s="57" t="n">
        <v>0.1234</v>
      </c>
      <c r="E902" s="57" t="n">
        <v>0.13396</v>
      </c>
      <c r="F902" s="57" t="n">
        <v>0.1385</v>
      </c>
      <c r="H902" s="57" t="n">
        <v>0.1324</v>
      </c>
    </row>
    <row r="903" customFormat="false" ht="15" hidden="false" customHeight="false" outlineLevel="0" collapsed="false">
      <c r="A903" s="52" t="n">
        <v>45533</v>
      </c>
      <c r="B903" s="57" t="n">
        <v>0.1332</v>
      </c>
      <c r="C903" s="57" t="n">
        <v>0.13</v>
      </c>
      <c r="D903" s="57" t="n">
        <v>0.1228</v>
      </c>
      <c r="E903" s="57" t="n">
        <v>0.13396</v>
      </c>
      <c r="F903" s="57" t="n">
        <v>0.1375</v>
      </c>
      <c r="H903" s="57" t="n">
        <v>0.1329</v>
      </c>
    </row>
    <row r="904" customFormat="false" ht="15" hidden="false" customHeight="false" outlineLevel="0" collapsed="false">
      <c r="A904" s="52" t="n">
        <v>45537</v>
      </c>
      <c r="B904" s="57" t="n">
        <v>0.1345</v>
      </c>
      <c r="C904" s="57" t="n">
        <v>0.13</v>
      </c>
      <c r="D904" s="57" t="n">
        <v>0.1202</v>
      </c>
      <c r="E904" s="57" t="n">
        <v>0.13396</v>
      </c>
      <c r="F904" s="57" t="n">
        <v>0.1366</v>
      </c>
      <c r="H904" s="57" t="n">
        <v>0.1307</v>
      </c>
    </row>
    <row r="905" customFormat="false" ht="15" hidden="false" customHeight="false" outlineLevel="0" collapsed="false">
      <c r="A905" s="52" t="n">
        <v>45538</v>
      </c>
      <c r="B905" s="57" t="n">
        <v>0.1337</v>
      </c>
      <c r="C905" s="57" t="n">
        <v>0.1308</v>
      </c>
      <c r="D905" s="57" t="n">
        <v>0.1206</v>
      </c>
      <c r="E905" s="57" t="n">
        <v>0.13396</v>
      </c>
      <c r="F905" s="57" t="n">
        <v>0.1379</v>
      </c>
      <c r="H905" s="57" t="n">
        <v>0.1297</v>
      </c>
    </row>
    <row r="906" customFormat="false" ht="15" hidden="false" customHeight="false" outlineLevel="0" collapsed="false">
      <c r="A906" s="52" t="n">
        <v>45539</v>
      </c>
      <c r="B906" s="57" t="n">
        <v>0.1326</v>
      </c>
      <c r="C906" s="57" t="n">
        <v>0.1315</v>
      </c>
      <c r="D906" s="57" t="n">
        <v>0.1232</v>
      </c>
      <c r="E906" s="57" t="n">
        <v>0.13396</v>
      </c>
      <c r="F906" s="57" t="n">
        <v>0.1365</v>
      </c>
      <c r="H906" s="57" t="n">
        <v>0.1304</v>
      </c>
    </row>
    <row r="907" customFormat="false" ht="15" hidden="false" customHeight="false" outlineLevel="0" collapsed="false">
      <c r="A907" s="52" t="n">
        <v>45540</v>
      </c>
      <c r="B907" s="57" t="n">
        <v>0.134</v>
      </c>
      <c r="C907" s="57" t="n">
        <v>0.1319</v>
      </c>
      <c r="D907" s="57" t="n">
        <v>0.1224</v>
      </c>
      <c r="E907" s="57" t="n">
        <v>0.13396</v>
      </c>
      <c r="F907" s="57" t="n">
        <v>0.1369</v>
      </c>
      <c r="H907" s="57" t="n">
        <v>0.1318</v>
      </c>
    </row>
    <row r="908" customFormat="false" ht="15" hidden="false" customHeight="false" outlineLevel="0" collapsed="false">
      <c r="A908" s="52" t="n">
        <v>45541</v>
      </c>
      <c r="B908" s="57" t="n">
        <v>0.1333</v>
      </c>
      <c r="C908" s="57" t="n">
        <v>0.1305</v>
      </c>
      <c r="D908" s="57" t="n">
        <v>0.1224</v>
      </c>
      <c r="E908" s="57" t="n">
        <v>0.13396</v>
      </c>
      <c r="F908" s="57" t="n">
        <v>0.1369</v>
      </c>
      <c r="H908" s="57" t="n">
        <v>0.1325</v>
      </c>
    </row>
    <row r="909" customFormat="false" ht="15" hidden="false" customHeight="false" outlineLevel="0" collapsed="false">
      <c r="A909" s="52" t="n">
        <v>45544</v>
      </c>
      <c r="B909" s="57" t="n">
        <v>0.1316</v>
      </c>
      <c r="C909" s="57" t="n">
        <v>0.1308</v>
      </c>
      <c r="D909" s="57" t="n">
        <v>0.1231</v>
      </c>
      <c r="E909" s="57" t="n">
        <v>0.13396</v>
      </c>
      <c r="F909" s="57" t="n">
        <v>0.1372</v>
      </c>
      <c r="H909" s="57" t="n">
        <v>0.135</v>
      </c>
    </row>
    <row r="910" customFormat="false" ht="15" hidden="false" customHeight="false" outlineLevel="0" collapsed="false">
      <c r="A910" s="52" t="n">
        <v>45545</v>
      </c>
      <c r="B910" s="57" t="n">
        <v>0.1335</v>
      </c>
      <c r="C910" s="57" t="n">
        <v>0.1289</v>
      </c>
      <c r="D910" s="57" t="n">
        <v>0.1232</v>
      </c>
      <c r="E910" s="57" t="n">
        <v>0.13396</v>
      </c>
      <c r="F910" s="57" t="n">
        <v>0.1378</v>
      </c>
      <c r="H910" s="57" t="n">
        <v>0.1376</v>
      </c>
    </row>
    <row r="911" customFormat="false" ht="15" hidden="false" customHeight="false" outlineLevel="0" collapsed="false">
      <c r="A911" s="52" t="n">
        <v>45546</v>
      </c>
      <c r="B911" s="57" t="n">
        <v>0.1343</v>
      </c>
      <c r="C911" s="57" t="n">
        <v>0.1298</v>
      </c>
      <c r="D911" s="57" t="n">
        <v>0.123</v>
      </c>
      <c r="E911" s="57" t="n">
        <v>0.13396</v>
      </c>
      <c r="F911" s="57" t="n">
        <v>0.1372</v>
      </c>
      <c r="H911" s="57" t="n">
        <v>0.1362</v>
      </c>
    </row>
    <row r="912" customFormat="false" ht="15" hidden="false" customHeight="false" outlineLevel="0" collapsed="false">
      <c r="A912" s="52" t="n">
        <v>45547</v>
      </c>
      <c r="B912" s="57" t="n">
        <v>0.1339</v>
      </c>
      <c r="C912" s="57" t="n">
        <v>0.1294</v>
      </c>
      <c r="D912" s="57" t="n">
        <v>0.1222</v>
      </c>
      <c r="E912" s="57" t="n">
        <v>0.13396</v>
      </c>
      <c r="F912" s="57" t="n">
        <v>0.1368</v>
      </c>
      <c r="H912" s="57" t="n">
        <v>0.1325</v>
      </c>
    </row>
    <row r="913" customFormat="false" ht="15" hidden="false" customHeight="false" outlineLevel="0" collapsed="false">
      <c r="A913" s="52" t="n">
        <v>45548</v>
      </c>
      <c r="B913" s="57" t="n">
        <v>0.1331</v>
      </c>
      <c r="C913" s="57" t="n">
        <v>0.1301</v>
      </c>
      <c r="D913" s="57" t="n">
        <v>0.121</v>
      </c>
      <c r="E913" s="57" t="n">
        <v>0.13396</v>
      </c>
      <c r="F913" s="57" t="n">
        <v>0.1377</v>
      </c>
      <c r="H913" s="57" t="n">
        <v>0.1322</v>
      </c>
    </row>
    <row r="914" customFormat="false" ht="15" hidden="false" customHeight="false" outlineLevel="0" collapsed="false">
      <c r="A914" s="52" t="n">
        <v>45551</v>
      </c>
      <c r="B914" s="57" t="n">
        <v>0.1331</v>
      </c>
      <c r="C914" s="57" t="n">
        <v>0.1307</v>
      </c>
      <c r="D914" s="57" t="n">
        <v>0.1213</v>
      </c>
      <c r="E914" s="57" t="n">
        <v>0.13396</v>
      </c>
      <c r="F914" s="57" t="n">
        <v>0.1363</v>
      </c>
      <c r="H914" s="57" t="n">
        <v>0.1334</v>
      </c>
    </row>
    <row r="915" customFormat="false" ht="15" hidden="false" customHeight="false" outlineLevel="0" collapsed="false">
      <c r="A915" s="52" t="n">
        <v>45552</v>
      </c>
      <c r="B915" s="57" t="n">
        <v>0.1334</v>
      </c>
      <c r="C915" s="57" t="n">
        <v>0.1302</v>
      </c>
      <c r="D915" s="57" t="n">
        <v>0.1216</v>
      </c>
      <c r="E915" s="57" t="n">
        <v>0.13396</v>
      </c>
      <c r="F915" s="57" t="n">
        <v>0.1365</v>
      </c>
      <c r="H915" s="57" t="n">
        <v>0.1335</v>
      </c>
    </row>
    <row r="916" customFormat="false" ht="15" hidden="false" customHeight="false" outlineLevel="0" collapsed="false">
      <c r="A916" s="52" t="n">
        <v>45553</v>
      </c>
      <c r="B916" s="57" t="n">
        <v>0.1314</v>
      </c>
      <c r="C916" s="57" t="n">
        <v>0.1298</v>
      </c>
      <c r="D916" s="57" t="n">
        <v>0.1247</v>
      </c>
      <c r="E916" s="57" t="n">
        <v>0.13396</v>
      </c>
      <c r="F916" s="57" t="n">
        <v>0.1375</v>
      </c>
      <c r="H916" s="57" t="n">
        <v>0.1329</v>
      </c>
    </row>
    <row r="917" customFormat="false" ht="15" hidden="false" customHeight="false" outlineLevel="0" collapsed="false">
      <c r="A917" s="52" t="n">
        <v>45554</v>
      </c>
      <c r="B917" s="57" t="n">
        <v>0.1342</v>
      </c>
      <c r="C917" s="57" t="n">
        <v>0.1279</v>
      </c>
      <c r="D917" s="57" t="n">
        <v>0.1251</v>
      </c>
      <c r="E917" s="57" t="n">
        <v>0.13396</v>
      </c>
      <c r="F917" s="57" t="n">
        <v>0.1379</v>
      </c>
      <c r="H917" s="57" t="n">
        <v>0.1326</v>
      </c>
    </row>
    <row r="918" customFormat="false" ht="15" hidden="false" customHeight="false" outlineLevel="0" collapsed="false">
      <c r="A918" s="52" t="n">
        <v>45555</v>
      </c>
      <c r="B918" s="57" t="n">
        <v>0.1345</v>
      </c>
      <c r="C918" s="57" t="n">
        <v>0.1279</v>
      </c>
      <c r="D918" s="57" t="n">
        <v>0.1257</v>
      </c>
      <c r="E918" s="57" t="n">
        <v>0.13396</v>
      </c>
      <c r="F918" s="57" t="n">
        <v>0.138</v>
      </c>
      <c r="H918" s="57" t="n">
        <v>0.1326</v>
      </c>
    </row>
    <row r="919" customFormat="false" ht="15" hidden="false" customHeight="false" outlineLevel="0" collapsed="false">
      <c r="A919" s="52" t="n">
        <v>45558</v>
      </c>
      <c r="B919" s="57" t="n">
        <v>0.1348</v>
      </c>
      <c r="C919" s="57" t="n">
        <v>0.1289</v>
      </c>
      <c r="D919" s="57" t="n">
        <v>0.1259</v>
      </c>
      <c r="E919" s="57" t="n">
        <v>0.13396</v>
      </c>
      <c r="F919" s="57" t="n">
        <v>0.1373</v>
      </c>
      <c r="H919" s="57" t="n">
        <v>0.1338</v>
      </c>
    </row>
    <row r="920" customFormat="false" ht="15" hidden="false" customHeight="false" outlineLevel="0" collapsed="false">
      <c r="A920" s="52" t="n">
        <v>45559</v>
      </c>
      <c r="B920" s="57" t="n">
        <v>0.1344</v>
      </c>
      <c r="C920" s="57" t="n">
        <v>0.1271</v>
      </c>
      <c r="D920" s="57" t="n">
        <v>0.1248</v>
      </c>
      <c r="E920" s="57" t="n">
        <v>0.13288</v>
      </c>
      <c r="F920" s="57" t="n">
        <v>0.1372</v>
      </c>
      <c r="H920" s="57" t="n">
        <v>0.1417</v>
      </c>
    </row>
    <row r="921" customFormat="false" ht="15" hidden="false" customHeight="false" outlineLevel="0" collapsed="false">
      <c r="A921" s="52" t="n">
        <v>45560</v>
      </c>
      <c r="B921" s="57" t="n">
        <v>0.1355</v>
      </c>
      <c r="C921" s="57" t="n">
        <v>0.1287</v>
      </c>
      <c r="D921" s="57" t="n">
        <v>0.1229</v>
      </c>
      <c r="E921" s="57" t="n">
        <v>0.13288</v>
      </c>
      <c r="F921" s="57" t="n">
        <v>0.1365</v>
      </c>
      <c r="H921" s="57" t="n">
        <v>0.1444</v>
      </c>
    </row>
    <row r="922" customFormat="false" ht="15" hidden="false" customHeight="false" outlineLevel="0" collapsed="false">
      <c r="A922" s="52" t="n">
        <v>45561</v>
      </c>
      <c r="B922" s="57" t="n">
        <v>0.1296</v>
      </c>
      <c r="C922" s="57" t="n">
        <v>0.1264</v>
      </c>
      <c r="D922" s="57" t="n">
        <v>0.1239</v>
      </c>
      <c r="E922" s="57" t="n">
        <v>0.13288</v>
      </c>
      <c r="F922" s="57" t="n">
        <v>0.1354</v>
      </c>
      <c r="H922" s="57" t="n">
        <v>0.1406</v>
      </c>
    </row>
    <row r="923" customFormat="false" ht="15" hidden="false" customHeight="false" outlineLevel="0" collapsed="false">
      <c r="A923" s="52" t="n">
        <v>45562</v>
      </c>
      <c r="B923" s="57" t="n">
        <v>0.1277</v>
      </c>
      <c r="C923" s="57" t="n">
        <v>0.1248</v>
      </c>
      <c r="D923" s="57" t="n">
        <v>0.1229</v>
      </c>
      <c r="E923" s="57" t="n">
        <v>0.13288</v>
      </c>
      <c r="F923" s="57" t="n">
        <v>0.1361</v>
      </c>
      <c r="H923" s="57" t="n">
        <v>0.1339</v>
      </c>
    </row>
    <row r="924" customFormat="false" ht="15" hidden="false" customHeight="false" outlineLevel="0" collapsed="false">
      <c r="A924" s="52" t="n">
        <v>45565</v>
      </c>
      <c r="B924" s="57" t="n">
        <v>0.1314</v>
      </c>
      <c r="C924" s="57" t="n">
        <v>0.1254</v>
      </c>
      <c r="D924" s="57" t="n">
        <v>0.1223</v>
      </c>
      <c r="E924" s="57" t="n">
        <v>0.13288</v>
      </c>
      <c r="F924" s="57" t="n">
        <v>0.1344</v>
      </c>
      <c r="H924" s="57" t="n">
        <v>0.1318</v>
      </c>
    </row>
    <row r="925" customFormat="false" ht="15" hidden="false" customHeight="false" outlineLevel="0" collapsed="false">
      <c r="A925" s="52" t="n">
        <v>45566</v>
      </c>
      <c r="B925" s="57" t="n">
        <v>0.1278</v>
      </c>
      <c r="C925" s="57" t="n">
        <v>0.124</v>
      </c>
      <c r="D925" s="57" t="n">
        <v>0.1231</v>
      </c>
      <c r="E925" s="57" t="n">
        <v>0.13288</v>
      </c>
      <c r="F925" s="57" t="n">
        <v>0.1354</v>
      </c>
      <c r="H925" s="57" t="n">
        <v>0.1323</v>
      </c>
    </row>
    <row r="926" customFormat="false" ht="15" hidden="false" customHeight="false" outlineLevel="0" collapsed="false">
      <c r="A926" s="52" t="n">
        <v>45567</v>
      </c>
      <c r="B926" s="57" t="n">
        <v>0.1276</v>
      </c>
      <c r="C926" s="57" t="n">
        <v>0.1244</v>
      </c>
      <c r="D926" s="57" t="n">
        <v>0.1226</v>
      </c>
      <c r="E926" s="57" t="n">
        <v>0.13288</v>
      </c>
      <c r="F926" s="57" t="n">
        <v>0.1363</v>
      </c>
      <c r="H926" s="57" t="n">
        <v>0.1328</v>
      </c>
    </row>
    <row r="927" customFormat="false" ht="15" hidden="false" customHeight="false" outlineLevel="0" collapsed="false">
      <c r="A927" s="52" t="n">
        <v>45568</v>
      </c>
      <c r="B927" s="57" t="n">
        <v>0.1276</v>
      </c>
      <c r="C927" s="57" t="n">
        <v>0.1225</v>
      </c>
      <c r="D927" s="57" t="n">
        <v>0.1217</v>
      </c>
      <c r="E927" s="57" t="n">
        <v>0.13288</v>
      </c>
      <c r="F927" s="57" t="n">
        <v>0.1354</v>
      </c>
      <c r="H927" s="57" t="n">
        <v>0.1333</v>
      </c>
    </row>
    <row r="928" customFormat="false" ht="15" hidden="false" customHeight="false" outlineLevel="0" collapsed="false">
      <c r="A928" s="52" t="n">
        <v>45569</v>
      </c>
      <c r="B928" s="57" t="n">
        <v>0.1231</v>
      </c>
      <c r="C928" s="57" t="n">
        <v>0.1239</v>
      </c>
      <c r="D928" s="57" t="n">
        <v>0.1211</v>
      </c>
      <c r="E928" s="57" t="n">
        <v>0.13288</v>
      </c>
      <c r="F928" s="57" t="n">
        <v>0.1354</v>
      </c>
      <c r="H928" s="57" t="n">
        <v>0.1352</v>
      </c>
    </row>
    <row r="929" customFormat="false" ht="15" hidden="false" customHeight="false" outlineLevel="0" collapsed="false">
      <c r="A929" s="52" t="n">
        <v>45572</v>
      </c>
      <c r="B929" s="57" t="n">
        <v>0.127</v>
      </c>
      <c r="C929" s="57" t="n">
        <v>0.1248</v>
      </c>
      <c r="D929" s="57" t="n">
        <v>0.1223</v>
      </c>
      <c r="E929" s="57" t="n">
        <v>0.13288</v>
      </c>
      <c r="F929" s="57" t="n">
        <v>0.1363</v>
      </c>
      <c r="H929" s="57" t="n">
        <v>0.1385</v>
      </c>
    </row>
    <row r="930" customFormat="false" ht="15" hidden="false" customHeight="false" outlineLevel="0" collapsed="false">
      <c r="A930" s="52" t="n">
        <v>45573</v>
      </c>
      <c r="B930" s="57" t="n">
        <v>0.1266</v>
      </c>
      <c r="C930" s="57" t="n">
        <v>0.124</v>
      </c>
      <c r="D930" s="57" t="n">
        <v>0.1217</v>
      </c>
      <c r="E930" s="57" t="n">
        <v>0.1335</v>
      </c>
      <c r="F930" s="57" t="n">
        <v>0.1366</v>
      </c>
      <c r="H930" s="57" t="n">
        <v>0.141</v>
      </c>
    </row>
    <row r="931" customFormat="false" ht="15" hidden="false" customHeight="false" outlineLevel="0" collapsed="false">
      <c r="A931" s="52" t="n">
        <v>45574</v>
      </c>
      <c r="B931" s="57" t="n">
        <v>0.1261</v>
      </c>
      <c r="C931" s="57" t="n">
        <v>0.1242</v>
      </c>
      <c r="D931" s="57" t="n">
        <v>0.1221</v>
      </c>
      <c r="E931" s="57" t="n">
        <v>0.1335</v>
      </c>
      <c r="F931" s="57" t="n">
        <v>0.1373</v>
      </c>
      <c r="H931" s="57" t="n">
        <v>0.1379</v>
      </c>
    </row>
    <row r="932" customFormat="false" ht="15" hidden="false" customHeight="false" outlineLevel="0" collapsed="false">
      <c r="A932" s="52" t="n">
        <v>45575</v>
      </c>
      <c r="B932" s="57" t="n">
        <v>0.1265</v>
      </c>
      <c r="C932" s="57" t="n">
        <v>0.124</v>
      </c>
      <c r="D932" s="57" t="n">
        <v>0.1218</v>
      </c>
      <c r="E932" s="57" t="n">
        <v>0.1335</v>
      </c>
      <c r="F932" s="57" t="n">
        <v>0.1361</v>
      </c>
      <c r="H932" s="57" t="n">
        <v>0.1399</v>
      </c>
    </row>
    <row r="933" customFormat="false" ht="15" hidden="false" customHeight="false" outlineLevel="0" collapsed="false">
      <c r="A933" s="52" t="n">
        <v>45576</v>
      </c>
      <c r="B933" s="57" t="n">
        <v>0.1262</v>
      </c>
      <c r="C933" s="57" t="n">
        <v>0.1228</v>
      </c>
      <c r="D933" s="57" t="n">
        <v>0.122</v>
      </c>
      <c r="E933" s="57" t="n">
        <v>0.1335</v>
      </c>
      <c r="F933" s="57" t="n">
        <v>0.1356</v>
      </c>
      <c r="H933" s="57" t="n">
        <v>0.1383</v>
      </c>
    </row>
    <row r="934" customFormat="false" ht="15" hidden="false" customHeight="false" outlineLevel="0" collapsed="false">
      <c r="A934" s="52" t="n">
        <v>45579</v>
      </c>
      <c r="B934" s="57" t="n">
        <v>0.1261</v>
      </c>
      <c r="C934" s="57" t="n">
        <v>0.1231</v>
      </c>
      <c r="D934" s="57" t="n">
        <v>0.1223</v>
      </c>
      <c r="E934" s="57" t="n">
        <v>0.1335</v>
      </c>
      <c r="F934" s="57" t="n">
        <v>0.136</v>
      </c>
      <c r="H934" s="57" t="n">
        <v>0.1379</v>
      </c>
    </row>
    <row r="935" customFormat="false" ht="15" hidden="false" customHeight="false" outlineLevel="0" collapsed="false">
      <c r="A935" s="52" t="n">
        <v>45580</v>
      </c>
      <c r="B935" s="57" t="n">
        <v>0.1265</v>
      </c>
      <c r="C935" s="57" t="n">
        <v>0.1234</v>
      </c>
      <c r="D935" s="57" t="n">
        <v>0.1231</v>
      </c>
      <c r="E935" s="57" t="n">
        <v>0.1335</v>
      </c>
      <c r="F935" s="57" t="n">
        <v>0.1387</v>
      </c>
      <c r="H935" s="57" t="n">
        <v>0.138</v>
      </c>
    </row>
    <row r="936" customFormat="false" ht="15" hidden="false" customHeight="false" outlineLevel="0" collapsed="false">
      <c r="A936" s="52" t="n">
        <v>45581</v>
      </c>
      <c r="B936" s="57" t="n">
        <v>0.1261</v>
      </c>
      <c r="C936" s="57" t="n">
        <v>0.1245</v>
      </c>
      <c r="D936" s="57" t="n">
        <v>0.1242</v>
      </c>
      <c r="E936" s="57" t="n">
        <v>0.1335</v>
      </c>
      <c r="F936" s="57" t="n">
        <v>0.1366</v>
      </c>
      <c r="H936" s="57" t="n">
        <v>0.1394</v>
      </c>
    </row>
    <row r="937" customFormat="false" ht="15" hidden="false" customHeight="false" outlineLevel="0" collapsed="false">
      <c r="A937" s="52" t="n">
        <v>45582</v>
      </c>
      <c r="B937" s="57" t="n">
        <v>0.1281</v>
      </c>
      <c r="C937" s="57" t="n">
        <v>0.1251</v>
      </c>
      <c r="D937" s="57" t="n">
        <v>0.1243</v>
      </c>
      <c r="E937" s="57" t="n">
        <v>0.13</v>
      </c>
      <c r="F937" s="57" t="n">
        <v>0.1359</v>
      </c>
      <c r="H937" s="57" t="n">
        <v>0.1384</v>
      </c>
    </row>
    <row r="938" customFormat="false" ht="15" hidden="false" customHeight="false" outlineLevel="0" collapsed="false">
      <c r="A938" s="52" t="n">
        <v>45583</v>
      </c>
      <c r="B938" s="57" t="n">
        <v>0.1332</v>
      </c>
      <c r="C938" s="57" t="n">
        <v>0.1271</v>
      </c>
      <c r="D938" s="57" t="n">
        <v>0.1233</v>
      </c>
      <c r="E938" s="57" t="n">
        <v>0.13</v>
      </c>
      <c r="F938" s="57" t="n">
        <v>0.1356</v>
      </c>
      <c r="H938" s="57" t="n">
        <v>0.1377</v>
      </c>
    </row>
    <row r="939" customFormat="false" ht="15" hidden="false" customHeight="false" outlineLevel="0" collapsed="false">
      <c r="A939" s="52" t="n">
        <v>45586</v>
      </c>
      <c r="B939" s="57" t="n">
        <v>0.1335</v>
      </c>
      <c r="C939" s="57" t="n">
        <v>0.1276</v>
      </c>
      <c r="D939" s="57" t="n">
        <v>0.1231</v>
      </c>
      <c r="E939" s="57" t="n">
        <v>0.13</v>
      </c>
      <c r="F939" s="57" t="n">
        <v>0.1369</v>
      </c>
      <c r="H939" s="57" t="n">
        <v>0.1403</v>
      </c>
    </row>
    <row r="940" customFormat="false" ht="15" hidden="false" customHeight="false" outlineLevel="0" collapsed="false">
      <c r="A940" s="52" t="n">
        <v>45587</v>
      </c>
      <c r="B940" s="57" t="n">
        <v>0.1329</v>
      </c>
      <c r="C940" s="57" t="n">
        <v>0.1282</v>
      </c>
      <c r="D940" s="57" t="n">
        <v>0.1237</v>
      </c>
      <c r="E940" s="57" t="n">
        <v>0.13</v>
      </c>
      <c r="F940" s="57" t="n">
        <v>0.1367</v>
      </c>
      <c r="H940" s="57" t="n">
        <v>0.1452</v>
      </c>
    </row>
    <row r="941" customFormat="false" ht="15" hidden="false" customHeight="false" outlineLevel="0" collapsed="false">
      <c r="A941" s="52" t="n">
        <v>45588</v>
      </c>
      <c r="B941" s="57" t="n">
        <v>0.1357</v>
      </c>
      <c r="C941" s="57" t="n">
        <v>0.1259</v>
      </c>
      <c r="D941" s="57" t="n">
        <v>0.1232</v>
      </c>
      <c r="E941" s="57" t="n">
        <v>0.13</v>
      </c>
      <c r="F941" s="57" t="n">
        <v>0.136</v>
      </c>
      <c r="H941" s="57" t="n">
        <v>0.1379</v>
      </c>
    </row>
    <row r="942" customFormat="false" ht="15" hidden="false" customHeight="false" outlineLevel="0" collapsed="false">
      <c r="A942" s="52" t="n">
        <v>45589</v>
      </c>
      <c r="B942" s="57" t="n">
        <v>0.1323</v>
      </c>
      <c r="C942" s="57" t="n">
        <v>0.1262</v>
      </c>
      <c r="D942" s="57" t="n">
        <v>0.1217</v>
      </c>
      <c r="E942" s="57" t="n">
        <v>0.13</v>
      </c>
      <c r="F942" s="57" t="n">
        <v>0.1358</v>
      </c>
      <c r="H942" s="57" t="n">
        <v>0.1381</v>
      </c>
    </row>
    <row r="943" customFormat="false" ht="15" hidden="false" customHeight="false" outlineLevel="0" collapsed="false">
      <c r="A943" s="52" t="n">
        <v>45593</v>
      </c>
      <c r="B943" s="57" t="n">
        <v>0.1299</v>
      </c>
      <c r="C943" s="57" t="n">
        <v>0.1258</v>
      </c>
      <c r="D943" s="57" t="n">
        <v>0.121</v>
      </c>
      <c r="E943" s="57" t="n">
        <v>0.13</v>
      </c>
      <c r="F943" s="57" t="n">
        <v>0.1351</v>
      </c>
      <c r="H943" s="57" t="n">
        <v>0.1377</v>
      </c>
    </row>
    <row r="944" customFormat="false" ht="15" hidden="false" customHeight="false" outlineLevel="0" collapsed="false">
      <c r="A944" s="52" t="n">
        <v>45594</v>
      </c>
      <c r="B944" s="57" t="n">
        <v>0.134</v>
      </c>
      <c r="C944" s="57" t="n">
        <v>0.1259</v>
      </c>
      <c r="D944" s="57" t="n">
        <v>0.1201</v>
      </c>
      <c r="E944" s="57" t="n">
        <v>0.13</v>
      </c>
      <c r="F944" s="57" t="n">
        <v>0.1364</v>
      </c>
      <c r="H944" s="57" t="n">
        <v>0.135</v>
      </c>
    </row>
    <row r="945" customFormat="false" ht="15" hidden="false" customHeight="false" outlineLevel="0" collapsed="false">
      <c r="A945" s="52" t="n">
        <v>45595</v>
      </c>
      <c r="B945" s="57" t="n">
        <v>0.1322</v>
      </c>
      <c r="C945" s="57" t="n">
        <v>0.1255</v>
      </c>
      <c r="D945" s="57" t="n">
        <v>0.1196</v>
      </c>
      <c r="E945" s="57" t="n">
        <v>0.13</v>
      </c>
      <c r="F945" s="57" t="n">
        <v>0.1358</v>
      </c>
      <c r="H945" s="57" t="n">
        <v>0.1358</v>
      </c>
    </row>
    <row r="946" customFormat="false" ht="15" hidden="false" customHeight="false" outlineLevel="0" collapsed="false">
      <c r="A946" s="52" t="n">
        <v>45596</v>
      </c>
      <c r="B946" s="57" t="n">
        <v>0.1314</v>
      </c>
      <c r="C946" s="57" t="n">
        <v>0.1239</v>
      </c>
      <c r="D946" s="57" t="n">
        <v>0.1188</v>
      </c>
      <c r="E946" s="57" t="n">
        <v>0.13</v>
      </c>
      <c r="F946" s="57" t="n">
        <v>0.1359</v>
      </c>
      <c r="H946" s="57" t="n">
        <v>0.1367</v>
      </c>
    </row>
    <row r="947" customFormat="false" ht="15" hidden="false" customHeight="false" outlineLevel="0" collapsed="false">
      <c r="A947" s="52" t="n">
        <v>45597</v>
      </c>
      <c r="B947" s="57" t="n">
        <v>0.1305</v>
      </c>
      <c r="C947" s="57" t="n">
        <v>0.1234</v>
      </c>
      <c r="D947" s="57" t="n">
        <v>0.1178</v>
      </c>
      <c r="E947" s="57" t="n">
        <v>0.13</v>
      </c>
      <c r="F947" s="57" t="n">
        <v>0.1367</v>
      </c>
      <c r="H947" s="57" t="n">
        <v>0.1362</v>
      </c>
    </row>
    <row r="948" customFormat="false" ht="15" hidden="false" customHeight="false" outlineLevel="0" collapsed="false">
      <c r="A948" s="52" t="n">
        <v>45600</v>
      </c>
      <c r="B948" s="57" t="n">
        <v>0.1286</v>
      </c>
      <c r="C948" s="57" t="n">
        <v>0.1216</v>
      </c>
      <c r="D948" s="57" t="n">
        <v>0.1187</v>
      </c>
      <c r="E948" s="57" t="n">
        <v>0.13</v>
      </c>
      <c r="F948" s="57" t="n">
        <v>0.137</v>
      </c>
      <c r="H948" s="57" t="n">
        <v>0.1363</v>
      </c>
    </row>
    <row r="949" customFormat="false" ht="15" hidden="false" customHeight="false" outlineLevel="0" collapsed="false">
      <c r="A949" s="52" t="n">
        <v>45601</v>
      </c>
      <c r="B949" s="57" t="n">
        <v>0.1288</v>
      </c>
      <c r="C949" s="57" t="n">
        <v>0.1214</v>
      </c>
      <c r="D949" s="57" t="n">
        <v>0.1187</v>
      </c>
      <c r="E949" s="57" t="n">
        <v>0.13</v>
      </c>
      <c r="F949" s="57" t="n">
        <v>0.1365</v>
      </c>
      <c r="H949" s="57" t="n">
        <v>0.1366</v>
      </c>
    </row>
    <row r="950" customFormat="false" ht="15" hidden="false" customHeight="false" outlineLevel="0" collapsed="false">
      <c r="A950" s="52" t="n">
        <v>45602</v>
      </c>
      <c r="B950" s="57" t="n">
        <v>0.123</v>
      </c>
      <c r="C950" s="57" t="n">
        <v>0.1207</v>
      </c>
      <c r="D950" s="57" t="n">
        <v>0.1201</v>
      </c>
      <c r="E950" s="57" t="n">
        <v>0.13</v>
      </c>
      <c r="F950" s="57" t="n">
        <v>0.1361</v>
      </c>
      <c r="H950" s="57" t="n">
        <v>0.1376</v>
      </c>
    </row>
    <row r="951" customFormat="false" ht="15" hidden="false" customHeight="false" outlineLevel="0" collapsed="false">
      <c r="A951" s="52" t="n">
        <v>45603</v>
      </c>
      <c r="B951" s="57" t="n">
        <v>0.1234</v>
      </c>
      <c r="C951" s="57" t="n">
        <v>0.1205</v>
      </c>
      <c r="D951" s="57" t="n">
        <v>0.12</v>
      </c>
      <c r="E951" s="57" t="n">
        <v>0.13</v>
      </c>
      <c r="F951" s="57" t="n">
        <v>0.1361</v>
      </c>
      <c r="H951" s="57" t="n">
        <v>0.1366</v>
      </c>
    </row>
    <row r="952" customFormat="false" ht="15" hidden="false" customHeight="false" outlineLevel="0" collapsed="false">
      <c r="A952" s="52" t="n">
        <v>45604</v>
      </c>
      <c r="B952" s="57" t="n">
        <v>0.1233</v>
      </c>
      <c r="C952" s="57" t="n">
        <v>0.1211</v>
      </c>
      <c r="D952" s="57" t="n">
        <v>0.1204</v>
      </c>
      <c r="E952" s="57" t="n">
        <v>0.13</v>
      </c>
      <c r="F952" s="57" t="n">
        <v>0.135</v>
      </c>
      <c r="H952" s="57" t="n">
        <v>0.136</v>
      </c>
    </row>
    <row r="953" customFormat="false" ht="15" hidden="false" customHeight="false" outlineLevel="0" collapsed="false">
      <c r="A953" s="52" t="n">
        <v>45607</v>
      </c>
      <c r="B953" s="57" t="n">
        <v>0.1226</v>
      </c>
      <c r="C953" s="57" t="n">
        <v>0.1222</v>
      </c>
      <c r="D953" s="57" t="n">
        <v>0.1207</v>
      </c>
      <c r="E953" s="57" t="n">
        <v>0.13</v>
      </c>
      <c r="F953" s="57" t="n">
        <v>0.1343</v>
      </c>
      <c r="H953" s="57" t="n">
        <v>0.1373</v>
      </c>
    </row>
    <row r="954" customFormat="false" ht="15" hidden="false" customHeight="false" outlineLevel="0" collapsed="false">
      <c r="A954" s="52" t="n">
        <v>45608</v>
      </c>
      <c r="B954" s="57" t="n">
        <v>0.1226</v>
      </c>
      <c r="C954" s="57" t="n">
        <v>0.1227</v>
      </c>
      <c r="D954" s="57" t="n">
        <v>0.12</v>
      </c>
      <c r="E954" s="57" t="n">
        <v>0.13</v>
      </c>
      <c r="F954" s="57" t="n">
        <v>0.1353</v>
      </c>
      <c r="H954" s="57" t="n">
        <v>0.1381</v>
      </c>
    </row>
    <row r="955" customFormat="false" ht="15" hidden="false" customHeight="false" outlineLevel="0" collapsed="false">
      <c r="A955" s="52" t="n">
        <v>45609</v>
      </c>
      <c r="B955" s="57" t="n">
        <v>0.1232</v>
      </c>
      <c r="C955" s="57" t="n">
        <v>0.1206</v>
      </c>
      <c r="D955" s="57" t="n">
        <v>0.1199</v>
      </c>
      <c r="E955" s="57" t="n">
        <v>0.13</v>
      </c>
      <c r="F955" s="57" t="n">
        <v>0.1359</v>
      </c>
      <c r="H955" s="57" t="n">
        <v>0.1382</v>
      </c>
    </row>
    <row r="956" customFormat="false" ht="15" hidden="false" customHeight="false" outlineLevel="0" collapsed="false">
      <c r="A956" s="52" t="n">
        <v>45610</v>
      </c>
      <c r="B956" s="57" t="n">
        <v>0.1301</v>
      </c>
      <c r="C956" s="57" t="n">
        <v>0.1209</v>
      </c>
      <c r="D956" s="57" t="n">
        <v>0.1183</v>
      </c>
      <c r="E956" s="57" t="n">
        <v>0.13</v>
      </c>
      <c r="F956" s="57" t="n">
        <v>0.1359</v>
      </c>
      <c r="H956" s="57" t="n">
        <v>0.1367</v>
      </c>
    </row>
    <row r="957" customFormat="false" ht="15" hidden="false" customHeight="false" outlineLevel="0" collapsed="false">
      <c r="A957" s="52" t="n">
        <v>45611</v>
      </c>
      <c r="B957" s="57" t="n">
        <v>0.1305</v>
      </c>
      <c r="C957" s="57" t="n">
        <v>0.1217</v>
      </c>
      <c r="D957" s="57" t="n">
        <v>0.1183</v>
      </c>
      <c r="E957" s="57" t="n">
        <v>0.13</v>
      </c>
      <c r="F957" s="57" t="n">
        <v>0.1363</v>
      </c>
      <c r="H957" s="57" t="n">
        <v>0.1365</v>
      </c>
    </row>
    <row r="958" customFormat="false" ht="15" hidden="false" customHeight="false" outlineLevel="0" collapsed="false">
      <c r="A958" s="52" t="n">
        <v>45614</v>
      </c>
      <c r="B958" s="57" t="n">
        <v>0.1304</v>
      </c>
      <c r="C958" s="57" t="n">
        <v>0.1218</v>
      </c>
      <c r="D958" s="57" t="n">
        <v>0.1184</v>
      </c>
      <c r="E958" s="57" t="n">
        <v>0.13</v>
      </c>
      <c r="F958" s="57" t="n">
        <v>0.1364</v>
      </c>
      <c r="H958" s="57" t="n">
        <v>0.1365</v>
      </c>
    </row>
    <row r="959" customFormat="false" ht="15" hidden="false" customHeight="false" outlineLevel="0" collapsed="false">
      <c r="A959" s="52" t="n">
        <v>45615</v>
      </c>
      <c r="B959" s="57" t="n">
        <v>0.1261</v>
      </c>
      <c r="C959" s="57" t="n">
        <v>0.1208</v>
      </c>
      <c r="D959" s="57" t="n">
        <v>0.1205</v>
      </c>
      <c r="E959" s="57" t="n">
        <v>0.13</v>
      </c>
      <c r="F959" s="57" t="n">
        <v>0.1357</v>
      </c>
      <c r="H959" s="57" t="n">
        <v>0.1358</v>
      </c>
    </row>
    <row r="960" customFormat="false" ht="15" hidden="false" customHeight="false" outlineLevel="0" collapsed="false">
      <c r="A960" s="52" t="n">
        <v>45616</v>
      </c>
      <c r="B960" s="57" t="n">
        <v>0.1261</v>
      </c>
      <c r="C960" s="57" t="n">
        <v>0.1218</v>
      </c>
      <c r="D960" s="57" t="n">
        <v>0.1209</v>
      </c>
      <c r="E960" s="57" t="n">
        <v>0.13</v>
      </c>
      <c r="F960" s="57" t="n">
        <v>0.1354</v>
      </c>
      <c r="H960" s="57" t="n">
        <v>0.1361</v>
      </c>
    </row>
    <row r="961" customFormat="false" ht="15" hidden="false" customHeight="false" outlineLevel="0" collapsed="false">
      <c r="A961" s="52" t="n">
        <v>45617</v>
      </c>
      <c r="B961" s="57" t="n">
        <v>0.1258</v>
      </c>
      <c r="C961" s="57" t="n">
        <v>0.1211</v>
      </c>
      <c r="D961" s="57" t="n">
        <v>0.1207</v>
      </c>
      <c r="E961" s="57" t="n">
        <v>0.13</v>
      </c>
      <c r="F961" s="57" t="n">
        <v>0.1363</v>
      </c>
      <c r="H961" s="57" t="n">
        <v>0.1377</v>
      </c>
    </row>
    <row r="962" customFormat="false" ht="15" hidden="false" customHeight="false" outlineLevel="0" collapsed="false">
      <c r="A962" s="52" t="n">
        <v>45618</v>
      </c>
      <c r="B962" s="57" t="n">
        <v>0.1294</v>
      </c>
      <c r="C962" s="57" t="n">
        <v>0.1215</v>
      </c>
      <c r="D962" s="57" t="n">
        <v>0.1208</v>
      </c>
      <c r="E962" s="57" t="n">
        <v>0.13</v>
      </c>
      <c r="F962" s="57" t="n">
        <v>0.136</v>
      </c>
      <c r="H962" s="57" t="n">
        <v>0.1378</v>
      </c>
    </row>
    <row r="963" customFormat="false" ht="15" hidden="false" customHeight="false" outlineLevel="0" collapsed="false">
      <c r="A963" s="52" t="n">
        <v>45621</v>
      </c>
      <c r="B963" s="57" t="n">
        <v>0.1245</v>
      </c>
      <c r="C963" s="57" t="n">
        <v>0.122</v>
      </c>
      <c r="D963" s="57" t="n">
        <v>0.1215</v>
      </c>
      <c r="E963" s="57" t="n">
        <v>0.13</v>
      </c>
      <c r="F963" s="57" t="n">
        <v>0.1369</v>
      </c>
      <c r="H963" s="57" t="n">
        <v>0.1371</v>
      </c>
    </row>
    <row r="964" customFormat="false" ht="15" hidden="false" customHeight="false" outlineLevel="0" collapsed="false">
      <c r="A964" s="52" t="n">
        <v>45622</v>
      </c>
      <c r="B964" s="57" t="n">
        <v>0.1254</v>
      </c>
      <c r="C964" s="57" t="n">
        <v>0.1211</v>
      </c>
      <c r="D964" s="57" t="n">
        <v>0.1215</v>
      </c>
      <c r="E964" s="57" t="n">
        <v>0.13</v>
      </c>
      <c r="F964" s="57" t="n">
        <v>0.136</v>
      </c>
      <c r="H964" s="57" t="n">
        <v>0.1369</v>
      </c>
    </row>
    <row r="965" customFormat="false" ht="15" hidden="false" customHeight="false" outlineLevel="0" collapsed="false">
      <c r="A965" s="52" t="n">
        <v>45623</v>
      </c>
      <c r="B965" s="57" t="n">
        <v>0.1258</v>
      </c>
      <c r="C965" s="57" t="n">
        <v>0.1219</v>
      </c>
      <c r="D965" s="57" t="n">
        <v>0.1202</v>
      </c>
      <c r="E965" s="57" t="n">
        <v>0.13</v>
      </c>
      <c r="F965" s="57" t="n">
        <v>0.1343</v>
      </c>
      <c r="H965" s="57" t="n">
        <v>0.1371</v>
      </c>
    </row>
    <row r="966" customFormat="false" ht="15" hidden="false" customHeight="false" outlineLevel="0" collapsed="false">
      <c r="A966" s="52" t="n">
        <v>45624</v>
      </c>
      <c r="B966" s="57" t="n">
        <v>0.1267</v>
      </c>
      <c r="C966" s="57" t="n">
        <v>0.1232</v>
      </c>
      <c r="D966" s="57" t="n">
        <v>0.1208</v>
      </c>
      <c r="E966" s="57" t="n">
        <v>0.13</v>
      </c>
      <c r="F966" s="57" t="n">
        <v>0.1321</v>
      </c>
      <c r="H966" s="57" t="n">
        <v>0.1402</v>
      </c>
    </row>
    <row r="967" customFormat="false" ht="15" hidden="false" customHeight="false" outlineLevel="0" collapsed="false">
      <c r="A967" s="52" t="n">
        <v>45625</v>
      </c>
      <c r="B967" s="57" t="n">
        <v>0.1235</v>
      </c>
      <c r="C967" s="57" t="n">
        <v>0.1233</v>
      </c>
      <c r="D967" s="57" t="n">
        <v>0.1199</v>
      </c>
      <c r="E967" s="57" t="n">
        <v>0.13</v>
      </c>
      <c r="F967" s="57" t="n">
        <v>0.1346</v>
      </c>
      <c r="H967" s="57" t="n">
        <v>0.1496</v>
      </c>
    </row>
    <row r="968" customFormat="false" ht="15" hidden="false" customHeight="false" outlineLevel="0" collapsed="false">
      <c r="A968" s="52" t="n">
        <v>45628</v>
      </c>
      <c r="B968" s="57" t="n">
        <v>0.135</v>
      </c>
      <c r="C968" s="57" t="n">
        <v>0.1215</v>
      </c>
      <c r="D968" s="57" t="n">
        <v>0.1206</v>
      </c>
      <c r="E968" s="57" t="n">
        <v>0.13</v>
      </c>
      <c r="F968" s="57" t="n">
        <v>0.139</v>
      </c>
      <c r="H968" s="57" t="n">
        <v>0.149</v>
      </c>
    </row>
    <row r="969" customFormat="false" ht="15" hidden="false" customHeight="false" outlineLevel="0" collapsed="false">
      <c r="A969" s="52" t="n">
        <v>45629</v>
      </c>
      <c r="B969" s="57" t="n">
        <v>0.1322</v>
      </c>
      <c r="C969" s="57" t="n">
        <v>0.1253</v>
      </c>
      <c r="D969" s="57" t="n">
        <v>0.123</v>
      </c>
      <c r="E969" s="57" t="n">
        <v>0.13</v>
      </c>
      <c r="F969" s="57" t="n">
        <v>0.1399</v>
      </c>
      <c r="H969" s="57" t="n">
        <v>0.1478</v>
      </c>
    </row>
    <row r="970" customFormat="false" ht="15" hidden="false" customHeight="false" outlineLevel="0" collapsed="false">
      <c r="A970" s="52" t="n">
        <v>45630</v>
      </c>
      <c r="B970" s="57" t="n">
        <v>0.1299</v>
      </c>
      <c r="C970" s="57" t="n">
        <v>0.1254</v>
      </c>
      <c r="D970" s="57" t="n">
        <v>0.1224</v>
      </c>
      <c r="E970" s="57" t="n">
        <v>0.1315</v>
      </c>
      <c r="F970" s="57" t="n">
        <v>0.1385</v>
      </c>
      <c r="H970" s="57" t="n">
        <v>0.1462</v>
      </c>
    </row>
    <row r="971" customFormat="false" ht="15" hidden="false" customHeight="false" outlineLevel="0" collapsed="false">
      <c r="A971" s="52" t="n">
        <v>45631</v>
      </c>
      <c r="B971" s="57" t="n">
        <v>0.1194</v>
      </c>
      <c r="C971" s="57" t="n">
        <v>0.1217</v>
      </c>
      <c r="D971" s="57" t="n">
        <v>0.123</v>
      </c>
      <c r="E971" s="57" t="n">
        <v>0.1315</v>
      </c>
      <c r="F971" s="57" t="n">
        <v>0.1383</v>
      </c>
      <c r="H971" s="57" t="n">
        <v>0.1457</v>
      </c>
    </row>
    <row r="972" customFormat="false" ht="15" hidden="false" customHeight="false" outlineLevel="0" collapsed="false">
      <c r="A972" s="52" t="n">
        <v>45632</v>
      </c>
      <c r="B972" s="57" t="n">
        <v>0.1285</v>
      </c>
      <c r="C972" s="57" t="n">
        <v>0.1212</v>
      </c>
      <c r="D972" s="57" t="n">
        <v>0.1218</v>
      </c>
      <c r="E972" s="57" t="n">
        <v>0.1315</v>
      </c>
      <c r="F972" s="57" t="n">
        <v>0.1382</v>
      </c>
      <c r="H972" s="57" t="n">
        <v>0.1482</v>
      </c>
    </row>
    <row r="973" customFormat="false" ht="15" hidden="false" customHeight="false" outlineLevel="0" collapsed="false">
      <c r="A973" s="52" t="n">
        <v>45635</v>
      </c>
      <c r="B973" s="57" t="n">
        <v>0.1279</v>
      </c>
      <c r="C973" s="57" t="n">
        <v>0.1209</v>
      </c>
      <c r="D973" s="57" t="n">
        <v>0.1231</v>
      </c>
      <c r="E973" s="57" t="n">
        <v>0.1315</v>
      </c>
      <c r="F973" s="57" t="n">
        <v>0.1386</v>
      </c>
      <c r="H973" s="57" t="n">
        <v>0.1502</v>
      </c>
    </row>
    <row r="974" customFormat="false" ht="15" hidden="false" customHeight="false" outlineLevel="0" collapsed="false">
      <c r="A974" s="52" t="n">
        <v>45636</v>
      </c>
      <c r="B974" s="57" t="n">
        <v>0.1277</v>
      </c>
      <c r="C974" s="57" t="n">
        <v>0.1205</v>
      </c>
      <c r="D974" s="57" t="n">
        <v>0.1217</v>
      </c>
      <c r="E974" s="57" t="n">
        <v>0.1315</v>
      </c>
      <c r="F974" s="57" t="n">
        <v>0.1387</v>
      </c>
      <c r="H974" s="57" t="n">
        <v>0.1489</v>
      </c>
    </row>
    <row r="975" customFormat="false" ht="15" hidden="false" customHeight="false" outlineLevel="0" collapsed="false">
      <c r="A975" s="52" t="n">
        <v>45637</v>
      </c>
      <c r="B975" s="57" t="n">
        <v>0.1264</v>
      </c>
      <c r="C975" s="57" t="n">
        <v>0.1195</v>
      </c>
      <c r="D975" s="57" t="n">
        <v>0.1219</v>
      </c>
      <c r="E975" s="57" t="n">
        <v>0.1315</v>
      </c>
      <c r="F975" s="57" t="n">
        <v>0.1386</v>
      </c>
      <c r="H975" s="57" t="n">
        <v>0.1478</v>
      </c>
    </row>
    <row r="976" customFormat="false" ht="15" hidden="false" customHeight="false" outlineLevel="0" collapsed="false">
      <c r="A976" s="52" t="n">
        <v>45638</v>
      </c>
      <c r="B976" s="57" t="n">
        <v>0.1315</v>
      </c>
      <c r="C976" s="57" t="n">
        <v>0.1174</v>
      </c>
      <c r="D976" s="57" t="n">
        <v>0.1205</v>
      </c>
      <c r="E976" s="57" t="n">
        <v>0.1315</v>
      </c>
      <c r="F976" s="57" t="n">
        <v>0.1383</v>
      </c>
      <c r="H976" s="57" t="n">
        <v>0.1471</v>
      </c>
    </row>
    <row r="977" customFormat="false" ht="15" hidden="false" customHeight="false" outlineLevel="0" collapsed="false">
      <c r="A977" s="52" t="n">
        <v>45639</v>
      </c>
      <c r="B977" s="57" t="n">
        <v>0.1301</v>
      </c>
      <c r="C977" s="57" t="n">
        <v>0.1181</v>
      </c>
      <c r="D977" s="57" t="n">
        <v>0.1169</v>
      </c>
      <c r="E977" s="57" t="n">
        <v>0.1315</v>
      </c>
      <c r="F977" s="57" t="n">
        <v>0.1389</v>
      </c>
      <c r="H977" s="57" t="n">
        <v>0.148</v>
      </c>
    </row>
    <row r="978" customFormat="false" ht="15" hidden="false" customHeight="false" outlineLevel="0" collapsed="false">
      <c r="A978" s="52" t="n">
        <v>45643</v>
      </c>
      <c r="B978" s="57" t="n">
        <v>0.1328</v>
      </c>
      <c r="C978" s="57" t="n">
        <v>0.1169</v>
      </c>
      <c r="D978" s="57" t="n">
        <v>0.1182</v>
      </c>
      <c r="E978" s="57" t="n">
        <v>0.1315</v>
      </c>
      <c r="F978" s="57" t="n">
        <v>0.1395</v>
      </c>
      <c r="H978" s="57" t="n">
        <v>0.1479</v>
      </c>
    </row>
    <row r="979" customFormat="false" ht="15" hidden="false" customHeight="false" outlineLevel="0" collapsed="false">
      <c r="A979" s="52" t="n">
        <v>45644</v>
      </c>
      <c r="B979" s="57" t="n">
        <v>0.1349</v>
      </c>
      <c r="C979" s="57" t="n">
        <v>0.1187</v>
      </c>
      <c r="D979" s="57" t="n">
        <v>0.1184</v>
      </c>
      <c r="E979" s="57" t="n">
        <v>0.1315</v>
      </c>
      <c r="F979" s="57" t="n">
        <v>0.1386</v>
      </c>
      <c r="H979" s="57" t="n">
        <v>0.1473</v>
      </c>
    </row>
    <row r="980" customFormat="false" ht="15" hidden="false" customHeight="false" outlineLevel="0" collapsed="false">
      <c r="A980" s="52" t="n">
        <v>45645</v>
      </c>
      <c r="B980" s="57" t="n">
        <v>0.1331</v>
      </c>
      <c r="C980" s="57" t="n">
        <v>0.1175</v>
      </c>
      <c r="D980" s="57" t="n">
        <v>0.1172</v>
      </c>
      <c r="E980" s="57" t="n">
        <v>0.1315</v>
      </c>
      <c r="F980" s="57" t="n">
        <v>0.1391</v>
      </c>
      <c r="H980" s="57" t="n">
        <v>0.1478</v>
      </c>
    </row>
    <row r="981" customFormat="false" ht="15" hidden="false" customHeight="false" outlineLevel="0" collapsed="false">
      <c r="A981" s="52" t="n">
        <v>45646</v>
      </c>
      <c r="B981" s="57" t="n">
        <v>0.1282</v>
      </c>
      <c r="C981" s="57" t="n">
        <v>0.1155</v>
      </c>
      <c r="D981" s="57" t="n">
        <v>0.116</v>
      </c>
      <c r="E981" s="57" t="n">
        <v>0.1315</v>
      </c>
      <c r="F981" s="57" t="n">
        <v>0.1387</v>
      </c>
      <c r="H981" s="57" t="n">
        <v>0.1491</v>
      </c>
    </row>
    <row r="982" customFormat="false" ht="15" hidden="false" customHeight="false" outlineLevel="0" collapsed="false">
      <c r="A982" s="52" t="n">
        <v>45649</v>
      </c>
      <c r="B982" s="57" t="n">
        <v>0.1276</v>
      </c>
      <c r="C982" s="57" t="n">
        <v>0.1159</v>
      </c>
      <c r="D982" s="57" t="n">
        <v>0.1172</v>
      </c>
      <c r="E982" s="57" t="n">
        <v>0.1315</v>
      </c>
      <c r="F982" s="57" t="n">
        <v>0.141</v>
      </c>
      <c r="H982" s="57" t="n">
        <v>0.1492</v>
      </c>
    </row>
    <row r="983" customFormat="false" ht="15" hidden="false" customHeight="false" outlineLevel="0" collapsed="false">
      <c r="A983" s="52" t="n">
        <v>45650</v>
      </c>
      <c r="B983" s="57" t="n">
        <v>0.1362</v>
      </c>
      <c r="C983" s="57" t="n">
        <v>0.1156</v>
      </c>
      <c r="D983" s="57" t="n">
        <v>0.1165</v>
      </c>
      <c r="E983" s="57" t="n">
        <v>0.1315</v>
      </c>
      <c r="F983" s="57" t="n">
        <v>0.1392</v>
      </c>
      <c r="H983" s="57" t="n">
        <v>0.1487</v>
      </c>
    </row>
    <row r="984" customFormat="false" ht="15" hidden="false" customHeight="false" outlineLevel="0" collapsed="false">
      <c r="A984" s="52" t="n">
        <v>45651</v>
      </c>
      <c r="B984" s="57" t="n">
        <v>0.1307</v>
      </c>
      <c r="C984" s="57" t="n">
        <v>0.116</v>
      </c>
      <c r="D984" s="57" t="n">
        <v>0.1156</v>
      </c>
      <c r="E984" s="57" t="n">
        <v>0.1315</v>
      </c>
      <c r="F984" s="57" t="n">
        <v>0.1385</v>
      </c>
      <c r="H984" s="57" t="n">
        <v>0.1468</v>
      </c>
    </row>
    <row r="985" customFormat="false" ht="15" hidden="false" customHeight="false" outlineLevel="0" collapsed="false">
      <c r="A985" s="52" t="n">
        <v>45652</v>
      </c>
      <c r="B985" s="57" t="n">
        <v>0.1331</v>
      </c>
      <c r="C985" s="57" t="n">
        <v>0.1174</v>
      </c>
      <c r="D985" s="57" t="n">
        <v>0.1169</v>
      </c>
      <c r="E985" s="57" t="n">
        <v>0.1315</v>
      </c>
      <c r="F985" s="57" t="n">
        <v>0.1388</v>
      </c>
      <c r="H985" s="57" t="n">
        <v>0.1508</v>
      </c>
    </row>
    <row r="986" customFormat="false" ht="15" hidden="false" customHeight="false" outlineLevel="0" collapsed="false">
      <c r="A986" s="52" t="n">
        <v>45653</v>
      </c>
      <c r="B986" s="57" t="n">
        <v>0.1311</v>
      </c>
      <c r="C986" s="57" t="n">
        <v>0.121</v>
      </c>
      <c r="D986" s="57" t="n">
        <v>0.115</v>
      </c>
      <c r="E986" s="57" t="n">
        <v>0.1315</v>
      </c>
      <c r="F986" s="57" t="n">
        <v>0.1375</v>
      </c>
      <c r="H986" s="57" t="n">
        <v>0.1505</v>
      </c>
    </row>
    <row r="987" customFormat="false" ht="15" hidden="false" customHeight="false" outlineLevel="0" collapsed="false">
      <c r="A987" s="52" t="n">
        <v>45656</v>
      </c>
      <c r="B987" s="57" t="n">
        <v>0.1301</v>
      </c>
      <c r="C987" s="57" t="n">
        <v>0.1155</v>
      </c>
      <c r="D987" s="57" t="n">
        <v>0.1154</v>
      </c>
      <c r="E987" s="57" t="n">
        <v>0.135</v>
      </c>
      <c r="F987" s="57" t="n">
        <v>0.1382</v>
      </c>
      <c r="H987" s="57" t="n">
        <v>0.1502</v>
      </c>
    </row>
    <row r="988" customFormat="false" ht="15" hidden="false" customHeight="false" outlineLevel="0" collapsed="false">
      <c r="A988" s="52" t="n">
        <v>45657</v>
      </c>
      <c r="B988" s="57" t="n">
        <v>0.1263</v>
      </c>
      <c r="C988" s="57" t="n">
        <v>0.1158</v>
      </c>
      <c r="D988" s="57" t="n">
        <v>0.115</v>
      </c>
      <c r="E988" s="57" t="n">
        <v>0.135</v>
      </c>
      <c r="F988" s="57" t="n">
        <v>0.1385</v>
      </c>
      <c r="H988" s="57" t="n">
        <v>0.1444</v>
      </c>
    </row>
    <row r="989" customFormat="false" ht="15" hidden="false" customHeight="false" outlineLevel="0" collapsed="false">
      <c r="A989" s="52" t="n">
        <v>45662</v>
      </c>
      <c r="B989" s="57" t="n">
        <v>0.1292</v>
      </c>
      <c r="C989" s="57" t="n">
        <v>0.1155</v>
      </c>
      <c r="D989" s="57" t="n">
        <v>0.1149</v>
      </c>
      <c r="F989" s="57" t="n">
        <v>0.1397</v>
      </c>
      <c r="H989" s="57" t="n">
        <v>0.1443</v>
      </c>
    </row>
    <row r="990" customFormat="false" ht="15" hidden="false" customHeight="false" outlineLevel="0" collapsed="false">
      <c r="A990" s="52" t="n">
        <v>45663</v>
      </c>
      <c r="B990" s="57" t="n">
        <v>0.1296</v>
      </c>
      <c r="C990" s="57" t="n">
        <v>0.1153</v>
      </c>
      <c r="D990" s="57" t="n">
        <v>0.1151</v>
      </c>
      <c r="E990" s="57" t="n">
        <v>0.135</v>
      </c>
      <c r="F990" s="57" t="n">
        <v>0.1388</v>
      </c>
      <c r="H990" s="57" t="n">
        <v>0.143</v>
      </c>
    </row>
    <row r="991" customFormat="false" ht="15" hidden="false" customHeight="false" outlineLevel="0" collapsed="false">
      <c r="A991" s="52" t="n">
        <v>45665</v>
      </c>
      <c r="B991" s="57" t="n">
        <v>0.1292</v>
      </c>
      <c r="C991" s="57" t="n">
        <v>0.1172</v>
      </c>
      <c r="D991" s="57" t="n">
        <v>0.1157</v>
      </c>
      <c r="E991" s="57" t="n">
        <v>0.135</v>
      </c>
      <c r="F991" s="57" t="n">
        <v>0.1403</v>
      </c>
      <c r="H991" s="57" t="n">
        <v>0.1431</v>
      </c>
    </row>
    <row r="992" customFormat="false" ht="15" hidden="false" customHeight="false" outlineLevel="0" collapsed="false">
      <c r="A992" s="52" t="n">
        <v>45666</v>
      </c>
      <c r="B992" s="57" t="n">
        <v>0.1333</v>
      </c>
      <c r="C992" s="57" t="n">
        <v>0.1222</v>
      </c>
      <c r="D992" s="57" t="n">
        <v>0.1189</v>
      </c>
      <c r="E992" s="57" t="n">
        <v>0.135</v>
      </c>
      <c r="F992" s="57" t="n">
        <v>0.1391</v>
      </c>
      <c r="H992" s="57" t="n">
        <v>0.1468</v>
      </c>
    </row>
    <row r="993" customFormat="false" ht="15" hidden="false" customHeight="false" outlineLevel="0" collapsed="false">
      <c r="A993" s="52" t="n">
        <v>45667</v>
      </c>
      <c r="B993" s="57" t="n">
        <v>0.1327</v>
      </c>
      <c r="C993" s="57" t="n">
        <v>0.1236</v>
      </c>
      <c r="D993" s="57" t="n">
        <v>0.1205</v>
      </c>
      <c r="E993" s="57" t="n">
        <v>0.135</v>
      </c>
      <c r="F993" s="57" t="n">
        <v>0.1413</v>
      </c>
      <c r="H993" s="57" t="n">
        <v>0.1593</v>
      </c>
    </row>
    <row r="994" customFormat="false" ht="15" hidden="false" customHeight="false" outlineLevel="0" collapsed="false">
      <c r="A994" s="52" t="n">
        <v>45670</v>
      </c>
      <c r="B994" s="57" t="n">
        <v>0.1298</v>
      </c>
      <c r="C994" s="57" t="n">
        <v>0.1223</v>
      </c>
      <c r="D994" s="57" t="n">
        <v>0.1236</v>
      </c>
      <c r="E994" s="57" t="n">
        <v>0.135</v>
      </c>
      <c r="F994" s="57" t="n">
        <v>0.1403</v>
      </c>
      <c r="H994" s="57" t="n">
        <v>0.1483</v>
      </c>
    </row>
    <row r="995" customFormat="false" ht="15" hidden="false" customHeight="false" outlineLevel="0" collapsed="false">
      <c r="A995" s="52" t="n">
        <v>45671</v>
      </c>
      <c r="B995" s="57" t="n">
        <v>0.1376</v>
      </c>
      <c r="C995" s="57" t="n">
        <v>0.1219</v>
      </c>
      <c r="D995" s="57" t="n">
        <v>0.1227</v>
      </c>
      <c r="E995" s="57" t="n">
        <v>0.135</v>
      </c>
      <c r="F995" s="57" t="n">
        <v>0.1406</v>
      </c>
      <c r="H995" s="57" t="n">
        <v>0.1463</v>
      </c>
    </row>
    <row r="996" customFormat="false" ht="15" hidden="false" customHeight="false" outlineLevel="0" collapsed="false">
      <c r="A996" s="52" t="n">
        <v>45672</v>
      </c>
      <c r="B996" s="57" t="n">
        <v>0.1298</v>
      </c>
      <c r="C996" s="57" t="n">
        <v>0.1277</v>
      </c>
      <c r="D996" s="57" t="n">
        <v>0.1241</v>
      </c>
      <c r="E996" s="57" t="n">
        <v>0.135</v>
      </c>
      <c r="F996" s="57" t="n">
        <v>0.14</v>
      </c>
      <c r="H996" s="57" t="n">
        <v>0.1476</v>
      </c>
    </row>
    <row r="997" customFormat="false" ht="15" hidden="false" customHeight="false" outlineLevel="0" collapsed="false">
      <c r="A997" s="52" t="n">
        <v>45673</v>
      </c>
      <c r="B997" s="57" t="n">
        <v>0.1286</v>
      </c>
      <c r="C997" s="57" t="n">
        <v>0.1241</v>
      </c>
      <c r="D997" s="57" t="n">
        <v>0.1262</v>
      </c>
      <c r="E997" s="57" t="n">
        <v>0.135</v>
      </c>
      <c r="F997" s="57" t="n">
        <v>0.1402</v>
      </c>
      <c r="H997" s="57" t="n">
        <v>0.1471</v>
      </c>
    </row>
    <row r="998" customFormat="false" ht="15" hidden="false" customHeight="false" outlineLevel="0" collapsed="false">
      <c r="A998" s="52" t="n">
        <v>45674</v>
      </c>
      <c r="B998" s="57" t="n">
        <v>0.127</v>
      </c>
      <c r="C998" s="57" t="n">
        <v>0.1244</v>
      </c>
      <c r="D998" s="57" t="n">
        <v>0.1272</v>
      </c>
      <c r="E998" s="57" t="n">
        <v>0.135</v>
      </c>
      <c r="F998" s="57" t="n">
        <v>0.1397</v>
      </c>
      <c r="H998" s="57" t="n">
        <v>0.1499</v>
      </c>
    </row>
    <row r="999" customFormat="false" ht="15" hidden="false" customHeight="false" outlineLevel="0" collapsed="false">
      <c r="A999" s="52" t="n">
        <v>45677</v>
      </c>
      <c r="B999" s="57" t="n">
        <v>0.1272</v>
      </c>
      <c r="C999" s="57" t="n">
        <v>0.1278</v>
      </c>
      <c r="D999" s="57" t="n">
        <v>0.1269</v>
      </c>
      <c r="E999" s="57" t="n">
        <v>0.135</v>
      </c>
      <c r="F999" s="57" t="n">
        <v>0.1397</v>
      </c>
      <c r="H999" s="57" t="n">
        <v>0.1483</v>
      </c>
    </row>
    <row r="1000" customFormat="false" ht="15" hidden="false" customHeight="false" outlineLevel="0" collapsed="false">
      <c r="A1000" s="52" t="n">
        <v>45678</v>
      </c>
      <c r="B1000" s="57" t="n">
        <v>0.1173</v>
      </c>
      <c r="C1000" s="57" t="n">
        <v>0.1251</v>
      </c>
      <c r="D1000" s="57" t="n">
        <v>0.1246</v>
      </c>
      <c r="E1000" s="57" t="n">
        <v>0.135</v>
      </c>
      <c r="F1000" s="57" t="n">
        <v>0.1409</v>
      </c>
      <c r="H1000" s="57" t="n">
        <v>0.1476</v>
      </c>
    </row>
    <row r="1001" customFormat="false" ht="15" hidden="false" customHeight="false" outlineLevel="0" collapsed="false">
      <c r="A1001" s="52" t="n">
        <v>45679</v>
      </c>
      <c r="B1001" s="57" t="n">
        <v>0.119</v>
      </c>
      <c r="C1001" s="57" t="n">
        <v>0.1266</v>
      </c>
      <c r="D1001" s="57" t="n">
        <v>0.1276</v>
      </c>
      <c r="E1001" s="57" t="n">
        <v>0.135</v>
      </c>
      <c r="F1001" s="57" t="n">
        <v>0.1409</v>
      </c>
      <c r="H1001" s="57" t="n">
        <v>0.1484</v>
      </c>
    </row>
    <row r="1002" customFormat="false" ht="15" hidden="false" customHeight="false" outlineLevel="0" collapsed="false">
      <c r="A1002" s="52" t="n">
        <v>45680</v>
      </c>
      <c r="B1002" s="57" t="n">
        <v>0.1139</v>
      </c>
      <c r="C1002" s="57" t="n">
        <v>0.1268</v>
      </c>
      <c r="D1002" s="57" t="n">
        <v>0.1281</v>
      </c>
      <c r="E1002" s="57" t="n">
        <v>0.135</v>
      </c>
      <c r="F1002" s="57" t="n">
        <v>0.1418</v>
      </c>
      <c r="H1002" s="57" t="n">
        <v>0.1498</v>
      </c>
    </row>
    <row r="1003" customFormat="false" ht="15" hidden="false" customHeight="false" outlineLevel="0" collapsed="false">
      <c r="A1003" s="52" t="n">
        <v>45681</v>
      </c>
      <c r="B1003" s="57" t="n">
        <v>0.1137</v>
      </c>
      <c r="C1003" s="57" t="n">
        <v>0.1293</v>
      </c>
      <c r="D1003" s="57" t="n">
        <v>0.1274</v>
      </c>
      <c r="E1003" s="57" t="n">
        <v>0.1325</v>
      </c>
      <c r="F1003" s="57" t="n">
        <v>0.1406</v>
      </c>
      <c r="H1003" s="57" t="n">
        <v>0.1506</v>
      </c>
    </row>
    <row r="1004" customFormat="false" ht="15" hidden="false" customHeight="false" outlineLevel="0" collapsed="false">
      <c r="A1004" s="52" t="n">
        <v>45684</v>
      </c>
      <c r="B1004" s="57" t="n">
        <v>0.1147</v>
      </c>
      <c r="C1004" s="57" t="n">
        <v>0.1228</v>
      </c>
      <c r="D1004" s="57" t="n">
        <v>0.1249</v>
      </c>
      <c r="E1004" s="57" t="n">
        <v>0.1325</v>
      </c>
      <c r="F1004" s="57" t="n">
        <v>0.1415</v>
      </c>
      <c r="H1004" s="57" t="n">
        <v>0.1497</v>
      </c>
    </row>
    <row r="1005" customFormat="false" ht="15" hidden="false" customHeight="false" outlineLevel="0" collapsed="false">
      <c r="A1005" s="52" t="n">
        <v>45685</v>
      </c>
      <c r="B1005" s="57" t="n">
        <v>0.1157</v>
      </c>
      <c r="C1005" s="57" t="n">
        <v>0.1211</v>
      </c>
      <c r="D1005" s="57" t="n">
        <v>0.123</v>
      </c>
      <c r="E1005" s="57" t="n">
        <v>0.1325</v>
      </c>
      <c r="F1005" s="57" t="n">
        <v>0.14</v>
      </c>
      <c r="H1005" s="57" t="n">
        <v>0.1482</v>
      </c>
    </row>
    <row r="1006" customFormat="false" ht="15" hidden="false" customHeight="false" outlineLevel="0" collapsed="false">
      <c r="A1006" s="52" t="n">
        <v>45686</v>
      </c>
      <c r="B1006" s="57" t="n">
        <v>0.1116</v>
      </c>
      <c r="C1006" s="57" t="n">
        <v>0.129</v>
      </c>
      <c r="D1006" s="57" t="n">
        <v>0.1252</v>
      </c>
      <c r="E1006" s="57" t="n">
        <v>0.1325</v>
      </c>
      <c r="F1006" s="57" t="n">
        <v>0.1396</v>
      </c>
      <c r="H1006" s="57" t="n">
        <v>0.1446</v>
      </c>
    </row>
    <row r="1007" customFormat="false" ht="15" hidden="false" customHeight="false" outlineLevel="0" collapsed="false">
      <c r="A1007" s="52" t="n">
        <v>45687</v>
      </c>
      <c r="B1007" s="57" t="n">
        <v>0.1149</v>
      </c>
      <c r="C1007" s="57" t="n">
        <v>0.1259</v>
      </c>
      <c r="D1007" s="57" t="n">
        <v>0.1261</v>
      </c>
      <c r="E1007" s="57" t="n">
        <v>0.1325</v>
      </c>
      <c r="F1007" s="57" t="n">
        <v>0.14</v>
      </c>
      <c r="H1007" s="57" t="n">
        <v>0.1441</v>
      </c>
    </row>
    <row r="1008" customFormat="false" ht="15" hidden="false" customHeight="false" outlineLevel="0" collapsed="false">
      <c r="A1008" s="52" t="n">
        <v>45688</v>
      </c>
      <c r="B1008" s="57" t="n">
        <v>0.1127</v>
      </c>
      <c r="C1008" s="57" t="n">
        <v>0.1206</v>
      </c>
      <c r="D1008" s="57" t="n">
        <v>0.1225</v>
      </c>
      <c r="E1008" s="57" t="n">
        <v>0.1325</v>
      </c>
      <c r="F1008" s="57" t="n">
        <v>0.1391</v>
      </c>
      <c r="H1008" s="57" t="n">
        <v>0.1458</v>
      </c>
    </row>
    <row r="1009" customFormat="false" ht="15" hidden="false" customHeight="false" outlineLevel="0" collapsed="false">
      <c r="A1009" s="52" t="n">
        <v>45691</v>
      </c>
      <c r="B1009" s="57" t="n">
        <v>0.1199</v>
      </c>
      <c r="C1009" s="57" t="n">
        <v>0.1284</v>
      </c>
      <c r="D1009" s="57" t="n">
        <v>0.1257</v>
      </c>
      <c r="E1009" s="57" t="n">
        <v>0.1325</v>
      </c>
      <c r="F1009" s="57" t="n">
        <v>0.1407</v>
      </c>
      <c r="H1009" s="57" t="n">
        <v>0.1462</v>
      </c>
    </row>
    <row r="1010" customFormat="false" ht="15" hidden="false" customHeight="false" outlineLevel="0" collapsed="false">
      <c r="A1010" s="52" t="n">
        <v>45692</v>
      </c>
      <c r="B1010" s="57" t="n">
        <v>0.1253</v>
      </c>
      <c r="C1010" s="57" t="n">
        <v>0.1285</v>
      </c>
      <c r="D1010" s="57" t="n">
        <v>0.1261</v>
      </c>
      <c r="E1010" s="57" t="n">
        <v>0.1325</v>
      </c>
      <c r="F1010" s="57" t="n">
        <v>0.1405</v>
      </c>
      <c r="H1010" s="57" t="n">
        <v>0.1478</v>
      </c>
    </row>
    <row r="1011" customFormat="false" ht="15" hidden="false" customHeight="false" outlineLevel="0" collapsed="false">
      <c r="A1011" s="52" t="n">
        <v>45693</v>
      </c>
      <c r="B1011" s="57" t="n">
        <v>0.1385</v>
      </c>
      <c r="C1011" s="57" t="n">
        <v>0.1282</v>
      </c>
      <c r="D1011" s="57" t="n">
        <v>0.1217</v>
      </c>
      <c r="E1011" s="57" t="n">
        <v>0.1325</v>
      </c>
      <c r="F1011" s="57" t="n">
        <v>0.1403</v>
      </c>
      <c r="H1011" s="57" t="n">
        <v>0.1482</v>
      </c>
    </row>
    <row r="1012" customFormat="false" ht="15" hidden="false" customHeight="false" outlineLevel="0" collapsed="false">
      <c r="A1012" s="52" t="n">
        <v>45694</v>
      </c>
      <c r="B1012" s="57" t="n">
        <v>0.1344</v>
      </c>
      <c r="C1012" s="57" t="n">
        <v>0.1293</v>
      </c>
      <c r="D1012" s="57" t="n">
        <v>0.1277</v>
      </c>
      <c r="E1012" s="57" t="n">
        <v>0.1325</v>
      </c>
      <c r="F1012" s="57" t="n">
        <v>0.1408</v>
      </c>
      <c r="H1012" s="57" t="n">
        <v>0.1479</v>
      </c>
    </row>
    <row r="1013" customFormat="false" ht="15" hidden="false" customHeight="false" outlineLevel="0" collapsed="false">
      <c r="A1013" s="52" t="n">
        <v>45695</v>
      </c>
      <c r="B1013" s="57" t="n">
        <v>0.1377</v>
      </c>
      <c r="C1013" s="57" t="n">
        <v>0.1297</v>
      </c>
      <c r="D1013" s="57" t="n">
        <v>0.1281</v>
      </c>
      <c r="E1013" s="57" t="n">
        <v>0.1325</v>
      </c>
      <c r="F1013" s="57" t="n">
        <v>0.1403</v>
      </c>
      <c r="H1013" s="57" t="n">
        <v>0.1487</v>
      </c>
    </row>
    <row r="1014" customFormat="false" ht="15" hidden="false" customHeight="false" outlineLevel="0" collapsed="false">
      <c r="A1014" s="52" t="n">
        <v>45698</v>
      </c>
      <c r="B1014" s="57" t="n">
        <v>0.134</v>
      </c>
      <c r="C1014" s="57" t="n">
        <v>0.1261</v>
      </c>
      <c r="D1014" s="57" t="n">
        <v>0.1257</v>
      </c>
      <c r="E1014" s="57" t="n">
        <v>0.1325</v>
      </c>
      <c r="F1014" s="57" t="n">
        <v>0.1414</v>
      </c>
      <c r="H1014" s="57" t="n">
        <v>0.1468</v>
      </c>
    </row>
    <row r="1015" customFormat="false" ht="15" hidden="false" customHeight="false" outlineLevel="0" collapsed="false">
      <c r="A1015" s="52" t="n">
        <v>45699</v>
      </c>
      <c r="B1015" s="57" t="n">
        <v>0.1293</v>
      </c>
      <c r="C1015" s="57" t="n">
        <v>0.1301</v>
      </c>
      <c r="D1015" s="57" t="n">
        <v>0.1246</v>
      </c>
      <c r="E1015" s="57" t="n">
        <v>0.1325</v>
      </c>
      <c r="F1015" s="57" t="n">
        <v>0.1411</v>
      </c>
      <c r="H1015" s="57" t="n">
        <v>0.1463</v>
      </c>
    </row>
    <row r="1016" customFormat="false" ht="15" hidden="false" customHeight="false" outlineLevel="0" collapsed="false">
      <c r="A1016" s="52" t="n">
        <v>45700</v>
      </c>
      <c r="B1016" s="57" t="n">
        <v>0.1319</v>
      </c>
      <c r="C1016" s="57" t="n">
        <v>0.1285</v>
      </c>
      <c r="D1016" s="57" t="n">
        <v>0.1261</v>
      </c>
      <c r="E1016" s="57" t="n">
        <v>0.1325</v>
      </c>
      <c r="F1016" s="57" t="n">
        <v>0.1444</v>
      </c>
      <c r="H1016" s="57" t="n">
        <v>0.1462</v>
      </c>
    </row>
    <row r="1017" customFormat="false" ht="15" hidden="false" customHeight="false" outlineLevel="0" collapsed="false">
      <c r="A1017" s="52" t="n">
        <v>45701</v>
      </c>
      <c r="B1017" s="57" t="n">
        <v>0.1301</v>
      </c>
      <c r="C1017" s="57" t="n">
        <v>0.1282</v>
      </c>
      <c r="D1017" s="57" t="n">
        <v>0.1273</v>
      </c>
      <c r="E1017" s="57" t="n">
        <v>0.1325</v>
      </c>
      <c r="F1017" s="57" t="n">
        <v>0.1398</v>
      </c>
      <c r="H1017" s="57" t="n">
        <v>0.1463</v>
      </c>
    </row>
    <row r="1018" customFormat="false" ht="15" hidden="false" customHeight="false" outlineLevel="0" collapsed="false">
      <c r="A1018" s="52" t="n">
        <v>45702</v>
      </c>
      <c r="B1018" s="57" t="n">
        <v>0.1278</v>
      </c>
      <c r="C1018" s="57" t="n">
        <v>0.126</v>
      </c>
      <c r="D1018" s="57" t="n">
        <v>0.1261</v>
      </c>
      <c r="E1018" s="57" t="n">
        <v>0.1325</v>
      </c>
      <c r="F1018" s="57" t="n">
        <v>0.1421</v>
      </c>
      <c r="H1018" s="57" t="n">
        <v>0.1475</v>
      </c>
    </row>
    <row r="1019" customFormat="false" ht="15" hidden="false" customHeight="false" outlineLevel="0" collapsed="false">
      <c r="A1019" s="52" t="n">
        <v>45705</v>
      </c>
      <c r="B1019" s="57" t="n">
        <v>0.1298</v>
      </c>
      <c r="C1019" s="57" t="n">
        <v>0.1265</v>
      </c>
      <c r="D1019" s="57" t="n">
        <v>0.1259</v>
      </c>
      <c r="E1019" s="57" t="n">
        <v>0.1325</v>
      </c>
      <c r="F1019" s="57" t="n">
        <v>0.1417</v>
      </c>
      <c r="H1019" s="57" t="n">
        <v>0.1465</v>
      </c>
    </row>
    <row r="1020" customFormat="false" ht="15" hidden="false" customHeight="false" outlineLevel="0" collapsed="false">
      <c r="A1020" s="52" t="n">
        <v>45706</v>
      </c>
      <c r="B1020" s="57" t="n">
        <v>0.1309</v>
      </c>
      <c r="C1020" s="57" t="n">
        <v>0.1261</v>
      </c>
      <c r="D1020" s="57" t="n">
        <v>0.1252</v>
      </c>
      <c r="E1020" s="57" t="n">
        <v>0.1325</v>
      </c>
      <c r="F1020" s="57" t="n">
        <v>0.1419</v>
      </c>
      <c r="H1020" s="57" t="n">
        <v>0.1511</v>
      </c>
    </row>
    <row r="1021" customFormat="false" ht="15" hidden="false" customHeight="false" outlineLevel="0" collapsed="false">
      <c r="A1021" s="52" t="n">
        <v>45707</v>
      </c>
      <c r="B1021" s="57" t="n">
        <v>0.1275</v>
      </c>
      <c r="C1021" s="57" t="n">
        <v>0.128</v>
      </c>
      <c r="D1021" s="57" t="n">
        <v>0.1285</v>
      </c>
      <c r="E1021" s="57" t="n">
        <v>0.1325</v>
      </c>
      <c r="F1021" s="57" t="n">
        <v>0.1409</v>
      </c>
      <c r="H1021" s="57" t="n">
        <v>0.1491</v>
      </c>
    </row>
    <row r="1022" customFormat="false" ht="15" hidden="false" customHeight="false" outlineLevel="0" collapsed="false">
      <c r="A1022" s="52" t="n">
        <v>45708</v>
      </c>
      <c r="B1022" s="57" t="n">
        <v>0.1268</v>
      </c>
      <c r="C1022" s="57" t="n">
        <v>0.1262</v>
      </c>
      <c r="D1022" s="57" t="n">
        <v>0.1273</v>
      </c>
      <c r="E1022" s="57" t="n">
        <v>0.1325</v>
      </c>
      <c r="F1022" s="57" t="n">
        <v>0.1405</v>
      </c>
      <c r="H1022" s="57" t="n">
        <v>0.1482</v>
      </c>
    </row>
    <row r="1023" customFormat="false" ht="15" hidden="false" customHeight="false" outlineLevel="0" collapsed="false">
      <c r="A1023" s="52" t="n">
        <v>45709</v>
      </c>
      <c r="B1023" s="57" t="n">
        <v>0.1265</v>
      </c>
      <c r="C1023" s="57" t="n">
        <v>0.1264</v>
      </c>
      <c r="D1023" s="57" t="n">
        <v>0.1279</v>
      </c>
      <c r="E1023" s="57" t="n">
        <v>0.1325</v>
      </c>
      <c r="F1023" s="57" t="n">
        <v>0.1413</v>
      </c>
      <c r="H1023" s="57" t="n">
        <v>0.1476</v>
      </c>
    </row>
    <row r="1024" customFormat="false" ht="15" hidden="false" customHeight="false" outlineLevel="0" collapsed="false">
      <c r="A1024" s="52" t="n">
        <v>45712</v>
      </c>
      <c r="B1024" s="57" t="n">
        <v>0.1354</v>
      </c>
      <c r="C1024" s="57" t="n">
        <v>0.1276</v>
      </c>
      <c r="D1024" s="57" t="n">
        <v>0.1268</v>
      </c>
      <c r="E1024" s="57" t="n">
        <v>0.135</v>
      </c>
      <c r="F1024" s="57" t="n">
        <v>0.1388</v>
      </c>
      <c r="H1024" s="57" t="n">
        <v>0.1505</v>
      </c>
    </row>
    <row r="1025" customFormat="false" ht="15" hidden="false" customHeight="false" outlineLevel="0" collapsed="false">
      <c r="A1025" s="52" t="n">
        <v>45713</v>
      </c>
      <c r="B1025" s="57" t="n">
        <v>0.1296</v>
      </c>
      <c r="C1025" s="57" t="n">
        <v>0.134</v>
      </c>
      <c r="D1025" s="57" t="n">
        <v>0.1377</v>
      </c>
      <c r="E1025" s="57" t="n">
        <v>0.1325</v>
      </c>
      <c r="F1025" s="57" t="n">
        <v>0.1401</v>
      </c>
      <c r="H1025" s="57" t="n">
        <v>0.1572</v>
      </c>
    </row>
    <row r="1026" customFormat="false" ht="15" hidden="false" customHeight="false" outlineLevel="0" collapsed="false">
      <c r="A1026" s="52" t="n">
        <v>45714</v>
      </c>
      <c r="B1026" s="57" t="n">
        <v>0.1316</v>
      </c>
      <c r="C1026" s="57" t="n">
        <v>0.1303</v>
      </c>
      <c r="D1026" s="57" t="n">
        <v>0.1303</v>
      </c>
      <c r="E1026" s="57" t="n">
        <v>0.135</v>
      </c>
      <c r="F1026" s="57" t="n">
        <v>0.1389</v>
      </c>
      <c r="H1026" s="57" t="n">
        <v>0.1571</v>
      </c>
    </row>
    <row r="1027" customFormat="false" ht="15" hidden="false" customHeight="false" outlineLevel="0" collapsed="false">
      <c r="A1027" s="52" t="n">
        <v>45715</v>
      </c>
      <c r="B1027" s="57" t="n">
        <v>0.1353</v>
      </c>
      <c r="C1027" s="57" t="n">
        <v>0.1273</v>
      </c>
      <c r="D1027" s="57" t="n">
        <v>0.1264</v>
      </c>
      <c r="E1027" s="57" t="n">
        <v>0.135</v>
      </c>
      <c r="F1027" s="57" t="n">
        <v>0.139</v>
      </c>
      <c r="H1027" s="57" t="n">
        <v>0.1508</v>
      </c>
    </row>
    <row r="1028" customFormat="false" ht="15" hidden="false" customHeight="false" outlineLevel="0" collapsed="false">
      <c r="A1028" s="52" t="n">
        <v>45716</v>
      </c>
      <c r="B1028" s="57" t="n">
        <v>0.1341</v>
      </c>
      <c r="C1028" s="57" t="n">
        <v>0.1272</v>
      </c>
      <c r="D1028" s="57" t="n">
        <v>0.1254</v>
      </c>
      <c r="E1028" s="57" t="n">
        <v>0.135</v>
      </c>
      <c r="F1028" s="57" t="n">
        <v>0.1402</v>
      </c>
      <c r="H1028" s="57" t="n">
        <v>0.1471</v>
      </c>
    </row>
    <row r="1029" customFormat="false" ht="15" hidden="false" customHeight="false" outlineLevel="0" collapsed="false">
      <c r="A1029" s="52" t="n">
        <v>45719</v>
      </c>
      <c r="B1029" s="57" t="n">
        <v>0.1355</v>
      </c>
      <c r="C1029" s="57" t="n">
        <v>0.1282</v>
      </c>
      <c r="D1029" s="57" t="n">
        <v>0.1251</v>
      </c>
      <c r="E1029" s="57" t="n">
        <v>0.135</v>
      </c>
      <c r="F1029" s="57" t="n">
        <v>0.1404</v>
      </c>
      <c r="H1029" s="57" t="n">
        <v>0.1454</v>
      </c>
    </row>
    <row r="1030" customFormat="false" ht="15" hidden="false" customHeight="false" outlineLevel="0" collapsed="false">
      <c r="A1030" s="52" t="n">
        <v>45720</v>
      </c>
      <c r="B1030" s="57" t="n">
        <v>0.1353</v>
      </c>
      <c r="C1030" s="57" t="n">
        <v>0.1294</v>
      </c>
      <c r="D1030" s="57" t="n">
        <v>0.1327</v>
      </c>
      <c r="E1030" s="57" t="n">
        <v>0.135</v>
      </c>
      <c r="F1030" s="57" t="n">
        <v>0.1391</v>
      </c>
      <c r="H1030" s="57" t="n">
        <v>0.1453</v>
      </c>
    </row>
    <row r="1031" customFormat="false" ht="15" hidden="false" customHeight="false" outlineLevel="0" collapsed="false">
      <c r="A1031" s="52" t="n">
        <v>45721</v>
      </c>
      <c r="B1031" s="57" t="n">
        <v>0.1379</v>
      </c>
      <c r="C1031" s="57" t="n">
        <v>0.1325</v>
      </c>
      <c r="D1031" s="57" t="n">
        <v>0.1275</v>
      </c>
      <c r="E1031" s="57" t="n">
        <v>0.135</v>
      </c>
      <c r="F1031" s="57" t="n">
        <v>0.1399</v>
      </c>
      <c r="H1031" s="57" t="n">
        <v>0.1469</v>
      </c>
    </row>
    <row r="1032" customFormat="false" ht="15" hidden="false" customHeight="false" outlineLevel="0" collapsed="false">
      <c r="A1032" s="52" t="n">
        <v>45722</v>
      </c>
      <c r="B1032" s="57" t="n">
        <v>0.1412</v>
      </c>
      <c r="C1032" s="57" t="n">
        <v>0.1339</v>
      </c>
      <c r="D1032" s="57" t="n">
        <v>0.1292</v>
      </c>
      <c r="E1032" s="57" t="n">
        <v>0.135</v>
      </c>
      <c r="F1032" s="57" t="n">
        <v>0.1396</v>
      </c>
      <c r="H1032" s="57" t="n">
        <v>0.1442</v>
      </c>
    </row>
    <row r="1033" customFormat="false" ht="15" hidden="false" customHeight="false" outlineLevel="0" collapsed="false">
      <c r="A1033" s="52" t="n">
        <v>45723</v>
      </c>
      <c r="B1033" s="57" t="n">
        <v>0.143</v>
      </c>
      <c r="C1033" s="57" t="n">
        <v>0.1379</v>
      </c>
      <c r="D1033" s="57" t="n">
        <v>0.1279</v>
      </c>
      <c r="E1033" s="57" t="n">
        <v>0.135</v>
      </c>
      <c r="F1033" s="57" t="n">
        <v>0.1407</v>
      </c>
      <c r="H1033" s="57" t="n">
        <v>0.1465</v>
      </c>
    </row>
    <row r="1034" customFormat="false" ht="15" hidden="false" customHeight="false" outlineLevel="0" collapsed="false">
      <c r="A1034" s="52" t="n">
        <v>45727</v>
      </c>
      <c r="B1034" s="57" t="n">
        <v>0.143</v>
      </c>
      <c r="C1034" s="57" t="n">
        <v>0.1377</v>
      </c>
      <c r="D1034" s="57" t="n">
        <v>0.1293</v>
      </c>
      <c r="E1034" s="57" t="n">
        <v>0.14027</v>
      </c>
      <c r="F1034" s="57" t="n">
        <v>0.1445</v>
      </c>
      <c r="H1034" s="57" t="n">
        <v>0.1558</v>
      </c>
    </row>
    <row r="1035" customFormat="false" ht="15" hidden="false" customHeight="false" outlineLevel="0" collapsed="false">
      <c r="A1035" s="52" t="n">
        <v>45728</v>
      </c>
      <c r="B1035" s="57" t="n">
        <v>0.1467</v>
      </c>
      <c r="C1035" s="57" t="n">
        <v>0.1338</v>
      </c>
      <c r="D1035" s="57" t="n">
        <v>0.1347</v>
      </c>
      <c r="E1035" s="57" t="n">
        <v>0.14027</v>
      </c>
      <c r="F1035" s="57" t="n">
        <v>0.1444</v>
      </c>
      <c r="H1035" s="57" t="n">
        <v>0.1551</v>
      </c>
    </row>
    <row r="1036" customFormat="false" ht="15" hidden="false" customHeight="false" outlineLevel="0" collapsed="false">
      <c r="A1036" s="52" t="n">
        <v>45729</v>
      </c>
      <c r="B1036" s="57" t="n">
        <v>0.1526</v>
      </c>
      <c r="C1036" s="57" t="n">
        <v>0.1465</v>
      </c>
      <c r="D1036" s="57" t="n">
        <v>0.1376</v>
      </c>
      <c r="E1036" s="57" t="n">
        <v>0.14027</v>
      </c>
      <c r="F1036" s="57" t="n">
        <v>0.1449</v>
      </c>
      <c r="H1036" s="57" t="n">
        <v>0.1585</v>
      </c>
    </row>
    <row r="1037" customFormat="false" ht="15" hidden="false" customHeight="false" outlineLevel="0" collapsed="false">
      <c r="A1037" s="52" t="n">
        <v>45730</v>
      </c>
      <c r="B1037" s="57" t="n">
        <v>0.1544</v>
      </c>
      <c r="C1037" s="57" t="n">
        <v>0.1452</v>
      </c>
      <c r="D1037" s="57" t="n">
        <v>0.1379</v>
      </c>
      <c r="E1037" s="57" t="n">
        <v>0.14027</v>
      </c>
      <c r="F1037" s="57" t="n">
        <v>0.1449</v>
      </c>
      <c r="H1037" s="57" t="n">
        <v>0.1564</v>
      </c>
    </row>
    <row r="1038" customFormat="false" ht="15" hidden="false" customHeight="false" outlineLevel="0" collapsed="false">
      <c r="A1038" s="52" t="n">
        <v>45733</v>
      </c>
      <c r="B1038" s="57" t="n">
        <v>0.1534</v>
      </c>
      <c r="C1038" s="57" t="n">
        <v>0.1441</v>
      </c>
      <c r="D1038" s="57" t="n">
        <v>0.1388</v>
      </c>
      <c r="E1038" s="57" t="n">
        <v>0.14027</v>
      </c>
      <c r="F1038" s="57" t="n">
        <v>0.1462</v>
      </c>
      <c r="H1038" s="57" t="n">
        <v>0.1563</v>
      </c>
    </row>
    <row r="1039" customFormat="false" ht="15" hidden="false" customHeight="false" outlineLevel="0" collapsed="false">
      <c r="A1039" s="52" t="n">
        <v>45734</v>
      </c>
      <c r="B1039" s="57" t="n">
        <v>0.1521</v>
      </c>
      <c r="C1039" s="57" t="n">
        <v>0.1444</v>
      </c>
      <c r="D1039" s="57" t="n">
        <v>0.1453</v>
      </c>
      <c r="E1039" s="57" t="n">
        <v>0.14027</v>
      </c>
      <c r="F1039" s="57" t="n">
        <v>0.1447</v>
      </c>
      <c r="H1039" s="57" t="n">
        <v>0.1572</v>
      </c>
    </row>
    <row r="1040" customFormat="false" ht="15" hidden="false" customHeight="false" outlineLevel="0" collapsed="false">
      <c r="A1040" s="52" t="n">
        <v>45735</v>
      </c>
      <c r="B1040" s="57" t="n">
        <v>0.1428</v>
      </c>
      <c r="C1040" s="57" t="n">
        <v>0.1455</v>
      </c>
      <c r="D1040" s="57" t="n">
        <v>0.1466</v>
      </c>
      <c r="E1040" s="57" t="n">
        <v>0.14027</v>
      </c>
      <c r="F1040" s="57" t="n">
        <v>0.1459</v>
      </c>
      <c r="H1040" s="57" t="n">
        <v>0.1606</v>
      </c>
    </row>
    <row r="1041" customFormat="false" ht="15" hidden="false" customHeight="false" outlineLevel="0" collapsed="false">
      <c r="A1041" s="52" t="n">
        <v>45736</v>
      </c>
      <c r="B1041" s="57" t="n">
        <v>0.143</v>
      </c>
      <c r="C1041" s="57" t="n">
        <v>0.1454</v>
      </c>
      <c r="D1041" s="57" t="n">
        <v>0.1458</v>
      </c>
      <c r="E1041" s="57" t="n">
        <v>0.14927</v>
      </c>
      <c r="F1041" s="57" t="n">
        <v>0.1449</v>
      </c>
      <c r="H1041" s="57" t="n">
        <v>0.1607</v>
      </c>
    </row>
    <row r="1042" customFormat="false" ht="15" hidden="false" customHeight="false" outlineLevel="0" collapsed="false">
      <c r="A1042" s="52" t="n">
        <v>45742</v>
      </c>
      <c r="B1042" s="57" t="n">
        <v>0.1425</v>
      </c>
      <c r="C1042" s="57" t="n">
        <v>0.145</v>
      </c>
      <c r="D1042" s="57" t="n">
        <v>0.1441</v>
      </c>
      <c r="E1042" s="57" t="n">
        <v>0.14927</v>
      </c>
      <c r="F1042" s="57" t="n">
        <v>0.1442</v>
      </c>
      <c r="H1042" s="57" t="n">
        <v>0.1578</v>
      </c>
    </row>
    <row r="1043" customFormat="false" ht="15" hidden="false" customHeight="false" outlineLevel="0" collapsed="false">
      <c r="A1043" s="52" t="n">
        <v>45743</v>
      </c>
      <c r="B1043" s="57" t="n">
        <v>0.1402</v>
      </c>
      <c r="C1043" s="57" t="n">
        <v>0.1457</v>
      </c>
      <c r="D1043" s="57" t="n">
        <v>0.1457</v>
      </c>
      <c r="E1043" s="57" t="n">
        <v>0.14927</v>
      </c>
      <c r="F1043" s="57" t="n">
        <v>0.1451</v>
      </c>
      <c r="H1043" s="57" t="n">
        <v>0.1582</v>
      </c>
    </row>
    <row r="1044" customFormat="false" ht="15" hidden="false" customHeight="false" outlineLevel="0" collapsed="false">
      <c r="A1044" s="52" t="n">
        <v>45744</v>
      </c>
      <c r="B1044" s="57" t="n">
        <v>0.1406</v>
      </c>
      <c r="C1044" s="57" t="n">
        <v>0.1461</v>
      </c>
      <c r="D1044" s="57" t="n">
        <v>0.1459</v>
      </c>
      <c r="E1044" s="57" t="n">
        <v>0.14927</v>
      </c>
      <c r="F1044" s="57" t="n">
        <v>0.1444</v>
      </c>
      <c r="H1044" s="57" t="n">
        <v>0.1617</v>
      </c>
    </row>
    <row r="1045" customFormat="false" ht="15" hidden="false" customHeight="false" outlineLevel="0" collapsed="false">
      <c r="A1045" s="52" t="n">
        <v>45747</v>
      </c>
      <c r="B1045" s="57" t="n">
        <v>0.1385</v>
      </c>
      <c r="C1045" s="57" t="n">
        <v>0.1458</v>
      </c>
      <c r="D1045" s="57" t="n">
        <v>0.1443</v>
      </c>
      <c r="E1045" s="57" t="n">
        <v>0.14927</v>
      </c>
      <c r="F1045" s="57" t="n">
        <v>0.1439</v>
      </c>
      <c r="H1045" s="57" t="n">
        <v>0.1666</v>
      </c>
    </row>
    <row r="1046" customFormat="false" ht="15" hidden="false" customHeight="false" outlineLevel="0" collapsed="false">
      <c r="A1046" s="52" t="n">
        <v>45748</v>
      </c>
      <c r="B1046" s="57" t="n">
        <v>0.137</v>
      </c>
      <c r="C1046" s="57" t="n">
        <v>0.1448</v>
      </c>
      <c r="D1046" s="57" t="n">
        <v>0.1439</v>
      </c>
      <c r="E1046" s="57" t="n">
        <v>0.14927</v>
      </c>
      <c r="F1046" s="57" t="n">
        <v>0.1456</v>
      </c>
      <c r="H1046" s="57" t="n">
        <v>0.1682</v>
      </c>
    </row>
    <row r="1047" customFormat="false" ht="15" hidden="false" customHeight="false" outlineLevel="0" collapsed="false">
      <c r="A1047" s="52" t="n">
        <v>45749</v>
      </c>
      <c r="B1047" s="57" t="n">
        <v>0.1378</v>
      </c>
      <c r="C1047" s="57" t="n">
        <v>0.1443</v>
      </c>
      <c r="D1047" s="57" t="n">
        <v>0.1462</v>
      </c>
      <c r="E1047" s="57" t="n">
        <v>0.14927</v>
      </c>
      <c r="F1047" s="57" t="n">
        <v>0.1445</v>
      </c>
      <c r="H1047" s="57" t="n">
        <v>0.1602</v>
      </c>
    </row>
    <row r="1048" customFormat="false" ht="15" hidden="false" customHeight="false" outlineLevel="0" collapsed="false">
      <c r="A1048" s="52" t="n">
        <v>45750</v>
      </c>
      <c r="B1048" s="57" t="n">
        <v>0.1512</v>
      </c>
      <c r="C1048" s="57" t="n">
        <v>0.1442</v>
      </c>
      <c r="D1048" s="57" t="n">
        <v>0.1426</v>
      </c>
      <c r="E1048" s="57" t="n">
        <v>0.14927</v>
      </c>
      <c r="F1048" s="57" t="n">
        <v>0.1439</v>
      </c>
      <c r="H1048" s="57" t="n">
        <v>0.1573</v>
      </c>
    </row>
    <row r="1049" customFormat="false" ht="15" hidden="false" customHeight="false" outlineLevel="0" collapsed="false">
      <c r="A1049" s="52" t="n">
        <v>45751</v>
      </c>
      <c r="B1049" s="57" t="n">
        <v>0.1545</v>
      </c>
      <c r="C1049" s="57" t="n">
        <v>0.145</v>
      </c>
      <c r="D1049" s="57" t="n">
        <v>0.1425</v>
      </c>
      <c r="E1049" s="57" t="n">
        <v>0.14927</v>
      </c>
      <c r="F1049" s="57" t="n">
        <v>0.1441</v>
      </c>
      <c r="H1049" s="57" t="n">
        <v>0.1584</v>
      </c>
    </row>
    <row r="1050" customFormat="false" ht="15" hidden="false" customHeight="false" outlineLevel="0" collapsed="false">
      <c r="A1050" s="52" t="n">
        <v>45754</v>
      </c>
      <c r="B1050" s="57" t="n">
        <v>0.1558</v>
      </c>
      <c r="C1050" s="57" t="n">
        <v>0.1452</v>
      </c>
      <c r="D1050" s="57" t="n">
        <v>0.1426</v>
      </c>
      <c r="E1050" s="57" t="n">
        <v>0.14927</v>
      </c>
      <c r="F1050" s="57" t="n">
        <v>0.1448</v>
      </c>
      <c r="H1050" s="57" t="n">
        <v>0.1616</v>
      </c>
    </row>
    <row r="1051" customFormat="false" ht="15" hidden="false" customHeight="false" outlineLevel="0" collapsed="false">
      <c r="A1051" s="52" t="n">
        <v>45755</v>
      </c>
      <c r="B1051" s="57" t="n">
        <v>0.1567</v>
      </c>
      <c r="C1051" s="57" t="n">
        <v>0.146</v>
      </c>
      <c r="D1051" s="57" t="n">
        <v>0.1425</v>
      </c>
      <c r="E1051" s="57" t="n">
        <v>0.14927</v>
      </c>
      <c r="F1051" s="57" t="n">
        <v>0.1456</v>
      </c>
      <c r="H1051" s="57" t="n">
        <v>0.1683</v>
      </c>
    </row>
    <row r="1052" customFormat="false" ht="15" hidden="false" customHeight="false" outlineLevel="0" collapsed="false">
      <c r="A1052" s="52" t="n">
        <v>45756</v>
      </c>
      <c r="B1052" s="57" t="n">
        <v>0.1477</v>
      </c>
      <c r="C1052" s="57" t="n">
        <v>0.1445</v>
      </c>
      <c r="D1052" s="57" t="n">
        <v>0.1447</v>
      </c>
      <c r="E1052" s="57" t="n">
        <v>0.15011</v>
      </c>
      <c r="F1052" s="57" t="n">
        <v>0.1459</v>
      </c>
      <c r="H1052" s="57" t="n">
        <v>0.1661</v>
      </c>
    </row>
    <row r="1053" customFormat="false" ht="15" hidden="false" customHeight="false" outlineLevel="0" collapsed="false">
      <c r="A1053" s="52" t="n">
        <v>45757</v>
      </c>
      <c r="B1053" s="57" t="n">
        <v>0.1537</v>
      </c>
      <c r="C1053" s="57" t="n">
        <v>0.1447</v>
      </c>
      <c r="D1053" s="57" t="n">
        <v>0.1435</v>
      </c>
      <c r="E1053" s="57" t="n">
        <v>0.15011</v>
      </c>
      <c r="F1053" s="57" t="n">
        <v>0.1453</v>
      </c>
      <c r="H1053" s="57" t="n">
        <v>0.159</v>
      </c>
    </row>
    <row r="1054" customFormat="false" ht="15" hidden="false" customHeight="false" outlineLevel="0" collapsed="false">
      <c r="A1054" s="52" t="n">
        <v>45758</v>
      </c>
      <c r="B1054" s="57" t="n">
        <v>0.1573</v>
      </c>
      <c r="C1054" s="57" t="n">
        <v>0.146</v>
      </c>
      <c r="D1054" s="57" t="n">
        <v>0.1432</v>
      </c>
      <c r="E1054" s="57" t="n">
        <v>0.15011</v>
      </c>
      <c r="F1054" s="57" t="n">
        <v>0.1455</v>
      </c>
      <c r="H1054" s="57" t="n">
        <v>0.1591</v>
      </c>
    </row>
    <row r="1055" customFormat="false" ht="15" hidden="false" customHeight="false" outlineLevel="0" collapsed="false">
      <c r="A1055" s="52" t="n">
        <v>45761</v>
      </c>
      <c r="B1055" s="57" t="n">
        <v>0.156</v>
      </c>
      <c r="C1055" s="57" t="n">
        <v>0.1456</v>
      </c>
      <c r="D1055" s="57" t="n">
        <v>0.1433</v>
      </c>
      <c r="E1055" s="57" t="n">
        <v>0.15011</v>
      </c>
      <c r="F1055" s="57" t="n">
        <v>0.1454</v>
      </c>
      <c r="H1055" s="57" t="n">
        <v>0.1575</v>
      </c>
    </row>
    <row r="1056" customFormat="false" ht="15" hidden="false" customHeight="false" outlineLevel="0" collapsed="false">
      <c r="A1056" s="52" t="n">
        <v>45762</v>
      </c>
      <c r="B1056" s="57" t="n">
        <v>0.1589</v>
      </c>
      <c r="C1056" s="57" t="n">
        <v>0.1467</v>
      </c>
      <c r="D1056" s="57" t="n">
        <v>0.1426</v>
      </c>
      <c r="E1056" s="57" t="n">
        <v>0.15011</v>
      </c>
      <c r="F1056" s="57" t="n">
        <v>0.1469</v>
      </c>
      <c r="H1056" s="57" t="n">
        <v>0.1564</v>
      </c>
    </row>
    <row r="1057" customFormat="false" ht="15" hidden="false" customHeight="false" outlineLevel="0" collapsed="false">
      <c r="A1057" s="52" t="n">
        <v>45763</v>
      </c>
      <c r="B1057" s="57" t="n">
        <v>0.1613</v>
      </c>
      <c r="C1057" s="57" t="n">
        <v>0.1487</v>
      </c>
      <c r="D1057" s="57" t="n">
        <v>0.1456</v>
      </c>
      <c r="E1057" s="57" t="n">
        <v>0.15111</v>
      </c>
      <c r="F1057" s="57" t="n">
        <v>0.1472</v>
      </c>
      <c r="H1057" s="57" t="n">
        <v>0.1564</v>
      </c>
    </row>
    <row r="1058" customFormat="false" ht="15" hidden="false" customHeight="false" outlineLevel="0" collapsed="false">
      <c r="A1058" s="52" t="n">
        <v>45764</v>
      </c>
      <c r="B1058" s="57" t="n">
        <v>0.1607</v>
      </c>
      <c r="C1058" s="57" t="n">
        <v>0.1492</v>
      </c>
      <c r="D1058" s="57" t="n">
        <v>0.1448</v>
      </c>
      <c r="E1058" s="57" t="n">
        <v>0.15111</v>
      </c>
      <c r="F1058" s="57" t="n">
        <v>0.1465</v>
      </c>
      <c r="H1058" s="57" t="n">
        <v>0.1551</v>
      </c>
    </row>
    <row r="1059" customFormat="false" ht="15" hidden="false" customHeight="false" outlineLevel="0" collapsed="false">
      <c r="A1059" s="52" t="n">
        <v>45765</v>
      </c>
      <c r="B1059" s="57" t="n">
        <v>0.1617</v>
      </c>
      <c r="C1059" s="57" t="n">
        <v>0.1497</v>
      </c>
      <c r="D1059" s="57" t="n">
        <v>0.1448</v>
      </c>
      <c r="E1059" s="57" t="n">
        <v>0.15111</v>
      </c>
      <c r="F1059" s="57" t="n">
        <v>0.1464</v>
      </c>
      <c r="H1059" s="57" t="n">
        <v>0.1563</v>
      </c>
    </row>
    <row r="1060" customFormat="false" ht="15" hidden="false" customHeight="false" outlineLevel="0" collapsed="false">
      <c r="A1060" s="52" t="n">
        <v>45768</v>
      </c>
      <c r="B1060" s="57" t="n">
        <v>0.1607</v>
      </c>
      <c r="C1060" s="57" t="n">
        <v>0.1492</v>
      </c>
      <c r="D1060" s="57" t="n">
        <v>0.1452</v>
      </c>
      <c r="E1060" s="57" t="n">
        <v>0.15111</v>
      </c>
      <c r="F1060" s="57" t="n">
        <v>0.1464</v>
      </c>
      <c r="H1060" s="57" t="n">
        <v>0.1594</v>
      </c>
    </row>
    <row r="1061" customFormat="false" ht="15" hidden="false" customHeight="false" outlineLevel="0" collapsed="false">
      <c r="A1061" s="52" t="n">
        <v>45769</v>
      </c>
      <c r="B1061" s="57" t="n">
        <v>0.1591</v>
      </c>
      <c r="C1061" s="57" t="n">
        <v>0.1498</v>
      </c>
      <c r="D1061" s="57" t="n">
        <v>0.1456</v>
      </c>
      <c r="E1061" s="57" t="n">
        <v>0.15111</v>
      </c>
      <c r="F1061" s="57" t="n">
        <v>0.1473</v>
      </c>
      <c r="H1061" s="57" t="n">
        <v>0.1612</v>
      </c>
    </row>
    <row r="1062" customFormat="false" ht="15" hidden="false" customHeight="false" outlineLevel="0" collapsed="false">
      <c r="A1062" s="52" t="n">
        <v>45770</v>
      </c>
      <c r="B1062" s="57" t="n">
        <v>0.1593</v>
      </c>
      <c r="C1062" s="57" t="n">
        <v>0.1499</v>
      </c>
      <c r="D1062" s="57" t="n">
        <v>0.1473</v>
      </c>
      <c r="E1062" s="57" t="n">
        <v>0.15111</v>
      </c>
      <c r="F1062" s="57" t="n">
        <v>0.1458</v>
      </c>
      <c r="H1062" s="57" t="n">
        <v>0.1601</v>
      </c>
    </row>
    <row r="1063" customFormat="false" ht="15" hidden="false" customHeight="false" outlineLevel="0" collapsed="false">
      <c r="A1063" s="52" t="n">
        <v>45771</v>
      </c>
      <c r="B1063" s="57" t="n">
        <v>0.1593</v>
      </c>
      <c r="C1063" s="57" t="n">
        <v>0.1507</v>
      </c>
      <c r="D1063" s="57" t="n">
        <v>0.1464</v>
      </c>
      <c r="E1063" s="57" t="n">
        <v>0.14911</v>
      </c>
      <c r="F1063" s="57" t="n">
        <v>0.1469</v>
      </c>
      <c r="H1063" s="57" t="n">
        <v>0.1609</v>
      </c>
    </row>
    <row r="1064" customFormat="false" ht="15" hidden="false" customHeight="false" outlineLevel="0" collapsed="false">
      <c r="A1064" s="52" t="n">
        <v>45772</v>
      </c>
      <c r="B1064" s="57" t="n">
        <v>0.1588</v>
      </c>
      <c r="C1064" s="57" t="n">
        <v>0.1509</v>
      </c>
      <c r="D1064" s="57" t="n">
        <v>0.1459</v>
      </c>
      <c r="E1064" s="57" t="n">
        <v>0.15306</v>
      </c>
      <c r="F1064" s="57" t="n">
        <v>0.1458</v>
      </c>
      <c r="H1064" s="57" t="n">
        <v>0.1585</v>
      </c>
    </row>
    <row r="1065" customFormat="false" ht="15" hidden="false" customHeight="false" outlineLevel="0" collapsed="false">
      <c r="A1065" s="52" t="n">
        <v>45775</v>
      </c>
      <c r="B1065" s="57" t="n">
        <v>0.16</v>
      </c>
      <c r="C1065" s="57" t="n">
        <v>0.1495</v>
      </c>
      <c r="D1065" s="57" t="n">
        <v>0.145</v>
      </c>
      <c r="E1065" s="57" t="n">
        <v>0.15544</v>
      </c>
      <c r="F1065" s="57" t="n">
        <v>0.1468</v>
      </c>
      <c r="H1065" s="57" t="n">
        <v>0.1573</v>
      </c>
    </row>
    <row r="1066" customFormat="false" ht="15" hidden="false" customHeight="false" outlineLevel="0" collapsed="false">
      <c r="A1066" s="52" t="n">
        <v>45776</v>
      </c>
      <c r="B1066" s="57" t="n">
        <v>0.1596</v>
      </c>
      <c r="C1066" s="57" t="n">
        <v>0.1486</v>
      </c>
      <c r="D1066" s="57" t="n">
        <v>0.1444</v>
      </c>
      <c r="E1066" s="57" t="n">
        <v>0.15544</v>
      </c>
      <c r="F1066" s="57" t="n">
        <v>0.1464</v>
      </c>
      <c r="H1066" s="57" t="n">
        <v>0.156</v>
      </c>
    </row>
    <row r="1067" customFormat="false" ht="15" hidden="false" customHeight="false" outlineLevel="0" collapsed="false">
      <c r="A1067" s="52" t="n">
        <v>45777</v>
      </c>
      <c r="B1067" s="57" t="n">
        <v>0.1582</v>
      </c>
      <c r="C1067" s="57" t="n">
        <v>0.1494</v>
      </c>
      <c r="D1067" s="57" t="n">
        <v>0.1441</v>
      </c>
      <c r="E1067" s="57" t="n">
        <v>0.15544</v>
      </c>
      <c r="F1067" s="57" t="n">
        <v>0.1459</v>
      </c>
      <c r="H1067" s="57" t="n">
        <v>0.1554</v>
      </c>
    </row>
    <row r="1068" customFormat="false" ht="15" hidden="false" customHeight="false" outlineLevel="0" collapsed="false">
      <c r="A1068" s="52" t="n">
        <v>45779</v>
      </c>
      <c r="B1068" s="57" t="n">
        <v>0.1556</v>
      </c>
      <c r="C1068" s="57" t="n">
        <v>0.1554</v>
      </c>
      <c r="D1068" s="57" t="n">
        <v>0.1436</v>
      </c>
      <c r="E1068" s="57" t="n">
        <v>0.15544</v>
      </c>
      <c r="F1068" s="57" t="n">
        <v>0.1477</v>
      </c>
      <c r="H1068" s="57" t="n">
        <v>0.1564</v>
      </c>
    </row>
    <row r="1069" customFormat="false" ht="15" hidden="false" customHeight="false" outlineLevel="0" collapsed="false">
      <c r="A1069" s="52" t="n">
        <v>45782</v>
      </c>
      <c r="B1069" s="57" t="n">
        <v>0.1514</v>
      </c>
      <c r="C1069" s="57" t="n">
        <v>0.1558</v>
      </c>
      <c r="D1069" s="57" t="n">
        <v>0.1436</v>
      </c>
      <c r="E1069" s="57" t="n">
        <v>0.15544</v>
      </c>
      <c r="F1069" s="57" t="n">
        <v>0.1475</v>
      </c>
      <c r="H1069" s="57" t="n">
        <v>0.1578</v>
      </c>
    </row>
    <row r="1070" customFormat="false" ht="15" hidden="false" customHeight="false" outlineLevel="0" collapsed="false">
      <c r="A1070" s="52" t="n">
        <v>45783</v>
      </c>
      <c r="B1070" s="57" t="n">
        <v>0.1591</v>
      </c>
      <c r="C1070" s="57" t="n">
        <v>0.1576</v>
      </c>
      <c r="D1070" s="57" t="n">
        <v>0.1443</v>
      </c>
      <c r="E1070" s="57" t="n">
        <v>0.15544</v>
      </c>
      <c r="F1070" s="57" t="n">
        <v>0.147</v>
      </c>
      <c r="H1070" s="57" t="n">
        <v>0.1578</v>
      </c>
    </row>
    <row r="1071" customFormat="false" ht="15" hidden="false" customHeight="false" outlineLevel="0" collapsed="false">
      <c r="A1071" s="52" t="n">
        <v>45785</v>
      </c>
      <c r="B1071" s="57" t="n">
        <v>0.1574</v>
      </c>
      <c r="C1071" s="57" t="n">
        <v>0.1558</v>
      </c>
      <c r="D1071" s="57" t="n">
        <v>0.1435</v>
      </c>
      <c r="E1071" s="57" t="n">
        <v>0.15633</v>
      </c>
      <c r="F1071" s="57" t="n">
        <v>0.1468</v>
      </c>
      <c r="H1071" s="57" t="n">
        <v>0.1581</v>
      </c>
    </row>
    <row r="1072" customFormat="false" ht="15" hidden="false" customHeight="false" outlineLevel="0" collapsed="false">
      <c r="A1072" s="52" t="n">
        <v>45789</v>
      </c>
      <c r="B1072" s="57" t="n">
        <v>0.1581</v>
      </c>
      <c r="C1072" s="57" t="n">
        <v>0.1565</v>
      </c>
      <c r="D1072" s="57" t="n">
        <v>0.1451</v>
      </c>
      <c r="E1072" s="57" t="n">
        <v>0.15633</v>
      </c>
      <c r="F1072" s="57" t="n">
        <v>0.1483</v>
      </c>
      <c r="H1072" s="57" t="n">
        <v>0.1562</v>
      </c>
    </row>
    <row r="1073" customFormat="false" ht="15" hidden="false" customHeight="false" outlineLevel="0" collapsed="false">
      <c r="A1073" s="52" t="n">
        <v>45790</v>
      </c>
      <c r="B1073" s="57" t="n">
        <v>0.1558</v>
      </c>
      <c r="C1073" s="57" t="n">
        <v>0.1556</v>
      </c>
      <c r="D1073" s="57" t="n">
        <v>0.1429</v>
      </c>
      <c r="E1073" s="57" t="n">
        <v>0.15633</v>
      </c>
      <c r="F1073" s="57" t="n">
        <v>0.1472</v>
      </c>
      <c r="H1073" s="57" t="n">
        <v>0.1553</v>
      </c>
    </row>
    <row r="1074" customFormat="false" ht="15" hidden="false" customHeight="false" outlineLevel="0" collapsed="false">
      <c r="A1074" s="52" t="n">
        <v>45791</v>
      </c>
      <c r="B1074" s="57" t="n">
        <v>0.1566</v>
      </c>
      <c r="C1074" s="57" t="n">
        <v>0.1578</v>
      </c>
      <c r="D1074" s="57" t="n">
        <v>0.1435</v>
      </c>
      <c r="E1074" s="57" t="n">
        <v>0.15633</v>
      </c>
      <c r="F1074" s="57" t="n">
        <v>0.1476</v>
      </c>
      <c r="H1074" s="57" t="n">
        <v>0.1569</v>
      </c>
    </row>
    <row r="1075" customFormat="false" ht="15" hidden="false" customHeight="false" outlineLevel="0" collapsed="false">
      <c r="A1075" s="52" t="n">
        <v>45792</v>
      </c>
      <c r="B1075" s="57" t="n">
        <v>0.1576</v>
      </c>
      <c r="C1075" s="57" t="n">
        <v>0.1579</v>
      </c>
      <c r="D1075" s="57" t="n">
        <v>0.1434</v>
      </c>
      <c r="E1075" s="57" t="n">
        <v>0.15589</v>
      </c>
      <c r="F1075" s="57" t="n">
        <v>0.1477</v>
      </c>
      <c r="H1075" s="57" t="n">
        <v>0.1575</v>
      </c>
    </row>
    <row r="1076" customFormat="false" ht="15" hidden="false" customHeight="false" outlineLevel="0" collapsed="false">
      <c r="A1076" s="52" t="n">
        <v>45793</v>
      </c>
      <c r="B1076" s="57" t="n">
        <v>0.1582</v>
      </c>
      <c r="C1076" s="57" t="n">
        <v>0.1577</v>
      </c>
      <c r="D1076" s="57" t="n">
        <v>0.1434</v>
      </c>
      <c r="E1076" s="57" t="n">
        <v>0.15589</v>
      </c>
      <c r="F1076" s="57" t="n">
        <v>0.1484</v>
      </c>
      <c r="H1076" s="57" t="n">
        <v>0.1599</v>
      </c>
    </row>
    <row r="1077" customFormat="false" ht="15" hidden="false" customHeight="false" outlineLevel="0" collapsed="false">
      <c r="A1077" s="52" t="n">
        <v>45796</v>
      </c>
      <c r="B1077" s="57" t="n">
        <v>0.1592</v>
      </c>
      <c r="C1077" s="57" t="n">
        <v>0.1566</v>
      </c>
      <c r="D1077" s="57" t="n">
        <v>0.1433</v>
      </c>
      <c r="E1077" s="57" t="n">
        <v>0.15589</v>
      </c>
      <c r="F1077" s="57" t="n">
        <v>0.1475</v>
      </c>
      <c r="H1077" s="57" t="n">
        <v>0.1582</v>
      </c>
    </row>
    <row r="1078" customFormat="false" ht="15" hidden="false" customHeight="false" outlineLevel="0" collapsed="false">
      <c r="A1078" s="52" t="n">
        <v>45797</v>
      </c>
      <c r="B1078" s="57" t="n">
        <v>0.1581</v>
      </c>
      <c r="C1078" s="57" t="n">
        <v>0.157</v>
      </c>
      <c r="D1078" s="57" t="n">
        <v>0.1439</v>
      </c>
      <c r="E1078" s="57" t="n">
        <v>0.15589</v>
      </c>
      <c r="F1078" s="57" t="n">
        <v>0.1482</v>
      </c>
      <c r="H1078" s="57" t="n">
        <v>0.1561</v>
      </c>
    </row>
    <row r="1079" customFormat="false" ht="15" hidden="false" customHeight="false" outlineLevel="0" collapsed="false">
      <c r="A1079" s="52" t="n">
        <v>45798</v>
      </c>
      <c r="B1079" s="57" t="n">
        <v>0.1574</v>
      </c>
      <c r="C1079" s="57" t="n">
        <v>0.1586</v>
      </c>
      <c r="D1079" s="57" t="n">
        <v>0.1452</v>
      </c>
      <c r="E1079" s="57" t="n">
        <v>0.15589</v>
      </c>
      <c r="F1079" s="57" t="n">
        <v>0.1483</v>
      </c>
      <c r="H1079" s="57" t="n">
        <v>0.1565</v>
      </c>
    </row>
    <row r="1080" customFormat="false" ht="15" hidden="false" customHeight="false" outlineLevel="0" collapsed="false">
      <c r="A1080" s="52" t="n">
        <v>45799</v>
      </c>
      <c r="B1080" s="57" t="n">
        <v>0.1579</v>
      </c>
      <c r="C1080" s="57" t="n">
        <v>0.1595</v>
      </c>
      <c r="D1080" s="57" t="n">
        <v>0.1446</v>
      </c>
      <c r="E1080" s="57" t="n">
        <v>0.15589</v>
      </c>
      <c r="F1080" s="57" t="n">
        <v>0.1512</v>
      </c>
      <c r="H1080" s="57" t="n">
        <v>0.1573</v>
      </c>
    </row>
    <row r="1081" customFormat="false" ht="15" hidden="false" customHeight="false" outlineLevel="0" collapsed="false">
      <c r="A1081" s="52" t="n">
        <v>45800</v>
      </c>
      <c r="B1081" s="57" t="n">
        <v>0.1561</v>
      </c>
      <c r="C1081" s="57" t="n">
        <v>0.1586</v>
      </c>
      <c r="D1081" s="57" t="n">
        <v>0.1442</v>
      </c>
      <c r="E1081" s="57" t="n">
        <v>0.156</v>
      </c>
      <c r="F1081" s="57" t="n">
        <v>0.1485</v>
      </c>
      <c r="H1081" s="57" t="n">
        <v>0.16</v>
      </c>
    </row>
    <row r="1082" customFormat="false" ht="15" hidden="false" customHeight="false" outlineLevel="0" collapsed="false">
      <c r="A1082" s="52" t="n">
        <v>45803</v>
      </c>
      <c r="B1082" s="57" t="n">
        <v>0.1594</v>
      </c>
      <c r="C1082" s="57" t="n">
        <v>0.1577</v>
      </c>
      <c r="D1082" s="57" t="n">
        <v>0.1445</v>
      </c>
      <c r="E1082" s="57" t="n">
        <v>0.15656</v>
      </c>
      <c r="F1082" s="57" t="n">
        <v>0.1471</v>
      </c>
      <c r="H1082" s="57" t="n">
        <v>0.1601</v>
      </c>
    </row>
    <row r="1083" customFormat="false" ht="15" hidden="false" customHeight="false" outlineLevel="0" collapsed="false">
      <c r="A1083" s="52" t="n">
        <v>45804</v>
      </c>
      <c r="B1083" s="57" t="n">
        <v>0.1617</v>
      </c>
      <c r="C1083" s="57" t="n">
        <v>0.1599</v>
      </c>
      <c r="D1083" s="57" t="n">
        <v>0.1439</v>
      </c>
      <c r="E1083" s="57" t="n">
        <v>0.15656</v>
      </c>
      <c r="F1083" s="57" t="n">
        <v>0.148</v>
      </c>
      <c r="H1083" s="57" t="n">
        <v>0.1569</v>
      </c>
    </row>
    <row r="1084" customFormat="false" ht="15" hidden="false" customHeight="false" outlineLevel="0" collapsed="false">
      <c r="A1084" s="52" t="n">
        <v>45805</v>
      </c>
      <c r="B1084" s="57" t="n">
        <v>0.1596</v>
      </c>
      <c r="C1084" s="57" t="n">
        <v>0.1572</v>
      </c>
      <c r="D1084" s="57" t="n">
        <v>0.1438</v>
      </c>
      <c r="E1084" s="57" t="n">
        <v>0.15656</v>
      </c>
      <c r="F1084" s="57" t="n">
        <v>0.1488</v>
      </c>
      <c r="H1084" s="57" t="n">
        <v>0.1543</v>
      </c>
    </row>
    <row r="1085" customFormat="false" ht="15" hidden="false" customHeight="false" outlineLevel="0" collapsed="false">
      <c r="A1085" s="52" t="n">
        <v>45806</v>
      </c>
      <c r="B1085" s="57" t="n">
        <v>0.1595</v>
      </c>
      <c r="C1085" s="57" t="n">
        <v>0.1584</v>
      </c>
      <c r="D1085" s="57" t="n">
        <v>0.1438</v>
      </c>
      <c r="E1085" s="57" t="n">
        <v>0.15656</v>
      </c>
      <c r="F1085" s="57" t="n">
        <v>0.1473</v>
      </c>
      <c r="H1085" s="57" t="n">
        <v>0.1546</v>
      </c>
    </row>
    <row r="1086" customFormat="false" ht="15" hidden="false" customHeight="false" outlineLevel="0" collapsed="false">
      <c r="A1086" s="52" t="n">
        <v>45807</v>
      </c>
      <c r="B1086" s="57" t="n">
        <v>0.1618</v>
      </c>
      <c r="C1086" s="57" t="n">
        <v>0.1623</v>
      </c>
      <c r="D1086" s="57" t="n">
        <v>0.1438</v>
      </c>
      <c r="E1086" s="57" t="n">
        <v>0.15656</v>
      </c>
      <c r="F1086" s="57" t="n">
        <v>0.1475</v>
      </c>
      <c r="H1086" s="57" t="n">
        <v>0.1542</v>
      </c>
    </row>
    <row r="1087" customFormat="false" ht="15" hidden="false" customHeight="false" outlineLevel="0" collapsed="false">
      <c r="A1087" s="52" t="n">
        <v>45810</v>
      </c>
      <c r="B1087" s="57" t="n">
        <v>0.1597</v>
      </c>
      <c r="C1087" s="57" t="n">
        <v>0.1624</v>
      </c>
      <c r="D1087" s="57" t="n">
        <v>0.1441</v>
      </c>
      <c r="E1087" s="57" t="n">
        <v>0.15656</v>
      </c>
      <c r="F1087" s="57" t="n">
        <v>0.1457</v>
      </c>
      <c r="H1087" s="57" t="n">
        <v>0.155</v>
      </c>
    </row>
    <row r="1088" customFormat="false" ht="15" hidden="false" customHeight="false" outlineLevel="0" collapsed="false">
      <c r="A1088" s="52" t="n">
        <v>45811</v>
      </c>
      <c r="B1088" s="57" t="n">
        <v>0.1599</v>
      </c>
      <c r="C1088" s="57" t="n">
        <v>0.1636</v>
      </c>
      <c r="D1088" s="57" t="n">
        <v>0.1448</v>
      </c>
      <c r="E1088" s="57" t="n">
        <v>0.15656</v>
      </c>
      <c r="F1088" s="57" t="n">
        <v>0.1469</v>
      </c>
      <c r="H1088" s="57" t="n">
        <v>0.1517</v>
      </c>
    </row>
    <row r="1089" customFormat="false" ht="15" hidden="false" customHeight="false" outlineLevel="0" collapsed="false">
      <c r="A1089" s="52" t="n">
        <v>45812</v>
      </c>
      <c r="B1089" s="57" t="n">
        <v>0.1595</v>
      </c>
      <c r="C1089" s="57" t="n">
        <v>0.1641</v>
      </c>
      <c r="D1089" s="57" t="n">
        <v>0.1444</v>
      </c>
      <c r="E1089" s="57" t="n">
        <v>0.15656</v>
      </c>
      <c r="F1089" s="57" t="n">
        <v>0.1479</v>
      </c>
      <c r="H1089" s="57" t="n">
        <v>0.1497</v>
      </c>
    </row>
    <row r="1090" customFormat="false" ht="15" hidden="false" customHeight="false" outlineLevel="0" collapsed="false">
      <c r="A1090" s="52" t="n">
        <v>45813</v>
      </c>
      <c r="B1090" s="57" t="n">
        <v>0.1597</v>
      </c>
      <c r="C1090" s="57" t="n">
        <v>0.1645</v>
      </c>
      <c r="D1090" s="57" t="n">
        <v>0.1449</v>
      </c>
      <c r="E1090" s="57" t="n">
        <v>0.15856</v>
      </c>
      <c r="F1090" s="57" t="n">
        <v>0.1479</v>
      </c>
      <c r="H1090" s="57" t="n">
        <v>0.1504</v>
      </c>
    </row>
    <row r="1091" customFormat="false" ht="15" hidden="false" customHeight="false" outlineLevel="0" collapsed="false">
      <c r="A1091" s="52" t="n">
        <v>45817</v>
      </c>
      <c r="B1091" s="57" t="n">
        <v>0.1599</v>
      </c>
      <c r="C1091" s="57" t="n">
        <v>0.1647</v>
      </c>
      <c r="D1091" s="57" t="n">
        <v>0.145</v>
      </c>
      <c r="E1091" s="57" t="n">
        <v>0.16111</v>
      </c>
      <c r="F1091" s="57" t="n">
        <v>0.1477</v>
      </c>
      <c r="H1091" s="57" t="n">
        <v>0.1496</v>
      </c>
    </row>
    <row r="1092" customFormat="false" ht="15" hidden="false" customHeight="false" outlineLevel="0" collapsed="false">
      <c r="A1092" s="52" t="n">
        <v>45818</v>
      </c>
      <c r="B1092" s="57" t="n">
        <v>0.1588</v>
      </c>
      <c r="C1092" s="57" t="n">
        <v>0.1646</v>
      </c>
      <c r="D1092" s="57" t="n">
        <v>0.1451</v>
      </c>
      <c r="E1092" s="57" t="n">
        <v>0.16411</v>
      </c>
      <c r="F1092" s="57" t="n">
        <v>0.1483</v>
      </c>
      <c r="H1092" s="57" t="n">
        <v>0.1541</v>
      </c>
    </row>
    <row r="1093" customFormat="false" ht="15" hidden="false" customHeight="false" outlineLevel="0" collapsed="false">
      <c r="A1093" s="52" t="n">
        <v>45819</v>
      </c>
      <c r="B1093" s="57" t="n">
        <v>0.162</v>
      </c>
      <c r="C1093" s="57" t="n">
        <v>0.1659</v>
      </c>
      <c r="D1093" s="57" t="n">
        <v>0.1442</v>
      </c>
      <c r="E1093" s="57" t="n">
        <v>0.16411</v>
      </c>
      <c r="F1093" s="57" t="n">
        <v>0.1488</v>
      </c>
      <c r="H1093" s="57" t="n">
        <v>0.1575</v>
      </c>
    </row>
    <row r="1094" customFormat="false" ht="15" hidden="false" customHeight="false" outlineLevel="0" collapsed="false">
      <c r="A1094" s="52" t="n">
        <v>45820</v>
      </c>
      <c r="B1094" s="57" t="n">
        <v>0.1627</v>
      </c>
      <c r="C1094" s="57" t="n">
        <v>0.1645</v>
      </c>
      <c r="D1094" s="57" t="n">
        <v>0.1442</v>
      </c>
      <c r="E1094" s="57" t="n">
        <v>0.16417</v>
      </c>
      <c r="F1094" s="57" t="n">
        <v>0.1477</v>
      </c>
      <c r="H1094" s="57" t="n">
        <v>0.1555</v>
      </c>
    </row>
    <row r="1095" customFormat="false" ht="15" hidden="false" customHeight="false" outlineLevel="0" collapsed="false">
      <c r="A1095" s="52" t="n">
        <v>45821</v>
      </c>
      <c r="B1095" s="57" t="n">
        <v>0.1619</v>
      </c>
      <c r="C1095" s="57" t="n">
        <v>0.1644</v>
      </c>
      <c r="D1095" s="57" t="n">
        <v>0.1453</v>
      </c>
      <c r="E1095" s="57" t="n">
        <v>0.16484</v>
      </c>
      <c r="F1095" s="57" t="n">
        <v>0.1479</v>
      </c>
      <c r="H1095" s="57" t="n">
        <v>0.1557</v>
      </c>
    </row>
    <row r="1096" customFormat="false" ht="15" hidden="false" customHeight="false" outlineLevel="0" collapsed="false">
      <c r="A1096" s="52" t="n">
        <v>45824</v>
      </c>
      <c r="B1096" s="57" t="n">
        <v>0.1618</v>
      </c>
      <c r="C1096" s="57" t="n">
        <v>0.1639</v>
      </c>
      <c r="D1096" s="57" t="n">
        <v>0.1441</v>
      </c>
      <c r="E1096" s="57" t="n">
        <v>0.16484</v>
      </c>
      <c r="F1096" s="57" t="n">
        <v>0.1473</v>
      </c>
      <c r="H1096" s="57" t="n">
        <v>0.1562</v>
      </c>
    </row>
    <row r="1097" customFormat="false" ht="15" hidden="false" customHeight="false" outlineLevel="0" collapsed="false">
      <c r="A1097" s="52" t="n">
        <v>45825</v>
      </c>
      <c r="B1097" s="57" t="n">
        <v>0.1621</v>
      </c>
      <c r="C1097" s="57" t="n">
        <v>0.1647</v>
      </c>
      <c r="D1097" s="57" t="n">
        <v>0.1449</v>
      </c>
      <c r="E1097" s="57" t="n">
        <v>0.16484</v>
      </c>
      <c r="F1097" s="57" t="n">
        <v>0.1495</v>
      </c>
      <c r="H1097" s="57" t="n">
        <v>0.1567</v>
      </c>
    </row>
    <row r="1098" customFormat="false" ht="15" hidden="false" customHeight="false" outlineLevel="0" collapsed="false">
      <c r="A1098" s="52" t="n">
        <v>45826</v>
      </c>
      <c r="B1098" s="57" t="n">
        <v>0.1638</v>
      </c>
      <c r="C1098" s="57" t="n">
        <v>0.1662</v>
      </c>
      <c r="D1098" s="57" t="n">
        <v>0.1436</v>
      </c>
      <c r="E1098" s="57" t="n">
        <v>0.16484</v>
      </c>
      <c r="F1098" s="57" t="n">
        <v>0.1491</v>
      </c>
      <c r="H1098" s="57" t="n">
        <v>0.1559</v>
      </c>
    </row>
    <row r="1099" customFormat="false" ht="15" hidden="false" customHeight="false" outlineLevel="0" collapsed="false">
      <c r="A1099" s="52" t="n">
        <v>45827</v>
      </c>
      <c r="B1099" s="57" t="n">
        <v>0.1632</v>
      </c>
      <c r="C1099" s="57" t="n">
        <v>0.1656</v>
      </c>
      <c r="D1099" s="57" t="n">
        <v>0.1437</v>
      </c>
      <c r="E1099" s="57" t="n">
        <v>0.16762</v>
      </c>
      <c r="F1099" s="57" t="n">
        <v>0.15</v>
      </c>
      <c r="H1099" s="57" t="n">
        <v>0.1552</v>
      </c>
    </row>
    <row r="1100" customFormat="false" ht="15" hidden="false" customHeight="false" outlineLevel="0" collapsed="false">
      <c r="A1100" s="52" t="n">
        <v>45828</v>
      </c>
      <c r="B1100" s="57" t="n">
        <v>0.1624</v>
      </c>
      <c r="C1100" s="57" t="n">
        <v>0.1663</v>
      </c>
      <c r="D1100" s="57" t="n">
        <v>0.1436</v>
      </c>
      <c r="E1100" s="57" t="n">
        <v>0.16763</v>
      </c>
      <c r="F1100" s="57" t="n">
        <v>0.1496</v>
      </c>
      <c r="H1100" s="57" t="n">
        <v>0.1552</v>
      </c>
    </row>
    <row r="1101" customFormat="false" ht="15" hidden="false" customHeight="false" outlineLevel="0" collapsed="false">
      <c r="A1101" s="52" t="n">
        <v>45831</v>
      </c>
      <c r="B1101" s="57" t="n">
        <v>0.1629</v>
      </c>
      <c r="C1101" s="57" t="n">
        <v>0.1659</v>
      </c>
      <c r="D1101" s="57" t="n">
        <v>0.1443</v>
      </c>
      <c r="E1101" s="57" t="n">
        <v>0.16762</v>
      </c>
      <c r="F1101" s="57" t="n">
        <v>0.1496</v>
      </c>
      <c r="H1101" s="57" t="n">
        <v>0.1551</v>
      </c>
    </row>
    <row r="1102" customFormat="false" ht="15" hidden="false" customHeight="false" outlineLevel="0" collapsed="false">
      <c r="A1102" s="52" t="n">
        <v>45832</v>
      </c>
      <c r="B1102" s="57" t="n">
        <v>0.1696</v>
      </c>
      <c r="C1102" s="57" t="n">
        <v>0.1702</v>
      </c>
      <c r="D1102" s="57" t="n">
        <v>0.1449</v>
      </c>
      <c r="E1102" s="57" t="n">
        <v>0.16762</v>
      </c>
      <c r="F1102" s="57" t="n">
        <v>0.1493</v>
      </c>
      <c r="H1102" s="57" t="n">
        <v>0.1551</v>
      </c>
    </row>
    <row r="1103" customFormat="false" ht="15" hidden="false" customHeight="false" outlineLevel="0" collapsed="false">
      <c r="A1103" s="52" t="n">
        <v>45833</v>
      </c>
      <c r="B1103" s="57" t="n">
        <v>0.1634</v>
      </c>
      <c r="C1103" s="57" t="n">
        <v>0.1709</v>
      </c>
      <c r="D1103" s="57" t="n">
        <v>0.1453</v>
      </c>
      <c r="E1103" s="57" t="n">
        <v>0.16763</v>
      </c>
      <c r="F1103" s="57" t="n">
        <v>0.1485</v>
      </c>
      <c r="H1103" s="57" t="n">
        <v>0.1552</v>
      </c>
    </row>
    <row r="1104" customFormat="false" ht="15" hidden="false" customHeight="false" outlineLevel="0" collapsed="false">
      <c r="A1104" s="52" t="n">
        <v>45834</v>
      </c>
      <c r="B1104" s="57" t="n">
        <v>0.1682</v>
      </c>
      <c r="C1104" s="57" t="n">
        <v>0.1684</v>
      </c>
      <c r="D1104" s="57" t="n">
        <v>0.1448</v>
      </c>
      <c r="E1104" s="57" t="n">
        <v>0.16788</v>
      </c>
      <c r="F1104" s="57" t="n">
        <v>0.1488</v>
      </c>
      <c r="H1104" s="57" t="n">
        <v>0.1551</v>
      </c>
    </row>
    <row r="1105" customFormat="false" ht="15" hidden="false" customHeight="false" outlineLevel="0" collapsed="false">
      <c r="A1105" s="52" t="n">
        <v>45835</v>
      </c>
      <c r="B1105" s="57" t="n">
        <v>0.1646</v>
      </c>
      <c r="C1105" s="57" t="n">
        <v>0.166</v>
      </c>
      <c r="D1105" s="57" t="n">
        <v>0.1447</v>
      </c>
      <c r="E1105" s="57" t="n">
        <v>0.16788</v>
      </c>
      <c r="F1105" s="57" t="n">
        <v>0.1481</v>
      </c>
      <c r="H1105" s="57" t="n">
        <v>0.155</v>
      </c>
    </row>
    <row r="1106" customFormat="false" ht="15" hidden="false" customHeight="false" outlineLevel="0" collapsed="false">
      <c r="A1106" s="52" t="n">
        <v>45838</v>
      </c>
      <c r="B1106" s="57" t="n">
        <v>0.1627</v>
      </c>
      <c r="C1106" s="57" t="n">
        <v>0.1662</v>
      </c>
      <c r="D1106" s="57" t="n">
        <v>0.1451</v>
      </c>
      <c r="E1106" s="57" t="n">
        <v>0.16877</v>
      </c>
      <c r="F1106" s="57" t="n">
        <v>0.1492</v>
      </c>
      <c r="H1106" s="57" t="n">
        <v>0.155</v>
      </c>
    </row>
    <row r="1107" customFormat="false" ht="15" hidden="false" customHeight="false" outlineLevel="0" collapsed="false">
      <c r="A1107" s="52" t="n">
        <v>45839</v>
      </c>
      <c r="B1107" s="57" t="n">
        <v>0.1666</v>
      </c>
      <c r="C1107" s="57" t="n">
        <v>0.1678</v>
      </c>
      <c r="D1107" s="57" t="n">
        <v>0.1456</v>
      </c>
      <c r="E1107" s="57" t="n">
        <v>0.16877</v>
      </c>
      <c r="F1107" s="57" t="n">
        <v>0.1511</v>
      </c>
      <c r="H1107" s="57" t="n">
        <v>0.1554</v>
      </c>
    </row>
    <row r="1108" customFormat="false" ht="15" hidden="false" customHeight="false" outlineLevel="0" collapsed="false">
      <c r="A1108" s="52" t="n">
        <v>45840</v>
      </c>
      <c r="B1108" s="57" t="n">
        <v>0.1644</v>
      </c>
      <c r="C1108" s="57" t="n">
        <v>0.1675</v>
      </c>
      <c r="D1108" s="57" t="n">
        <v>0.1521</v>
      </c>
      <c r="E1108" s="57" t="n">
        <v>0.16877</v>
      </c>
      <c r="F1108" s="57" t="n">
        <v>0.1499</v>
      </c>
      <c r="H1108" s="57" t="n">
        <v>0.1552</v>
      </c>
    </row>
    <row r="1109" customFormat="false" ht="15" hidden="false" customHeight="false" outlineLevel="0" collapsed="false">
      <c r="A1109" s="52" t="n">
        <v>45841</v>
      </c>
      <c r="B1109" s="57" t="n">
        <v>0.1641</v>
      </c>
      <c r="C1109" s="57" t="n">
        <v>0.1688</v>
      </c>
      <c r="D1109" s="57" t="n">
        <v>0.1504</v>
      </c>
      <c r="E1109" s="57" t="n">
        <v>0.16877</v>
      </c>
      <c r="F1109" s="57" t="n">
        <v>0.1503</v>
      </c>
      <c r="H1109" s="57" t="n">
        <v>0.1551</v>
      </c>
    </row>
    <row r="1110" customFormat="false" ht="15" hidden="false" customHeight="false" outlineLevel="0" collapsed="false">
      <c r="A1110" s="52" t="n">
        <v>45842</v>
      </c>
      <c r="B1110" s="57" t="n">
        <v>0.1683</v>
      </c>
      <c r="C1110" s="57" t="n">
        <v>0.167</v>
      </c>
      <c r="D1110" s="57" t="n">
        <v>0.1503</v>
      </c>
      <c r="E1110" s="57" t="n">
        <v>0.16877</v>
      </c>
      <c r="F1110" s="57" t="n">
        <v>0.1503</v>
      </c>
      <c r="H1110" s="57" t="n">
        <v>0.1552</v>
      </c>
    </row>
    <row r="1111" customFormat="false" ht="15" hidden="false" customHeight="false" outlineLevel="0" collapsed="false">
      <c r="A1111" s="52" t="n">
        <v>45846</v>
      </c>
      <c r="B1111" s="57" t="n">
        <v>0.1702</v>
      </c>
      <c r="C1111" s="57" t="n">
        <v>0.1676</v>
      </c>
      <c r="D1111" s="57" t="n">
        <v>0.1512</v>
      </c>
      <c r="E1111" s="57" t="n">
        <v>0.16755</v>
      </c>
      <c r="F1111" s="57" t="n">
        <v>0.1513</v>
      </c>
      <c r="H1111" s="57" t="n">
        <v>0.1551</v>
      </c>
    </row>
    <row r="1112" customFormat="false" ht="15" hidden="false" customHeight="false" outlineLevel="0" collapsed="false">
      <c r="A1112" s="52" t="n">
        <v>45847</v>
      </c>
      <c r="B1112" s="57" t="n">
        <v>0.1683</v>
      </c>
      <c r="C1112" s="57" t="n">
        <v>0.1696</v>
      </c>
      <c r="D1112" s="57" t="n">
        <v>0.1599</v>
      </c>
      <c r="E1112" s="57" t="n">
        <v>0.16755</v>
      </c>
      <c r="F1112" s="57" t="n">
        <v>0.1533</v>
      </c>
      <c r="H1112" s="57" t="n">
        <v>0.1553</v>
      </c>
    </row>
    <row r="1113" customFormat="false" ht="15" hidden="false" customHeight="false" outlineLevel="0" collapsed="false">
      <c r="A1113" s="52" t="n">
        <v>45848</v>
      </c>
      <c r="B1113" s="57" t="n">
        <v>0.1685</v>
      </c>
      <c r="C1113" s="57" t="n">
        <v>0.17</v>
      </c>
      <c r="D1113" s="57" t="n">
        <v>0.1592</v>
      </c>
      <c r="E1113" s="57" t="n">
        <v>0.16755</v>
      </c>
      <c r="F1113" s="57" t="n">
        <v>0.1553</v>
      </c>
      <c r="H1113" s="57" t="n">
        <v>0.1555</v>
      </c>
    </row>
    <row r="1114" customFormat="false" ht="15" hidden="false" customHeight="false" outlineLevel="0" collapsed="false">
      <c r="A1114" s="52" t="n">
        <v>45849</v>
      </c>
      <c r="B1114" s="57" t="n">
        <v>0.1687</v>
      </c>
      <c r="C1114" s="57" t="n">
        <v>0.1703</v>
      </c>
      <c r="D1114" s="57" t="n">
        <v>0.1591</v>
      </c>
      <c r="E1114" s="57" t="n">
        <v>0.16943</v>
      </c>
      <c r="F1114" s="57" t="n">
        <v>0.1563</v>
      </c>
      <c r="H1114" s="57" t="n">
        <v>0.1551</v>
      </c>
    </row>
    <row r="1115" customFormat="false" ht="15" hidden="false" customHeight="false" outlineLevel="0" collapsed="false">
      <c r="A1115" s="52" t="n">
        <v>45852</v>
      </c>
      <c r="B1115" s="57" t="n">
        <v>0.1685</v>
      </c>
      <c r="C1115" s="57" t="n">
        <v>0.1706</v>
      </c>
      <c r="D1115" s="57" t="n">
        <v>0.1587</v>
      </c>
      <c r="E1115" s="57" t="n">
        <v>0.16943</v>
      </c>
      <c r="F1115" s="57" t="n">
        <v>0.1568</v>
      </c>
      <c r="H1115" s="57" t="n">
        <v>0.1551</v>
      </c>
    </row>
    <row r="1116" customFormat="false" ht="15" hidden="false" customHeight="false" outlineLevel="0" collapsed="false">
      <c r="A1116" s="52" t="n">
        <v>45853</v>
      </c>
      <c r="B1116" s="57" t="n">
        <v>0.169</v>
      </c>
      <c r="C1116" s="57" t="n">
        <v>0.1715</v>
      </c>
      <c r="D1116" s="57" t="n">
        <v>0.1567</v>
      </c>
      <c r="E1116" s="57" t="n">
        <v>0.17099</v>
      </c>
      <c r="F1116" s="57" t="n">
        <v>0.1581</v>
      </c>
      <c r="H1116" s="57" t="n">
        <v>0.1551</v>
      </c>
    </row>
    <row r="1117" customFormat="false" ht="15" hidden="false" customHeight="false" outlineLevel="0" collapsed="false">
      <c r="A1117" s="52" t="n">
        <v>45854</v>
      </c>
      <c r="B1117" s="57" t="n">
        <v>0.1713</v>
      </c>
      <c r="C1117" s="57" t="n">
        <v>0.1716</v>
      </c>
      <c r="D1117" s="57" t="n">
        <v>0.1577</v>
      </c>
      <c r="E1117" s="57" t="n">
        <v>0.16966</v>
      </c>
      <c r="F1117" s="57" t="n">
        <v>0.1575</v>
      </c>
      <c r="H1117" s="57" t="n">
        <v>0.1556</v>
      </c>
    </row>
    <row r="1118" customFormat="false" ht="15" hidden="false" customHeight="false" outlineLevel="0" collapsed="false">
      <c r="A1118" s="52" t="n">
        <v>45855</v>
      </c>
      <c r="B1118" s="57" t="n">
        <v>0.1716</v>
      </c>
      <c r="C1118" s="57" t="n">
        <v>0.171</v>
      </c>
      <c r="D1118" s="57" t="n">
        <v>0.1575</v>
      </c>
      <c r="E1118" s="57" t="n">
        <v>0.16833</v>
      </c>
      <c r="F1118" s="57" t="n">
        <v>0.1567</v>
      </c>
      <c r="H1118" s="57" t="n">
        <v>0.157</v>
      </c>
    </row>
    <row r="1119" customFormat="false" ht="15" hidden="false" customHeight="false" outlineLevel="0" collapsed="false">
      <c r="A1119" s="52" t="n">
        <v>45856</v>
      </c>
      <c r="B1119" s="57" t="n">
        <v>0.1718</v>
      </c>
      <c r="C1119" s="57" t="n">
        <v>0.1723</v>
      </c>
      <c r="D1119" s="57" t="n">
        <v>0.1582</v>
      </c>
      <c r="E1119" s="57" t="n">
        <v>0.16839</v>
      </c>
      <c r="F1119" s="57" t="n">
        <v>0.1574</v>
      </c>
      <c r="H1119" s="57" t="n">
        <v>0.1568</v>
      </c>
    </row>
    <row r="1120" customFormat="false" ht="15" hidden="false" customHeight="false" outlineLevel="0" collapsed="false">
      <c r="A1120" s="52" t="n">
        <v>45859</v>
      </c>
      <c r="B1120" s="57" t="n">
        <v>0.1751</v>
      </c>
      <c r="C1120" s="57" t="n">
        <v>0.1724</v>
      </c>
      <c r="D1120" s="57" t="n">
        <v>0.1568</v>
      </c>
      <c r="E1120" s="57" t="n">
        <v>0.16856</v>
      </c>
      <c r="F1120" s="57" t="n">
        <v>0.158</v>
      </c>
      <c r="H1120" s="57" t="n">
        <v>0.1565</v>
      </c>
    </row>
    <row r="1121" customFormat="false" ht="15" hidden="false" customHeight="false" outlineLevel="0" collapsed="false">
      <c r="A1121" s="52" t="n">
        <v>45860</v>
      </c>
      <c r="B1121" s="57" t="n">
        <v>0.1733</v>
      </c>
      <c r="C1121" s="57" t="n">
        <v>0.1723</v>
      </c>
      <c r="D1121" s="57" t="n">
        <v>0.1566</v>
      </c>
      <c r="E1121" s="57" t="n">
        <v>0.16856</v>
      </c>
      <c r="F1121" s="57" t="n">
        <v>0.1574</v>
      </c>
      <c r="H1121" s="57" t="n">
        <v>0.1564</v>
      </c>
    </row>
    <row r="1122" customFormat="false" ht="15" hidden="false" customHeight="false" outlineLevel="0" collapsed="false">
      <c r="A1122" s="52" t="n">
        <v>45861</v>
      </c>
      <c r="B1122" s="57" t="n">
        <v>0.1671</v>
      </c>
      <c r="C1122" s="57" t="n">
        <v>0.168</v>
      </c>
      <c r="D1122" s="57" t="n">
        <v>0.1646</v>
      </c>
      <c r="E1122" s="57" t="n">
        <v>0.16956</v>
      </c>
      <c r="F1122" s="57" t="n">
        <v>0.1581</v>
      </c>
      <c r="H1122" s="57" t="n">
        <v>0.1563</v>
      </c>
    </row>
    <row r="1123" customFormat="false" ht="15" hidden="false" customHeight="false" outlineLevel="0" collapsed="false">
      <c r="A1123" s="52" t="n">
        <v>45862</v>
      </c>
      <c r="B1123" s="57" t="n">
        <v>0.1642</v>
      </c>
      <c r="C1123" s="57" t="n">
        <v>0.1681</v>
      </c>
      <c r="D1123" s="57" t="n">
        <v>0.163</v>
      </c>
      <c r="E1123" s="57" t="n">
        <v>0.16956</v>
      </c>
      <c r="F1123" s="57" t="n">
        <v>0.1592</v>
      </c>
      <c r="H1123" s="57" t="n">
        <v>0.1562</v>
      </c>
    </row>
    <row r="1124" customFormat="false" ht="15" hidden="false" customHeight="false" outlineLevel="0" collapsed="false">
      <c r="A1124" s="52" t="n">
        <v>45863</v>
      </c>
      <c r="B1124" s="57" t="n">
        <v>0.1642</v>
      </c>
      <c r="C1124" s="57" t="n">
        <v>0.1687</v>
      </c>
      <c r="D1124" s="57" t="n">
        <v>0.1648</v>
      </c>
      <c r="E1124" s="57" t="n">
        <v>0.16956</v>
      </c>
      <c r="F1124" s="57" t="n">
        <v>0.1601</v>
      </c>
      <c r="H1124" s="57" t="n">
        <v>0.1565</v>
      </c>
    </row>
    <row r="1125" customFormat="false" ht="15" hidden="false" customHeight="false" outlineLevel="0" collapsed="false">
      <c r="A1125" s="52" t="n">
        <v>45866</v>
      </c>
      <c r="B1125" s="57" t="n">
        <v>0.1641</v>
      </c>
      <c r="C1125" s="57" t="n">
        <v>0.1689</v>
      </c>
      <c r="D1125" s="57" t="n">
        <v>0.1641</v>
      </c>
      <c r="E1125" s="57" t="n">
        <v>0.16956</v>
      </c>
      <c r="F1125" s="57" t="n">
        <v>0.1607</v>
      </c>
      <c r="H1125" s="57" t="n">
        <v>0.1564</v>
      </c>
    </row>
    <row r="1126" customFormat="false" ht="15" hidden="false" customHeight="false" outlineLevel="0" collapsed="false">
      <c r="A1126" s="52" t="n">
        <v>45867</v>
      </c>
      <c r="B1126" s="57" t="n">
        <v>0.1641</v>
      </c>
      <c r="C1126" s="57" t="n">
        <v>0.1674</v>
      </c>
      <c r="D1126" s="57" t="n">
        <v>0.1638</v>
      </c>
      <c r="E1126" s="57" t="n">
        <v>0.16956</v>
      </c>
      <c r="F1126" s="57" t="n">
        <v>0.156</v>
      </c>
      <c r="H1126" s="57" t="n">
        <v>0.1559</v>
      </c>
    </row>
    <row r="1127" customFormat="false" ht="15" hidden="false" customHeight="false" outlineLevel="0" collapsed="false">
      <c r="A1127" s="52" t="n">
        <v>45868</v>
      </c>
      <c r="B1127" s="57" t="n">
        <v>0.1648</v>
      </c>
      <c r="C1127" s="57" t="n">
        <v>0.1685</v>
      </c>
      <c r="D1127" s="57" t="n">
        <v>0.1642</v>
      </c>
      <c r="E1127" s="57" t="n">
        <v>0.17089</v>
      </c>
      <c r="F1127" s="57" t="n">
        <v>0.1563</v>
      </c>
      <c r="H1127" s="57" t="n">
        <v>0.1565</v>
      </c>
    </row>
    <row r="1128" customFormat="false" ht="15" hidden="false" customHeight="false" outlineLevel="0" collapsed="false">
      <c r="A1128" s="52" t="n">
        <v>45869</v>
      </c>
      <c r="B1128" s="57" t="n">
        <v>0.1633</v>
      </c>
      <c r="C1128" s="57" t="n">
        <v>0.1674</v>
      </c>
      <c r="D1128" s="57" t="n">
        <v>0.1633</v>
      </c>
      <c r="E1128" s="57" t="n">
        <v>0.17089</v>
      </c>
      <c r="F1128" s="57" t="n">
        <v>0.1563</v>
      </c>
      <c r="H1128" s="57" t="n">
        <v>0.1557</v>
      </c>
    </row>
    <row r="1129" customFormat="false" ht="15" hidden="false" customHeight="false" outlineLevel="0" collapsed="false">
      <c r="A1129" s="52" t="n">
        <v>45870</v>
      </c>
      <c r="B1129" s="57" t="n">
        <v>0.1628</v>
      </c>
      <c r="C1129" s="57" t="n">
        <v>0.1671</v>
      </c>
      <c r="D1129" s="57" t="n">
        <v>0.1631</v>
      </c>
      <c r="E1129" s="57" t="n">
        <v>0.17089</v>
      </c>
      <c r="F1129" s="57" t="n">
        <v>0.1567</v>
      </c>
      <c r="H1129" s="57" t="n">
        <v>0.1554</v>
      </c>
    </row>
    <row r="1130" customFormat="false" ht="15" hidden="false" customHeight="false" outlineLevel="0" collapsed="false">
      <c r="A1130" s="52" t="n">
        <v>45873</v>
      </c>
      <c r="B1130" s="57" t="n">
        <v>0.1628</v>
      </c>
      <c r="C1130" s="57" t="n">
        <v>0.1678</v>
      </c>
      <c r="D1130" s="57" t="n">
        <v>0.1633</v>
      </c>
      <c r="E1130" s="57" t="n">
        <v>0.17089</v>
      </c>
      <c r="F1130" s="57" t="n">
        <v>0.1566</v>
      </c>
      <c r="H1130" s="57" t="n">
        <v>0.1554</v>
      </c>
    </row>
    <row r="1131" customFormat="false" ht="15" hidden="false" customHeight="false" outlineLevel="0" collapsed="false">
      <c r="A1131" s="52" t="n">
        <v>45874</v>
      </c>
      <c r="B1131" s="57" t="n">
        <v>0.1627</v>
      </c>
      <c r="C1131" s="57" t="n">
        <v>0.1678</v>
      </c>
      <c r="D1131" s="57" t="n">
        <v>0.1633</v>
      </c>
      <c r="E1131" s="57" t="n">
        <v>0.17089</v>
      </c>
      <c r="F1131" s="57" t="n">
        <v>0.1569</v>
      </c>
      <c r="H1131" s="57" t="n">
        <v>0.1552</v>
      </c>
    </row>
    <row r="1132" customFormat="false" ht="15" hidden="false" customHeight="false" outlineLevel="0" collapsed="false">
      <c r="A1132" s="52" t="n">
        <v>45875</v>
      </c>
      <c r="B1132" s="57" t="n">
        <v>0.1659</v>
      </c>
      <c r="C1132" s="57" t="n">
        <v>0.1672</v>
      </c>
      <c r="D1132" s="57" t="n">
        <v>0.1662</v>
      </c>
      <c r="E1132" s="57" t="n">
        <v>0.17089</v>
      </c>
      <c r="F1132" s="57" t="n">
        <v>0.1583</v>
      </c>
      <c r="H1132" s="57" t="n">
        <v>0.1551</v>
      </c>
    </row>
    <row r="1133" customFormat="false" ht="15" hidden="false" customHeight="false" outlineLevel="0" collapsed="false">
      <c r="A1133" s="52" t="n">
        <v>45876</v>
      </c>
      <c r="B1133" s="57" t="n">
        <v>0.1659</v>
      </c>
      <c r="C1133" s="57" t="n">
        <v>0.1662</v>
      </c>
      <c r="D1133" s="57" t="n">
        <v>0.1661</v>
      </c>
      <c r="E1133" s="57" t="n">
        <v>0.17089</v>
      </c>
      <c r="F1133" s="57" t="n">
        <v>0.1571</v>
      </c>
      <c r="H1133" s="57" t="n">
        <v>0.1551</v>
      </c>
    </row>
    <row r="1134" customFormat="false" ht="15" hidden="false" customHeight="false" outlineLevel="0" collapsed="false">
      <c r="A1134" s="52" t="n">
        <v>45877</v>
      </c>
      <c r="B1134" s="57" t="n">
        <v>0.1652</v>
      </c>
      <c r="C1134" s="57" t="n">
        <v>0.166</v>
      </c>
      <c r="D1134" s="57" t="n">
        <v>0.1656</v>
      </c>
      <c r="E1134" s="57" t="n">
        <v>0.17089</v>
      </c>
      <c r="F1134" s="57" t="n">
        <v>0.1577</v>
      </c>
      <c r="H1134" s="57" t="n">
        <v>0.1551</v>
      </c>
    </row>
    <row r="1135" customFormat="false" ht="15" hidden="false" customHeight="false" outlineLevel="0" collapsed="false">
      <c r="A1135" s="52" t="n">
        <v>45880</v>
      </c>
      <c r="B1135" s="57" t="n">
        <v>0.1661</v>
      </c>
      <c r="C1135" s="57" t="n">
        <v>0.1659</v>
      </c>
      <c r="D1135" s="57" t="n">
        <v>0.1659</v>
      </c>
      <c r="E1135" s="57" t="n">
        <v>0.17089</v>
      </c>
      <c r="F1135" s="57" t="n">
        <v>0.1565</v>
      </c>
      <c r="H1135" s="57" t="n">
        <v>0.155</v>
      </c>
    </row>
    <row r="1136" customFormat="false" ht="15" hidden="false" customHeight="false" outlineLevel="0" collapsed="false">
      <c r="A1136" s="52" t="n">
        <v>45881</v>
      </c>
      <c r="B1136" s="57" t="n">
        <v>0.1655</v>
      </c>
      <c r="C1136" s="57" t="n">
        <v>0.1666</v>
      </c>
      <c r="D1136" s="57" t="n">
        <v>0.1661</v>
      </c>
      <c r="E1136" s="57" t="n">
        <v>0.17089</v>
      </c>
      <c r="F1136" s="57" t="n">
        <v>0.1587</v>
      </c>
      <c r="H1136" s="57" t="n">
        <v>0.155</v>
      </c>
    </row>
    <row r="1137" customFormat="false" ht="15" hidden="false" customHeight="false" outlineLevel="0" collapsed="false">
      <c r="A1137" s="52" t="n">
        <v>45882</v>
      </c>
      <c r="B1137" s="57" t="n">
        <v>0.1654</v>
      </c>
      <c r="C1137" s="57" t="n">
        <v>0.17</v>
      </c>
      <c r="D1137" s="57" t="n">
        <v>0.1676</v>
      </c>
      <c r="E1137" s="57" t="n">
        <v>0.17089</v>
      </c>
      <c r="F1137" s="57" t="n">
        <v>0.1577</v>
      </c>
      <c r="H1137" s="57" t="n">
        <v>0.155</v>
      </c>
    </row>
    <row r="1138" customFormat="false" ht="15" hidden="false" customHeight="false" outlineLevel="0" collapsed="false">
      <c r="A1138" s="52" t="n">
        <v>45883</v>
      </c>
      <c r="B1138" s="57" t="n">
        <v>0.166</v>
      </c>
      <c r="C1138" s="57" t="n">
        <v>0.1699</v>
      </c>
      <c r="D1138" s="57" t="n">
        <v>0.1671</v>
      </c>
      <c r="E1138" s="57" t="n">
        <v>0.17139</v>
      </c>
      <c r="F1138" s="57" t="n">
        <v>0.1589</v>
      </c>
      <c r="H1138" s="57" t="n">
        <v>0.155</v>
      </c>
    </row>
    <row r="1139" customFormat="false" ht="15" hidden="false" customHeight="false" outlineLevel="0" collapsed="false">
      <c r="A1139" s="52" t="n">
        <v>45884</v>
      </c>
      <c r="B1139" s="57" t="n">
        <v>0.1659</v>
      </c>
      <c r="C1139" s="57" t="n">
        <v>0.1703</v>
      </c>
      <c r="D1139" s="57" t="n">
        <v>0.167</v>
      </c>
      <c r="E1139" s="57" t="n">
        <v>0.17139</v>
      </c>
      <c r="F1139" s="57" t="n">
        <v>0.1591</v>
      </c>
      <c r="H1139" s="57" t="n">
        <v>0.155</v>
      </c>
    </row>
    <row r="1140" customFormat="false" ht="15" hidden="false" customHeight="false" outlineLevel="0" collapsed="false">
      <c r="A1140" s="52" t="n">
        <v>45887</v>
      </c>
      <c r="B1140" s="57" t="n">
        <v>0.1645</v>
      </c>
      <c r="C1140" s="57" t="n">
        <v>0.1704</v>
      </c>
      <c r="D1140" s="57" t="n">
        <v>0.1674</v>
      </c>
      <c r="E1140" s="57" t="n">
        <v>0.17139</v>
      </c>
      <c r="F1140" s="57" t="n">
        <v>0.1585</v>
      </c>
      <c r="H1140" s="57" t="n">
        <v>0.155</v>
      </c>
    </row>
    <row r="1141" customFormat="false" ht="15" hidden="false" customHeight="false" outlineLevel="0" collapsed="false">
      <c r="A1141" s="52" t="n">
        <v>45888</v>
      </c>
      <c r="B1141" s="57" t="n">
        <v>0.1661</v>
      </c>
      <c r="C1141" s="57" t="n">
        <v>0.1709</v>
      </c>
      <c r="D1141" s="57" t="n">
        <v>0.1672</v>
      </c>
      <c r="E1141" s="57" t="n">
        <v>0.17139</v>
      </c>
      <c r="F1141" s="57" t="n">
        <v>0.1584</v>
      </c>
      <c r="H1141" s="57" t="n">
        <v>0.155</v>
      </c>
    </row>
    <row r="1142" customFormat="false" ht="15" hidden="false" customHeight="false" outlineLevel="0" collapsed="false">
      <c r="A1142" s="52" t="n">
        <v>45889</v>
      </c>
      <c r="B1142" s="57" t="n">
        <v>0.1644</v>
      </c>
      <c r="C1142" s="57" t="n">
        <v>0.1697</v>
      </c>
      <c r="D1142" s="57" t="n">
        <v>0.1667</v>
      </c>
      <c r="E1142" s="57" t="n">
        <v>0.17094</v>
      </c>
      <c r="F1142" s="57" t="n">
        <v>0.1597</v>
      </c>
      <c r="H1142" s="57" t="n">
        <v>0.155</v>
      </c>
    </row>
    <row r="1143" customFormat="false" ht="15" hidden="false" customHeight="false" outlineLevel="0" collapsed="false">
      <c r="A1143" s="52" t="n">
        <v>45890</v>
      </c>
      <c r="B1143" s="57" t="n">
        <v>0.164</v>
      </c>
      <c r="C1143" s="57" t="n">
        <v>0.1692</v>
      </c>
      <c r="D1143" s="57" t="n">
        <v>0.1678</v>
      </c>
      <c r="E1143" s="57" t="n">
        <v>0.16994</v>
      </c>
      <c r="F1143" s="57" t="n">
        <v>0.1594</v>
      </c>
      <c r="H1143" s="57" t="n">
        <v>0.155</v>
      </c>
    </row>
    <row r="1144" customFormat="false" ht="15" hidden="false" customHeight="false" outlineLevel="0" collapsed="false">
      <c r="A1144" s="52" t="n">
        <v>45891</v>
      </c>
      <c r="B1144" s="57" t="n">
        <v>0.1616</v>
      </c>
      <c r="C1144" s="57" t="n">
        <v>0.1648</v>
      </c>
      <c r="D1144" s="57" t="n">
        <v>0.167</v>
      </c>
      <c r="E1144" s="57" t="n">
        <v>0.16994</v>
      </c>
      <c r="F1144" s="57" t="n">
        <v>0.1586</v>
      </c>
      <c r="H1144" s="57" t="n">
        <v>0.155</v>
      </c>
    </row>
    <row r="1145" customFormat="false" ht="15" hidden="false" customHeight="false" outlineLevel="0" collapsed="false">
      <c r="A1145" s="52" t="n">
        <v>45894</v>
      </c>
      <c r="B1145" s="57" t="n">
        <v>0.1616</v>
      </c>
      <c r="C1145" s="57" t="n">
        <v>0.1664</v>
      </c>
      <c r="D1145" s="57" t="n">
        <v>0.1677</v>
      </c>
      <c r="E1145" s="57" t="n">
        <v>0.16994</v>
      </c>
      <c r="F1145" s="57" t="n">
        <v>0.1575</v>
      </c>
      <c r="H1145" s="57" t="n">
        <v>0.1551</v>
      </c>
    </row>
    <row r="1146" customFormat="false" ht="15" hidden="false" customHeight="false" outlineLevel="0" collapsed="false">
      <c r="A1146" s="52" t="n">
        <v>45895</v>
      </c>
      <c r="B1146" s="57" t="n">
        <v>0.1615</v>
      </c>
      <c r="C1146" s="57" t="n">
        <v>0.167</v>
      </c>
      <c r="D1146" s="57" t="n">
        <v>0.1674</v>
      </c>
      <c r="E1146" s="57" t="n">
        <v>0.16994</v>
      </c>
      <c r="F1146" s="57" t="n">
        <v>0.1577</v>
      </c>
      <c r="H1146" s="57" t="n">
        <v>0.1555</v>
      </c>
    </row>
    <row r="1147" customFormat="false" ht="15" hidden="false" customHeight="false" outlineLevel="0" collapsed="false">
      <c r="A1147" s="52" t="n">
        <v>45896</v>
      </c>
      <c r="B1147" s="57" t="n">
        <v>0.1621</v>
      </c>
      <c r="C1147" s="57" t="n">
        <v>0.1688</v>
      </c>
      <c r="D1147" s="57" t="n">
        <v>0.1685</v>
      </c>
      <c r="E1147" s="57" t="n">
        <v>0.16994</v>
      </c>
      <c r="F1147" s="57" t="n">
        <v>0.158</v>
      </c>
      <c r="H1147" s="57" t="n">
        <v>0.157</v>
      </c>
    </row>
    <row r="1148" customFormat="false" ht="15" hidden="false" customHeight="false" outlineLevel="0" collapsed="false">
      <c r="A1148" s="52" t="n">
        <v>45897</v>
      </c>
      <c r="B1148" s="57" t="n">
        <v>0.168</v>
      </c>
      <c r="C1148" s="57" t="n">
        <v>0.1704</v>
      </c>
      <c r="D1148" s="57" t="n">
        <v>0.1678</v>
      </c>
      <c r="E1148" s="57" t="n">
        <v>0.16998</v>
      </c>
      <c r="F1148" s="57" t="n">
        <v>0.1582</v>
      </c>
      <c r="H1148" s="57" t="n">
        <v>0.1588</v>
      </c>
    </row>
    <row r="1149" customFormat="false" ht="15" hidden="false" customHeight="false" outlineLevel="0" collapsed="false">
      <c r="A1149" s="52" t="n">
        <v>45898</v>
      </c>
      <c r="B1149" s="57" t="n">
        <v>0.1673</v>
      </c>
      <c r="C1149" s="57" t="n">
        <v>0.171</v>
      </c>
      <c r="D1149" s="57" t="n">
        <v>0.1674</v>
      </c>
      <c r="E1149" s="57" t="n">
        <v>0.16998</v>
      </c>
      <c r="F1149" s="57" t="n">
        <v>0.1573</v>
      </c>
      <c r="H1149" s="57" t="n">
        <v>0.1566</v>
      </c>
    </row>
    <row r="1150" customFormat="false" ht="15" hidden="false" customHeight="false" outlineLevel="0" collapsed="false">
      <c r="A1150" s="52" t="n">
        <v>45902</v>
      </c>
      <c r="B1150" s="57" t="n">
        <v>0.1668</v>
      </c>
      <c r="C1150" s="57" t="n">
        <v>0.17</v>
      </c>
      <c r="D1150" s="57" t="n">
        <v>0.1669</v>
      </c>
      <c r="E1150" s="57" t="n">
        <v>0.16998</v>
      </c>
      <c r="F1150" s="57" t="n">
        <v>0.1604</v>
      </c>
      <c r="H1150" s="57" t="n">
        <v>0.1569</v>
      </c>
    </row>
    <row r="1151" customFormat="false" ht="15" hidden="false" customHeight="false" outlineLevel="0" collapsed="false">
      <c r="A1151" s="52" t="n">
        <v>45903</v>
      </c>
      <c r="B1151" s="57" t="n">
        <v>0.1682</v>
      </c>
      <c r="C1151" s="57" t="n">
        <v>0.1713</v>
      </c>
      <c r="D1151" s="57" t="n">
        <v>0.1682</v>
      </c>
      <c r="E1151" s="57" t="n">
        <v>0.16953</v>
      </c>
      <c r="F1151" s="57" t="n">
        <v>0.1603</v>
      </c>
      <c r="H1151" s="57" t="n">
        <v>0.1565</v>
      </c>
    </row>
    <row r="1152" customFormat="false" ht="15" hidden="false" customHeight="false" outlineLevel="0" collapsed="false">
      <c r="A1152" s="52" t="n">
        <v>45904</v>
      </c>
      <c r="B1152" s="57" t="n">
        <v>0.1685</v>
      </c>
      <c r="C1152" s="57" t="n">
        <v>0.1698</v>
      </c>
      <c r="D1152" s="57" t="n">
        <v>0.1682</v>
      </c>
      <c r="E1152" s="57" t="n">
        <v>0.16953</v>
      </c>
      <c r="F1152" s="57" t="n">
        <v>0.1603</v>
      </c>
      <c r="H1152" s="57" t="n">
        <v>0.1583</v>
      </c>
    </row>
    <row r="1153" customFormat="false" ht="15" hidden="false" customHeight="false" outlineLevel="0" collapsed="false">
      <c r="A1153" s="52" t="n">
        <v>45905</v>
      </c>
      <c r="B1153" s="57" t="n">
        <v>0.1676</v>
      </c>
      <c r="C1153" s="57" t="n">
        <v>0.1695</v>
      </c>
      <c r="D1153" s="57" t="n">
        <v>0.1681</v>
      </c>
      <c r="E1153" s="57" t="n">
        <v>0.16953</v>
      </c>
      <c r="F1153" s="57" t="n">
        <v>0.1597</v>
      </c>
      <c r="H1153" s="57" t="n">
        <v>0.1584</v>
      </c>
    </row>
    <row r="1154" customFormat="false" ht="15" hidden="false" customHeight="false" outlineLevel="0" collapsed="false">
      <c r="A1154" s="52" t="n">
        <v>45908</v>
      </c>
      <c r="B1154" s="57" t="n">
        <v>0.1674</v>
      </c>
      <c r="C1154" s="57" t="n">
        <v>0.1674</v>
      </c>
      <c r="D1154" s="57" t="n">
        <v>0.1676</v>
      </c>
      <c r="E1154" s="57" t="n">
        <v>0.16953</v>
      </c>
      <c r="F1154" s="57" t="n">
        <v>0.1594</v>
      </c>
      <c r="H1154" s="57" t="n">
        <v>0.159</v>
      </c>
    </row>
    <row r="1155" customFormat="false" ht="15" hidden="false" customHeight="false" outlineLevel="0" collapsed="false">
      <c r="A1155" s="52" t="n">
        <v>45909</v>
      </c>
      <c r="B1155" s="57" t="n">
        <v>0.1652</v>
      </c>
      <c r="C1155" s="57" t="n">
        <v>0.1673</v>
      </c>
      <c r="D1155" s="57" t="n">
        <v>0.1669</v>
      </c>
      <c r="E1155" s="57" t="n">
        <v>0.16953</v>
      </c>
      <c r="F1155" s="57" t="n">
        <v>0.1601</v>
      </c>
      <c r="H1155" s="57" t="n">
        <v>0.1611</v>
      </c>
    </row>
    <row r="1156" customFormat="false" ht="15" hidden="false" customHeight="false" outlineLevel="0" collapsed="false">
      <c r="A1156" s="52" t="n">
        <v>45910</v>
      </c>
      <c r="B1156" s="57" t="n">
        <v>0.1674</v>
      </c>
      <c r="C1156" s="57" t="n">
        <v>0.1708</v>
      </c>
      <c r="D1156" s="57" t="n">
        <v>0.1672</v>
      </c>
      <c r="E1156" s="57" t="n">
        <v>0.16953</v>
      </c>
      <c r="F1156" s="57" t="n">
        <v>0.1597</v>
      </c>
      <c r="H1156" s="57" t="n">
        <v>0.1641</v>
      </c>
    </row>
    <row r="1157" customFormat="false" ht="15" hidden="false" customHeight="false" outlineLevel="0" collapsed="false">
      <c r="A1157" s="52" t="n">
        <v>45911</v>
      </c>
      <c r="B1157" s="57" t="n">
        <v>0.166</v>
      </c>
      <c r="C1157" s="57" t="n">
        <v>0.1716</v>
      </c>
      <c r="D1157" s="57" t="n">
        <v>0.1687</v>
      </c>
      <c r="E1157" s="57" t="n">
        <v>0.16952</v>
      </c>
      <c r="F1157" s="57" t="n">
        <v>0.16</v>
      </c>
      <c r="H1157" s="57" t="n">
        <v>0.1633</v>
      </c>
    </row>
    <row r="1158" customFormat="false" ht="15" hidden="false" customHeight="false" outlineLevel="0" collapsed="false">
      <c r="A1158" s="52" t="n">
        <v>45912</v>
      </c>
      <c r="B1158" s="57" t="n">
        <v>0.1687</v>
      </c>
      <c r="C1158" s="57" t="n">
        <v>0.1716</v>
      </c>
      <c r="D1158" s="57" t="n">
        <v>0.1684</v>
      </c>
      <c r="E1158" s="57" t="n">
        <v>0.16952</v>
      </c>
      <c r="F1158" s="57" t="n">
        <v>0.1594</v>
      </c>
      <c r="H1158" s="57" t="n">
        <v>0.158</v>
      </c>
    </row>
    <row r="1159" customFormat="false" ht="15" hidden="false" customHeight="false" outlineLevel="0" collapsed="false">
      <c r="A1159" s="52" t="n">
        <v>45915</v>
      </c>
      <c r="B1159" s="57" t="n">
        <v>0.1684</v>
      </c>
      <c r="C1159" s="57" t="n">
        <v>0.1716</v>
      </c>
      <c r="D1159" s="57" t="n">
        <v>0.1689</v>
      </c>
      <c r="E1159" s="57" t="n">
        <v>0.16952</v>
      </c>
      <c r="F1159" s="57" t="n">
        <v>0.1605</v>
      </c>
      <c r="H1159" s="57" t="n">
        <v>0.1575</v>
      </c>
    </row>
    <row r="1160" customFormat="false" ht="15" hidden="false" customHeight="false" outlineLevel="0" collapsed="false">
      <c r="A1160" s="52" t="n">
        <v>45916</v>
      </c>
      <c r="B1160" s="57" t="n">
        <v>0.1684</v>
      </c>
      <c r="C1160" s="57" t="n">
        <v>0.1719</v>
      </c>
      <c r="D1160" s="57" t="n">
        <v>0.1687</v>
      </c>
      <c r="E1160" s="57" t="n">
        <v>0.16952</v>
      </c>
      <c r="F1160" s="57" t="n">
        <v>0.1611</v>
      </c>
      <c r="H1160" s="57" t="n">
        <v>0.1578</v>
      </c>
    </row>
    <row r="1161" customFormat="false" ht="15" hidden="false" customHeight="false" outlineLevel="0" collapsed="false">
      <c r="A1161" s="52" t="n">
        <v>45917</v>
      </c>
      <c r="B1161" s="57" t="n">
        <v>0.165</v>
      </c>
      <c r="C1161" s="57" t="n">
        <v>0.1688</v>
      </c>
      <c r="D1161" s="57" t="n">
        <v>0.1689</v>
      </c>
      <c r="E1161" s="57" t="n">
        <v>0.16952</v>
      </c>
      <c r="F1161" s="57" t="n">
        <v>0.1615</v>
      </c>
      <c r="H1161" s="57" t="n">
        <v>0.1559</v>
      </c>
    </row>
    <row r="1162" customFormat="false" ht="15" hidden="false" customHeight="false" outlineLevel="0" collapsed="false">
      <c r="A1162" s="52" t="n">
        <v>45918</v>
      </c>
      <c r="B1162" s="57" t="n">
        <v>0.1641</v>
      </c>
      <c r="C1162" s="57" t="n">
        <v>0.1684</v>
      </c>
      <c r="D1162" s="57" t="n">
        <v>0.1693</v>
      </c>
      <c r="E1162" s="57" t="n">
        <v>0.16972</v>
      </c>
      <c r="F1162" s="57" t="n">
        <v>0.1644</v>
      </c>
      <c r="H1162" s="57" t="n">
        <v>0.1563</v>
      </c>
    </row>
    <row r="1163" customFormat="false" ht="15" hidden="false" customHeight="false" outlineLevel="0" collapsed="false">
      <c r="A1163" s="52" t="n">
        <v>45919</v>
      </c>
      <c r="B1163" s="57" t="n">
        <v>0.1637</v>
      </c>
      <c r="C1163" s="57" t="n">
        <v>0.1681</v>
      </c>
      <c r="D1163" s="57" t="n">
        <v>0.1695</v>
      </c>
      <c r="E1163" s="57" t="n">
        <v>0.16972</v>
      </c>
      <c r="F1163" s="57" t="n">
        <v>0.1624</v>
      </c>
      <c r="H1163" s="57" t="n">
        <v>0.1572</v>
      </c>
    </row>
    <row r="1164" customFormat="false" ht="15" hidden="false" customHeight="false" outlineLevel="0" collapsed="false">
      <c r="A1164" s="52" t="n">
        <v>45922</v>
      </c>
      <c r="B1164" s="57" t="n">
        <v>0.1631</v>
      </c>
      <c r="C1164" s="57" t="n">
        <v>0.1685</v>
      </c>
      <c r="D1164" s="57" t="n">
        <v>0.169</v>
      </c>
      <c r="E1164" s="57" t="n">
        <v>0.16972</v>
      </c>
      <c r="F1164" s="57" t="n">
        <v>0.1614</v>
      </c>
      <c r="H1164" s="57" t="n">
        <v>0.1577</v>
      </c>
    </row>
    <row r="1165" customFormat="false" ht="15" hidden="false" customHeight="false" outlineLevel="0" collapsed="false">
      <c r="A1165" s="52" t="n">
        <v>45923</v>
      </c>
      <c r="B1165" s="57" t="n">
        <v>0.1659</v>
      </c>
      <c r="C1165" s="57" t="n">
        <v>0.1684</v>
      </c>
      <c r="D1165" s="57" t="n">
        <v>0.1688</v>
      </c>
      <c r="E1165" s="57" t="n">
        <v>0.16972</v>
      </c>
      <c r="F1165" s="57" t="n">
        <v>0.1616</v>
      </c>
      <c r="H1165" s="57" t="n">
        <v>0.1577</v>
      </c>
    </row>
    <row r="1166" customFormat="false" ht="15" hidden="false" customHeight="false" outlineLevel="0" collapsed="false">
      <c r="A1166" s="52" t="n">
        <v>45924</v>
      </c>
      <c r="B1166" s="57" t="n">
        <v>0.1691</v>
      </c>
      <c r="C1166" s="57" t="n">
        <v>0.1733</v>
      </c>
      <c r="D1166" s="57" t="n">
        <v>0.1682</v>
      </c>
      <c r="E1166" s="57" t="n">
        <v>0.16972</v>
      </c>
      <c r="F1166" s="57" t="n">
        <v>0.1626</v>
      </c>
      <c r="H1166" s="57" t="n">
        <v>0.1585</v>
      </c>
    </row>
    <row r="1167" customFormat="false" ht="15" hidden="false" customHeight="false" outlineLevel="0" collapsed="false">
      <c r="A1167" s="52" t="n">
        <v>45925</v>
      </c>
      <c r="B1167" s="57" t="n">
        <v>0.1691</v>
      </c>
      <c r="C1167" s="57" t="n">
        <v>0.1732</v>
      </c>
      <c r="D1167" s="57" t="n">
        <v>0.1682</v>
      </c>
      <c r="E1167" s="57" t="n">
        <v>0.16981</v>
      </c>
      <c r="F1167" s="57" t="n">
        <v>0.1615</v>
      </c>
      <c r="H1167" s="57" t="n">
        <v>0.1607</v>
      </c>
    </row>
    <row r="1168" customFormat="false" ht="15" hidden="false" customHeight="false" outlineLevel="0" collapsed="false">
      <c r="A1168" s="52" t="n">
        <v>45926</v>
      </c>
      <c r="B1168" s="57" t="n">
        <v>0.1701</v>
      </c>
      <c r="C1168" s="57" t="n">
        <v>0.1702</v>
      </c>
      <c r="D1168" s="57" t="n">
        <v>0.1665</v>
      </c>
      <c r="E1168" s="57" t="n">
        <v>0.16981</v>
      </c>
      <c r="F1168" s="57" t="n">
        <v>0.1613</v>
      </c>
      <c r="H1168" s="57" t="n">
        <v>0.1591</v>
      </c>
    </row>
    <row r="1169" customFormat="false" ht="15" hidden="false" customHeight="false" outlineLevel="0" collapsed="false">
      <c r="A1169" s="52" t="n">
        <v>45929</v>
      </c>
      <c r="B1169" s="57" t="n">
        <v>0.1683</v>
      </c>
      <c r="C1169" s="57" t="n">
        <v>0.1695</v>
      </c>
      <c r="D1169" s="57" t="n">
        <v>0.1686</v>
      </c>
      <c r="E1169" s="57" t="n">
        <v>0.16981</v>
      </c>
      <c r="F1169" s="57" t="n">
        <v>0.1612</v>
      </c>
      <c r="H1169" s="57" t="n">
        <v>0.1574</v>
      </c>
    </row>
    <row r="1170" customFormat="false" ht="15" hidden="false" customHeight="false" outlineLevel="0" collapsed="false">
      <c r="A1170" s="52" t="n">
        <v>45930</v>
      </c>
      <c r="B1170" s="57" t="n">
        <v>0.168</v>
      </c>
      <c r="C1170" s="57" t="n">
        <v>0.1688</v>
      </c>
      <c r="D1170" s="57" t="n">
        <v>0.1684</v>
      </c>
      <c r="E1170" s="57" t="n">
        <v>0.16981</v>
      </c>
      <c r="F1170" s="57" t="n">
        <v>0.1609</v>
      </c>
      <c r="H1170" s="57" t="n">
        <v>0.157</v>
      </c>
    </row>
    <row r="1171" customFormat="false" ht="15" hidden="false" customHeight="false" outlineLevel="0" collapsed="false">
      <c r="A1171" s="52" t="n">
        <v>45931</v>
      </c>
      <c r="B1171" s="57" t="n">
        <v>0.1684</v>
      </c>
      <c r="C1171" s="57" t="n">
        <v>0.1679</v>
      </c>
      <c r="D1171" s="57" t="n">
        <v>0.1686</v>
      </c>
      <c r="E1171" s="57" t="n">
        <v>0.16981</v>
      </c>
      <c r="F1171" s="57" t="n">
        <v>0.162</v>
      </c>
      <c r="H1171" s="57" t="n">
        <v>0.1586</v>
      </c>
    </row>
    <row r="1172" customFormat="false" ht="15" hidden="false" customHeight="false" outlineLevel="0" collapsed="false">
      <c r="A1172" s="52" t="n">
        <v>45932</v>
      </c>
      <c r="B1172" s="57" t="n">
        <v>0.1682</v>
      </c>
      <c r="C1172" s="57" t="n">
        <v>0.169</v>
      </c>
      <c r="D1172" s="57" t="n">
        <v>0.1685</v>
      </c>
      <c r="E1172" s="57" t="n">
        <v>0.16981</v>
      </c>
      <c r="F1172" s="57" t="n">
        <v>0.1617</v>
      </c>
      <c r="H1172" s="57" t="n">
        <v>0.1573</v>
      </c>
    </row>
    <row r="1173" customFormat="false" ht="15" hidden="false" customHeight="false" outlineLevel="0" collapsed="false">
      <c r="A1173" s="52" t="n">
        <v>45933</v>
      </c>
      <c r="B1173" s="57" t="n">
        <v>0.1676</v>
      </c>
      <c r="C1173" s="57" t="n">
        <v>0.1694</v>
      </c>
      <c r="D1173" s="57" t="n">
        <v>0.1689</v>
      </c>
      <c r="E1173" s="57" t="n">
        <v>0.16981</v>
      </c>
      <c r="F1173" s="57" t="n">
        <v>0.1624</v>
      </c>
      <c r="H1173" s="57" t="n">
        <v>0.1572</v>
      </c>
    </row>
    <row r="1174" customFormat="false" ht="15" hidden="false" customHeight="false" outlineLevel="0" collapsed="false">
      <c r="A1174" s="52" t="n">
        <v>45936</v>
      </c>
      <c r="B1174" s="57" t="n">
        <v>0.1679</v>
      </c>
      <c r="C1174" s="57" t="n">
        <v>0.1687</v>
      </c>
      <c r="D1174" s="57" t="n">
        <v>0.1689</v>
      </c>
      <c r="E1174" s="57" t="n">
        <v>0.16981</v>
      </c>
      <c r="F1174" s="57" t="n">
        <v>0.1621</v>
      </c>
      <c r="H1174" s="57" t="n">
        <v>0.1556</v>
      </c>
    </row>
    <row r="1175" customFormat="false" ht="15" hidden="false" customHeight="false" outlineLevel="0" collapsed="false">
      <c r="A1175" s="52" t="n">
        <v>45937</v>
      </c>
      <c r="B1175" s="57" t="n">
        <v>0.168</v>
      </c>
      <c r="C1175" s="57" t="n">
        <v>0.169</v>
      </c>
      <c r="D1175" s="57" t="n">
        <v>0.1685</v>
      </c>
      <c r="E1175" s="57" t="n">
        <v>0.16981</v>
      </c>
      <c r="F1175" s="57" t="n">
        <v>0.163</v>
      </c>
      <c r="H1175" s="57" t="n">
        <v>0.1552</v>
      </c>
    </row>
    <row r="1176" customFormat="false" ht="15" hidden="false" customHeight="false" outlineLevel="0" collapsed="false">
      <c r="A1176" s="52" t="n">
        <v>45938</v>
      </c>
      <c r="B1176" s="57" t="n">
        <v>0.168</v>
      </c>
      <c r="C1176" s="57" t="n">
        <v>0.1692</v>
      </c>
      <c r="D1176" s="57" t="n">
        <v>0.1685</v>
      </c>
      <c r="E1176" s="57" t="n">
        <v>0.16981</v>
      </c>
      <c r="F1176" s="57" t="n">
        <v>0.1624</v>
      </c>
      <c r="H1176" s="57" t="n">
        <v>0.1553</v>
      </c>
    </row>
    <row r="1177" customFormat="false" ht="15" hidden="false" customHeight="false" outlineLevel="0" collapsed="false">
      <c r="A1177" s="52" t="n">
        <v>45939</v>
      </c>
      <c r="B1177" s="57" t="n">
        <v>0.1676</v>
      </c>
      <c r="C1177" s="57" t="n">
        <v>0.169</v>
      </c>
      <c r="D1177" s="57" t="n">
        <v>0.1686</v>
      </c>
      <c r="E1177" s="57" t="n">
        <v>0.16977</v>
      </c>
      <c r="F1177" s="57" t="n">
        <v>0.1636</v>
      </c>
      <c r="H1177" s="57" t="n">
        <v>0.1559</v>
      </c>
    </row>
    <row r="1178" customFormat="false" ht="15" hidden="false" customHeight="false" outlineLevel="0" collapsed="false">
      <c r="A1178" s="52" t="n">
        <v>45940</v>
      </c>
      <c r="B1178" s="57" t="n">
        <v>0.1676</v>
      </c>
      <c r="C1178" s="57" t="n">
        <v>0.1705</v>
      </c>
      <c r="D1178" s="57" t="n">
        <v>0.1685</v>
      </c>
      <c r="E1178" s="57" t="n">
        <v>0.16977</v>
      </c>
      <c r="F1178" s="57" t="n">
        <v>0.1635</v>
      </c>
      <c r="H1178" s="57" t="n">
        <v>0.1607</v>
      </c>
    </row>
    <row r="1179" customFormat="false" ht="15" hidden="false" customHeight="false" outlineLevel="0" collapsed="false">
      <c r="A1179" s="52" t="n">
        <v>45943</v>
      </c>
      <c r="B1179" s="57" t="n">
        <v>0.1672</v>
      </c>
      <c r="C1179" s="57" t="n">
        <v>0.1691</v>
      </c>
      <c r="D1179" s="57" t="n">
        <v>0.169</v>
      </c>
      <c r="E1179" s="57" t="n">
        <v>0.16977</v>
      </c>
      <c r="F1179" s="57" t="n">
        <v>0.1649</v>
      </c>
      <c r="H1179" s="57" t="n">
        <v>0.1696</v>
      </c>
    </row>
    <row r="1180" customFormat="false" ht="15" hidden="false" customHeight="false" outlineLevel="0" collapsed="false">
      <c r="A1180" s="52" t="n">
        <v>45944</v>
      </c>
      <c r="B1180" s="57" t="n">
        <v>0.1668</v>
      </c>
      <c r="C1180" s="57" t="n">
        <v>0.1686</v>
      </c>
      <c r="D1180" s="57" t="n">
        <v>0.169</v>
      </c>
      <c r="E1180" s="57" t="n">
        <v>0.16977</v>
      </c>
      <c r="F1180" s="57" t="n">
        <v>0.1655</v>
      </c>
      <c r="H1180" s="57" t="n">
        <v>0.1685</v>
      </c>
    </row>
    <row r="1181" customFormat="false" ht="15" hidden="false" customHeight="false" outlineLevel="0" collapsed="false">
      <c r="A1181" s="52" t="n">
        <v>45945</v>
      </c>
      <c r="B1181" s="57" t="n">
        <v>0.1663</v>
      </c>
      <c r="C1181" s="57" t="n">
        <v>0.1699</v>
      </c>
      <c r="D1181" s="57" t="n">
        <v>0.1708</v>
      </c>
      <c r="E1181" s="57" t="n">
        <v>0.16977</v>
      </c>
      <c r="F1181" s="57" t="n">
        <v>0.1663</v>
      </c>
      <c r="H1181" s="57" t="n">
        <v>0.1702</v>
      </c>
    </row>
    <row r="1182" customFormat="false" ht="15" hidden="false" customHeight="false" outlineLevel="0" collapsed="false">
      <c r="A1182" s="52" t="n">
        <v>45946</v>
      </c>
      <c r="B1182" s="57" t="n">
        <v>0.1657</v>
      </c>
      <c r="C1182" s="57" t="n">
        <v>0.1697</v>
      </c>
      <c r="D1182" s="57" t="n">
        <v>0.1707</v>
      </c>
      <c r="E1182" s="57" t="n">
        <v>0.16977</v>
      </c>
      <c r="F1182" s="57" t="n">
        <v>0.1656</v>
      </c>
      <c r="H1182" s="57" t="n">
        <v>0.1707</v>
      </c>
    </row>
    <row r="1183" customFormat="false" ht="15" hidden="false" customHeight="false" outlineLevel="0" collapsed="false">
      <c r="A1183" s="52" t="n">
        <v>45947</v>
      </c>
      <c r="B1183" s="57" t="n">
        <v>0.1658</v>
      </c>
      <c r="C1183" s="57" t="n">
        <v>0.1689</v>
      </c>
      <c r="D1183" s="57" t="n">
        <v>0.1702</v>
      </c>
      <c r="E1183" s="57" t="n">
        <v>0.17006</v>
      </c>
      <c r="F1183" s="57" t="n">
        <v>0.1647</v>
      </c>
      <c r="H1183" s="57" t="n">
        <v>0.1701</v>
      </c>
    </row>
    <row r="1184" customFormat="false" ht="15" hidden="false" customHeight="false" outlineLevel="0" collapsed="false">
      <c r="A1184" s="52" t="n">
        <v>45950</v>
      </c>
      <c r="B1184" s="57" t="n">
        <v>0.168</v>
      </c>
      <c r="C1184" s="57" t="n">
        <v>0.1695</v>
      </c>
      <c r="D1184" s="57" t="n">
        <v>0.1702</v>
      </c>
      <c r="E1184" s="57" t="n">
        <v>0.17006</v>
      </c>
      <c r="F1184" s="57" t="n">
        <v>0.1649</v>
      </c>
      <c r="H1184" s="57" t="n">
        <v>0.17</v>
      </c>
    </row>
    <row r="1185" customFormat="false" ht="15" hidden="false" customHeight="false" outlineLevel="0" collapsed="false">
      <c r="A1185" s="52" t="n">
        <v>45951</v>
      </c>
      <c r="B1185" s="57" t="n">
        <v>0.1637</v>
      </c>
      <c r="C1185" s="57" t="n">
        <v>0.1665</v>
      </c>
      <c r="D1185" s="57" t="n">
        <v>0.1685</v>
      </c>
      <c r="E1185" s="57" t="n">
        <v>0.17006</v>
      </c>
      <c r="F1185" s="57" t="n">
        <v>0.1652</v>
      </c>
      <c r="H1185" s="57" t="n">
        <v>0.1712</v>
      </c>
    </row>
    <row r="1186" customFormat="false" ht="15" hidden="false" customHeight="false" outlineLevel="0" collapsed="false">
      <c r="A1186" s="52" t="n">
        <v>45952</v>
      </c>
      <c r="B1186" s="57" t="n">
        <v>0.1713</v>
      </c>
      <c r="C1186" s="57" t="n">
        <v>0.1728</v>
      </c>
      <c r="D1186" s="57" t="n">
        <v>0.1698</v>
      </c>
      <c r="E1186" s="57" t="n">
        <v>0.17006</v>
      </c>
      <c r="F1186" s="57" t="n">
        <v>0.1652</v>
      </c>
      <c r="H1186" s="57" t="n">
        <v>0.1717</v>
      </c>
    </row>
    <row r="1187" customFormat="false" ht="15" hidden="false" customHeight="false" outlineLevel="0" collapsed="false">
      <c r="A1187" s="52" t="n">
        <v>45953</v>
      </c>
      <c r="B1187" s="57" t="n">
        <v>0.1752</v>
      </c>
      <c r="C1187" s="57" t="n">
        <v>0.174</v>
      </c>
      <c r="D1187" s="57" t="n">
        <v>0.1694</v>
      </c>
      <c r="E1187" s="57" t="n">
        <v>0.17053</v>
      </c>
      <c r="F1187" s="57" t="n">
        <v>0.1648</v>
      </c>
      <c r="H1187" s="57" t="n">
        <v>0.1707</v>
      </c>
    </row>
    <row r="1188" customFormat="false" ht="15" hidden="false" customHeight="false" outlineLevel="0" collapsed="false">
      <c r="A1188" s="52" t="n">
        <v>45954</v>
      </c>
      <c r="B1188" s="57" t="n">
        <v>0.1709</v>
      </c>
      <c r="C1188" s="57" t="n">
        <v>0.1736</v>
      </c>
      <c r="D1188" s="57" t="n">
        <v>0.1696</v>
      </c>
      <c r="E1188" s="57" t="n">
        <v>0.17106</v>
      </c>
      <c r="F1188" s="57" t="n">
        <v>0.1707</v>
      </c>
      <c r="H1188" s="57" t="n">
        <v>0.1701</v>
      </c>
    </row>
    <row r="1189" customFormat="false" ht="15" hidden="false" customHeight="false" outlineLevel="0" collapsed="false">
      <c r="A1189" s="52" t="n">
        <v>45958</v>
      </c>
      <c r="B1189" s="57" t="n">
        <v>0.1704</v>
      </c>
      <c r="C1189" s="57" t="n">
        <v>0.1732</v>
      </c>
      <c r="D1189" s="57" t="n">
        <v>0.1693</v>
      </c>
      <c r="E1189" s="57" t="n">
        <v>0.17106</v>
      </c>
      <c r="F1189" s="57" t="n">
        <v>0.1705</v>
      </c>
      <c r="H1189" s="57" t="n">
        <v>0.1713</v>
      </c>
    </row>
    <row r="1190" customFormat="false" ht="15" hidden="false" customHeight="false" outlineLevel="0" collapsed="false">
      <c r="A1190" s="52" t="n">
        <v>45959</v>
      </c>
      <c r="B1190" s="57" t="n">
        <v>0.1683</v>
      </c>
      <c r="C1190" s="57" t="n">
        <v>0.1707</v>
      </c>
      <c r="D1190" s="57" t="n">
        <v>0.1697</v>
      </c>
      <c r="E1190" s="57" t="n">
        <v>0.17106</v>
      </c>
      <c r="F1190" s="57" t="n">
        <v>0.1717</v>
      </c>
      <c r="H1190" s="57" t="n">
        <v>0.1718</v>
      </c>
    </row>
    <row r="1191" customFormat="false" ht="15" hidden="false" customHeight="false" outlineLevel="0" collapsed="false">
      <c r="A1191" s="52" t="n">
        <v>45960</v>
      </c>
      <c r="B1191" s="57" t="n">
        <v>0.1706</v>
      </c>
      <c r="C1191" s="57" t="n">
        <v>0.1704</v>
      </c>
      <c r="D1191" s="57" t="n">
        <v>0.1698</v>
      </c>
      <c r="E1191" s="57" t="n">
        <v>0.1715</v>
      </c>
      <c r="F1191" s="57" t="n">
        <v>0.1708</v>
      </c>
      <c r="H1191" s="57" t="n">
        <v>0.1757</v>
      </c>
    </row>
    <row r="1192" customFormat="false" ht="15" hidden="false" customHeight="false" outlineLevel="0" collapsed="false">
      <c r="A1192" s="52" t="n">
        <v>45961</v>
      </c>
      <c r="B1192" s="57" t="n">
        <v>0.1687</v>
      </c>
      <c r="C1192" s="57" t="n">
        <v>0.1705</v>
      </c>
      <c r="D1192" s="57" t="n">
        <v>0.1698</v>
      </c>
      <c r="E1192" s="57" t="n">
        <v>0.1715</v>
      </c>
      <c r="F1192" s="57" t="n">
        <v>0.1702</v>
      </c>
      <c r="H1192" s="57" t="n">
        <v>0.1733</v>
      </c>
    </row>
    <row r="1193" customFormat="false" ht="15" hidden="false" customHeight="false" outlineLevel="0" collapsed="false">
      <c r="A1193" s="52" t="n">
        <v>45964</v>
      </c>
      <c r="B1193" s="57" t="n">
        <v>0.1686</v>
      </c>
      <c r="C1193" s="57" t="n">
        <v>0.1699</v>
      </c>
      <c r="D1193" s="57" t="n">
        <v>0.1702</v>
      </c>
      <c r="E1193" s="57" t="n">
        <v>0.1715</v>
      </c>
      <c r="F1193" s="57" t="n">
        <v>0.1709</v>
      </c>
      <c r="H1193" s="57" t="n">
        <v>0.1704</v>
      </c>
    </row>
    <row r="1194" customFormat="false" ht="15" hidden="false" customHeight="false" outlineLevel="0" collapsed="false">
      <c r="A1194" s="52" t="n">
        <v>45965</v>
      </c>
      <c r="B1194" s="57" t="n">
        <v>0.168</v>
      </c>
      <c r="C1194" s="57" t="n">
        <v>0.1708</v>
      </c>
      <c r="D1194" s="57" t="n">
        <v>0.17</v>
      </c>
      <c r="E1194" s="57" t="n">
        <v>0.1715</v>
      </c>
      <c r="F1194" s="57" t="n">
        <v>0.171</v>
      </c>
      <c r="H1194" s="57" t="n">
        <v>0.1702</v>
      </c>
    </row>
    <row r="1195" customFormat="false" ht="15" hidden="false" customHeight="false" outlineLevel="0" collapsed="false">
      <c r="A1195" s="52" t="n">
        <v>45966</v>
      </c>
      <c r="B1195" s="57" t="n">
        <v>0.1695</v>
      </c>
      <c r="C1195" s="57" t="n">
        <v>0.1738</v>
      </c>
      <c r="D1195" s="57" t="n">
        <v>0.1705</v>
      </c>
      <c r="E1195" s="57" t="n">
        <v>0.17098</v>
      </c>
      <c r="F1195" s="57" t="n">
        <v>0.1711</v>
      </c>
      <c r="H1195" s="57" t="n">
        <v>0.1703</v>
      </c>
    </row>
    <row r="1196" customFormat="false" ht="15" hidden="false" customHeight="false" outlineLevel="0" collapsed="false">
      <c r="A1196" s="52" t="n">
        <v>45967</v>
      </c>
      <c r="B1196" s="57" t="n">
        <v>0.1695</v>
      </c>
      <c r="C1196" s="57" t="n">
        <v>0.174</v>
      </c>
      <c r="D1196" s="57" t="n">
        <v>0.1711</v>
      </c>
      <c r="E1196" s="57" t="n">
        <v>0.17098</v>
      </c>
      <c r="F1196" s="57" t="n">
        <v>0.1707</v>
      </c>
      <c r="H1196" s="57" t="n">
        <v>0.1704</v>
      </c>
    </row>
    <row r="1197" customFormat="false" ht="15" hidden="false" customHeight="false" outlineLevel="0" collapsed="false">
      <c r="A1197" s="52" t="n">
        <v>45968</v>
      </c>
      <c r="B1197" s="57" t="n">
        <v>0.1696</v>
      </c>
      <c r="C1197" s="57" t="n">
        <v>0.174</v>
      </c>
      <c r="D1197" s="57" t="n">
        <v>0.17</v>
      </c>
      <c r="E1197" s="57" t="n">
        <v>0.17098</v>
      </c>
      <c r="F1197" s="57" t="n">
        <v>0.1715</v>
      </c>
      <c r="H1197" s="57" t="n">
        <v>0.17</v>
      </c>
    </row>
    <row r="1198" customFormat="false" ht="15" hidden="false" customHeight="false" outlineLevel="0" collapsed="false">
      <c r="A1198" s="52" t="n">
        <v>45971</v>
      </c>
      <c r="B1198" s="57" t="n">
        <v>0.1694</v>
      </c>
      <c r="C1198" s="57" t="n">
        <v>0.1726</v>
      </c>
      <c r="D1198" s="57" t="n">
        <v>0.1695</v>
      </c>
      <c r="E1198" s="57" t="n">
        <v>0.17098</v>
      </c>
      <c r="F1198" s="57" t="n">
        <v>0.1708</v>
      </c>
      <c r="H1198" s="57" t="n">
        <v>0.1702</v>
      </c>
    </row>
    <row r="1199" customFormat="false" ht="15" hidden="false" customHeight="false" outlineLevel="0" collapsed="false">
      <c r="A1199" s="52" t="n">
        <v>45972</v>
      </c>
      <c r="B1199" s="57" t="n">
        <v>0.168</v>
      </c>
      <c r="C1199" s="57" t="n">
        <v>0.1716</v>
      </c>
      <c r="D1199" s="57" t="n">
        <v>0.1697</v>
      </c>
      <c r="E1199" s="57" t="n">
        <v>0.17098</v>
      </c>
      <c r="F1199" s="57" t="n">
        <v>0.1703</v>
      </c>
      <c r="H1199" s="57" t="n">
        <v>0.17</v>
      </c>
    </row>
    <row r="1200" customFormat="false" ht="15" hidden="false" customHeight="false" outlineLevel="0" collapsed="false">
      <c r="A1200" s="52" t="n">
        <v>45973</v>
      </c>
      <c r="B1200" s="57" t="n">
        <v>0.1727</v>
      </c>
      <c r="C1200" s="57" t="n">
        <v>0.1712</v>
      </c>
      <c r="D1200" s="57" t="n">
        <v>0.1699</v>
      </c>
      <c r="E1200" s="57" t="n">
        <v>0.17098</v>
      </c>
      <c r="F1200" s="57" t="n">
        <v>0.1704</v>
      </c>
      <c r="H1200" s="57" t="n">
        <v>0.17</v>
      </c>
    </row>
    <row r="1201" customFormat="false" ht="15" hidden="false" customHeight="false" outlineLevel="0" collapsed="false">
      <c r="A1201" s="52" t="n">
        <v>45974</v>
      </c>
      <c r="B1201" s="57" t="n">
        <v>0.1719</v>
      </c>
      <c r="C1201" s="57" t="n">
        <v>0.1714</v>
      </c>
      <c r="D1201" s="57" t="n">
        <v>0.1699</v>
      </c>
      <c r="E1201" s="57" t="n">
        <v>0.171</v>
      </c>
      <c r="F1201" s="57" t="n">
        <v>0.1706</v>
      </c>
      <c r="H1201" s="57" t="n">
        <v>0.17</v>
      </c>
    </row>
    <row r="1202" customFormat="false" ht="15" hidden="false" customHeight="false" outlineLevel="0" collapsed="false">
      <c r="A1202" s="52" t="n">
        <v>45975</v>
      </c>
      <c r="B1202" s="57" t="n">
        <v>0.1719</v>
      </c>
      <c r="C1202" s="57" t="n">
        <v>0.1716</v>
      </c>
      <c r="D1202" s="57" t="n">
        <v>0.1696</v>
      </c>
      <c r="E1202" s="57" t="n">
        <v>0.171</v>
      </c>
      <c r="F1202" s="57" t="n">
        <v>0.1698</v>
      </c>
      <c r="H1202" s="57" t="n">
        <v>0.17</v>
      </c>
    </row>
    <row r="1203" customFormat="false" ht="15" hidden="false" customHeight="false" outlineLevel="0" collapsed="false">
      <c r="A1203" s="52" t="n">
        <v>45978</v>
      </c>
      <c r="B1203" s="57" t="n">
        <v>0.1674</v>
      </c>
      <c r="C1203" s="57" t="n">
        <v>0.1716</v>
      </c>
      <c r="D1203" s="57" t="n">
        <v>0.1696</v>
      </c>
      <c r="E1203" s="57" t="n">
        <v>0.171</v>
      </c>
      <c r="F1203" s="57" t="n">
        <v>0.1709</v>
      </c>
      <c r="H1203" s="57" t="n">
        <v>0.17</v>
      </c>
    </row>
    <row r="1204" customFormat="false" ht="15" hidden="false" customHeight="false" outlineLevel="0" collapsed="false">
      <c r="A1204" s="52" t="n">
        <v>45979</v>
      </c>
      <c r="B1204" s="57" t="n">
        <v>0.1694</v>
      </c>
      <c r="C1204" s="57" t="n">
        <v>0.1699</v>
      </c>
      <c r="D1204" s="57" t="n">
        <v>0.1693</v>
      </c>
      <c r="E1204" s="57" t="n">
        <v>0.171</v>
      </c>
      <c r="F1204" s="57" t="n">
        <v>0.1711</v>
      </c>
      <c r="H1204" s="57" t="n">
        <v>0.17</v>
      </c>
    </row>
    <row r="1205" customFormat="false" ht="15" hidden="false" customHeight="false" outlineLevel="0" collapsed="false">
      <c r="A1205" s="52" t="n">
        <v>45980</v>
      </c>
      <c r="B1205" s="57" t="n">
        <v>0.1687</v>
      </c>
      <c r="C1205" s="57" t="n">
        <v>0.1712</v>
      </c>
      <c r="D1205" s="57" t="n">
        <v>0.1688</v>
      </c>
      <c r="E1205" s="57" t="n">
        <v>0.171</v>
      </c>
      <c r="F1205" s="57" t="n">
        <v>0.1704</v>
      </c>
      <c r="H1205" s="57" t="n">
        <v>0.17</v>
      </c>
    </row>
    <row r="1206" customFormat="false" ht="15" hidden="false" customHeight="false" outlineLevel="0" collapsed="false">
      <c r="A1206" s="52" t="n">
        <v>45981</v>
      </c>
      <c r="B1206" s="57" t="n">
        <v>0.1682</v>
      </c>
      <c r="C1206" s="57" t="n">
        <v>0.1715</v>
      </c>
      <c r="D1206" s="57" t="n">
        <v>0.1691</v>
      </c>
      <c r="E1206" s="57" t="n">
        <v>0.16999</v>
      </c>
      <c r="F1206" s="57" t="n">
        <v>0.1703</v>
      </c>
      <c r="H1206" s="57" t="n">
        <v>0.17</v>
      </c>
    </row>
    <row r="1207" customFormat="false" ht="15" hidden="false" customHeight="false" outlineLevel="0" collapsed="false">
      <c r="A1207" s="52" t="n">
        <v>45982</v>
      </c>
      <c r="B1207" s="57" t="n">
        <v>0.1697</v>
      </c>
      <c r="C1207" s="57" t="n">
        <v>0.1712</v>
      </c>
      <c r="D1207" s="57" t="n">
        <v>0.1688</v>
      </c>
      <c r="E1207" s="57" t="n">
        <v>0.16999</v>
      </c>
      <c r="F1207" s="57" t="n">
        <v>0.1699</v>
      </c>
      <c r="H1207" s="57" t="n">
        <v>0.1705</v>
      </c>
    </row>
    <row r="1208" customFormat="false" ht="15" hidden="false" customHeight="false" outlineLevel="0" collapsed="false">
      <c r="A1208" s="52" t="n">
        <v>45985</v>
      </c>
      <c r="B1208" s="57" t="n">
        <v>0.1697</v>
      </c>
      <c r="C1208" s="57" t="n">
        <v>0.1693</v>
      </c>
      <c r="D1208" s="57" t="n">
        <v>0.1678</v>
      </c>
      <c r="E1208" s="57" t="n">
        <v>0.16999</v>
      </c>
      <c r="F1208" s="57" t="n">
        <v>0.17</v>
      </c>
      <c r="H1208" s="57" t="n">
        <v>0.1715</v>
      </c>
    </row>
    <row r="1209" customFormat="false" ht="15" hidden="false" customHeight="false" outlineLevel="0" collapsed="false">
      <c r="A1209" s="52" t="n">
        <v>45986</v>
      </c>
      <c r="B1209" s="57" t="n">
        <v>0.1708</v>
      </c>
      <c r="C1209" s="57" t="n">
        <v>0.17</v>
      </c>
      <c r="D1209" s="57" t="n">
        <v>0.1677</v>
      </c>
      <c r="E1209" s="57" t="n">
        <v>0.16999</v>
      </c>
      <c r="F1209" s="57" t="n">
        <v>0.1705</v>
      </c>
      <c r="H1209" s="57" t="n">
        <v>0.1734</v>
      </c>
    </row>
    <row r="1210" customFormat="false" ht="15" hidden="false" customHeight="false" outlineLevel="0" collapsed="false">
      <c r="A1210" s="52" t="n">
        <v>45987</v>
      </c>
      <c r="B1210" s="57" t="n">
        <v>0.1694</v>
      </c>
      <c r="C1210" s="57" t="n">
        <v>0.1678</v>
      </c>
      <c r="D1210" s="57" t="n">
        <v>0.1658</v>
      </c>
      <c r="E1210" s="57" t="n">
        <v>0.16955</v>
      </c>
      <c r="F1210" s="57" t="n">
        <v>0.1696</v>
      </c>
      <c r="H1210" s="57" t="n">
        <v>0.176</v>
      </c>
    </row>
    <row r="1211" customFormat="false" ht="15" hidden="false" customHeight="false" outlineLevel="0" collapsed="false">
      <c r="A1211" s="52" t="n">
        <v>45988</v>
      </c>
      <c r="B1211" s="57" t="n">
        <v>0.1659</v>
      </c>
      <c r="C1211" s="57" t="n">
        <v>0.1656</v>
      </c>
      <c r="D1211" s="57" t="n">
        <v>0.1659</v>
      </c>
      <c r="E1211" s="57" t="n">
        <v>0.1695</v>
      </c>
      <c r="F1211" s="57" t="n">
        <v>0.1695</v>
      </c>
      <c r="H1211" s="57" t="n">
        <v>0.1746</v>
      </c>
    </row>
    <row r="1212" customFormat="false" ht="15" hidden="false" customHeight="false" outlineLevel="0" collapsed="false">
      <c r="A1212" s="52" t="n">
        <v>45989</v>
      </c>
      <c r="B1212" s="57" t="n">
        <v>0.1666</v>
      </c>
      <c r="C1212" s="57" t="n">
        <v>0.1659</v>
      </c>
      <c r="D1212" s="57" t="n">
        <v>0.1658</v>
      </c>
      <c r="E1212" s="57" t="n">
        <v>0.1695</v>
      </c>
      <c r="F1212" s="57" t="n">
        <v>0.1703</v>
      </c>
      <c r="H1212" s="57" t="n">
        <v>0.1752</v>
      </c>
    </row>
    <row r="1213" customFormat="false" ht="15" hidden="false" customHeight="false" outlineLevel="0" collapsed="false">
      <c r="A1213" s="52" t="n">
        <v>45992</v>
      </c>
      <c r="B1213" s="57" t="n">
        <v>0.1661</v>
      </c>
      <c r="C1213" s="57" t="n">
        <v>0.1656</v>
      </c>
      <c r="D1213" s="57" t="n">
        <v>0.1662</v>
      </c>
      <c r="E1213" s="57" t="n">
        <v>0.1695</v>
      </c>
      <c r="F1213" s="57" t="n">
        <v>0.1704</v>
      </c>
      <c r="H1213" s="57" t="n">
        <v>0.1719</v>
      </c>
    </row>
    <row r="1214" customFormat="false" ht="15" hidden="false" customHeight="false" outlineLevel="0" collapsed="false">
      <c r="A1214" s="52" t="n">
        <v>45993</v>
      </c>
      <c r="B1214" s="57" t="n">
        <v>0.1699</v>
      </c>
      <c r="C1214" s="57" t="n">
        <v>0.1671</v>
      </c>
      <c r="D1214" s="57" t="n">
        <v>0.1648</v>
      </c>
      <c r="E1214" s="57" t="n">
        <v>0.1695</v>
      </c>
      <c r="F1214" s="57" t="n">
        <v>0.1701</v>
      </c>
      <c r="H1214" s="57" t="n">
        <v>0.1705</v>
      </c>
    </row>
    <row r="1215" customFormat="false" ht="15" hidden="false" customHeight="false" outlineLevel="0" collapsed="false">
      <c r="A1215" s="52" t="n">
        <v>45994</v>
      </c>
      <c r="B1215" s="57" t="n">
        <v>0.1707</v>
      </c>
      <c r="C1215" s="57" t="n">
        <v>0.1693</v>
      </c>
      <c r="D1215" s="57" t="n">
        <v>0.1625</v>
      </c>
      <c r="E1215" s="57" t="n">
        <v>0.1685</v>
      </c>
      <c r="F1215" s="57" t="n">
        <v>0.1704</v>
      </c>
      <c r="H1215" s="57" t="n">
        <v>0.1707</v>
      </c>
    </row>
    <row r="1216" customFormat="false" ht="15" hidden="false" customHeight="false" outlineLevel="0" collapsed="false">
      <c r="A1216" s="52" t="n">
        <v>45995</v>
      </c>
      <c r="B1216" s="57" t="n">
        <v>0.1708</v>
      </c>
      <c r="C1216" s="57" t="n">
        <v>0.1694</v>
      </c>
      <c r="D1216" s="57" t="n">
        <v>0.1623</v>
      </c>
      <c r="E1216" s="57" t="n">
        <v>0.1685</v>
      </c>
      <c r="F1216" s="57" t="n">
        <v>0.1694</v>
      </c>
      <c r="H1216" s="57" t="n">
        <v>0.1717</v>
      </c>
    </row>
    <row r="1217" customFormat="false" ht="15" hidden="false" customHeight="false" outlineLevel="0" collapsed="false">
      <c r="A1217" s="52" t="n">
        <v>45996</v>
      </c>
      <c r="B1217" s="57" t="n">
        <v>0.1689</v>
      </c>
      <c r="C1217" s="57" t="n">
        <v>0.1678</v>
      </c>
      <c r="D1217" s="57" t="n">
        <v>0.1614</v>
      </c>
      <c r="E1217" s="57" t="n">
        <v>0.1685</v>
      </c>
      <c r="F1217" s="57" t="n">
        <v>0.1701</v>
      </c>
      <c r="H1217" s="57" t="n">
        <v>0.1706</v>
      </c>
    </row>
    <row r="1218" customFormat="false" ht="15" hidden="false" customHeight="false" outlineLevel="0" collapsed="false">
      <c r="A1218" s="52" t="n">
        <v>45999</v>
      </c>
      <c r="B1218" s="57" t="n">
        <v>0.1685</v>
      </c>
      <c r="C1218" s="57" t="n">
        <v>0.1677</v>
      </c>
      <c r="D1218" s="57" t="n">
        <v>0.1609</v>
      </c>
      <c r="E1218" s="57" t="n">
        <v>0.1685</v>
      </c>
      <c r="F1218" s="57" t="n">
        <v>0.1713</v>
      </c>
      <c r="H1218" s="57" t="n">
        <v>0.1716</v>
      </c>
    </row>
    <row r="1219" customFormat="false" ht="15" hidden="false" customHeight="false" outlineLevel="0" collapsed="false">
      <c r="A1219" s="52" t="n">
        <v>46000</v>
      </c>
      <c r="B1219" s="57" t="n">
        <v>0.169</v>
      </c>
      <c r="C1219" s="57" t="n">
        <v>0.1678</v>
      </c>
      <c r="D1219" s="57" t="n">
        <v>0.1597</v>
      </c>
      <c r="E1219" s="57" t="n">
        <v>0.1685</v>
      </c>
      <c r="F1219" s="57" t="n">
        <v>0.1709</v>
      </c>
      <c r="H1219" s="57" t="n">
        <v>0.1707</v>
      </c>
    </row>
    <row r="1220" customFormat="false" ht="15" hidden="false" customHeight="false" outlineLevel="0" collapsed="false">
      <c r="A1220" s="52" t="n">
        <v>46001</v>
      </c>
      <c r="B1220" s="57" t="n">
        <v>0.1691</v>
      </c>
      <c r="C1220" s="57" t="n">
        <v>0.1681</v>
      </c>
      <c r="D1220" s="57" t="n">
        <v>0.1569</v>
      </c>
      <c r="E1220" s="57" t="n">
        <v>0.1675</v>
      </c>
      <c r="F1220" s="57" t="n">
        <v>0.1713</v>
      </c>
      <c r="H1220" s="57" t="n">
        <v>0.1706</v>
      </c>
    </row>
    <row r="1221" customFormat="false" ht="15" hidden="false" customHeight="false" outlineLevel="0" collapsed="false">
      <c r="A1221" s="52" t="n">
        <v>46002</v>
      </c>
      <c r="B1221" s="57" t="n">
        <v>0.1683</v>
      </c>
      <c r="C1221" s="57" t="n">
        <v>0.1675</v>
      </c>
      <c r="D1221" s="57" t="n">
        <v>0.1577</v>
      </c>
      <c r="E1221" s="57" t="n">
        <v>0.167</v>
      </c>
      <c r="F1221" s="57" t="n">
        <v>0.1698</v>
      </c>
      <c r="H1221" s="57" t="n">
        <v>0.1704</v>
      </c>
    </row>
    <row r="1222" customFormat="false" ht="15" hidden="false" customHeight="false" outlineLevel="0" collapsed="false">
      <c r="A1222" s="52" t="n">
        <v>46003</v>
      </c>
      <c r="B1222" s="57" t="n">
        <v>0.1696</v>
      </c>
      <c r="C1222" s="57" t="n">
        <v>0.1683</v>
      </c>
      <c r="D1222" s="57" t="n">
        <v>0.1578</v>
      </c>
      <c r="E1222" s="57" t="n">
        <v>0.167</v>
      </c>
      <c r="F1222" s="57" t="n">
        <v>0.1715</v>
      </c>
      <c r="H1222" s="57" t="n">
        <v>0.1701</v>
      </c>
    </row>
    <row r="1223" customFormat="false" ht="15" hidden="false" customHeight="false" outlineLevel="0" collapsed="false">
      <c r="A1223" s="52" t="n">
        <v>46006</v>
      </c>
      <c r="B1223" s="57" t="n">
        <v>0.1665</v>
      </c>
      <c r="C1223" s="57" t="n">
        <v>0.1642</v>
      </c>
      <c r="D1223" s="57" t="n">
        <v>0.1574</v>
      </c>
      <c r="E1223" s="57" t="n">
        <v>0.167</v>
      </c>
      <c r="F1223" s="57" t="n">
        <v>0.168</v>
      </c>
      <c r="H1223" s="57" t="n">
        <v>0.1701</v>
      </c>
    </row>
    <row r="1224" customFormat="false" ht="15" hidden="false" customHeight="false" outlineLevel="0" collapsed="false">
      <c r="A1224" s="52" t="n">
        <v>46008</v>
      </c>
      <c r="B1224" s="57" t="n">
        <v>0.166</v>
      </c>
      <c r="C1224" s="57" t="n">
        <v>0.1645</v>
      </c>
      <c r="D1224" s="57" t="n">
        <v>0.1568</v>
      </c>
      <c r="E1224" s="57" t="n">
        <v>0.167</v>
      </c>
      <c r="F1224" s="57" t="n">
        <v>0.169</v>
      </c>
      <c r="H1224" s="57" t="n">
        <v>0.1701</v>
      </c>
    </row>
    <row r="1225" customFormat="false" ht="15" hidden="false" customHeight="false" outlineLevel="0" collapsed="false">
      <c r="A1225" s="52" t="n">
        <v>46009</v>
      </c>
      <c r="B1225" s="57" t="n">
        <v>0.1672</v>
      </c>
      <c r="C1225" s="57" t="n">
        <v>0.1643</v>
      </c>
      <c r="D1225" s="57" t="n">
        <v>0.1568</v>
      </c>
      <c r="E1225" s="57" t="n">
        <v>0.166</v>
      </c>
      <c r="F1225" s="57" t="n">
        <v>0.1681</v>
      </c>
      <c r="H1225" s="57" t="n">
        <v>0.17</v>
      </c>
    </row>
    <row r="1226" customFormat="false" ht="15" hidden="false" customHeight="false" outlineLevel="0" collapsed="false">
      <c r="A1226" s="52" t="n">
        <v>46010</v>
      </c>
      <c r="B1226" s="57" t="n">
        <v>0.1666</v>
      </c>
      <c r="C1226" s="57" t="n">
        <v>0.1632</v>
      </c>
      <c r="D1226" s="57" t="n">
        <v>0.1555</v>
      </c>
      <c r="E1226" s="57" t="n">
        <v>0.166</v>
      </c>
      <c r="F1226" s="57" t="n">
        <v>0.1679</v>
      </c>
      <c r="H1226" s="57" t="n">
        <v>0.17</v>
      </c>
    </row>
    <row r="1227" customFormat="false" ht="15" hidden="false" customHeight="false" outlineLevel="0" collapsed="false">
      <c r="A1227" s="52" t="n">
        <v>46013</v>
      </c>
      <c r="B1227" s="57" t="n">
        <v>0.1671</v>
      </c>
      <c r="C1227" s="57" t="n">
        <v>0.1651</v>
      </c>
      <c r="D1227" s="57" t="n">
        <v>0.156</v>
      </c>
      <c r="E1227" s="57" t="n">
        <v>0.166</v>
      </c>
      <c r="F1227" s="57" t="n">
        <v>0.1702</v>
      </c>
      <c r="H1227" s="57" t="n">
        <v>0.17</v>
      </c>
    </row>
    <row r="1228" customFormat="false" ht="15" hidden="false" customHeight="false" outlineLevel="0" collapsed="false">
      <c r="A1228" s="52" t="n">
        <v>46014</v>
      </c>
      <c r="B1228" s="57" t="n">
        <v>0.1661</v>
      </c>
      <c r="C1228" s="57" t="n">
        <v>0.1644</v>
      </c>
      <c r="D1228" s="57" t="n">
        <v>0.1555</v>
      </c>
      <c r="E1228" s="57" t="n">
        <v>0.166</v>
      </c>
      <c r="F1228" s="57" t="n">
        <v>0.166</v>
      </c>
      <c r="H1228" s="57" t="n">
        <v>0.1702</v>
      </c>
    </row>
    <row r="1229" customFormat="false" ht="15" hidden="false" customHeight="false" outlineLevel="0" collapsed="false">
      <c r="A1229" s="52" t="n">
        <v>46015</v>
      </c>
      <c r="B1229" s="57" t="n">
        <v>0.1673</v>
      </c>
      <c r="C1229" s="57" t="n">
        <v>0.1626</v>
      </c>
      <c r="D1229" s="57" t="n">
        <v>0.1549</v>
      </c>
      <c r="E1229" s="57" t="n">
        <v>0.166</v>
      </c>
      <c r="F1229" s="57" t="n">
        <v>0.1651</v>
      </c>
      <c r="H1229" s="57" t="n">
        <v>0.1703</v>
      </c>
    </row>
    <row r="1230" customFormat="false" ht="15" hidden="false" customHeight="false" outlineLevel="0" collapsed="false">
      <c r="A1230" s="52" t="n">
        <v>46016</v>
      </c>
      <c r="B1230" s="57" t="n">
        <v>0.1661</v>
      </c>
      <c r="C1230" s="57" t="n">
        <v>0.1644</v>
      </c>
      <c r="D1230" s="57" t="n">
        <v>0.1559</v>
      </c>
      <c r="E1230" s="57" t="n">
        <v>0.166</v>
      </c>
      <c r="F1230" s="57" t="n">
        <v>0.1647</v>
      </c>
      <c r="H1230" s="57" t="n">
        <v>0.1706</v>
      </c>
    </row>
    <row r="1231" customFormat="false" ht="15" hidden="false" customHeight="false" outlineLevel="0" collapsed="false">
      <c r="A1231" s="52" t="n">
        <v>46017</v>
      </c>
      <c r="B1231" s="57" t="n">
        <v>0.1668</v>
      </c>
      <c r="C1231" s="57" t="n">
        <v>0.1634</v>
      </c>
      <c r="D1231" s="57" t="n">
        <v>0.1559</v>
      </c>
      <c r="E1231" s="57" t="n">
        <v>0.166</v>
      </c>
      <c r="F1231" s="57" t="n">
        <v>0.1641</v>
      </c>
      <c r="H1231" s="57" t="n">
        <v>0.1702</v>
      </c>
    </row>
    <row r="1232" customFormat="false" ht="15" hidden="false" customHeight="false" outlineLevel="0" collapsed="false">
      <c r="A1232" s="52" t="n">
        <v>46020</v>
      </c>
      <c r="B1232" s="57" t="n">
        <v>0.165</v>
      </c>
      <c r="C1232" s="57" t="n">
        <v>0.1641</v>
      </c>
      <c r="D1232" s="57" t="n">
        <v>0.1557</v>
      </c>
      <c r="E1232" s="57" t="n">
        <v>0.166</v>
      </c>
      <c r="F1232" s="57" t="n">
        <v>0.1638</v>
      </c>
      <c r="H1232" s="57" t="n">
        <v>0.1708</v>
      </c>
    </row>
    <row r="1233" customFormat="false" ht="15" hidden="false" customHeight="false" outlineLevel="0" collapsed="false">
      <c r="A1233" s="52" t="n">
        <v>46021</v>
      </c>
      <c r="B1233" s="57" t="n">
        <v>0.1673</v>
      </c>
      <c r="C1233" s="57" t="n">
        <v>0.1622</v>
      </c>
      <c r="D1233" s="57" t="n">
        <v>0.1553</v>
      </c>
      <c r="E1233" s="57" t="n">
        <v>0.166</v>
      </c>
      <c r="F1233" s="57" t="n">
        <v>0.1652</v>
      </c>
      <c r="H1233" s="57" t="n">
        <v>0.17</v>
      </c>
    </row>
    <row r="1234" customFormat="false" ht="15" hidden="false" customHeight="false" outlineLevel="0" collapsed="false">
      <c r="A1234" s="52" t="n">
        <v>46022</v>
      </c>
      <c r="B1234" s="57" t="n">
        <v>0.1659</v>
      </c>
      <c r="C1234" s="57" t="n">
        <v>0.1625</v>
      </c>
      <c r="D1234" s="57" t="n">
        <v>0.1556</v>
      </c>
      <c r="E1234" s="57" t="n">
        <v>0.166</v>
      </c>
      <c r="F1234" s="57" t="n">
        <v>0.1651</v>
      </c>
      <c r="H1234" s="57" t="n">
        <v>0.17</v>
      </c>
    </row>
    <row r="1235" customFormat="false" ht="15" hidden="false" customHeight="false" outlineLevel="0" collapsed="false">
      <c r="A1235" s="52" t="n">
        <v>46027</v>
      </c>
      <c r="B1235" s="57" t="n">
        <v>0.1663</v>
      </c>
      <c r="C1235" s="57" t="n">
        <v>0.1626</v>
      </c>
      <c r="D1235" s="57" t="n">
        <v>0.1552</v>
      </c>
      <c r="E1235" s="57" t="n">
        <v>0.166</v>
      </c>
      <c r="F1235" s="57" t="n">
        <v>0.1644</v>
      </c>
      <c r="H1235" s="57" t="n">
        <v>0.17</v>
      </c>
    </row>
    <row r="1236" customFormat="false" ht="15" hidden="false" customHeight="false" outlineLevel="0" collapsed="false">
      <c r="A1236" s="52" t="n">
        <v>46028</v>
      </c>
      <c r="B1236" s="57" t="n">
        <v>0.164</v>
      </c>
      <c r="C1236" s="57" t="n">
        <v>0.1628</v>
      </c>
      <c r="D1236" s="57" t="n">
        <v>0.155</v>
      </c>
      <c r="E1236" s="57" t="n">
        <v>0.165</v>
      </c>
      <c r="F1236" s="57" t="n">
        <v>0.1658</v>
      </c>
      <c r="H1236" s="57" t="n">
        <v>0.17</v>
      </c>
    </row>
    <row r="1237" customFormat="false" ht="15" hidden="false" customHeight="false" outlineLevel="0" collapsed="false">
      <c r="A1237" s="52" t="n">
        <v>46030</v>
      </c>
      <c r="B1237" s="57" t="n">
        <v>0.1702</v>
      </c>
      <c r="C1237" s="57" t="n">
        <v>0.1613</v>
      </c>
      <c r="D1237" s="57" t="n">
        <v>0.1535</v>
      </c>
      <c r="E1237" s="57" t="n">
        <v>0.1628</v>
      </c>
      <c r="F1237" s="57" t="n">
        <v>0.1649</v>
      </c>
      <c r="H1237" s="57" t="n">
        <v>0.17</v>
      </c>
    </row>
    <row r="1238" customFormat="false" ht="15" hidden="false" customHeight="false" outlineLevel="0" collapsed="false">
      <c r="A1238" s="52" t="n">
        <v>46031</v>
      </c>
      <c r="B1238" s="57" t="n">
        <v>0.1665</v>
      </c>
      <c r="C1238" s="57" t="n">
        <v>0.1603</v>
      </c>
      <c r="D1238" s="57" t="n">
        <v>0.1546</v>
      </c>
      <c r="E1238" s="57" t="n">
        <v>0.1623</v>
      </c>
      <c r="F1238" s="57" t="n">
        <v>0.1647</v>
      </c>
      <c r="H1238" s="57" t="n">
        <v>0.17</v>
      </c>
    </row>
    <row r="1239" customFormat="false" ht="15" hidden="false" customHeight="false" outlineLevel="0" collapsed="false">
      <c r="A1239" s="52" t="n">
        <v>46034</v>
      </c>
      <c r="B1239" s="57" t="n">
        <v>0.1653</v>
      </c>
      <c r="C1239" s="57" t="n">
        <v>0.1605</v>
      </c>
      <c r="D1239" s="57" t="n">
        <v>0.1543</v>
      </c>
      <c r="E1239" s="57" t="n">
        <v>0.1618</v>
      </c>
      <c r="F1239" s="57" t="n">
        <v>0.1641</v>
      </c>
      <c r="H1239" s="57" t="n">
        <v>0.1701</v>
      </c>
    </row>
    <row r="1240" customFormat="false" ht="15" hidden="false" customHeight="false" outlineLevel="0" collapsed="false">
      <c r="A1240" s="52" t="n">
        <v>46035</v>
      </c>
      <c r="B1240" s="57" t="n">
        <v>0.1645</v>
      </c>
      <c r="C1240" s="57" t="n">
        <v>0.1612</v>
      </c>
      <c r="D1240" s="57" t="n">
        <v>0.1544</v>
      </c>
      <c r="E1240" s="57" t="n">
        <v>0.1613</v>
      </c>
      <c r="F1240" s="57" t="n">
        <v>0.1647</v>
      </c>
      <c r="H1240" s="57" t="n">
        <v>0.17</v>
      </c>
    </row>
    <row r="1241" customFormat="false" ht="15" hidden="false" customHeight="false" outlineLevel="0" collapsed="false">
      <c r="A1241" s="52" t="n">
        <v>46036</v>
      </c>
      <c r="B1241" s="57" t="n">
        <v>0.1641</v>
      </c>
      <c r="C1241" s="57" t="n">
        <v>0.1624</v>
      </c>
      <c r="D1241" s="57" t="n">
        <v>0.1544</v>
      </c>
      <c r="E1241" s="57" t="n">
        <v>0.1613</v>
      </c>
      <c r="F1241" s="57" t="n">
        <v>0.165</v>
      </c>
      <c r="H1241" s="57" t="n">
        <v>0.17</v>
      </c>
    </row>
    <row r="1242" customFormat="false" ht="15" hidden="false" customHeight="false" outlineLevel="0" collapsed="false">
      <c r="A1242" s="52" t="n">
        <v>46037</v>
      </c>
      <c r="B1242" s="57" t="n">
        <v>0.1653</v>
      </c>
      <c r="C1242" s="57" t="n">
        <v>0.1622</v>
      </c>
      <c r="D1242" s="57" t="n">
        <v>0.1541</v>
      </c>
      <c r="E1242" s="57" t="n">
        <v>0.1603</v>
      </c>
      <c r="F1242" s="57" t="n">
        <v>0.1647</v>
      </c>
      <c r="H1242" s="57" t="n">
        <v>0.1701</v>
      </c>
    </row>
    <row r="1243" customFormat="false" ht="15" hidden="false" customHeight="false" outlineLevel="0" collapsed="false">
      <c r="A1243" s="52" t="n">
        <v>46038</v>
      </c>
      <c r="B1243" s="57" t="n">
        <v>0.1654</v>
      </c>
      <c r="C1243" s="57" t="n">
        <v>0.1623</v>
      </c>
      <c r="D1243" s="57" t="n">
        <v>0.1538</v>
      </c>
      <c r="E1243" s="57" t="n">
        <v>0.1598</v>
      </c>
      <c r="F1243" s="57" t="n">
        <v>0.1644</v>
      </c>
      <c r="H1243" s="57" t="n">
        <v>0.1717</v>
      </c>
    </row>
    <row r="1244" customFormat="false" ht="15" hidden="false" customHeight="false" outlineLevel="0" collapsed="false">
      <c r="A1244" s="52" t="n">
        <v>46041</v>
      </c>
      <c r="B1244" s="57" t="n">
        <v>0.1685</v>
      </c>
      <c r="C1244" s="57" t="n">
        <v>0.1617</v>
      </c>
      <c r="D1244" s="57" t="n">
        <v>0.1538</v>
      </c>
      <c r="E1244" s="57" t="n">
        <v>0.1593</v>
      </c>
      <c r="F1244" s="57" t="n">
        <v>0.1664</v>
      </c>
      <c r="H1244" s="57" t="n">
        <v>0.1746</v>
      </c>
    </row>
    <row r="1245" customFormat="false" ht="15" hidden="false" customHeight="false" outlineLevel="0" collapsed="false">
      <c r="A1245" s="52" t="n">
        <v>46042</v>
      </c>
      <c r="B1245" s="57" t="n">
        <v>0.1659</v>
      </c>
      <c r="C1245" s="57" t="n">
        <v>0.1624</v>
      </c>
      <c r="D1245" s="57" t="n">
        <v>0.1547</v>
      </c>
      <c r="E1245" s="57" t="n">
        <v>0.1588</v>
      </c>
      <c r="F1245" s="57" t="n">
        <v>0.1676</v>
      </c>
      <c r="H1245" s="57" t="n">
        <v>0.1762</v>
      </c>
    </row>
    <row r="1246" customFormat="false" ht="15" hidden="false" customHeight="false" outlineLevel="0" collapsed="false">
      <c r="A1246" s="52" t="n">
        <v>46043</v>
      </c>
      <c r="B1246" s="57" t="n">
        <v>0.1657</v>
      </c>
      <c r="C1246" s="57" t="n">
        <v>0.1629</v>
      </c>
      <c r="D1246" s="57" t="n">
        <v>0.1553</v>
      </c>
      <c r="E1246" s="57" t="n">
        <v>0.1583</v>
      </c>
      <c r="F1246" s="57" t="n">
        <v>0.1681</v>
      </c>
      <c r="H1246" s="57" t="n">
        <v>0.1767</v>
      </c>
    </row>
    <row r="1247" customFormat="false" ht="15" hidden="false" customHeight="false" outlineLevel="0" collapsed="false">
      <c r="A1247" s="52" t="n">
        <v>46044</v>
      </c>
      <c r="B1247" s="57" t="n">
        <v>0.1719</v>
      </c>
      <c r="C1247" s="57" t="n">
        <v>0.1636</v>
      </c>
      <c r="D1247" s="57" t="n">
        <v>0.1565</v>
      </c>
      <c r="E1247" s="57" t="n">
        <v>0.1582</v>
      </c>
      <c r="F1247" s="57" t="n">
        <v>0.1673</v>
      </c>
      <c r="H1247" s="57" t="n">
        <v>0.1754</v>
      </c>
    </row>
    <row r="1248" customFormat="false" ht="15" hidden="false" customHeight="false" outlineLevel="0" collapsed="false">
      <c r="A1248" s="52" t="n">
        <v>46045</v>
      </c>
      <c r="B1248" s="57" t="n">
        <v>0.1682</v>
      </c>
      <c r="C1248" s="57" t="n">
        <v>0.1637</v>
      </c>
      <c r="D1248" s="57" t="n">
        <v>0.1558</v>
      </c>
      <c r="E1248" s="57" t="n">
        <v>0.1575</v>
      </c>
      <c r="F1248" s="57" t="n">
        <v>0.1674</v>
      </c>
      <c r="H1248" s="57" t="n">
        <v>0.1759</v>
      </c>
    </row>
    <row r="1249" customFormat="false" ht="15" hidden="false" customHeight="false" outlineLevel="0" collapsed="false">
      <c r="A1249" s="52" t="n">
        <v>46048</v>
      </c>
      <c r="B1249" s="57" t="n">
        <v>0.1702</v>
      </c>
      <c r="C1249" s="57" t="n">
        <v>0.1642</v>
      </c>
      <c r="D1249" s="57" t="n">
        <v>0.1558</v>
      </c>
      <c r="E1249" s="57" t="n">
        <v>0.157</v>
      </c>
      <c r="F1249" s="57" t="n">
        <v>0.1675</v>
      </c>
      <c r="H1249" s="57" t="n">
        <v>0.178</v>
      </c>
    </row>
    <row r="1250" customFormat="false" ht="15" hidden="false" customHeight="false" outlineLevel="0" collapsed="false">
      <c r="A1250" s="52" t="n">
        <v>46049</v>
      </c>
      <c r="B1250" s="57" t="n">
        <v>0.1703</v>
      </c>
      <c r="C1250" s="57" t="n">
        <v>0.1637</v>
      </c>
      <c r="D1250" s="57" t="n">
        <v>0.1542</v>
      </c>
      <c r="E1250" s="57" t="n">
        <v>0.1565</v>
      </c>
      <c r="F1250" s="57" t="n">
        <v>0.1672</v>
      </c>
      <c r="H1250" s="57" t="n">
        <v>0.1793</v>
      </c>
    </row>
    <row r="1251" customFormat="false" ht="15" hidden="false" customHeight="false" outlineLevel="0" collapsed="false">
      <c r="A1251" s="52" t="n">
        <v>46050</v>
      </c>
      <c r="B1251" s="57" t="n">
        <v>0.1748</v>
      </c>
      <c r="C1251" s="57" t="n">
        <v>0.1631</v>
      </c>
      <c r="D1251" s="57" t="n">
        <v>0.1546</v>
      </c>
      <c r="E1251" s="57" t="n">
        <v>0.157</v>
      </c>
      <c r="F1251" s="57" t="n">
        <v>0.1674</v>
      </c>
      <c r="H1251" s="57" t="n">
        <v>0.1806</v>
      </c>
    </row>
    <row r="1252" customFormat="false" ht="15" hidden="false" customHeight="false" outlineLevel="0" collapsed="false">
      <c r="A1252" s="52" t="n">
        <v>46051</v>
      </c>
      <c r="B1252" s="57" t="n">
        <v>0.1713</v>
      </c>
      <c r="C1252" s="57" t="n">
        <v>0.1624</v>
      </c>
      <c r="D1252" s="57" t="n">
        <v>0.1554</v>
      </c>
      <c r="E1252" s="57" t="n">
        <v>0.157</v>
      </c>
      <c r="F1252" s="57" t="n">
        <v>0.1673</v>
      </c>
      <c r="H1252" s="57" t="n">
        <v>0.1805</v>
      </c>
    </row>
    <row r="1253" customFormat="false" ht="15" hidden="false" customHeight="false" outlineLevel="0" collapsed="false">
      <c r="A1253" s="52" t="n">
        <v>46052</v>
      </c>
      <c r="B1253" s="57" t="n">
        <v>0.1715</v>
      </c>
      <c r="C1253" s="57" t="n">
        <v>0.1641</v>
      </c>
      <c r="D1253" s="57" t="n">
        <v>0.1542</v>
      </c>
      <c r="E1253" s="57" t="n">
        <v>0.157</v>
      </c>
      <c r="F1253" s="57" t="n">
        <v>0.1674</v>
      </c>
      <c r="H1253" s="57" t="n">
        <v>0.1795</v>
      </c>
    </row>
    <row r="1254" customFormat="false" ht="15" hidden="false" customHeight="false" outlineLevel="0" collapsed="false">
      <c r="A1254" s="52" t="n">
        <v>46055</v>
      </c>
      <c r="B1254" s="57" t="n">
        <v>0.1713</v>
      </c>
      <c r="C1254" s="57" t="n">
        <v>0.1631</v>
      </c>
      <c r="D1254" s="57" t="n">
        <v>0.1539</v>
      </c>
      <c r="E1254" s="57" t="n">
        <v>0.157</v>
      </c>
      <c r="F1254" s="57" t="n">
        <v>0.1667</v>
      </c>
      <c r="H1254" s="57" t="n">
        <v>0.1756</v>
      </c>
    </row>
    <row r="1255" customFormat="false" ht="15" hidden="false" customHeight="false" outlineLevel="0" collapsed="false">
      <c r="A1255" s="52" t="n">
        <v>46056</v>
      </c>
      <c r="B1255" s="57" t="n">
        <v>0.1674</v>
      </c>
      <c r="C1255" s="57" t="n">
        <v>0.1628</v>
      </c>
      <c r="D1255" s="57" t="n">
        <v>0.1544</v>
      </c>
      <c r="E1255" s="57" t="n">
        <v>0.157</v>
      </c>
      <c r="F1255" s="57" t="n">
        <v>0.1685</v>
      </c>
      <c r="H1255" s="57" t="n">
        <v>0.1736</v>
      </c>
    </row>
    <row r="1256" customFormat="false" ht="15" hidden="false" customHeight="false" outlineLevel="0" collapsed="false">
      <c r="A1256" s="52" t="n">
        <v>46057</v>
      </c>
      <c r="B1256" s="57" t="n">
        <v>0.1691</v>
      </c>
      <c r="C1256" s="57" t="n">
        <v>0.1641</v>
      </c>
      <c r="D1256" s="57" t="n">
        <v>0.1545</v>
      </c>
      <c r="E1256" s="57" t="n">
        <v>0.1575</v>
      </c>
      <c r="F1256" s="57" t="n">
        <v>0.1665</v>
      </c>
      <c r="H1256" s="57" t="n">
        <v>0.1743</v>
      </c>
    </row>
    <row r="1257" customFormat="false" ht="15" hidden="false" customHeight="false" outlineLevel="0" collapsed="false">
      <c r="A1257" s="52" t="n">
        <v>46058</v>
      </c>
      <c r="B1257" s="57" t="n">
        <v>0.1681</v>
      </c>
      <c r="C1257" s="57" t="n">
        <v>0.1611</v>
      </c>
      <c r="D1257" s="57" t="n">
        <v>0.1537</v>
      </c>
      <c r="E1257" s="57" t="n">
        <v>0.158</v>
      </c>
      <c r="F1257" s="57" t="n">
        <v>0.1676</v>
      </c>
      <c r="H1257" s="57" t="n">
        <v>0.1739</v>
      </c>
    </row>
    <row r="1258" customFormat="false" ht="15" hidden="false" customHeight="false" outlineLevel="0" collapsed="false">
      <c r="A1258" s="52" t="n">
        <v>46059</v>
      </c>
      <c r="B1258" s="57" t="n">
        <v>0.1679</v>
      </c>
      <c r="C1258" s="57" t="n">
        <v>0.1628</v>
      </c>
      <c r="D1258" s="57" t="n">
        <v>0.1536</v>
      </c>
      <c r="E1258" s="57" t="n">
        <v>0.1585</v>
      </c>
      <c r="F1258" s="57" t="n">
        <v>0.166</v>
      </c>
      <c r="H1258" s="57" t="n">
        <v>0.1732</v>
      </c>
    </row>
    <row r="1259" customFormat="false" ht="15" hidden="false" customHeight="false" outlineLevel="0" collapsed="false">
      <c r="A1259" s="52" t="n">
        <v>46062</v>
      </c>
      <c r="B1259" s="57" t="n">
        <v>0.1669</v>
      </c>
      <c r="C1259" s="57" t="n">
        <v>0.1607</v>
      </c>
      <c r="D1259" s="57" t="n">
        <v>0.1545</v>
      </c>
      <c r="E1259" s="57" t="n">
        <v>0.1585</v>
      </c>
      <c r="F1259" s="57" t="n">
        <v>0.1679</v>
      </c>
      <c r="H1259" s="57" t="n">
        <v>0.172</v>
      </c>
    </row>
    <row r="1260" customFormat="false" ht="15" hidden="false" customHeight="false" outlineLevel="0" collapsed="false">
      <c r="A1260" s="52" t="n">
        <v>46063</v>
      </c>
      <c r="B1260" s="57" t="n">
        <v>0.1659</v>
      </c>
      <c r="C1260" s="57" t="n">
        <v>0.1615</v>
      </c>
      <c r="D1260" s="57" t="n">
        <v>0.1536</v>
      </c>
      <c r="E1260" s="57" t="n">
        <v>0.159</v>
      </c>
      <c r="F1260" s="57" t="n">
        <v>0.1678</v>
      </c>
      <c r="H1260" s="57" t="n">
        <v>0.1713</v>
      </c>
    </row>
    <row r="1261" customFormat="false" ht="15" hidden="false" customHeight="false" outlineLevel="0" collapsed="false">
      <c r="A1261" s="52" t="n">
        <v>46064</v>
      </c>
      <c r="B1261" s="57" t="n">
        <v>0.1663</v>
      </c>
      <c r="C1261" s="57" t="n">
        <v>0.1632</v>
      </c>
      <c r="D1261" s="57" t="n">
        <v>0.1533</v>
      </c>
      <c r="E1261" s="57" t="n">
        <v>0.159</v>
      </c>
      <c r="F1261" s="57" t="n">
        <v>0.166</v>
      </c>
      <c r="H1261" s="57" t="n">
        <v>0.171</v>
      </c>
    </row>
    <row r="1262" customFormat="false" ht="15" hidden="false" customHeight="false" outlineLevel="0" collapsed="false">
      <c r="A1262" s="52" t="n">
        <v>46065</v>
      </c>
      <c r="B1262" s="57" t="n">
        <v>0.1714</v>
      </c>
      <c r="C1262" s="57" t="n">
        <v>0.1632</v>
      </c>
      <c r="D1262" s="57" t="n">
        <v>0.1531</v>
      </c>
      <c r="E1262" s="57" t="n">
        <v>0.159</v>
      </c>
      <c r="F1262" s="57" t="n">
        <v>0.168</v>
      </c>
      <c r="H1262" s="57" t="n">
        <v>0.1704</v>
      </c>
    </row>
    <row r="1263" customFormat="false" ht="15" hidden="false" customHeight="false" outlineLevel="0" collapsed="false">
      <c r="A1263" s="52" t="n">
        <v>46066</v>
      </c>
      <c r="B1263" s="57" t="n">
        <v>0.1654</v>
      </c>
      <c r="C1263" s="57" t="n">
        <v>0.163</v>
      </c>
      <c r="D1263" s="57" t="n">
        <v>0.1544</v>
      </c>
      <c r="E1263" s="57" t="n">
        <v>0.159</v>
      </c>
      <c r="F1263" s="57" t="n">
        <v>0.1666</v>
      </c>
      <c r="H1263" s="57" t="n">
        <v>0.1701</v>
      </c>
    </row>
    <row r="1264" customFormat="false" ht="15" hidden="false" customHeight="false" outlineLevel="0" collapsed="false">
      <c r="A1264" s="52" t="n">
        <v>46069</v>
      </c>
      <c r="B1264" s="57" t="n">
        <v>0.1658</v>
      </c>
      <c r="C1264" s="57" t="n">
        <v>0.162</v>
      </c>
      <c r="D1264" s="57" t="n">
        <v>0.1537</v>
      </c>
      <c r="E1264" s="57" t="n">
        <v>0.159</v>
      </c>
      <c r="F1264" s="57" t="n">
        <v>0.1673</v>
      </c>
      <c r="H1264" s="57" t="n">
        <v>0.17</v>
      </c>
    </row>
    <row r="1265" customFormat="false" ht="15" hidden="false" customHeight="false" outlineLevel="0" collapsed="false">
      <c r="A1265" s="52" t="n">
        <v>46070</v>
      </c>
      <c r="B1265" s="57" t="n">
        <v>0.1652</v>
      </c>
      <c r="C1265" s="57" t="n">
        <v>0.1611</v>
      </c>
      <c r="D1265" s="57" t="n">
        <v>0.1545</v>
      </c>
      <c r="E1265" s="57" t="n">
        <v>0.159</v>
      </c>
      <c r="F1265" s="57" t="n">
        <v>0.1675</v>
      </c>
      <c r="H1265" s="57" t="n">
        <v>0.1701</v>
      </c>
    </row>
    <row r="1266" customFormat="false" ht="15" hidden="false" customHeight="false" outlineLevel="0" collapsed="false">
      <c r="A1266" s="52" t="n">
        <v>46071</v>
      </c>
      <c r="B1266" s="57" t="n">
        <v>0.1655</v>
      </c>
      <c r="C1266" s="57" t="n">
        <v>0.1626</v>
      </c>
      <c r="D1266" s="57" t="n">
        <v>0.153</v>
      </c>
      <c r="E1266" s="57" t="n">
        <v>0.158</v>
      </c>
      <c r="F1266" s="57" t="n">
        <v>0.167</v>
      </c>
      <c r="H1266" s="57" t="n">
        <v>0.1704</v>
      </c>
    </row>
    <row r="1267" customFormat="false" ht="15" hidden="false" customHeight="false" outlineLevel="0" collapsed="false">
      <c r="A1267" s="52" t="n">
        <v>46072</v>
      </c>
      <c r="B1267" s="57" t="n">
        <v>0.1648</v>
      </c>
      <c r="C1267" s="57" t="n">
        <v>0.1621</v>
      </c>
      <c r="D1267" s="57" t="n">
        <v>0.1524</v>
      </c>
      <c r="E1267" s="57" t="n">
        <v>0.158</v>
      </c>
      <c r="F1267" s="57" t="n">
        <v>0.1687</v>
      </c>
      <c r="H1267" s="57" t="n">
        <v>0.1704</v>
      </c>
    </row>
    <row r="1268" customFormat="false" ht="15" hidden="false" customHeight="false" outlineLevel="0" collapsed="false">
      <c r="A1268" s="52" t="n">
        <v>46073</v>
      </c>
      <c r="B1268" s="57" t="n">
        <v>0.167</v>
      </c>
      <c r="C1268" s="57" t="n">
        <v>0.1625</v>
      </c>
      <c r="D1268" s="57" t="n">
        <v>0.1526</v>
      </c>
      <c r="E1268" s="57" t="n">
        <v>0.158</v>
      </c>
      <c r="F1268" s="57" t="n">
        <v>0.1672</v>
      </c>
      <c r="H1268" s="57" t="n">
        <v>0.1707</v>
      </c>
    </row>
    <row r="1269" customFormat="false" ht="15" hidden="false" customHeight="false" outlineLevel="0" collapsed="false">
      <c r="A1269" s="52" t="n">
        <v>46076</v>
      </c>
      <c r="B1269" s="57" t="n">
        <v>0.1658</v>
      </c>
      <c r="C1269" s="57" t="n">
        <v>0.1653</v>
      </c>
      <c r="D1269" s="57" t="n">
        <v>0.1524</v>
      </c>
      <c r="E1269" s="57" t="n">
        <v>0.157</v>
      </c>
      <c r="F1269" s="57" t="n">
        <v>0.1667</v>
      </c>
      <c r="H1269" s="57" t="n">
        <v>0.1718</v>
      </c>
    </row>
    <row r="1270" customFormat="false" ht="15" hidden="false" customHeight="false" outlineLevel="0" collapsed="false">
      <c r="A1270" s="52" t="n">
        <v>46077</v>
      </c>
      <c r="B1270" s="57" t="n">
        <v>0.1659</v>
      </c>
      <c r="C1270" s="57" t="n">
        <v>0.1626</v>
      </c>
      <c r="D1270" s="57" t="n">
        <v>0.153</v>
      </c>
      <c r="E1270" s="57" t="n">
        <v>0.157</v>
      </c>
      <c r="F1270" s="57" t="n">
        <v>0.1674</v>
      </c>
      <c r="H1270" s="57" t="n">
        <v>0.173</v>
      </c>
    </row>
    <row r="1271" customFormat="false" ht="15" hidden="false" customHeight="false" outlineLevel="0" collapsed="false">
      <c r="A1271" s="52" t="n">
        <v>46078</v>
      </c>
      <c r="B1271" s="57" t="n">
        <v>0.179</v>
      </c>
      <c r="C1271" s="57" t="n">
        <v>0.1631</v>
      </c>
      <c r="D1271" s="57" t="n">
        <v>0.1522</v>
      </c>
      <c r="E1271" s="57" t="n">
        <v>0.157</v>
      </c>
      <c r="F1271" s="57" t="n">
        <v>0.1667</v>
      </c>
      <c r="H1271" s="57" t="n">
        <v>0.1734</v>
      </c>
    </row>
    <row r="1272" customFormat="false" ht="15" hidden="false" customHeight="false" outlineLevel="0" collapsed="false">
      <c r="A1272" s="52" t="n">
        <v>46079</v>
      </c>
      <c r="B1272" s="57" t="n">
        <v>0.1752</v>
      </c>
      <c r="C1272" s="57" t="n">
        <v>0.1629</v>
      </c>
      <c r="D1272" s="57" t="n">
        <v>0.152</v>
      </c>
      <c r="E1272" s="57" t="n">
        <v>0.1555</v>
      </c>
      <c r="F1272" s="57" t="n">
        <v>0.1676</v>
      </c>
      <c r="H1272" s="57" t="n">
        <v>0.178</v>
      </c>
    </row>
    <row r="1273" customFormat="false" ht="15" hidden="false" customHeight="false" outlineLevel="0" collapsed="false">
      <c r="A1273" s="52" t="n">
        <v>46080</v>
      </c>
      <c r="B1273" s="57" t="n">
        <v>0.1696</v>
      </c>
      <c r="C1273" s="57" t="n">
        <v>0.1621</v>
      </c>
      <c r="D1273" s="57" t="n">
        <v>0.1526</v>
      </c>
      <c r="E1273" s="57" t="n">
        <v>0.155</v>
      </c>
      <c r="F1273" s="57" t="n">
        <v>0.1674</v>
      </c>
      <c r="H1273" s="57" t="n">
        <v>0.1797</v>
      </c>
    </row>
    <row r="1274" customFormat="false" ht="15" hidden="false" customHeight="false" outlineLevel="0" collapsed="false">
      <c r="A1274" s="52" t="n">
        <v>46083</v>
      </c>
      <c r="B1274" s="57" t="n">
        <v>0.1735</v>
      </c>
      <c r="C1274" s="57" t="n">
        <v>0.1637</v>
      </c>
      <c r="D1274" s="57" t="n">
        <v>0.1523</v>
      </c>
      <c r="E1274" s="57" t="n">
        <v>0.1555</v>
      </c>
      <c r="F1274" s="57" t="n">
        <v>0.1673</v>
      </c>
      <c r="H1274" s="57" t="n">
        <v>0.1751</v>
      </c>
    </row>
    <row r="1275" customFormat="false" ht="15" hidden="false" customHeight="false" outlineLevel="0" collapsed="false">
      <c r="A1275" s="52" t="n">
        <v>46084</v>
      </c>
      <c r="B1275" s="57" t="n">
        <v>0.1764</v>
      </c>
      <c r="C1275" s="57" t="n">
        <v>0.1641</v>
      </c>
      <c r="D1275" s="57" t="n">
        <v>0.1522</v>
      </c>
      <c r="E1275" s="57" t="n">
        <v>0.1555</v>
      </c>
      <c r="F1275" s="57" t="n">
        <v>0.1669</v>
      </c>
      <c r="H1275" s="57" t="n">
        <v>0.1774</v>
      </c>
    </row>
    <row r="1276" customFormat="false" ht="15" hidden="false" customHeight="false" outlineLevel="0" collapsed="false">
      <c r="A1276" s="52" t="n">
        <v>46085</v>
      </c>
      <c r="B1276" s="57" t="n">
        <v>0.1721</v>
      </c>
      <c r="C1276" s="57" t="n">
        <v>0.1609</v>
      </c>
      <c r="D1276" s="57" t="n">
        <v>0.1515</v>
      </c>
      <c r="E1276" s="57" t="n">
        <v>0.156</v>
      </c>
      <c r="F1276" s="57" t="n">
        <v>0.1675</v>
      </c>
      <c r="H1276" s="57" t="n">
        <v>0.1803</v>
      </c>
    </row>
    <row r="1277" customFormat="false" ht="15" hidden="false" customHeight="false" outlineLevel="0" collapsed="false">
      <c r="A1277" s="52" t="n">
        <v>46086</v>
      </c>
      <c r="B1277" s="57" t="n">
        <v>0.173</v>
      </c>
      <c r="C1277" s="57" t="n">
        <v>0.1623</v>
      </c>
      <c r="D1277" s="57" t="n">
        <v>0.1513</v>
      </c>
      <c r="E1277" s="57" t="n">
        <v>0.156</v>
      </c>
      <c r="F1277" s="57" t="n">
        <v>0.1684</v>
      </c>
      <c r="H1277" s="57" t="n">
        <v>0.1819</v>
      </c>
    </row>
    <row r="1278" customFormat="false" ht="15" hidden="false" customHeight="false" outlineLevel="0" collapsed="false">
      <c r="A1278" s="52" t="n">
        <v>46087</v>
      </c>
      <c r="B1278" s="57" t="n">
        <v>0.1742</v>
      </c>
      <c r="C1278" s="57" t="n">
        <v>0.162</v>
      </c>
      <c r="D1278" s="57" t="n">
        <v>0.1523</v>
      </c>
      <c r="E1278" s="57" t="n">
        <v>0.157</v>
      </c>
      <c r="F1278" s="57" t="n">
        <v>0.1674</v>
      </c>
      <c r="H1278" s="57" t="n">
        <v>0.1806</v>
      </c>
    </row>
    <row r="1279" customFormat="false" ht="15" hidden="false" customHeight="false" outlineLevel="0" collapsed="false">
      <c r="A1279" s="52" t="n">
        <v>46091</v>
      </c>
      <c r="B1279" s="57" t="n">
        <v>0.1714</v>
      </c>
      <c r="C1279" s="57" t="n">
        <v>0.1607</v>
      </c>
      <c r="D1279" s="57" t="n">
        <v>0.1517</v>
      </c>
      <c r="E1279" s="57" t="n">
        <v>0.158</v>
      </c>
      <c r="F1279" s="57" t="n">
        <v>0.1671</v>
      </c>
      <c r="H1279" s="57" t="n">
        <v>0.1761</v>
      </c>
    </row>
    <row r="1280" customFormat="false" ht="15" hidden="false" customHeight="false" outlineLevel="0" collapsed="false">
      <c r="A1280" s="52" t="n">
        <v>46092</v>
      </c>
      <c r="B1280" s="57" t="n">
        <v>0.1704</v>
      </c>
      <c r="C1280" s="57" t="n">
        <v>0.1608</v>
      </c>
      <c r="D1280" s="57" t="n">
        <v>0.1516</v>
      </c>
      <c r="E1280" s="57" t="n">
        <v>0.158</v>
      </c>
      <c r="F1280" s="57" t="n">
        <v>0.1663</v>
      </c>
      <c r="H1280" s="57" t="n">
        <v>0.176</v>
      </c>
    </row>
    <row r="1281" customFormat="false" ht="15" hidden="false" customHeight="false" outlineLevel="0" collapsed="false">
      <c r="A1281" s="52" t="n">
        <v>46093</v>
      </c>
      <c r="B1281" s="57" t="n">
        <v>0.1706</v>
      </c>
      <c r="C1281" s="57" t="n">
        <v>0.16</v>
      </c>
      <c r="D1281" s="57" t="n">
        <v>0.1517</v>
      </c>
      <c r="E1281" s="57" t="n">
        <v>0.159</v>
      </c>
      <c r="F1281" s="57" t="n">
        <v>0.1666</v>
      </c>
      <c r="H1281" s="57" t="n">
        <v>0.175</v>
      </c>
    </row>
    <row r="1282" customFormat="false" ht="15" hidden="false" customHeight="false" outlineLevel="0" collapsed="false">
      <c r="A1282" s="52" t="n">
        <v>46094</v>
      </c>
      <c r="B1282" s="57" t="n">
        <v>0.1707</v>
      </c>
      <c r="C1282" s="57" t="n">
        <v>0.1597</v>
      </c>
      <c r="D1282" s="57" t="n">
        <v>0.1514</v>
      </c>
      <c r="E1282" s="57" t="n">
        <v>0.159</v>
      </c>
      <c r="F1282" s="57" t="n">
        <v>0.1666</v>
      </c>
      <c r="H1282" s="57" t="n">
        <v>0.1741</v>
      </c>
    </row>
    <row r="1283" customFormat="false" ht="15" hidden="false" customHeight="false" outlineLevel="0" collapsed="false">
      <c r="A1283" s="52" t="n">
        <v>46097</v>
      </c>
      <c r="B1283" s="57" t="n">
        <v>0.1697</v>
      </c>
      <c r="C1283" s="57" t="n">
        <v>0.1608</v>
      </c>
      <c r="D1283" s="57" t="n">
        <v>0.1519</v>
      </c>
      <c r="E1283" s="57" t="n">
        <v>0.159</v>
      </c>
      <c r="F1283" s="57" t="n">
        <v>0.1681</v>
      </c>
      <c r="H1283" s="57" t="n">
        <v>0.1768</v>
      </c>
    </row>
    <row r="1284" customFormat="false" ht="15" hidden="false" customHeight="false" outlineLevel="0" collapsed="false">
      <c r="A1284" s="52" t="n">
        <v>46098</v>
      </c>
      <c r="B1284" s="57" t="n">
        <v>0.166</v>
      </c>
      <c r="C1284" s="57" t="n">
        <v>0.1602</v>
      </c>
      <c r="D1284" s="57" t="n">
        <v>0.1516</v>
      </c>
      <c r="E1284" s="57" t="n">
        <v>0.159</v>
      </c>
      <c r="F1284" s="57" t="n">
        <v>0.1673</v>
      </c>
      <c r="H1284" s="57" t="n">
        <v>0.181</v>
      </c>
    </row>
    <row r="1285" customFormat="false" ht="15" hidden="false" customHeight="false" outlineLevel="0" collapsed="false">
      <c r="A1285" s="52" t="n">
        <v>46099</v>
      </c>
      <c r="B1285" s="57" t="n">
        <v>0.1709</v>
      </c>
      <c r="C1285" s="57" t="n">
        <v>0.1604</v>
      </c>
      <c r="D1285" s="57" t="n">
        <v>0.1507</v>
      </c>
      <c r="E1285" s="57" t="n">
        <v>0.159</v>
      </c>
      <c r="F1285" s="57" t="n">
        <v>0.1675</v>
      </c>
      <c r="H1285" s="57" t="n">
        <v>0.1786</v>
      </c>
    </row>
    <row r="1286" customFormat="false" ht="15" hidden="false" customHeight="false" outlineLevel="0" collapsed="false">
      <c r="A1286" s="52" t="n">
        <v>46100</v>
      </c>
      <c r="B1286" s="57" t="n">
        <v>0.1701</v>
      </c>
      <c r="C1286" s="57" t="n">
        <v>0.1606</v>
      </c>
      <c r="D1286" s="57" t="n">
        <v>0.151</v>
      </c>
      <c r="E1286" s="57" t="n">
        <v>0.1615</v>
      </c>
      <c r="F1286" s="57" t="n">
        <v>0.1667</v>
      </c>
      <c r="H1286" s="57" t="n">
        <v>0.1773</v>
      </c>
    </row>
    <row r="1287" customFormat="false" ht="15" hidden="false" customHeight="false" outlineLevel="0" collapsed="false">
      <c r="A1287" s="52" t="n">
        <v>46101</v>
      </c>
      <c r="B1287" s="57" t="n">
        <v>0.1696</v>
      </c>
      <c r="C1287" s="57" t="n">
        <v>0.1596</v>
      </c>
      <c r="D1287" s="57" t="n">
        <v>0.1509</v>
      </c>
      <c r="E1287" s="57" t="n">
        <v>0.1635</v>
      </c>
      <c r="F1287" s="57" t="n">
        <v>0.1672</v>
      </c>
      <c r="H1287" s="57" t="n">
        <v>0.1777</v>
      </c>
    </row>
    <row r="1288" customFormat="false" ht="15" hidden="false" customHeight="false" outlineLevel="0" collapsed="false">
      <c r="A1288" s="52" t="n">
        <v>46107</v>
      </c>
      <c r="B1288" s="57" t="n">
        <v>0.1708</v>
      </c>
      <c r="C1288" s="57" t="n">
        <v>0.1597</v>
      </c>
      <c r="D1288" s="57" t="n">
        <v>0.151</v>
      </c>
      <c r="E1288" s="57" t="n">
        <v>0.1665</v>
      </c>
      <c r="F1288" s="57" t="n">
        <v>0.168</v>
      </c>
      <c r="H1288" s="57" t="n">
        <v>0.1777</v>
      </c>
    </row>
    <row r="1289" customFormat="false" ht="15" hidden="false" customHeight="false" outlineLevel="0" collapsed="false">
      <c r="A1289" s="52" t="n">
        <v>46108</v>
      </c>
      <c r="B1289" s="57" t="n">
        <v>0.172</v>
      </c>
      <c r="C1289" s="57" t="n">
        <v>0.1606</v>
      </c>
      <c r="D1289" s="57" t="n">
        <v>0.1504</v>
      </c>
      <c r="E1289" s="57" t="n">
        <v>0.1665</v>
      </c>
      <c r="F1289" s="57" t="n">
        <v>0.1674</v>
      </c>
      <c r="H1289" s="57" t="n">
        <v>0.1781</v>
      </c>
    </row>
    <row r="1290" customFormat="false" ht="15" hidden="false" customHeight="false" outlineLevel="0" collapsed="false">
      <c r="A1290" s="52" t="n">
        <v>46111</v>
      </c>
      <c r="B1290" s="57" t="n">
        <v>0.1713</v>
      </c>
      <c r="C1290" s="57" t="n">
        <v>0.16</v>
      </c>
      <c r="D1290" s="57" t="n">
        <v>0.1513</v>
      </c>
      <c r="E1290" s="57" t="n">
        <v>0.1665</v>
      </c>
      <c r="F1290" s="57" t="n">
        <v>0.1684</v>
      </c>
      <c r="H1290" s="57" t="n">
        <v>0.1779</v>
      </c>
    </row>
    <row r="1291" customFormat="false" ht="15" hidden="false" customHeight="false" outlineLevel="0" collapsed="false">
      <c r="A1291" s="52" t="n">
        <v>46112</v>
      </c>
      <c r="B1291" s="57" t="n">
        <v>0.171</v>
      </c>
      <c r="C1291" s="57" t="n">
        <v>0.1618</v>
      </c>
      <c r="D1291" s="57" t="n">
        <v>0.15</v>
      </c>
      <c r="E1291" s="57" t="n">
        <v>0.1665</v>
      </c>
      <c r="F1291" s="57" t="n">
        <v>0.1675</v>
      </c>
      <c r="H1291" s="57" t="n">
        <v>0.1825</v>
      </c>
    </row>
    <row r="1292" customFormat="false" ht="15" hidden="false" customHeight="false" outlineLevel="0" collapsed="false">
      <c r="A1292" s="52" t="n">
        <v>46113</v>
      </c>
      <c r="B1292" s="57" t="n">
        <v>0.1715</v>
      </c>
      <c r="C1292" s="57" t="n">
        <v>0.1607</v>
      </c>
      <c r="D1292" s="57" t="n">
        <v>0.1499</v>
      </c>
      <c r="E1292" s="57" t="n">
        <v>0.16717</v>
      </c>
      <c r="F1292" s="57" t="n">
        <v>0.1678</v>
      </c>
      <c r="G1292" s="57" t="n">
        <v>0.1514</v>
      </c>
      <c r="H1292" s="57" t="n">
        <v>0.1835</v>
      </c>
    </row>
    <row r="1293" customFormat="false" ht="15" hidden="false" customHeight="false" outlineLevel="0" collapsed="false">
      <c r="A1293" s="52" t="n">
        <v>46114</v>
      </c>
      <c r="B1293" s="57" t="n">
        <v>0.1743</v>
      </c>
      <c r="C1293" s="57" t="n">
        <v>0.1615</v>
      </c>
      <c r="D1293" s="57" t="n">
        <v>0.1516</v>
      </c>
      <c r="E1293" s="57" t="n">
        <v>0.16717</v>
      </c>
      <c r="F1293" s="57" t="n">
        <v>0.1677</v>
      </c>
      <c r="G1293" s="57" t="n">
        <v>0.1532</v>
      </c>
      <c r="H1293" s="57" t="n">
        <v>0.1808</v>
      </c>
    </row>
    <row r="1294" customFormat="false" ht="15" hidden="false" customHeight="false" outlineLevel="0" collapsed="false">
      <c r="A1294" s="52" t="n">
        <v>46115</v>
      </c>
      <c r="B1294" s="57" t="n">
        <v>0.1722</v>
      </c>
      <c r="C1294" s="57" t="n">
        <v>0.1611</v>
      </c>
      <c r="D1294" s="57" t="n">
        <v>0.1518</v>
      </c>
      <c r="E1294" s="57" t="n">
        <v>0.1665</v>
      </c>
      <c r="F1294" s="57" t="n">
        <v>0.1677</v>
      </c>
      <c r="G1294" s="57" t="n">
        <v>0.1529</v>
      </c>
      <c r="H1294" s="57" t="n">
        <v>0.179</v>
      </c>
    </row>
    <row r="1295" customFormat="false" ht="15" hidden="false" customHeight="false" outlineLevel="0" collapsed="false">
      <c r="A1295" s="52" t="n">
        <v>46118</v>
      </c>
      <c r="B1295" s="57" t="n">
        <v>0.1703</v>
      </c>
      <c r="C1295" s="57" t="n">
        <v>0.1607</v>
      </c>
      <c r="D1295" s="57" t="n">
        <v>0.1499</v>
      </c>
      <c r="E1295" s="57" t="n">
        <v>0.1665</v>
      </c>
      <c r="F1295" s="57" t="n">
        <v>0.1666</v>
      </c>
      <c r="G1295" s="57" t="n">
        <v>0.1512</v>
      </c>
      <c r="H1295" s="57" t="n">
        <v>0.1786</v>
      </c>
    </row>
    <row r="1296" customFormat="false" ht="15" hidden="false" customHeight="false" outlineLevel="0" collapsed="false">
      <c r="A1296" s="52" t="n">
        <v>46119</v>
      </c>
      <c r="B1296" s="57" t="n">
        <v>0.172</v>
      </c>
      <c r="C1296" s="57" t="n">
        <v>0.1614</v>
      </c>
      <c r="D1296" s="57" t="n">
        <v>0.151</v>
      </c>
      <c r="E1296" s="57" t="n">
        <v>0.16504</v>
      </c>
      <c r="F1296" s="57" t="n">
        <v>0.1678</v>
      </c>
      <c r="G1296" s="57" t="n">
        <v>0.1532</v>
      </c>
      <c r="H1296" s="57" t="n">
        <v>0.1764</v>
      </c>
    </row>
    <row r="1297" customFormat="false" ht="15" hidden="false" customHeight="false" outlineLevel="0" collapsed="false">
      <c r="A1297" s="52" t="n">
        <v>46120</v>
      </c>
      <c r="B1297" s="57" t="n">
        <v>0.1701</v>
      </c>
      <c r="C1297" s="57" t="n">
        <v>0.1583</v>
      </c>
      <c r="D1297" s="57" t="n">
        <v>0.1508</v>
      </c>
      <c r="E1297" s="57" t="n">
        <v>0.1655</v>
      </c>
      <c r="F1297" s="57" t="n">
        <v>0.1668</v>
      </c>
      <c r="G1297" s="57" t="n">
        <v>0.1512</v>
      </c>
      <c r="H1297" s="57" t="n">
        <v>0.1766</v>
      </c>
    </row>
    <row r="1298" customFormat="false" ht="15" hidden="false" customHeight="false" outlineLevel="0" collapsed="false">
      <c r="A1298" s="52" t="n">
        <v>46121</v>
      </c>
      <c r="B1298" s="57" t="n">
        <v>0.1705</v>
      </c>
      <c r="C1298" s="57" t="n">
        <v>0.1617</v>
      </c>
      <c r="D1298" s="57" t="n">
        <v>0.1512</v>
      </c>
      <c r="E1298" s="57" t="n">
        <v>0.16417</v>
      </c>
      <c r="F1298" s="57" t="n">
        <v>0.167</v>
      </c>
      <c r="G1298" s="57" t="n">
        <v>0.1529</v>
      </c>
      <c r="H1298" s="57" t="n">
        <v>0.1804</v>
      </c>
    </row>
    <row r="1299" customFormat="false" ht="15" hidden="false" customHeight="false" outlineLevel="0" collapsed="false">
      <c r="A1299" s="52" t="n">
        <v>46122</v>
      </c>
      <c r="B1299" s="57" t="n">
        <v>0.1713</v>
      </c>
      <c r="C1299" s="57" t="n">
        <v>0.1605</v>
      </c>
      <c r="D1299" s="57" t="n">
        <v>0.1508</v>
      </c>
      <c r="E1299" s="57" t="n">
        <v>0.1615</v>
      </c>
      <c r="F1299" s="57" t="n">
        <v>0.1672</v>
      </c>
      <c r="G1299" s="57" t="n">
        <v>0.1529</v>
      </c>
      <c r="H1299" s="57" t="n">
        <v>0.1786</v>
      </c>
    </row>
    <row r="1300" customFormat="false" ht="15" hidden="false" customHeight="false" outlineLevel="0" collapsed="false">
      <c r="A1300" s="52" t="n">
        <v>46125</v>
      </c>
      <c r="B1300" s="57" t="n">
        <v>0.1717</v>
      </c>
      <c r="C1300" s="57" t="n">
        <v>0.1589</v>
      </c>
      <c r="D1300" s="57" t="n">
        <v>0.1514</v>
      </c>
      <c r="E1300" s="57" t="n">
        <v>0.1655</v>
      </c>
      <c r="F1300" s="57" t="n">
        <v>0.1668</v>
      </c>
      <c r="G1300" s="57" t="n">
        <v>0.1513</v>
      </c>
      <c r="H1300" s="57" t="n">
        <v>0.1804</v>
      </c>
    </row>
    <row r="1301" customFormat="false" ht="15" hidden="false" customHeight="false" outlineLevel="0" collapsed="false">
      <c r="A1301" s="52" t="n">
        <v>46126</v>
      </c>
      <c r="B1301" s="57" t="n">
        <v>0.1725</v>
      </c>
      <c r="C1301" s="57" t="n">
        <v>0.1601</v>
      </c>
      <c r="D1301" s="57" t="n">
        <v>0.1513</v>
      </c>
      <c r="E1301" s="57" t="n">
        <v>0.1655</v>
      </c>
      <c r="F1301" s="57" t="n">
        <v>0.1673</v>
      </c>
      <c r="G1301" s="57" t="n">
        <v>0.1495</v>
      </c>
      <c r="H1301" s="57" t="n">
        <v>0.1816</v>
      </c>
    </row>
    <row r="1302" customFormat="false" ht="15" hidden="false" customHeight="false" outlineLevel="0" collapsed="false">
      <c r="A1302" s="52" t="n">
        <v>46127</v>
      </c>
      <c r="B1302" s="57" t="n">
        <v>0.1731</v>
      </c>
      <c r="C1302" s="57" t="n">
        <v>0.1594</v>
      </c>
      <c r="D1302" s="57" t="n">
        <v>0.1514</v>
      </c>
      <c r="E1302" s="57" t="n">
        <v>0.167</v>
      </c>
      <c r="F1302" s="57" t="n">
        <v>0.168</v>
      </c>
      <c r="G1302" s="57" t="n">
        <v>0.153</v>
      </c>
      <c r="H1302" s="57" t="n">
        <v>0.1856</v>
      </c>
    </row>
    <row r="1303" customFormat="false" ht="15" hidden="false" customHeight="false" outlineLevel="0" collapsed="false">
      <c r="A1303" s="52" t="n">
        <v>46128</v>
      </c>
      <c r="B1303" s="57" t="n">
        <v>0.1714</v>
      </c>
      <c r="C1303" s="57" t="n">
        <v>0.1598</v>
      </c>
      <c r="D1303" s="57" t="n">
        <v>0.1522</v>
      </c>
      <c r="E1303" s="57" t="n">
        <v>0.16783</v>
      </c>
      <c r="F1303" s="57" t="n">
        <v>0.1675</v>
      </c>
      <c r="G1303" s="57" t="n">
        <v>0.1529</v>
      </c>
      <c r="H1303" s="57" t="n">
        <v>0.1857</v>
      </c>
    </row>
    <row r="1304" customFormat="false" ht="15" hidden="false" customHeight="false" outlineLevel="0" collapsed="false">
      <c r="A1304" s="52" t="n">
        <v>46129</v>
      </c>
      <c r="B1304" s="57" t="n">
        <v>0.1754</v>
      </c>
      <c r="C1304" s="57" t="n">
        <v>0.1614</v>
      </c>
      <c r="D1304" s="57" t="n">
        <v>0.1518</v>
      </c>
      <c r="E1304" s="57" t="n">
        <v>0.16883</v>
      </c>
      <c r="F1304" s="57" t="n">
        <v>0.167</v>
      </c>
      <c r="G1304" s="57" t="n">
        <v>0.153</v>
      </c>
      <c r="H1304" s="57" t="n">
        <v>0.1806</v>
      </c>
    </row>
    <row r="1305" customFormat="false" ht="15" hidden="false" customHeight="false" outlineLevel="0" collapsed="false">
      <c r="A1305" s="52" t="n">
        <v>46132</v>
      </c>
      <c r="B1305" s="57" t="n">
        <v>0.1731</v>
      </c>
      <c r="C1305" s="57" t="n">
        <v>0.1621</v>
      </c>
      <c r="D1305" s="57" t="n">
        <v>0.1512</v>
      </c>
      <c r="E1305" s="57" t="n">
        <v>0.1675</v>
      </c>
      <c r="F1305" s="57" t="n">
        <v>0.1681</v>
      </c>
      <c r="G1305" s="57" t="n">
        <v>0.153</v>
      </c>
      <c r="H1305" s="57" t="n">
        <v>0.1797</v>
      </c>
    </row>
    <row r="1306" customFormat="false" ht="15" hidden="false" customHeight="false" outlineLevel="0" collapsed="false">
      <c r="A1306" s="52" t="n">
        <v>46133</v>
      </c>
      <c r="B1306" s="57" t="n">
        <v>0.1724</v>
      </c>
      <c r="C1306" s="57" t="n">
        <v>0.1629</v>
      </c>
      <c r="D1306" s="57" t="n">
        <v>0.1511</v>
      </c>
      <c r="E1306" s="57" t="n">
        <v>0.1675</v>
      </c>
      <c r="F1306" s="57" t="n">
        <v>0.1676</v>
      </c>
      <c r="G1306" s="57" t="n">
        <v>0.153</v>
      </c>
      <c r="H1306" s="57" t="n">
        <v>0.1781</v>
      </c>
    </row>
    <row r="1307" customFormat="false" ht="15" hidden="false" customHeight="false" outlineLevel="0" collapsed="false">
      <c r="A1307" s="52" t="n">
        <v>46134</v>
      </c>
      <c r="B1307" s="57" t="n">
        <v>0.1795</v>
      </c>
      <c r="C1307" s="57" t="n">
        <v>0.1642</v>
      </c>
      <c r="D1307" s="57" t="n">
        <v>0.1512</v>
      </c>
      <c r="E1307" s="57" t="n">
        <v>0.16683</v>
      </c>
      <c r="F1307" s="57" t="n">
        <v>0.1678</v>
      </c>
      <c r="G1307" s="57" t="n">
        <v>0.153</v>
      </c>
      <c r="H1307" s="57" t="n">
        <v>0.1767</v>
      </c>
    </row>
    <row r="1308" customFormat="false" ht="15" hidden="false" customHeight="false" outlineLevel="0" collapsed="false">
      <c r="A1308" s="52" t="n">
        <v>46135</v>
      </c>
      <c r="B1308" s="57" t="n">
        <v>0.1883</v>
      </c>
      <c r="C1308" s="57" t="n">
        <v>0.1645</v>
      </c>
      <c r="D1308" s="57" t="n">
        <v>0.1511</v>
      </c>
      <c r="E1308" s="57" t="n">
        <v>0.16583</v>
      </c>
      <c r="F1308" s="57" t="n">
        <v>0.1675</v>
      </c>
      <c r="G1308" s="57" t="n">
        <v>0.1512</v>
      </c>
      <c r="H1308" s="57" t="n">
        <v>0.1767</v>
      </c>
    </row>
    <row r="1309" customFormat="false" ht="15" hidden="false" customHeight="false" outlineLevel="0" collapsed="false">
      <c r="A1309" s="52" t="n">
        <v>46136</v>
      </c>
      <c r="B1309" s="57" t="n">
        <v>0.1764</v>
      </c>
      <c r="C1309" s="57" t="n">
        <v>0.1626</v>
      </c>
      <c r="D1309" s="57" t="n">
        <v>0.1515</v>
      </c>
      <c r="E1309" s="57" t="n">
        <v>0.16617</v>
      </c>
      <c r="F1309" s="57" t="n">
        <v>0.1675</v>
      </c>
      <c r="G1309" s="57" t="n">
        <v>0.1529</v>
      </c>
      <c r="H1309" s="57" t="n">
        <v>0.1771</v>
      </c>
    </row>
    <row r="1310" customFormat="false" ht="15" hidden="false" customHeight="false" outlineLevel="0" collapsed="false">
      <c r="A1310" s="52" t="n">
        <v>46139</v>
      </c>
      <c r="B1310" s="57" t="n">
        <v>0.1745</v>
      </c>
      <c r="C1310" s="57" t="n">
        <v>0.1603</v>
      </c>
      <c r="D1310" s="57" t="n">
        <v>0.1506</v>
      </c>
      <c r="E1310" s="57" t="n">
        <v>0.16617</v>
      </c>
      <c r="F1310" s="57" t="n">
        <v>0.1673</v>
      </c>
      <c r="G1310" s="57" t="n">
        <v>0.1515</v>
      </c>
      <c r="H1310" s="57" t="n">
        <v>0.1787</v>
      </c>
    </row>
    <row r="1311" customFormat="false" ht="15" hidden="false" customHeight="false" outlineLevel="0" collapsed="false">
      <c r="A1311" s="52" t="n">
        <v>46140</v>
      </c>
      <c r="B1311" s="57" t="n">
        <v>0.1728</v>
      </c>
      <c r="C1311" s="57" t="n">
        <v>0.16</v>
      </c>
      <c r="D1311" s="57" t="n">
        <v>0.1515</v>
      </c>
      <c r="E1311" s="57" t="n">
        <v>0.1675</v>
      </c>
      <c r="F1311" s="57" t="n">
        <v>0.1681</v>
      </c>
      <c r="G1311" s="57" t="n">
        <v>0.1545</v>
      </c>
      <c r="H1311" s="57" t="n">
        <v>0.18</v>
      </c>
    </row>
    <row r="1312" customFormat="false" ht="15" hidden="false" customHeight="false" outlineLevel="0" collapsed="false">
      <c r="A1312" s="52" t="n">
        <v>46141</v>
      </c>
      <c r="B1312" s="57" t="n">
        <v>0.1769</v>
      </c>
      <c r="C1312" s="57" t="n">
        <v>0.1635</v>
      </c>
      <c r="D1312" s="57" t="n">
        <v>0.151</v>
      </c>
      <c r="E1312" s="57" t="n">
        <v>0.16883</v>
      </c>
      <c r="F1312" s="57" t="n">
        <v>0.1672</v>
      </c>
      <c r="G1312" s="57" t="n">
        <v>0.1547</v>
      </c>
      <c r="H1312" s="57" t="n">
        <v>0.1841</v>
      </c>
    </row>
    <row r="1313" customFormat="false" ht="15" hidden="false" customHeight="false" outlineLevel="0" collapsed="false">
      <c r="A1313" s="52" t="n">
        <v>46142</v>
      </c>
      <c r="B1313" s="57" t="n">
        <v>0.1832</v>
      </c>
      <c r="C1313" s="57" t="n">
        <v>0.1635</v>
      </c>
      <c r="D1313" s="57" t="n">
        <v>0.1507</v>
      </c>
      <c r="E1313" s="57" t="n">
        <v>0.16883</v>
      </c>
      <c r="F1313" s="57" t="n">
        <v>0.1677</v>
      </c>
      <c r="G1313" s="57" t="n">
        <v>0.1538</v>
      </c>
      <c r="H1313" s="57" t="n">
        <v>0.1819</v>
      </c>
    </row>
    <row r="1314" customFormat="false" ht="15" hidden="false" customHeight="false" outlineLevel="0" collapsed="false">
      <c r="A1314" s="52" t="n">
        <v>46146</v>
      </c>
      <c r="B1314" s="57" t="n">
        <v>0.1816</v>
      </c>
      <c r="C1314" s="57" t="n">
        <v>0.1634</v>
      </c>
      <c r="D1314" s="57" t="n">
        <v>0.151</v>
      </c>
      <c r="E1314" s="57" t="n">
        <v>0.16883</v>
      </c>
      <c r="F1314" s="57" t="n">
        <v>0.167</v>
      </c>
      <c r="G1314" s="57" t="n">
        <v>0.1545</v>
      </c>
      <c r="H1314" s="57" t="n">
        <v>0.1783</v>
      </c>
    </row>
    <row r="1315" customFormat="false" ht="15" hidden="false" customHeight="false" outlineLevel="0" collapsed="false">
      <c r="A1315" s="52" t="n">
        <v>46147</v>
      </c>
      <c r="B1315" s="57" t="n">
        <v>0.1812</v>
      </c>
      <c r="C1315" s="57" t="n">
        <v>0.1635</v>
      </c>
      <c r="D1315" s="57" t="n">
        <v>0.1504</v>
      </c>
      <c r="E1315" s="57" t="n">
        <v>0.168</v>
      </c>
      <c r="F1315" s="57" t="n">
        <v>0.1665</v>
      </c>
      <c r="G1315" s="57" t="n">
        <v>0.1527</v>
      </c>
      <c r="H1315" s="57" t="n">
        <v>0.1764</v>
      </c>
    </row>
    <row r="1316" customFormat="false" ht="15" hidden="false" customHeight="false" outlineLevel="0" collapsed="false">
      <c r="A1316" s="52" t="n">
        <v>46148</v>
      </c>
      <c r="B1316" s="57" t="n">
        <v>0.1811</v>
      </c>
      <c r="C1316" s="57" t="n">
        <v>0.1631</v>
      </c>
      <c r="D1316" s="57" t="n">
        <v>0.1505</v>
      </c>
      <c r="E1316" s="57" t="n">
        <v>0.16817</v>
      </c>
      <c r="F1316" s="57" t="n">
        <v>0.1663</v>
      </c>
      <c r="G1316" s="57" t="n">
        <v>0.1544</v>
      </c>
      <c r="H1316" s="57" t="n">
        <v>0.1748</v>
      </c>
    </row>
    <row r="1317" customFormat="false" ht="15" hidden="false" customHeight="false" outlineLevel="0" collapsed="false">
      <c r="A1317" s="52" t="n">
        <v>46150</v>
      </c>
      <c r="B1317" s="57" t="n">
        <v>0.1829</v>
      </c>
      <c r="C1317" s="57" t="n">
        <v>0.1635</v>
      </c>
      <c r="D1317" s="57" t="n">
        <v>0.1507</v>
      </c>
      <c r="E1317" s="57" t="n">
        <v>0.166</v>
      </c>
      <c r="F1317" s="57" t="n">
        <v>0.1658</v>
      </c>
      <c r="G1317" s="57" t="n">
        <v>0.1526</v>
      </c>
      <c r="H1317" s="57" t="n">
        <v>0.1764</v>
      </c>
    </row>
    <row r="1318" customFormat="false" ht="15" hidden="false" customHeight="false" outlineLevel="0" collapsed="false">
      <c r="A1318" s="52" t="n">
        <v>46154</v>
      </c>
      <c r="B1318" s="57" t="n">
        <v>0.1796</v>
      </c>
      <c r="C1318" s="57" t="n">
        <v>0.1645</v>
      </c>
      <c r="D1318" s="57" t="n">
        <v>0.1523</v>
      </c>
      <c r="E1318" s="57" t="n">
        <v>0.16737</v>
      </c>
      <c r="F1318" s="57" t="n">
        <v>0.1662</v>
      </c>
      <c r="G1318" s="57" t="n">
        <v>0.1545</v>
      </c>
      <c r="H1318" s="57" t="n">
        <v>0.1756</v>
      </c>
    </row>
    <row r="1319" customFormat="false" ht="15" hidden="false" customHeight="false" outlineLevel="0" collapsed="false">
      <c r="A1319" s="52" t="n">
        <v>46155</v>
      </c>
      <c r="B1319" s="57" t="n">
        <v>0.1822</v>
      </c>
      <c r="C1319" s="57" t="n">
        <v>0.1634</v>
      </c>
      <c r="D1319" s="57" t="n">
        <v>0.1505</v>
      </c>
      <c r="E1319" s="57" t="n">
        <v>0.16733</v>
      </c>
      <c r="F1319" s="57" t="n">
        <v>0.1673</v>
      </c>
      <c r="G1319" s="57" t="n">
        <v>0.1545</v>
      </c>
      <c r="H1319" s="57" t="n">
        <v>0.1764</v>
      </c>
    </row>
    <row r="1320" customFormat="false" ht="15" hidden="false" customHeight="false" outlineLevel="0" collapsed="false">
      <c r="A1320" s="52" t="n">
        <v>46156</v>
      </c>
      <c r="B1320" s="57" t="n">
        <v>0.1832</v>
      </c>
      <c r="C1320" s="57" t="n">
        <v>0.1625</v>
      </c>
      <c r="D1320" s="57" t="n">
        <v>0.1499</v>
      </c>
      <c r="E1320" s="57" t="n">
        <v>0.16723</v>
      </c>
      <c r="F1320" s="57" t="n">
        <v>0.1676</v>
      </c>
      <c r="G1320" s="57" t="n">
        <v>0.1527</v>
      </c>
      <c r="H1320" s="57" t="n">
        <v>0.1763</v>
      </c>
    </row>
    <row r="1321" customFormat="false" ht="15" hidden="false" customHeight="false" outlineLevel="0" collapsed="false">
      <c r="A1321" s="52" t="n">
        <v>46157</v>
      </c>
      <c r="B1321" s="57" t="n">
        <v>0.1848</v>
      </c>
      <c r="C1321" s="57" t="n">
        <v>0.1639</v>
      </c>
      <c r="D1321" s="57" t="n">
        <v>0.1509</v>
      </c>
      <c r="E1321" s="57" t="n">
        <v>0.16723</v>
      </c>
      <c r="F1321" s="57" t="n">
        <v>0.1673</v>
      </c>
      <c r="G1321" s="57" t="n">
        <v>0.1509</v>
      </c>
      <c r="H1321" s="57" t="n">
        <v>0.1752</v>
      </c>
    </row>
    <row r="1322" customFormat="false" ht="15" hidden="false" customHeight="false" outlineLevel="0" collapsed="false">
      <c r="A1322" s="52" t="n">
        <v>46160</v>
      </c>
      <c r="B1322" s="57" t="n">
        <v>0.1852</v>
      </c>
      <c r="C1322" s="57" t="n">
        <v>0.1644</v>
      </c>
      <c r="D1322" s="57" t="n">
        <v>0.1507</v>
      </c>
      <c r="E1322" s="57" t="n">
        <v>0.16723</v>
      </c>
      <c r="F1322" s="57" t="n">
        <v>0.1674</v>
      </c>
      <c r="G1322" s="57" t="n">
        <v>0.1532</v>
      </c>
      <c r="H1322" s="57" t="n">
        <v>0.1761</v>
      </c>
    </row>
    <row r="1323" customFormat="false" ht="15" hidden="false" customHeight="false" outlineLevel="0" collapsed="false">
      <c r="A1323" s="52" t="n">
        <v>46161</v>
      </c>
      <c r="B1323" s="57" t="n">
        <v>0.1814</v>
      </c>
      <c r="C1323" s="57" t="n">
        <v>0.1647</v>
      </c>
      <c r="D1323" s="57" t="n">
        <v>0.1507</v>
      </c>
      <c r="E1323" s="57" t="n">
        <v>0.16767</v>
      </c>
      <c r="F1323" s="57" t="n">
        <v>0.1674</v>
      </c>
      <c r="G1323" s="57" t="n">
        <v>0.1545</v>
      </c>
      <c r="H1323" s="57" t="n">
        <v>0.1762</v>
      </c>
    </row>
    <row r="1324" customFormat="false" ht="15" hidden="false" customHeight="false" outlineLevel="0" collapsed="false">
      <c r="A1324" s="52" t="n">
        <v>46162</v>
      </c>
      <c r="B1324" s="57" t="n">
        <v>0.1823</v>
      </c>
      <c r="C1324" s="57" t="n">
        <v>0.1626</v>
      </c>
      <c r="D1324" s="57" t="n">
        <v>0.1492</v>
      </c>
      <c r="E1324" s="57" t="n">
        <v>0.168</v>
      </c>
      <c r="F1324" s="57" t="n">
        <v>0.1692</v>
      </c>
      <c r="G1324" s="57" t="n">
        <v>0.1579</v>
      </c>
      <c r="H1324" s="57" t="n">
        <v>0.1748</v>
      </c>
    </row>
    <row r="1325" customFormat="false" ht="15" hidden="false" customHeight="false" outlineLevel="0" collapsed="false">
      <c r="A1325" s="52" t="n">
        <v>46163</v>
      </c>
      <c r="B1325" s="57" t="n">
        <v>0.1819</v>
      </c>
      <c r="C1325" s="57" t="n">
        <v>0.1631</v>
      </c>
      <c r="D1325" s="57" t="n">
        <v>0.1497</v>
      </c>
      <c r="E1325" s="57" t="n">
        <v>0.1665</v>
      </c>
      <c r="F1325" s="57" t="n">
        <v>0.1684</v>
      </c>
      <c r="G1325" s="57" t="n">
        <v>0.1527</v>
      </c>
      <c r="H1325" s="57" t="n">
        <v>0.1745</v>
      </c>
    </row>
    <row r="1326" customFormat="false" ht="15" hidden="false" customHeight="false" outlineLevel="0" collapsed="false">
      <c r="A1326" s="52" t="n">
        <v>46164</v>
      </c>
      <c r="B1326" s="57" t="n">
        <v>0.1817</v>
      </c>
      <c r="C1326" s="57" t="n">
        <v>0.1619</v>
      </c>
      <c r="D1326" s="57" t="n">
        <v>0.1513</v>
      </c>
      <c r="E1326" s="57" t="n">
        <v>0.166</v>
      </c>
      <c r="F1326" s="57" t="n">
        <v>0.1676</v>
      </c>
      <c r="G1326" s="57" t="n">
        <v>0.1527</v>
      </c>
      <c r="H1326" s="57" t="n">
        <v>0.1758</v>
      </c>
    </row>
    <row r="1327" customFormat="false" ht="15" hidden="false" customHeight="false" outlineLevel="0" collapsed="false">
      <c r="A1327" s="52" t="n">
        <v>46167</v>
      </c>
      <c r="B1327" s="57" t="n">
        <v>0.1836</v>
      </c>
      <c r="C1327" s="57" t="n">
        <v>0.1619</v>
      </c>
      <c r="D1327" s="57" t="n">
        <v>0.15</v>
      </c>
      <c r="E1327" s="57" t="n">
        <v>0.1675</v>
      </c>
      <c r="F1327" s="57" t="n">
        <v>0.1684</v>
      </c>
      <c r="G1327" s="57" t="n">
        <v>0.1544</v>
      </c>
      <c r="H1327" s="57" t="n">
        <v>0.1772</v>
      </c>
    </row>
    <row r="1328" customFormat="false" ht="15" hidden="false" customHeight="false" outlineLevel="0" collapsed="false">
      <c r="A1328" s="52" t="n">
        <v>46168</v>
      </c>
      <c r="B1328" s="57" t="n">
        <v>0.1759</v>
      </c>
      <c r="C1328" s="57" t="n">
        <v>0.1618</v>
      </c>
      <c r="D1328" s="57" t="n">
        <v>0.1499</v>
      </c>
      <c r="E1328" s="57" t="n">
        <v>0.167</v>
      </c>
      <c r="F1328" s="57" t="n">
        <v>0.1678</v>
      </c>
      <c r="G1328" s="57" t="n">
        <v>0.1544</v>
      </c>
      <c r="H1328" s="57" t="n">
        <v>0.1812</v>
      </c>
    </row>
    <row r="1329" customFormat="false" ht="15" hidden="false" customHeight="false" outlineLevel="0" collapsed="false">
      <c r="A1329" s="52" t="n">
        <v>46170</v>
      </c>
      <c r="B1329" s="57" t="n">
        <v>0.1813</v>
      </c>
      <c r="C1329" s="57" t="n">
        <v>0.1618</v>
      </c>
      <c r="D1329" s="57" t="n">
        <v>0.15</v>
      </c>
      <c r="E1329" s="57" t="n">
        <v>0.16867</v>
      </c>
      <c r="F1329" s="57" t="n">
        <v>0.1703</v>
      </c>
      <c r="G1329" s="57" t="n">
        <v>0.1509</v>
      </c>
      <c r="H1329" s="57" t="n">
        <v>0.1842</v>
      </c>
    </row>
    <row r="1330" customFormat="false" ht="15" hidden="false" customHeight="false" outlineLevel="0" collapsed="false">
      <c r="A1330" s="52" t="n">
        <v>46171</v>
      </c>
      <c r="B1330" s="57" t="n">
        <v>0.1831</v>
      </c>
      <c r="C1330" s="57" t="n">
        <v>0.1619</v>
      </c>
      <c r="D1330" s="57" t="n">
        <v>0.1498</v>
      </c>
      <c r="E1330" s="57" t="n">
        <v>0.16867</v>
      </c>
      <c r="F1330" s="57" t="n">
        <v>0.1675</v>
      </c>
      <c r="G1330" s="57" t="n">
        <v>0.1509</v>
      </c>
      <c r="H1330" s="57" t="n">
        <v>0.1871</v>
      </c>
    </row>
    <row r="1331" customFormat="false" ht="15" hidden="false" customHeight="false" outlineLevel="0" collapsed="false">
      <c r="A1331" s="52" t="n">
        <v>46174</v>
      </c>
      <c r="B1331" s="57" t="n">
        <v>0.1825</v>
      </c>
      <c r="C1331" s="57" t="n">
        <v>0.1612</v>
      </c>
      <c r="D1331" s="57" t="n">
        <v>0.1509</v>
      </c>
      <c r="E1331" s="57" t="n">
        <v>0.16738</v>
      </c>
      <c r="F1331" s="57" t="n">
        <v>0.1686</v>
      </c>
      <c r="G1331" s="57" t="n">
        <v>0.1526</v>
      </c>
      <c r="H1331" s="57" t="n">
        <v>0.1847</v>
      </c>
    </row>
    <row r="1332" customFormat="false" ht="15" hidden="false" customHeight="false" outlineLevel="0" collapsed="false">
      <c r="A1332" s="52" t="n">
        <v>46175</v>
      </c>
      <c r="B1332" s="57" t="n">
        <v>0.181</v>
      </c>
      <c r="C1332" s="57" t="n">
        <v>0.1628</v>
      </c>
      <c r="D1332" s="57" t="n">
        <v>0.1503</v>
      </c>
      <c r="E1332" s="57" t="n">
        <v>0.16563</v>
      </c>
      <c r="F1332" s="57" t="n">
        <v>0.1688</v>
      </c>
      <c r="G1332" s="57" t="n">
        <v>0.1526</v>
      </c>
      <c r="H1332" s="57" t="n">
        <v>0.1821</v>
      </c>
    </row>
    <row r="1333" customFormat="false" ht="15" hidden="false" customHeight="false" outlineLevel="0" collapsed="false">
      <c r="A1333" s="52" t="n">
        <v>46176</v>
      </c>
      <c r="B1333" s="57" t="n">
        <v>0.1826</v>
      </c>
      <c r="C1333" s="57" t="n">
        <v>0.1659</v>
      </c>
      <c r="D1333" s="57" t="n">
        <v>0.1503</v>
      </c>
      <c r="E1333" s="57" t="n">
        <v>0.16513</v>
      </c>
      <c r="F1333" s="57" t="n">
        <v>0.1685</v>
      </c>
      <c r="G1333" s="57" t="n">
        <v>0.1526</v>
      </c>
      <c r="H1333" s="57" t="n">
        <v>0.1818</v>
      </c>
    </row>
    <row r="1334" customFormat="false" ht="15" hidden="false" customHeight="false" outlineLevel="0" collapsed="false">
      <c r="A1334" s="52" t="n">
        <v>46177</v>
      </c>
      <c r="B1334" s="57" t="n">
        <v>0.1809</v>
      </c>
      <c r="C1334" s="57" t="n">
        <v>0.1637</v>
      </c>
      <c r="D1334" s="57" t="n">
        <v>0.1501</v>
      </c>
      <c r="E1334" s="57" t="n">
        <v>0.1655</v>
      </c>
      <c r="F1334" s="57" t="n">
        <v>0.1663</v>
      </c>
      <c r="G1334" s="57" t="n">
        <v>0.1509</v>
      </c>
      <c r="H1334" s="57" t="n">
        <v>0.1803</v>
      </c>
    </row>
    <row r="1335" customFormat="false" ht="15" hidden="false" customHeight="false" outlineLevel="0" collapsed="false">
      <c r="A1335" s="52" t="n">
        <v>46178</v>
      </c>
      <c r="B1335" s="57" t="n">
        <v>0.1724</v>
      </c>
      <c r="C1335" s="57" t="n">
        <v>0.1641</v>
      </c>
      <c r="D1335" s="57" t="n">
        <v>0.1509</v>
      </c>
      <c r="E1335" s="57" t="n">
        <v>0.16488</v>
      </c>
      <c r="F1335" s="57" t="n">
        <v>0.1667</v>
      </c>
      <c r="G1335" s="57" t="n">
        <v>0.1509</v>
      </c>
      <c r="H1335" s="57" t="n">
        <v>0.1779</v>
      </c>
    </row>
    <row r="1336" customFormat="false" ht="15" hidden="false" customHeight="false" outlineLevel="0" collapsed="false">
      <c r="A1336" s="52" t="n">
        <v>46181</v>
      </c>
      <c r="B1336" s="57" t="n">
        <v>0.1762</v>
      </c>
      <c r="C1336" s="57" t="n">
        <v>0.1633</v>
      </c>
      <c r="D1336" s="57" t="n">
        <v>0.1533</v>
      </c>
      <c r="E1336" s="57" t="n">
        <v>0.1669</v>
      </c>
      <c r="F1336" s="57" t="n">
        <v>0.1658</v>
      </c>
      <c r="G1336" s="57" t="n">
        <v>0.1538</v>
      </c>
      <c r="H1336" s="57" t="n">
        <v>0.1656</v>
      </c>
    </row>
    <row r="1337" customFormat="false" ht="15" hidden="false" customHeight="false" outlineLevel="0" collapsed="false">
      <c r="A1337" s="52" t="n">
        <v>46182</v>
      </c>
      <c r="B1337" s="57" t="n">
        <v>0.1719</v>
      </c>
      <c r="C1337" s="57" t="n">
        <v>0.1672</v>
      </c>
      <c r="D1337" s="57" t="n">
        <v>0.1532</v>
      </c>
      <c r="E1337" s="57" t="n">
        <v>0.16767</v>
      </c>
      <c r="F1337" s="57" t="n">
        <v>0.1659</v>
      </c>
      <c r="G1337" s="57" t="n">
        <v>0.1527</v>
      </c>
      <c r="H1337" s="57" t="n">
        <v>0.1653</v>
      </c>
    </row>
    <row r="1338" customFormat="false" ht="15" hidden="false" customHeight="false" outlineLevel="0" collapsed="false">
      <c r="A1338" s="52" t="n">
        <v>46183</v>
      </c>
      <c r="B1338" s="57" t="n">
        <v>0.1736</v>
      </c>
      <c r="C1338" s="57" t="n">
        <v>0.1668</v>
      </c>
      <c r="D1338" s="57" t="n">
        <v>0.1542</v>
      </c>
      <c r="E1338" s="57" t="n">
        <v>0.16767</v>
      </c>
      <c r="F1338" s="57" t="n">
        <v>0.1661</v>
      </c>
      <c r="G1338" s="57" t="n">
        <v>0.1509</v>
      </c>
      <c r="H1338" s="57" t="n">
        <v>0.1684</v>
      </c>
    </row>
    <row r="1339" customFormat="false" ht="15" hidden="false" customHeight="false" outlineLevel="0" collapsed="false">
      <c r="A1339" s="52" t="n">
        <v>46184</v>
      </c>
      <c r="B1339" s="57" t="n">
        <v>0.1726</v>
      </c>
      <c r="C1339" s="57" t="n">
        <v>0.1705</v>
      </c>
      <c r="D1339" s="57" t="n">
        <v>0.1535</v>
      </c>
      <c r="E1339" s="57" t="n">
        <v>0.16767</v>
      </c>
      <c r="F1339" s="57" t="n">
        <v>0.1642</v>
      </c>
      <c r="G1339" s="57" t="n">
        <v>0.151</v>
      </c>
      <c r="H1339" s="57" t="n">
        <v>0.1711</v>
      </c>
    </row>
    <row r="1340" customFormat="false" ht="15" hidden="false" customHeight="false" outlineLevel="0" collapsed="false">
      <c r="A1340" s="52" t="n">
        <v>46185</v>
      </c>
      <c r="B1340" s="57" t="n">
        <v>0.1757</v>
      </c>
      <c r="C1340" s="57" t="n">
        <v>0.1669</v>
      </c>
      <c r="D1340" s="57" t="n">
        <v>0.1535</v>
      </c>
      <c r="E1340" s="57" t="n">
        <v>0.16847</v>
      </c>
      <c r="F1340" s="57" t="n">
        <v>0.1663</v>
      </c>
      <c r="G1340" s="57" t="n">
        <v>0.1508</v>
      </c>
      <c r="H1340" s="57" t="n">
        <v>0.1718</v>
      </c>
    </row>
    <row r="1341" customFormat="false" ht="15" hidden="false" customHeight="false" outlineLevel="0" collapsed="false">
      <c r="A1341" s="52" t="n">
        <v>46188</v>
      </c>
      <c r="B1341" s="57" t="n">
        <v>0.1732</v>
      </c>
      <c r="C1341" s="57" t="n">
        <v>0.169</v>
      </c>
      <c r="D1341" s="57" t="n">
        <v>0.1527</v>
      </c>
      <c r="E1341" s="57" t="n">
        <v>0.16683</v>
      </c>
      <c r="F1341" s="57" t="n">
        <v>0.1662</v>
      </c>
      <c r="G1341" s="57" t="n">
        <v>0.153</v>
      </c>
      <c r="H1341" s="57" t="n">
        <v>0.1688</v>
      </c>
    </row>
    <row r="1342" customFormat="false" ht="15" hidden="false" customHeight="false" outlineLevel="0" collapsed="false">
      <c r="A1342" s="52" t="n">
        <v>46189</v>
      </c>
      <c r="B1342" s="57" t="n">
        <v>0.175</v>
      </c>
      <c r="C1342" s="57" t="n">
        <v>0.1652</v>
      </c>
      <c r="D1342" s="57" t="n">
        <v>0.1521</v>
      </c>
      <c r="E1342" s="57" t="n">
        <v>0.16683</v>
      </c>
      <c r="F1342" s="57" t="n">
        <v>0.1658</v>
      </c>
      <c r="G1342" s="57" t="n">
        <v>0.1547</v>
      </c>
      <c r="H1342" s="57" t="n">
        <v>0.169</v>
      </c>
    </row>
    <row r="1343" customFormat="false" ht="15" hidden="false" customHeight="false" outlineLevel="0" collapsed="false">
      <c r="A1343" s="52" t="n">
        <v>46190</v>
      </c>
      <c r="B1343" s="57" t="n">
        <v>0.1742</v>
      </c>
      <c r="C1343" s="57" t="n">
        <v>0.166</v>
      </c>
      <c r="D1343" s="57" t="n">
        <v>0.1523</v>
      </c>
      <c r="E1343" s="57" t="n">
        <v>0.1657</v>
      </c>
      <c r="F1343" s="57" t="n">
        <v>0.1661</v>
      </c>
      <c r="G1343" s="57" t="n">
        <v>0.1493</v>
      </c>
      <c r="H1343" s="57" t="n">
        <v>0.1664</v>
      </c>
    </row>
    <row r="1344" customFormat="false" ht="15" hidden="false" customHeight="false" outlineLevel="0" collapsed="false">
      <c r="A1344" s="52" t="n">
        <v>46191</v>
      </c>
      <c r="B1344" s="57" t="n">
        <v>0.1701</v>
      </c>
      <c r="C1344" s="57" t="n">
        <v>0.1645</v>
      </c>
      <c r="D1344" s="57" t="n">
        <v>0.1509</v>
      </c>
      <c r="E1344" s="57" t="n">
        <v>0.16383</v>
      </c>
      <c r="F1344" s="57" t="n">
        <v>0.1649</v>
      </c>
      <c r="G1344" s="57" t="n">
        <v>0.1512</v>
      </c>
      <c r="H1344" s="57" t="n">
        <v>0.165</v>
      </c>
    </row>
    <row r="1345" customFormat="false" ht="15" hidden="false" customHeight="false" outlineLevel="0" collapsed="false">
      <c r="A1345" s="52" t="n">
        <v>46192</v>
      </c>
      <c r="B1345" s="57" t="n">
        <v>0.1718</v>
      </c>
      <c r="C1345" s="57" t="n">
        <v>0.1652</v>
      </c>
      <c r="D1345" s="57" t="n">
        <v>0.1523</v>
      </c>
      <c r="E1345" s="57" t="n">
        <v>0.16383</v>
      </c>
      <c r="F1345" s="57" t="n">
        <v>0.1649</v>
      </c>
      <c r="G1345" s="57" t="n">
        <v>0.1528</v>
      </c>
      <c r="H1345" s="57" t="n">
        <v>0.1659</v>
      </c>
    </row>
    <row r="1346" customFormat="false" ht="15" hidden="false" customHeight="false" outlineLevel="0" collapsed="false">
      <c r="A1346" s="52" t="n">
        <v>46195</v>
      </c>
      <c r="B1346" s="57" t="n">
        <v>0.1631</v>
      </c>
      <c r="C1346" s="57" t="n">
        <v>0.1677</v>
      </c>
      <c r="D1346" s="57" t="n">
        <v>0.1514</v>
      </c>
      <c r="E1346" s="57" t="n">
        <v>0.16383</v>
      </c>
      <c r="F1346" s="57" t="n">
        <v>0.1643</v>
      </c>
      <c r="G1346" s="57" t="n">
        <v>0.1525</v>
      </c>
      <c r="H1346" s="57" t="n">
        <v>0.1667</v>
      </c>
    </row>
    <row r="1347" customFormat="false" ht="15" hidden="false" customHeight="false" outlineLevel="0" collapsed="false">
      <c r="A1347" s="52" t="n">
        <v>46196</v>
      </c>
      <c r="B1347" s="57" t="n">
        <v>0.1737</v>
      </c>
      <c r="C1347" s="57" t="n">
        <v>0.1636</v>
      </c>
      <c r="D1347" s="57" t="n">
        <v>0.15</v>
      </c>
      <c r="E1347" s="57" t="n">
        <v>0.16484</v>
      </c>
      <c r="F1347" s="57" t="n">
        <v>0.1651</v>
      </c>
      <c r="G1347" s="57" t="n">
        <v>0.1547</v>
      </c>
      <c r="H1347" s="57" t="n">
        <v>0.1669</v>
      </c>
    </row>
    <row r="1348" customFormat="false" ht="15" hidden="false" customHeight="false" outlineLevel="0" collapsed="false">
      <c r="A1348" s="52" t="n">
        <v>46197</v>
      </c>
      <c r="B1348" s="57" t="n">
        <v>0.1669</v>
      </c>
      <c r="C1348" s="57" t="n">
        <v>0.1605</v>
      </c>
      <c r="D1348" s="57" t="n">
        <v>0.1488</v>
      </c>
      <c r="E1348" s="57" t="n">
        <v>0.165</v>
      </c>
      <c r="F1348" s="57" t="n">
        <v>0.1648</v>
      </c>
      <c r="G1348" s="57" t="n">
        <v>0.1545</v>
      </c>
      <c r="H1348" s="57" t="n">
        <v>0.1672</v>
      </c>
    </row>
    <row r="1349" customFormat="false" ht="15" hidden="false" customHeight="false" outlineLevel="0" collapsed="false">
      <c r="A1349" s="52" t="n">
        <v>46198</v>
      </c>
      <c r="B1349" s="57" t="n">
        <v>0.1665</v>
      </c>
      <c r="C1349" s="57" t="n">
        <v>0.156</v>
      </c>
      <c r="D1349" s="57" t="n">
        <v>0.1472</v>
      </c>
      <c r="E1349" s="57" t="n">
        <v>0.16467</v>
      </c>
      <c r="F1349" s="57" t="n">
        <v>0.1666</v>
      </c>
      <c r="G1349" s="57" t="n">
        <v>0.1558</v>
      </c>
      <c r="H1349" s="57" t="n">
        <v>0.1672</v>
      </c>
    </row>
    <row r="1350" customFormat="false" ht="15" hidden="false" customHeight="false" outlineLevel="0" collapsed="false">
      <c r="A1350" s="52" t="n">
        <v>46199</v>
      </c>
      <c r="B1350" s="57" t="n">
        <v>0.167</v>
      </c>
      <c r="C1350" s="57" t="n">
        <v>0.1588</v>
      </c>
      <c r="D1350" s="57" t="n">
        <v>0.1503</v>
      </c>
      <c r="E1350" s="57" t="n">
        <v>0.16217</v>
      </c>
      <c r="F1350" s="57" t="n">
        <v>0.1646</v>
      </c>
      <c r="G1350" s="57" t="n">
        <v>0.1525</v>
      </c>
      <c r="H1350" s="57" t="n">
        <v>0.1683</v>
      </c>
    </row>
    <row r="1351" customFormat="false" ht="15" hidden="false" customHeight="false" outlineLevel="0" collapsed="false">
      <c r="A1351" s="52" t="n">
        <v>46202</v>
      </c>
      <c r="B1351" s="57" t="n">
        <v>0.1648</v>
      </c>
      <c r="C1351" s="57" t="n">
        <v>0.1571</v>
      </c>
      <c r="D1351" s="57" t="n">
        <v>0.1492</v>
      </c>
      <c r="E1351" s="57" t="n">
        <v>0.16183</v>
      </c>
      <c r="F1351" s="57" t="n">
        <v>0.1662</v>
      </c>
      <c r="G1351" s="57" t="n">
        <v>0.1529</v>
      </c>
      <c r="H1351" s="57" t="n">
        <v>0.168</v>
      </c>
    </row>
    <row r="1352" customFormat="false" ht="15" hidden="false" customHeight="false" outlineLevel="0" collapsed="false">
      <c r="A1352" s="52" t="n">
        <v>46203</v>
      </c>
      <c r="B1352" s="57" t="n">
        <v>0.1704</v>
      </c>
      <c r="C1352" s="57" t="n">
        <v>0.1585</v>
      </c>
      <c r="D1352" s="57" t="n">
        <v>0.1479</v>
      </c>
      <c r="E1352" s="57" t="n">
        <v>0.16183</v>
      </c>
      <c r="F1352" s="57" t="n">
        <v>0.165</v>
      </c>
      <c r="G1352" s="57" t="n">
        <v>0.1556</v>
      </c>
      <c r="H1352" s="57" t="n">
        <v>0.1624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1257</v>
      </c>
    </row>
    <row r="3" customFormat="false" ht="15" hidden="false" customHeight="false" outlineLevel="0" collapsed="false">
      <c r="A3" s="6" t="s">
        <v>1258</v>
      </c>
      <c r="B3" s="6" t="s">
        <v>1259</v>
      </c>
      <c r="C3" s="6" t="s">
        <v>1260</v>
      </c>
    </row>
    <row r="4" customFormat="false" ht="15" hidden="false" customHeight="false" outlineLevel="0" collapsed="false">
      <c r="A4" s="65" t="s">
        <v>1261</v>
      </c>
      <c r="B4" s="66" t="s">
        <v>1262</v>
      </c>
      <c r="C4" s="65" t="s">
        <v>1263</v>
      </c>
    </row>
    <row r="5" customFormat="false" ht="26.85" hidden="false" customHeight="false" outlineLevel="0" collapsed="false">
      <c r="A5" s="65" t="s">
        <v>1264</v>
      </c>
      <c r="B5" s="66" t="s">
        <v>1265</v>
      </c>
      <c r="C5" s="66" t="s">
        <v>1266</v>
      </c>
    </row>
    <row r="6" customFormat="false" ht="25.35" hidden="false" customHeight="false" outlineLevel="0" collapsed="false">
      <c r="A6" s="65" t="s">
        <v>1267</v>
      </c>
      <c r="B6" s="66" t="s">
        <v>1268</v>
      </c>
      <c r="C6" s="66" t="s">
        <v>1269</v>
      </c>
    </row>
    <row r="7" customFormat="false" ht="15" hidden="false" customHeight="false" outlineLevel="0" collapsed="false">
      <c r="A7" s="65" t="s">
        <v>22</v>
      </c>
      <c r="B7" s="65" t="s">
        <v>1270</v>
      </c>
      <c r="C7" s="66" t="s">
        <v>1271</v>
      </c>
    </row>
    <row r="8" customFormat="false" ht="15" hidden="false" customHeight="false" outlineLevel="0" collapsed="false">
      <c r="A8" s="65" t="s">
        <v>1272</v>
      </c>
      <c r="B8" s="66" t="s">
        <v>1273</v>
      </c>
      <c r="C8" s="66" t="s">
        <v>1274</v>
      </c>
    </row>
    <row r="9" customFormat="false" ht="26.85" hidden="false" customHeight="false" outlineLevel="0" collapsed="false">
      <c r="A9" s="65" t="s">
        <v>1275</v>
      </c>
      <c r="B9" s="65" t="s">
        <v>1276</v>
      </c>
      <c r="C9" s="66" t="s">
        <v>1277</v>
      </c>
    </row>
    <row r="10" customFormat="false" ht="26.85" hidden="false" customHeight="false" outlineLevel="0" collapsed="false">
      <c r="A10" s="65" t="s">
        <v>1278</v>
      </c>
      <c r="B10" s="66" t="s">
        <v>1279</v>
      </c>
      <c r="C10" s="66" t="s">
        <v>1280</v>
      </c>
    </row>
    <row r="11" customFormat="false" ht="15" hidden="false" customHeight="false" outlineLevel="0" collapsed="false">
      <c r="A11" s="65" t="s">
        <v>1281</v>
      </c>
      <c r="B11" s="66" t="s">
        <v>1282</v>
      </c>
      <c r="C11" s="66" t="s">
        <v>1283</v>
      </c>
    </row>
    <row r="12" customFormat="false" ht="26.85" hidden="false" customHeight="false" outlineLevel="0" collapsed="false">
      <c r="A12" s="65" t="s">
        <v>1284</v>
      </c>
      <c r="B12" s="66" t="s">
        <v>1285</v>
      </c>
      <c r="C12" s="66" t="s">
        <v>1286</v>
      </c>
    </row>
    <row r="13" customFormat="false" ht="15" hidden="false" customHeight="false" outlineLevel="0" collapsed="false">
      <c r="A13" s="65" t="s">
        <v>1287</v>
      </c>
      <c r="B13" s="65" t="s">
        <v>1288</v>
      </c>
      <c r="C13" s="65" t="s">
        <v>1289</v>
      </c>
    </row>
    <row r="14" customFormat="false" ht="26.85" hidden="false" customHeight="false" outlineLevel="0" collapsed="false">
      <c r="A14" s="65" t="s">
        <v>1287</v>
      </c>
      <c r="B14" s="65" t="s">
        <v>1290</v>
      </c>
      <c r="C14" s="65" t="s">
        <v>1291</v>
      </c>
    </row>
    <row r="15" customFormat="false" ht="26.85" hidden="false" customHeight="false" outlineLevel="0" collapsed="false">
      <c r="A15" s="65" t="s">
        <v>1292</v>
      </c>
      <c r="B15" s="65" t="s">
        <v>1293</v>
      </c>
      <c r="C15" s="65" t="s">
        <v>1294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2026-10-01T05:23:45Z</dcterms:created>
  <dc:creator>openpyxl</dc:creator>
  <dc:description/>
  <dc:language>en-US</dc:language>
  <cp:lastModifiedBy/>
  <dcterms:modified xsi:type="dcterms:W3CDTF">2026-10-01T05:23:46Z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